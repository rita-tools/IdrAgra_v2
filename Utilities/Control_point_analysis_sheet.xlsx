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2416" yWindow="636" windowWidth="17280" windowHeight="10008" tabRatio="731" firstSheet="1" activeTab="4" autoFilterDateGrouping="1"/>
  </bookViews>
  <sheets>
    <sheet xmlns:r="http://schemas.openxmlformats.org/officeDocument/2006/relationships" name="Sintesi" sheetId="1" state="visible" r:id="rId1"/>
    <sheet xmlns:r="http://schemas.openxmlformats.org/officeDocument/2006/relationships" name="Paste cell here" sheetId="2" state="visible" r:id="rId2"/>
    <sheet xmlns:r="http://schemas.openxmlformats.org/officeDocument/2006/relationships" name="Paste cellparameters here" sheetId="3" state="visible" r:id="rId3"/>
    <sheet xmlns:r="http://schemas.openxmlformats.org/officeDocument/2006/relationships" name="Paste cellinfo here" sheetId="4" state="visible" r:id="rId4"/>
    <sheet xmlns:r="http://schemas.openxmlformats.org/officeDocument/2006/relationships" name="Rootzone balance" sheetId="5" state="visible" r:id="rId5"/>
    <sheet xmlns:r="http://schemas.openxmlformats.org/officeDocument/2006/relationships" name="Verifica produttività" sheetId="6" state="visible" r:id="rId6"/>
    <sheet xmlns:r="http://schemas.openxmlformats.org/officeDocument/2006/relationships" name="Bilancio primo strato" sheetId="7" state="visible" r:id="rId7"/>
    <sheet xmlns:r="http://schemas.openxmlformats.org/officeDocument/2006/relationships" name="Strato evaporativo" sheetId="8" state="visible" r:id="rId8"/>
    <sheet xmlns:r="http://schemas.openxmlformats.org/officeDocument/2006/relationships" name="Bilancio secondo strato" sheetId="9" state="visible" r:id="rId9"/>
    <sheet xmlns:r="http://schemas.openxmlformats.org/officeDocument/2006/relationships" name="Strato traspirativo" sheetId="10" state="visible" r:id="rId10"/>
  </sheets>
  <definedNames>
    <definedName name="Dati_colture">Sintesi!$D$9:$F$25</definedName>
    <definedName name="HI">'Paste cellparameters here'!$B$3:$E$3</definedName>
    <definedName name="ii0">'Paste cellparameters here'!$B$14:$E$14</definedName>
    <definedName name="iid">'Paste cellparameters here'!$B$16:$E$16</definedName>
    <definedName name="iie">'Paste cellparameters here'!$B$15:$E$15</definedName>
    <definedName name="irandom">'Paste cellparameters here'!$B$18</definedName>
    <definedName name="Kcbini">'Paste cellparameters here'!$B$12:$E$12</definedName>
    <definedName name="Kcbmax">'Paste cellparameters here'!$B$13:$E$13</definedName>
    <definedName name="Kcbmin">'Paste cellparameters here'!$B$11:$E$11</definedName>
    <definedName name="KyP">'Paste cellparameters here'!$B$5:$E$8</definedName>
    <definedName name="KyT">'Paste cellparameters here'!$B$4:$E$4</definedName>
    <definedName name="Tcrit">'Paste cellparameters here'!$B$9:$E$9</definedName>
    <definedName name="Tlim">'Paste cellparameters here'!$B$10:$E$10</definedName>
    <definedName name="WPadj">'Paste cellparameters here'!$B$2:$E$2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8"/>
      <vertAlign val="subscript"/>
      <scheme val="minor"/>
    </font>
    <font>
      <name val="Calibri"/>
      <family val="2"/>
      <b val="1"/>
      <i val="1"/>
      <color theme="0" tint="-0.499954222235786"/>
      <sz val="8"/>
      <scheme val="minor"/>
    </font>
    <font>
      <name val="Calibri"/>
      <family val="2"/>
      <i val="1"/>
      <color theme="0" tint="-0.499954222235786"/>
      <sz val="8"/>
      <scheme val="minor"/>
    </font>
    <font>
      <name val="Calibri"/>
      <family val="2"/>
      <strike val="1"/>
      <color theme="1"/>
      <sz val="8"/>
      <scheme val="minor"/>
    </font>
    <font>
      <name val="Calibri"/>
      <family val="2"/>
      <color theme="0" tint="-0.3499862666707358"/>
      <sz val="8"/>
      <scheme val="minor"/>
    </font>
    <font>
      <name val="Cambria"/>
      <family val="2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8"/>
      <vertAlign val="superscript"/>
      <scheme val="minor"/>
    </font>
    <font>
      <name val="Arial Unicode MS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/>
      <diagonal/>
    </border>
  </borders>
  <cellStyleXfs count="5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9" fontId="1" fillId="0" borderId="0"/>
    <xf numFmtId="0" fontId="25" fillId="0" borderId="0"/>
    <xf numFmtId="0" fontId="26" fillId="4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29" fillId="0" borderId="0"/>
  </cellStyleXfs>
  <cellXfs count="61">
    <xf numFmtId="0" fontId="0" fillId="0" borderId="0" pivotButton="0" quotePrefix="0" xfId="0"/>
    <xf numFmtId="0" fontId="18" fillId="0" borderId="0" pivotButton="0" quotePrefix="0" xfId="0"/>
    <xf numFmtId="14" fontId="18" fillId="0" borderId="0" pivotButton="0" quotePrefix="0" xfId="0"/>
    <xf numFmtId="0" fontId="19" fillId="0" borderId="0" applyAlignment="1" pivotButton="0" quotePrefix="0" xfId="0">
      <alignment wrapText="1"/>
    </xf>
    <xf numFmtId="0" fontId="19" fillId="0" borderId="0" pivotButton="0" quotePrefix="0" xfId="0"/>
    <xf numFmtId="164" fontId="18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9" fillId="0" borderId="0" applyAlignment="1" pivotButton="0" quotePrefix="0" xfId="0">
      <alignment horizontal="center" wrapText="1"/>
    </xf>
    <xf numFmtId="14" fontId="24" fillId="0" borderId="0" pivotButton="0" quotePrefix="0" xfId="0"/>
    <xf numFmtId="164" fontId="19" fillId="0" borderId="0" pivotButton="0" quotePrefix="0" xfId="0"/>
    <xf numFmtId="11" fontId="18" fillId="0" borderId="0" pivotButton="0" quotePrefix="0" xfId="0"/>
    <xf numFmtId="0" fontId="19" fillId="33" borderId="10" pivotButton="0" quotePrefix="0" xfId="0"/>
    <xf numFmtId="0" fontId="18" fillId="33" borderId="10" pivotButton="0" quotePrefix="0" xfId="0"/>
    <xf numFmtId="11" fontId="0" fillId="0" borderId="0" pivotButton="0" quotePrefix="0" xfId="0"/>
    <xf numFmtId="0" fontId="19" fillId="0" borderId="10" pivotButton="0" quotePrefix="0" xfId="0"/>
    <xf numFmtId="0" fontId="18" fillId="0" borderId="10" pivotButton="0" quotePrefix="0" xfId="0"/>
    <xf numFmtId="14" fontId="18" fillId="0" borderId="10" pivotButton="0" quotePrefix="0" xfId="0"/>
    <xf numFmtId="0" fontId="19" fillId="0" borderId="11" pivotButton="0" quotePrefix="0" xfId="0"/>
    <xf numFmtId="0" fontId="18" fillId="0" borderId="11" pivotButton="0" quotePrefix="0" xfId="0"/>
    <xf numFmtId="2" fontId="18" fillId="0" borderId="11" pivotButton="0" quotePrefix="0" xfId="0"/>
    <xf numFmtId="0" fontId="19" fillId="0" borderId="11" applyAlignment="1" pivotButton="0" quotePrefix="0" xfId="0">
      <alignment horizontal="center"/>
    </xf>
    <xf numFmtId="164" fontId="18" fillId="0" borderId="11" pivotButton="0" quotePrefix="0" xfId="0"/>
    <xf numFmtId="164" fontId="19" fillId="0" borderId="11" pivotButton="0" quotePrefix="0" xfId="0"/>
    <xf numFmtId="0" fontId="19" fillId="0" borderId="12" pivotButton="0" quotePrefix="0" xfId="0"/>
    <xf numFmtId="165" fontId="18" fillId="0" borderId="10" pivotButton="0" quotePrefix="0" xfId="0"/>
    <xf numFmtId="10" fontId="18" fillId="0" borderId="11" pivotButton="0" quotePrefix="0" xfId="42"/>
    <xf numFmtId="0" fontId="19" fillId="0" borderId="10" applyAlignment="1" pivotButton="0" quotePrefix="0" xfId="0">
      <alignment horizontal="center"/>
    </xf>
    <xf numFmtId="1" fontId="18" fillId="0" borderId="10" pivotButton="0" quotePrefix="0" xfId="0"/>
    <xf numFmtId="2" fontId="18" fillId="0" borderId="11" applyAlignment="1" pivotButton="0" quotePrefix="0" xfId="0">
      <alignment horizontal="right"/>
    </xf>
    <xf numFmtId="0" fontId="28" fillId="0" borderId="0" applyAlignment="1" pivotButton="0" quotePrefix="0" xfId="0">
      <alignment vertical="center"/>
    </xf>
    <xf numFmtId="0" fontId="16" fillId="0" borderId="0" pivotButton="0" quotePrefix="0" xfId="0"/>
    <xf numFmtId="2" fontId="18" fillId="0" borderId="10" pivotButton="0" quotePrefix="0" xfId="0"/>
    <xf numFmtId="1" fontId="18" fillId="0" borderId="0" pivotButton="0" quotePrefix="0" xfId="0"/>
    <xf numFmtId="0" fontId="19" fillId="0" borderId="13" pivotButton="0" quotePrefix="0" xfId="0"/>
    <xf numFmtId="0" fontId="29" fillId="0" borderId="0" applyAlignment="1" pivotButton="0" quotePrefix="1" xfId="51">
      <alignment vertical="center"/>
    </xf>
    <xf numFmtId="14" fontId="0" fillId="0" borderId="0" pivotButton="0" quotePrefix="0" xfId="0"/>
    <xf numFmtId="164" fontId="19" fillId="0" borderId="11" applyAlignment="1" pivotButton="0" quotePrefix="0" xfId="0">
      <alignment horizontal="center"/>
    </xf>
    <xf numFmtId="2" fontId="0" fillId="0" borderId="0" pivotButton="0" quotePrefix="0" xfId="0"/>
    <xf numFmtId="0" fontId="18" fillId="0" borderId="0" applyAlignment="1" pivotButton="0" quotePrefix="0" xfId="0">
      <alignment horizontal="right"/>
    </xf>
    <xf numFmtId="0" fontId="30" fillId="0" borderId="0" pivotButton="0" quotePrefix="0" xfId="0"/>
    <xf numFmtId="14" fontId="30" fillId="0" borderId="0" pivotButton="0" quotePrefix="0" xfId="0"/>
    <xf numFmtId="2" fontId="18" fillId="0" borderId="0" pivotButton="0" quotePrefix="0" xfId="0"/>
    <xf numFmtId="2" fontId="28" fillId="0" borderId="0" pivotButton="0" quotePrefix="0" xfId="0"/>
    <xf numFmtId="2" fontId="30" fillId="0" borderId="0" pivotButton="0" quotePrefix="0" xfId="0"/>
    <xf numFmtId="0" fontId="18" fillId="34" borderId="10" pivotButton="0" quotePrefix="0" xfId="0"/>
    <xf numFmtId="0" fontId="19" fillId="0" borderId="10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15" applyAlignment="1" pivotButton="0" quotePrefix="0" xfId="0">
      <alignment horizontal="center"/>
    </xf>
    <xf numFmtId="0" fontId="18" fillId="0" borderId="16" applyAlignment="1" pivotButton="0" quotePrefix="0" xfId="0">
      <alignment horizontal="center"/>
    </xf>
    <xf numFmtId="0" fontId="18" fillId="0" borderId="17" applyAlignment="1" pivotButton="0" quotePrefix="0" xfId="0">
      <alignment horizontal="center"/>
    </xf>
    <xf numFmtId="0" fontId="0" fillId="0" borderId="19" pivotButton="0" quotePrefix="0" xfId="0"/>
    <xf numFmtId="0" fontId="0" fillId="0" borderId="15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</cellXfs>
  <cellStyles count="5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  <cellStyle name="Percentuale" xfId="42" builtinId="5"/>
    <cellStyle name="Titolo 5" xfId="43"/>
    <cellStyle name="Neutrale 2" xfId="44"/>
    <cellStyle name="60% - Colore 1 2" xfId="45"/>
    <cellStyle name="60% - Colore 2 2" xfId="46"/>
    <cellStyle name="60% - Colore 3 2" xfId="47"/>
    <cellStyle name="60% - Colore 4 2" xfId="48"/>
    <cellStyle name="60% - Colore 5 2" xfId="49"/>
    <cellStyle name="60% - Colore 6 2" xfId="50"/>
    <cellStyle name="Collegamento ipertestuale" xfId="51" builtinId="8"/>
  </cellStyles>
  <dxfs count="11">
    <dxf>
      <fill>
        <patternFill>
          <bgColor theme="3" tint="0.7999511703848384"/>
        </patternFill>
      </fill>
    </dxf>
    <dxf>
      <fill>
        <patternFill>
          <bgColor theme="5" tint="0.7999511703848384"/>
        </patternFill>
      </fill>
    </dxf>
    <dxf>
      <fill>
        <patternFill>
          <bgColor rgb="FFFFFFCC"/>
        </patternFill>
      </fill>
    </dxf>
    <dxf>
      <fill>
        <patternFill>
          <bgColor theme="5" tint="0.7999511703848384"/>
        </patternFill>
      </fill>
    </dxf>
    <dxf>
      <fill>
        <patternFill>
          <bgColor rgb="FFFFFFCC"/>
        </patternFill>
      </fill>
    </dxf>
    <dxf>
      <fill>
        <patternFill>
          <bgColor theme="6" tint="0.7999511703848384"/>
        </patternFill>
      </fill>
    </dxf>
    <dxf>
      <fill>
        <patternFill>
          <bgColor theme="5" tint="0.7999511703848384"/>
        </patternFill>
      </fill>
    </dxf>
    <dxf>
      <fill>
        <patternFill>
          <bgColor rgb="FFFFFFCC"/>
        </patternFill>
      </fill>
    </dxf>
    <dxf>
      <fill>
        <patternFill>
          <bgColor theme="6" tint="0.7999511703848384"/>
        </patternFill>
      </fill>
    </dxf>
    <dxf>
      <fill>
        <patternFill>
          <bgColor theme="6"/>
        </patternFill>
      </fill>
    </dxf>
    <dxf>
      <fill>
        <patternFill>
          <bgColor theme="6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chartsheet" Target="/xl/chartsheets/sheet1.xml" Id="rId8"/><Relationship Type="http://schemas.openxmlformats.org/officeDocument/2006/relationships/worksheet" Target="/xl/worksheets/sheet8.xml" Id="rId9"/><Relationship Type="http://schemas.openxmlformats.org/officeDocument/2006/relationships/chartsheet" Target="/xl/chartsheets/sheet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41239748852043"/>
          <y val="0.02291775848081127"/>
          <w val="0.9377797538515947"/>
          <h val="0.8910004939949909"/>
        </manualLayout>
      </layout>
      <areaChart>
        <grouping val="stacked"/>
        <varyColors val="0"/>
        <ser>
          <idx val="2"/>
          <order val="0"/>
          <tx>
            <strRef>
              <f>'Rootzone balance'!$J$1</f>
              <strCache>
                <ptCount val="1"/>
                <pt idx="0">
                  <v>wcontent weighted [mm]</v>
                </pt>
              </strCache>
            </strRef>
          </tx>
          <spPr>
            <a:solidFill xmlns:a="http://schemas.openxmlformats.org/drawingml/2006/main">
              <a:schemeClr val="accent5">
                <a:lumMod val="20000"/>
                <a:lumOff val="80000"/>
              </a:schemeClr>
            </a:solidFill>
            <a:ln xmlns:a="http://schemas.openxmlformats.org/drawingml/2006/main">
              <a:solidFill>
                <a:schemeClr val="accent1"/>
              </a:solidFill>
              <a:prstDash val="solid"/>
            </a:ln>
          </spPr>
          <cat>
            <numRef>
              <f>'Rootzone balance'!$B$2:$B$366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'Rootzone balance'!$J$2:$J$366</f>
              <numCache>
                <formatCode>0.00</formatCode>
                <ptCount val="365"/>
                <pt idx="1">
                  <v>180.265257</v>
                </pt>
                <pt idx="2">
                  <v>192.0045689</v>
                </pt>
                <pt idx="3">
                  <v>198.522883</v>
                </pt>
                <pt idx="4">
                  <v>203.1374706</v>
                </pt>
                <pt idx="5">
                  <v>208.7162624</v>
                </pt>
                <pt idx="6">
                  <v>210.96758</v>
                </pt>
                <pt idx="7">
                  <v>210.8495585</v>
                </pt>
                <pt idx="8">
                  <v>210.4155501</v>
                </pt>
                <pt idx="9">
                  <v>209.8201622</v>
                </pt>
                <pt idx="10">
                  <v>208.912427</v>
                </pt>
                <pt idx="11">
                  <v>207.9005734</v>
                </pt>
                <pt idx="12">
                  <v>206.8634983</v>
                </pt>
                <pt idx="13">
                  <v>205.8119769</v>
                </pt>
                <pt idx="14">
                  <v>204.7655353</v>
                </pt>
                <pt idx="15">
                  <v>203.745635</v>
                </pt>
                <pt idx="16">
                  <v>202.762344</v>
                </pt>
                <pt idx="17">
                  <v>201.8216377</v>
                </pt>
                <pt idx="18">
                  <v>200.924338</v>
                </pt>
                <pt idx="19">
                  <v>200.0793792</v>
                </pt>
                <pt idx="20">
                  <v>199.3550381</v>
                </pt>
                <pt idx="21">
                  <v>200.4835579</v>
                </pt>
                <pt idx="22">
                  <v>210.1712767</v>
                </pt>
                <pt idx="23">
                  <v>219.3970764</v>
                </pt>
                <pt idx="24">
                  <v>220.7909002</v>
                </pt>
                <pt idx="25">
                  <v>219.287301</v>
                </pt>
                <pt idx="26">
                  <v>217.3400675</v>
                </pt>
                <pt idx="27">
                  <v>215.3661308</v>
                </pt>
                <pt idx="28">
                  <v>213.5329629</v>
                </pt>
                <pt idx="29">
                  <v>211.8396265</v>
                </pt>
                <pt idx="30">
                  <v>210.2975447</v>
                </pt>
                <pt idx="31">
                  <v>209.0632678</v>
                </pt>
                <pt idx="32">
                  <v>208.0709518</v>
                </pt>
                <pt idx="33">
                  <v>207.0087391</v>
                </pt>
                <pt idx="34">
                  <v>209.9985304</v>
                </pt>
                <pt idx="35">
                  <v>213.1447797</v>
                </pt>
                <pt idx="36">
                  <v>212.9874129</v>
                </pt>
                <pt idx="37">
                  <v>212.0418893</v>
                </pt>
                <pt idx="38">
                  <v>217.9747409</v>
                </pt>
                <pt idx="39">
                  <v>220.3588565</v>
                </pt>
                <pt idx="40">
                  <v>219.6111222</v>
                </pt>
                <pt idx="41">
                  <v>223.0545138</v>
                </pt>
                <pt idx="42">
                  <v>223.7904941</v>
                </pt>
                <pt idx="43">
                  <v>221.8450389</v>
                </pt>
                <pt idx="44">
                  <v>219.5989662</v>
                </pt>
                <pt idx="45">
                  <v>217.4165971</v>
                </pt>
                <pt idx="46">
                  <v>215.3730428</v>
                </pt>
                <pt idx="47">
                  <v>213.4858005</v>
                </pt>
                <pt idx="48">
                  <v>211.7486918</v>
                </pt>
                <pt idx="49">
                  <v>210.1553863</v>
                </pt>
                <pt idx="50">
                  <v>208.6893204</v>
                </pt>
                <pt idx="51">
                  <v>207.3287237</v>
                </pt>
                <pt idx="52">
                  <v>206.0610521</v>
                </pt>
                <pt idx="53">
                  <v>204.8762093</v>
                </pt>
                <pt idx="54">
                  <v>203.7656247</v>
                </pt>
                <pt idx="55">
                  <v>202.7214292</v>
                </pt>
                <pt idx="56">
                  <v>201.7367737</v>
                </pt>
                <pt idx="57">
                  <v>200.8056597</v>
                </pt>
                <pt idx="58">
                  <v>199.922877</v>
                </pt>
                <pt idx="59">
                  <v>199.083916</v>
                </pt>
                <pt idx="60">
                  <v>198.284857</v>
                </pt>
                <pt idx="61">
                  <v>197.522274</v>
                </pt>
                <pt idx="62">
                  <v>196.7931566</v>
                </pt>
                <pt idx="63">
                  <v>196.0948452</v>
                </pt>
                <pt idx="64">
                  <v>195.4249797</v>
                </pt>
                <pt idx="65">
                  <v>194.7814565</v>
                </pt>
                <pt idx="66">
                  <v>194.1623923</v>
                </pt>
                <pt idx="67">
                  <v>193.5660956</v>
                </pt>
                <pt idx="68">
                  <v>192.991041</v>
                </pt>
                <pt idx="69">
                  <v>192.4358486</v>
                </pt>
                <pt idx="70">
                  <v>191.8992664</v>
                </pt>
                <pt idx="71">
                  <v>191.380155</v>
                </pt>
                <pt idx="72">
                  <v>190.8774742</v>
                </pt>
                <pt idx="73">
                  <v>190.3902728</v>
                </pt>
                <pt idx="74">
                  <v>189.9176778</v>
                </pt>
                <pt idx="75">
                  <v>189.4588871</v>
                </pt>
                <pt idx="76">
                  <v>189.0131614</v>
                </pt>
                <pt idx="77">
                  <v>188.5798181</v>
                </pt>
                <pt idx="78">
                  <v>188.1582258</v>
                </pt>
                <pt idx="79">
                  <v>187.7477993</v>
                </pt>
                <pt idx="80">
                  <v>187.347995</v>
                </pt>
                <pt idx="81">
                  <v>186.9583077</v>
                </pt>
                <pt idx="82">
                  <v>186.5782663</v>
                </pt>
                <pt idx="83">
                  <v>186.2074314</v>
                </pt>
                <pt idx="84">
                  <v>185.8453924</v>
                </pt>
                <pt idx="85">
                  <v>185.4917651</v>
                </pt>
                <pt idx="86">
                  <v>185.1461891</v>
                </pt>
                <pt idx="87">
                  <v>184.8083268</v>
                </pt>
                <pt idx="88">
                  <v>184.4778604</v>
                </pt>
                <pt idx="89">
                  <v>184.1544913</v>
                </pt>
                <pt idx="90">
                  <v>183.8379382</v>
                </pt>
                <pt idx="91">
                  <v>183.527936</v>
                </pt>
                <pt idx="92">
                  <v>40.71649646</v>
                </pt>
                <pt idx="93">
                  <v>40.16244419</v>
                </pt>
                <pt idx="94">
                  <v>40.82276143</v>
                </pt>
                <pt idx="95">
                  <v>41.53000726</v>
                </pt>
                <pt idx="96">
                  <v>42.2591586</v>
                </pt>
                <pt idx="97">
                  <v>43.16644989</v>
                </pt>
                <pt idx="98">
                  <v>43.92275742</v>
                </pt>
                <pt idx="99">
                  <v>44.86501353</v>
                </pt>
                <pt idx="100">
                  <v>45.86846661</v>
                </pt>
                <pt idx="101">
                  <v>47.00714791</v>
                </pt>
                <pt idx="102">
                  <v>48.15652453</v>
                </pt>
                <pt idx="103">
                  <v>49.07908529</v>
                </pt>
                <pt idx="104">
                  <v>50.12949884</v>
                </pt>
                <pt idx="105">
                  <v>51.07663792</v>
                </pt>
                <pt idx="106">
                  <v>51.96817081</v>
                </pt>
                <pt idx="107">
                  <v>52.83146963</v>
                </pt>
                <pt idx="108">
                  <v>53.71716916</v>
                </pt>
                <pt idx="109">
                  <v>54.56770974</v>
                </pt>
                <pt idx="110">
                  <v>55.33920294</v>
                </pt>
                <pt idx="111">
                  <v>56.3283837</v>
                </pt>
                <pt idx="112">
                  <v>57.14699175</v>
                </pt>
                <pt idx="113">
                  <v>57.92627319</v>
                </pt>
                <pt idx="114">
                  <v>58.65134682</v>
                </pt>
                <pt idx="115">
                  <v>59.34911401</v>
                </pt>
                <pt idx="116">
                  <v>60.43753424</v>
                </pt>
                <pt idx="117">
                  <v>61.51727698</v>
                </pt>
                <pt idx="118">
                  <v>62.64250329</v>
                </pt>
                <pt idx="119">
                  <v>63.80690691</v>
                </pt>
                <pt idx="120">
                  <v>64.83833821</v>
                </pt>
                <pt idx="121">
                  <v>66.03923807</v>
                </pt>
                <pt idx="122">
                  <v>67.26763511</v>
                </pt>
                <pt idx="123">
                  <v>68.16147712</v>
                </pt>
                <pt idx="124">
                  <v>68.90480479999999</v>
                </pt>
                <pt idx="125">
                  <v>69.92121831999999</v>
                </pt>
                <pt idx="126">
                  <v>70.60532616</v>
                </pt>
                <pt idx="127">
                  <v>70.87967789</v>
                </pt>
                <pt idx="128">
                  <v>71.30063524000001</v>
                </pt>
                <pt idx="129">
                  <v>71.64595654999999</v>
                </pt>
                <pt idx="130">
                  <v>71.99385307</v>
                </pt>
                <pt idx="131">
                  <v>72.97624688000001</v>
                </pt>
                <pt idx="132">
                  <v>73.17691537</v>
                </pt>
                <pt idx="133">
                  <v>73.11739281</v>
                </pt>
                <pt idx="134">
                  <v>73.28253361</v>
                </pt>
                <pt idx="135">
                  <v>73.57681301</v>
                </pt>
                <pt idx="136">
                  <v>141.6877563</v>
                </pt>
                <pt idx="137">
                  <v>125.695963</v>
                </pt>
                <pt idx="138">
                  <v>121.3793381</v>
                </pt>
                <pt idx="139">
                  <v>119.1124424</v>
                </pt>
                <pt idx="140">
                  <v>117.2155247</v>
                </pt>
                <pt idx="141">
                  <v>115.8168521</v>
                </pt>
                <pt idx="142">
                  <v>115.2988384</v>
                </pt>
                <pt idx="143">
                  <v>113.7220664</v>
                </pt>
                <pt idx="144">
                  <v>117.5815395</v>
                </pt>
                <pt idx="145">
                  <v>120.4423436</v>
                </pt>
                <pt idx="146">
                  <v>119.4092322</v>
                </pt>
                <pt idx="147">
                  <v>117.8300377</v>
                </pt>
                <pt idx="148">
                  <v>115.8266919</v>
                </pt>
                <pt idx="149">
                  <v>113.681063</v>
                </pt>
                <pt idx="150">
                  <v>111.1808707</v>
                </pt>
                <pt idx="151">
                  <v>109.0814567</v>
                </pt>
                <pt idx="152">
                  <v>106.4654771</v>
                </pt>
                <pt idx="153">
                  <v>104.312195</v>
                </pt>
                <pt idx="154">
                  <v>184.5960515</v>
                </pt>
                <pt idx="155">
                  <v>163.1340543</v>
                </pt>
                <pt idx="156">
                  <v>156.9742297</v>
                </pt>
                <pt idx="157">
                  <v>152.4941306</v>
                </pt>
                <pt idx="158">
                  <v>150.3167736</v>
                </pt>
                <pt idx="159">
                  <v>147.8097288</v>
                </pt>
                <pt idx="160">
                  <v>144.1084889</v>
                </pt>
                <pt idx="161">
                  <v>140.4501154</v>
                </pt>
                <pt idx="162">
                  <v>136.5910011</v>
                </pt>
                <pt idx="163">
                  <v>132.398097</v>
                </pt>
                <pt idx="164">
                  <v>127.0533011</v>
                </pt>
                <pt idx="165">
                  <v>120.607133</v>
                </pt>
                <pt idx="166">
                  <v>212.882685</v>
                </pt>
                <pt idx="167">
                  <v>184.6169593</v>
                </pt>
                <pt idx="168">
                  <v>174.0993725</v>
                </pt>
                <pt idx="169">
                  <v>166.097174</v>
                </pt>
                <pt idx="170">
                  <v>159.8768133</v>
                </pt>
                <pt idx="171">
                  <v>155.0488775</v>
                </pt>
                <pt idx="172">
                  <v>148.9284954</v>
                </pt>
                <pt idx="173">
                  <v>142.6438355</v>
                </pt>
                <pt idx="174">
                  <v>137.2328172</v>
                </pt>
                <pt idx="175">
                  <v>131.7339811</v>
                </pt>
                <pt idx="176">
                  <v>125.4847868</v>
                </pt>
                <pt idx="177">
                  <v>119.6482381</v>
                </pt>
                <pt idx="178">
                  <v>213.0021527</v>
                </pt>
                <pt idx="179">
                  <v>183.7437065</v>
                </pt>
                <pt idx="180">
                  <v>172.7073438</v>
                </pt>
                <pt idx="181">
                  <v>165.0369837</v>
                </pt>
                <pt idx="182">
                  <v>157.5660963</v>
                </pt>
                <pt idx="183">
                  <v>151.0296792</v>
                </pt>
                <pt idx="184">
                  <v>145.9714947</v>
                </pt>
                <pt idx="185">
                  <v>143.3050089</v>
                </pt>
                <pt idx="186">
                  <v>138.0965205</v>
                </pt>
                <pt idx="187">
                  <v>132.2304177</v>
                </pt>
                <pt idx="188">
                  <v>126.4660525</v>
                </pt>
                <pt idx="189">
                  <v>134.8737865</v>
                </pt>
                <pt idx="190">
                  <v>134.4290733</v>
                </pt>
                <pt idx="191">
                  <v>129.9970973</v>
                </pt>
                <pt idx="192">
                  <v>124.5153882</v>
                </pt>
                <pt idx="193">
                  <v>119.5069561</v>
                </pt>
                <pt idx="194">
                  <v>210.780382</v>
                </pt>
                <pt idx="195">
                  <v>184.2345613</v>
                </pt>
                <pt idx="196">
                  <v>175.1505715</v>
                </pt>
                <pt idx="197">
                  <v>171.2511474</v>
                </pt>
                <pt idx="198">
                  <v>167.9056368</v>
                </pt>
                <pt idx="199">
                  <v>162.9911361</v>
                </pt>
                <pt idx="200">
                  <v>156.5325585</v>
                </pt>
                <pt idx="201">
                  <v>150.2202565</v>
                </pt>
                <pt idx="202">
                  <v>144.3908706</v>
                </pt>
                <pt idx="203">
                  <v>138.4787627</v>
                </pt>
                <pt idx="204">
                  <v>133.0824443</v>
                </pt>
                <pt idx="205">
                  <v>127.8415891</v>
                </pt>
                <pt idx="206">
                  <v>122.9842368</v>
                </pt>
                <pt idx="207">
                  <v>150.573945</v>
                </pt>
                <pt idx="208">
                  <v>154.7858603</v>
                </pt>
                <pt idx="209">
                  <v>152.1116044</v>
                </pt>
                <pt idx="210">
                  <v>147.1485528</v>
                </pt>
                <pt idx="211">
                  <v>142.6996844</v>
                </pt>
                <pt idx="212">
                  <v>138.0853053</v>
                </pt>
                <pt idx="213">
                  <v>134.5126544</v>
                </pt>
                <pt idx="214">
                  <v>130.0424709</v>
                </pt>
                <pt idx="215">
                  <v>125.9735512</v>
                </pt>
                <pt idx="216">
                  <v>124.3061004</v>
                </pt>
                <pt idx="217">
                  <v>119.7901616</v>
                </pt>
                <pt idx="218">
                  <v>213.0791898</v>
                </pt>
                <pt idx="219">
                  <v>185.6602043</v>
                </pt>
                <pt idx="220">
                  <v>176.435427</v>
                </pt>
                <pt idx="221">
                  <v>170.1826277</v>
                </pt>
                <pt idx="222">
                  <v>165.4309143</v>
                </pt>
                <pt idx="223">
                  <v>161.1790173</v>
                </pt>
                <pt idx="224">
                  <v>157.2166593</v>
                </pt>
                <pt idx="225">
                  <v>153.7228798</v>
                </pt>
                <pt idx="226">
                  <v>150.6144814</v>
                </pt>
                <pt idx="227">
                  <v>147.6723514</v>
                </pt>
                <pt idx="228">
                  <v>145.3018222</v>
                </pt>
                <pt idx="229">
                  <v>143.8448584</v>
                </pt>
                <pt idx="230">
                  <v>141.9710859</v>
                </pt>
                <pt idx="231">
                  <v>140.4054264</v>
                </pt>
                <pt idx="232">
                  <v>139.0078211</v>
                </pt>
                <pt idx="233">
                  <v>137.784351</v>
                </pt>
                <pt idx="234">
                  <v>136.7997999</v>
                </pt>
                <pt idx="235">
                  <v>36.27638898</v>
                </pt>
                <pt idx="236">
                  <v>36.2074819</v>
                </pt>
                <pt idx="237">
                  <v>36.14024707</v>
                </pt>
                <pt idx="238">
                  <v>36.07460928</v>
                </pt>
                <pt idx="239">
                  <v>36.01049868</v>
                </pt>
                <pt idx="240">
                  <v>35.94784929</v>
                </pt>
                <pt idx="241">
                  <v>35.88659972</v>
                </pt>
                <pt idx="242">
                  <v>35.82669227</v>
                </pt>
                <pt idx="243">
                  <v>35.7680727</v>
                </pt>
                <pt idx="244">
                  <v>35.71068991</v>
                </pt>
                <pt idx="245">
                  <v>35.65449572</v>
                </pt>
                <pt idx="246">
                  <v>35.59944468</v>
                </pt>
                <pt idx="247">
                  <v>35.54549382</v>
                </pt>
                <pt idx="248">
                  <v>35.49260251</v>
                </pt>
                <pt idx="249">
                  <v>35.44073229</v>
                </pt>
                <pt idx="250">
                  <v>35.38984672</v>
                </pt>
                <pt idx="251">
                  <v>35.33991121</v>
                </pt>
                <pt idx="252">
                  <v>35.29089296</v>
                </pt>
                <pt idx="253">
                  <v>35.2427608</v>
                </pt>
                <pt idx="254">
                  <v>35.19548506</v>
                </pt>
                <pt idx="255">
                  <v>35.14903754</v>
                </pt>
                <pt idx="256">
                  <v>35.10339137</v>
                </pt>
                <pt idx="257">
                  <v>35.05852095</v>
                </pt>
                <pt idx="258">
                  <v>35.01440184</v>
                </pt>
                <pt idx="259">
                  <v>34.99294963</v>
                </pt>
                <pt idx="260">
                  <v>35.08311626</v>
                </pt>
                <pt idx="261">
                  <v>35.05717273</v>
                </pt>
                <pt idx="262">
                  <v>35.01751573</v>
                </pt>
                <pt idx="263">
                  <v>35.15618987</v>
                </pt>
                <pt idx="264">
                  <v>35.61385778</v>
                </pt>
                <pt idx="265">
                  <v>35.64866758</v>
                </pt>
                <pt idx="266">
                  <v>35.60600856</v>
                </pt>
                <pt idx="267">
                  <v>35.55300839</v>
                </pt>
                <pt idx="268">
                  <v>35.50003391</v>
                </pt>
                <pt idx="269">
                  <v>36.79126813</v>
                </pt>
                <pt idx="270">
                  <v>39.98372045</v>
                </pt>
                <pt idx="271">
                  <v>40.33927878</v>
                </pt>
                <pt idx="272">
                  <v>40.1954796</v>
                </pt>
                <pt idx="273">
                  <v>39.9643273</v>
                </pt>
                <pt idx="274">
                  <v>39.73546844</v>
                </pt>
                <pt idx="275">
                  <v>39.52050219</v>
                </pt>
                <pt idx="276">
                  <v>39.31917597</v>
                </pt>
                <pt idx="277">
                  <v>51.66200246</v>
                </pt>
                <pt idx="278">
                  <v>52.48833905</v>
                </pt>
                <pt idx="279">
                  <v>52.37006724</v>
                </pt>
                <pt idx="280">
                  <v>50.41213864</v>
                </pt>
                <pt idx="281">
                  <v>48.21866498</v>
                </pt>
                <pt idx="282">
                  <v>46.60063866</v>
                </pt>
                <pt idx="283">
                  <v>45.37755179</v>
                </pt>
                <pt idx="284">
                  <v>44.42240962</v>
                </pt>
                <pt idx="285">
                  <v>43.65172648</v>
                </pt>
                <pt idx="286">
                  <v>43.01310583</v>
                </pt>
                <pt idx="287">
                  <v>42.47075596</v>
                </pt>
                <pt idx="288">
                  <v>42.00082863</v>
                </pt>
                <pt idx="289">
                  <v>41.58708017</v>
                </pt>
                <pt idx="290">
                  <v>41.21808056</v>
                </pt>
                <pt idx="291">
                  <v>40.88551457</v>
                </pt>
                <pt idx="292">
                  <v>40.58315433</v>
                </pt>
                <pt idx="293">
                  <v>40.30621985</v>
                </pt>
                <pt idx="294">
                  <v>40.05096572</v>
                </pt>
                <pt idx="295">
                  <v>39.81440471</v>
                </pt>
                <pt idx="296">
                  <v>39.59411699</v>
                </pt>
                <pt idx="297">
                  <v>39.38811704</v>
                </pt>
                <pt idx="298">
                  <v>39.19475581</v>
                </pt>
                <pt idx="299">
                  <v>39.01264945</v>
                </pt>
                <pt idx="300">
                  <v>38.84062578</v>
                </pt>
                <pt idx="301">
                  <v>38.67768357</v>
                </pt>
                <pt idx="302">
                  <v>38.52296111</v>
                </pt>
                <pt idx="303">
                  <v>38.37571167</v>
                </pt>
                <pt idx="304">
                  <v>38.23528407</v>
                </pt>
                <pt idx="305">
                  <v>44.79078286</v>
                </pt>
                <pt idx="306">
                  <v>50.51332063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clustered"/>
        <varyColors val="0"/>
        <ser>
          <idx val="3"/>
          <order val="3"/>
          <tx>
            <strRef>
              <f>'Rootzone balance'!$C$1</f>
              <strCache>
                <ptCount val="1"/>
                <pt idx="0">
                  <v>Rainfall [mm]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12700">
              <a:solidFill>
                <a:schemeClr val="accent1"/>
              </a:solidFill>
              <a:prstDash val="solid"/>
            </a:ln>
          </spPr>
          <invertIfNegative val="0"/>
          <cat>
            <numRef>
              <f>'Rootzone balance'!$B$2:$B$366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'Rootzone balance'!$C$2:$C$366</f>
              <numCache>
                <formatCode>General</formatCode>
                <ptCount val="365"/>
                <pt idx="0">
                  <v>16.78306093</v>
                </pt>
                <pt idx="1">
                  <v>20.88713147</v>
                </pt>
                <pt idx="2">
                  <v>4.516953496</v>
                </pt>
                <pt idx="3">
                  <v>6.345044908</v>
                </pt>
                <pt idx="4">
                  <v>8.610897692</v>
                </pt>
                <pt idx="5">
                  <v>0.768219107</v>
                </pt>
                <pt idx="6">
                  <v>0</v>
                </pt>
                <pt idx="7">
                  <v>1.818294062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0.0196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1.04334672</v>
                </pt>
                <pt idx="19">
                  <v>3.181116719</v>
                </pt>
                <pt idx="20">
                  <v>11.35560072</v>
                </pt>
                <pt idx="21">
                  <v>22.29129709</v>
                </pt>
                <pt idx="22">
                  <v>14.61222636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1.767741484</v>
                </pt>
                <pt idx="30">
                  <v>4.545410555</v>
                </pt>
                <pt idx="31">
                  <v>0</v>
                </pt>
                <pt idx="32">
                  <v>0</v>
                </pt>
                <pt idx="33">
                  <v>22.31354299</v>
                </pt>
                <pt idx="34">
                  <v>1.204897362</v>
                </pt>
                <pt idx="35">
                  <v>0.09089999999999999</v>
                </pt>
                <pt idx="36">
                  <v>0</v>
                </pt>
                <pt idx="37">
                  <v>33.06222653</v>
                </pt>
                <pt idx="38">
                  <v>0.29090438</v>
                </pt>
                <pt idx="39">
                  <v>2.793836587</v>
                </pt>
                <pt idx="40">
                  <v>14.38476088</v>
                </pt>
                <pt idx="41">
                  <v>0.352617198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1.312970235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1.163617519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1.97963828</v>
                </pt>
                <pt idx="100">
                  <v>7.378620707</v>
                </pt>
                <pt idx="101">
                  <v>7.043577812</v>
                </pt>
                <pt idx="102">
                  <v>1.878903865</v>
                </pt>
                <pt idx="103">
                  <v>0</v>
                </pt>
                <pt idx="104">
                  <v>0</v>
                </pt>
                <pt idx="105">
                  <v>0.727317625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0.258348514</v>
                </pt>
                <pt idx="117">
                  <v>0.5151833179999999</v>
                </pt>
                <pt idx="118">
                  <v>6.84972576</v>
                </pt>
                <pt idx="119">
                  <v>3.210243875</v>
                </pt>
                <pt idx="120">
                  <v>14.58369928</v>
                </pt>
                <pt idx="121">
                  <v>0.424268615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0.9746179109999999</v>
                </pt>
                <pt idx="130">
                  <v>5.964405779</v>
                </pt>
                <pt idx="131">
                  <v>5.411489529</v>
                </pt>
                <pt idx="132">
                  <v>0</v>
                </pt>
                <pt idx="133">
                  <v>3.373414887</v>
                </pt>
                <pt idx="134">
                  <v>0</v>
                </pt>
                <pt idx="135">
                  <v>5.084854339</v>
                </pt>
                <pt idx="136">
                  <v>1.390551032</v>
                </pt>
                <pt idx="137">
                  <v>2.63676875</v>
                </pt>
                <pt idx="138">
                  <v>0</v>
                </pt>
                <pt idx="139">
                  <v>0</v>
                </pt>
                <pt idx="140">
                  <v>0.0756</v>
                </pt>
                <pt idx="141">
                  <v>1.681445315</v>
                </pt>
                <pt idx="142">
                  <v>0</v>
                </pt>
                <pt idx="143">
                  <v>29.83870499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0.0588</v>
                </pt>
                <pt idx="156">
                  <v>7.300746949</v>
                </pt>
                <pt idx="157">
                  <v>0.0252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3.798615199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6.307786675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3.27220817</v>
                </pt>
                <pt idx="185">
                  <v>0</v>
                </pt>
                <pt idx="186">
                  <v>0</v>
                </pt>
                <pt idx="187">
                  <v>7.984172002</v>
                </pt>
                <pt idx="188">
                  <v>26.62565781</v>
                </pt>
                <pt idx="189">
                  <v>0</v>
                </pt>
                <pt idx="190">
                  <v>0.819959399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0.390927813</v>
                </pt>
                <pt idx="195">
                  <v>0</v>
                </pt>
                <pt idx="196">
                  <v>13.33774753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61.04768352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1.970787837</v>
                </pt>
                <pt idx="213">
                  <v>0</v>
                </pt>
                <pt idx="214">
                  <v>0</v>
                </pt>
                <pt idx="215">
                  <v>5.577375586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25.82138758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0.681412537</v>
                </pt>
                <pt idx="235">
                  <v>0.0196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4.540804357</v>
                </pt>
                <pt idx="240">
                  <v>0</v>
                </pt>
                <pt idx="241">
                  <v>0</v>
                </pt>
                <pt idx="242">
                  <v>0.369703635</v>
                </pt>
                <pt idx="243">
                  <v>0.0196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21.82979029</v>
                </pt>
                <pt idx="259">
                  <v>0.108123062</v>
                </pt>
                <pt idx="260">
                  <v>0.355196443</v>
                </pt>
                <pt idx="261">
                  <v>3.025973271</v>
                </pt>
                <pt idx="262">
                  <v>13.69370695</v>
                </pt>
                <pt idx="263">
                  <v>0.11374693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24.20254817</v>
                </pt>
                <pt idx="269">
                  <v>0.0531</v>
                </pt>
                <pt idx="270">
                  <v>0.0303</v>
                </pt>
                <pt idx="271">
                  <v>0.0392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3.225110588</v>
                </pt>
                <pt idx="276">
                  <v>51.38018507</v>
                </pt>
                <pt idx="277">
                  <v>2.652400298</v>
                </pt>
                <pt idx="278">
                  <v>10.68860048</v>
                </pt>
                <pt idx="279">
                  <v>0</v>
                </pt>
                <pt idx="280">
                  <v>0.0252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0.0196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0.0196</v>
                </pt>
                <pt idx="293">
                  <v>2.222400885</v>
                </pt>
                <pt idx="294">
                  <v>0.0475</v>
                </pt>
                <pt idx="295">
                  <v>0</v>
                </pt>
                <pt idx="296">
                  <v>0.0252</v>
                </pt>
                <pt idx="297">
                  <v>0</v>
                </pt>
                <pt idx="298">
                  <v>0</v>
                </pt>
                <pt idx="299">
                  <v>0.302564554</v>
                </pt>
                <pt idx="300">
                  <v>0</v>
                </pt>
                <pt idx="301">
                  <v>0</v>
                </pt>
                <pt idx="302">
                  <v>1.455518614</v>
                </pt>
                <pt idx="303">
                  <v>0.0475</v>
                </pt>
                <pt idx="304">
                  <v>39.75071036</v>
                </pt>
                <pt idx="305">
                  <v>2.975461376</v>
                </pt>
                <pt idx="306">
                  <v>23.64618842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</ser>
        <ser>
          <idx val="4"/>
          <order val="4"/>
          <tx>
            <strRef>
              <f>'Rootzone balance'!$D$1</f>
              <strCache>
                <ptCount val="1"/>
                <pt idx="0">
                  <v>Irrigation [mm]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 w="12700">
              <a:solidFill>
                <a:schemeClr val="accent2"/>
              </a:solidFill>
              <a:prstDash val="solid"/>
            </a:ln>
          </spPr>
          <invertIfNegative val="0"/>
          <cat>
            <numRef>
              <f>'Rootzone balance'!$B$2:$B$366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'Rootzone balance'!$D$2:$D$366</f>
              <numCache>
                <formatCode>General</formatCode>
                <ptCount val="36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198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198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198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198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198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198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471167632"/>
        <axId val="1471520128"/>
      </barChart>
      <lineChart>
        <grouping val="standard"/>
        <varyColors val="0"/>
        <ser>
          <idx val="5"/>
          <order val="5"/>
          <tx>
            <strRef>
              <f>'Rootzone balance'!$K$1</f>
              <strCache>
                <ptCount val="1"/>
                <pt idx="0">
                  <v>Trigger threshold [mm]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'Rootzone balance'!$B$2:$B$366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'Rootzone balance'!$K$2:$K$366</f>
              <numCache>
                <formatCode>0.00</formatCode>
                <ptCount val="365"/>
                <pt idx="0">
                  <v>130.2081843</v>
                </pt>
                <pt idx="1">
                  <v>130.9705122</v>
                </pt>
                <pt idx="2">
                  <v>131.0285378</v>
                </pt>
                <pt idx="3">
                  <v>130.9039379</v>
                </pt>
                <pt idx="4">
                  <v>130.9633034</v>
                </pt>
                <pt idx="5">
                  <v>131.2754291</v>
                </pt>
                <pt idx="6">
                  <v>131.0995461</v>
                </pt>
                <pt idx="7">
                  <v>131.3168061</v>
                </pt>
                <pt idx="8">
                  <v>130.7023683</v>
                </pt>
                <pt idx="9">
                  <v>131.2635851</v>
                </pt>
                <pt idx="10">
                  <v>131.4526242</v>
                </pt>
                <pt idx="11">
                  <v>130.904503</v>
                </pt>
                <pt idx="12">
                  <v>131.2369814</v>
                </pt>
                <pt idx="13">
                  <v>132.1189726</v>
                </pt>
                <pt idx="14">
                  <v>131.8387204</v>
                </pt>
                <pt idx="15">
                  <v>131.9100196</v>
                </pt>
                <pt idx="16">
                  <v>131.4314193</v>
                </pt>
                <pt idx="17">
                  <v>131.075754</v>
                </pt>
                <pt idx="18">
                  <v>130.8062278</v>
                </pt>
                <pt idx="19">
                  <v>130.9850611</v>
                </pt>
                <pt idx="20">
                  <v>131.1634504</v>
                </pt>
                <pt idx="21">
                  <v>131.307047</v>
                </pt>
                <pt idx="22">
                  <v>131.2908736</v>
                </pt>
                <pt idx="23">
                  <v>131.9236083</v>
                </pt>
                <pt idx="24">
                  <v>133.0787351</v>
                </pt>
                <pt idx="25">
                  <v>132.7769224</v>
                </pt>
                <pt idx="26">
                  <v>135.5989151</v>
                </pt>
                <pt idx="27">
                  <v>132.4635548</v>
                </pt>
                <pt idx="28">
                  <v>131.8448486</v>
                </pt>
                <pt idx="29">
                  <v>131.8789414</v>
                </pt>
                <pt idx="30">
                  <v>132.5861452</v>
                </pt>
                <pt idx="31">
                  <v>132.4788145</v>
                </pt>
                <pt idx="32">
                  <v>132.0807111</v>
                </pt>
                <pt idx="33">
                  <v>131.4152821</v>
                </pt>
                <pt idx="34">
                  <v>131.4836404</v>
                </pt>
                <pt idx="35">
                  <v>131.746957</v>
                </pt>
                <pt idx="36">
                  <v>131.784758</v>
                </pt>
                <pt idx="37">
                  <v>131.7745278</v>
                </pt>
                <pt idx="38">
                  <v>131.5657484</v>
                </pt>
                <pt idx="39">
                  <v>134.1642315</v>
                </pt>
                <pt idx="40">
                  <v>132.3507652</v>
                </pt>
                <pt idx="41">
                  <v>131.6018455</v>
                </pt>
                <pt idx="42">
                  <v>133.5750676</v>
                </pt>
                <pt idx="43">
                  <v>133.684002</v>
                </pt>
                <pt idx="44">
                  <v>133.080151</v>
                </pt>
                <pt idx="45">
                  <v>133.4477041</v>
                </pt>
                <pt idx="46">
                  <v>133.2453938</v>
                </pt>
                <pt idx="47">
                  <v>133.3717818</v>
                </pt>
                <pt idx="48">
                  <v>133.6616037</v>
                </pt>
                <pt idx="49">
                  <v>133.2180952</v>
                </pt>
                <pt idx="50">
                  <v>132.309338</v>
                </pt>
                <pt idx="51">
                  <v>132.5336958</v>
                </pt>
                <pt idx="52">
                  <v>133.4938509</v>
                </pt>
                <pt idx="53">
                  <v>133.0824147</v>
                </pt>
                <pt idx="54">
                  <v>134.0910122</v>
                </pt>
                <pt idx="55">
                  <v>135.4395336</v>
                </pt>
                <pt idx="56">
                  <v>135.5707256</v>
                </pt>
                <pt idx="57">
                  <v>135.8403778</v>
                </pt>
                <pt idx="58">
                  <v>136.562709</v>
                </pt>
                <pt idx="59">
                  <v>136.0789655</v>
                </pt>
                <pt idx="60">
                  <v>136.0023329</v>
                </pt>
                <pt idx="61">
                  <v>135.8954152</v>
                </pt>
                <pt idx="62">
                  <v>134.7023997</v>
                </pt>
                <pt idx="63">
                  <v>134.9257324</v>
                </pt>
                <pt idx="64">
                  <v>136.3706386</v>
                </pt>
                <pt idx="65">
                  <v>134.7564364</v>
                </pt>
                <pt idx="66">
                  <v>135.3908877</v>
                </pt>
                <pt idx="67">
                  <v>135.6373421</v>
                </pt>
                <pt idx="68">
                  <v>136.1564461</v>
                </pt>
                <pt idx="69">
                  <v>136.4627306</v>
                </pt>
                <pt idx="70">
                  <v>133.9307662</v>
                </pt>
                <pt idx="71">
                  <v>136.3088667</v>
                </pt>
                <pt idx="72">
                  <v>136.9909019</v>
                </pt>
                <pt idx="73">
                  <v>141.2189634</v>
                </pt>
                <pt idx="74">
                  <v>140.7535582</v>
                </pt>
                <pt idx="75">
                  <v>146.2517286</v>
                </pt>
                <pt idx="76">
                  <v>141.2548892</v>
                </pt>
                <pt idx="77">
                  <v>136.784698</v>
                </pt>
                <pt idx="78">
                  <v>136.8305993</v>
                </pt>
                <pt idx="79">
                  <v>137.3301526</v>
                </pt>
                <pt idx="80">
                  <v>136.7238088</v>
                </pt>
                <pt idx="81">
                  <v>138.4037422</v>
                </pt>
                <pt idx="82">
                  <v>139.1055497</v>
                </pt>
                <pt idx="83">
                  <v>138.6699964</v>
                </pt>
                <pt idx="84">
                  <v>138.9745394</v>
                </pt>
                <pt idx="85">
                  <v>138.6781098</v>
                </pt>
                <pt idx="86">
                  <v>135.6319588</v>
                </pt>
                <pt idx="87">
                  <v>138.7339787</v>
                </pt>
                <pt idx="88">
                  <v>139.9617324</v>
                </pt>
                <pt idx="89">
                  <v>141.0602966</v>
                </pt>
                <pt idx="90">
                  <v>141.5615734</v>
                </pt>
                <pt idx="91">
                  <v>143.1258605</v>
                </pt>
                <pt idx="92">
                  <v>32.18132827</v>
                </pt>
                <pt idx="93">
                  <v>31.59279226</v>
                </pt>
                <pt idx="94">
                  <v>32.39849541</v>
                </pt>
                <pt idx="95">
                  <v>33.48906945</v>
                </pt>
                <pt idx="96">
                  <v>34.69325794</v>
                </pt>
                <pt idx="97">
                  <v>36.26638396</v>
                </pt>
                <pt idx="98">
                  <v>37.13612152</v>
                </pt>
                <pt idx="99">
                  <v>37.15529183</v>
                </pt>
                <pt idx="100">
                  <v>37.90323072</v>
                </pt>
                <pt idx="101">
                  <v>38.12575959</v>
                </pt>
                <pt idx="102">
                  <v>39.12660824</v>
                </pt>
                <pt idx="103">
                  <v>41.77379707</v>
                </pt>
                <pt idx="104">
                  <v>43.54197097</v>
                </pt>
                <pt idx="105">
                  <v>43.93330253</v>
                </pt>
                <pt idx="106">
                  <v>45.46374584</v>
                </pt>
                <pt idx="107">
                  <v>46.74982027</v>
                </pt>
                <pt idx="108">
                  <v>47.7108912</v>
                </pt>
                <pt idx="109">
                  <v>49.11725141</v>
                </pt>
                <pt idx="110">
                  <v>50.91821305</v>
                </pt>
                <pt idx="111">
                  <v>52.01301971</v>
                </pt>
                <pt idx="112">
                  <v>52.84472306</v>
                </pt>
                <pt idx="113">
                  <v>54.32418291</v>
                </pt>
                <pt idx="114">
                  <v>55.98044267</v>
                </pt>
                <pt idx="115">
                  <v>57.37011793</v>
                </pt>
                <pt idx="116">
                  <v>54.9318925</v>
                </pt>
                <pt idx="117">
                  <v>56.014352</v>
                </pt>
                <pt idx="118">
                  <v>58.64078511</v>
                </pt>
                <pt idx="119">
                  <v>57.48742695</v>
                </pt>
                <pt idx="120">
                  <v>59.75420763</v>
                </pt>
                <pt idx="121">
                  <v>60.09547293</v>
                </pt>
                <pt idx="122">
                  <v>65.2248364</v>
                </pt>
                <pt idx="123">
                  <v>66.30536657</v>
                </pt>
                <pt idx="124">
                  <v>67.88953293</v>
                </pt>
                <pt idx="125">
                  <v>67.86759375</v>
                </pt>
                <pt idx="126">
                  <v>69.64437961</v>
                </pt>
                <pt idx="127">
                  <v>73.41448936</v>
                </pt>
                <pt idx="128">
                  <v>72.76123828999999</v>
                </pt>
                <pt idx="129">
                  <v>73.9015046</v>
                </pt>
                <pt idx="130">
                  <v>74.79277764</v>
                </pt>
                <pt idx="131">
                  <v>72.32973594000001</v>
                </pt>
                <pt idx="132">
                  <v>78.1922493</v>
                </pt>
                <pt idx="133">
                  <v>79.33961861</v>
                </pt>
                <pt idx="134">
                  <v>79.1539677</v>
                </pt>
                <pt idx="135">
                  <v>79.41799671</v>
                </pt>
                <pt idx="136">
                  <v>78.59705834</v>
                </pt>
                <pt idx="137">
                  <v>86.81873836</v>
                </pt>
                <pt idx="138">
                  <v>86.61010551</v>
                </pt>
                <pt idx="139">
                  <v>88.49351436000001</v>
                </pt>
                <pt idx="140">
                  <v>90.1067011</v>
                </pt>
                <pt idx="141">
                  <v>90.10620462</v>
                </pt>
                <pt idx="142">
                  <v>88.18575551000001</v>
                </pt>
                <pt idx="143">
                  <v>93.47046672</v>
                </pt>
                <pt idx="144">
                  <v>87.13955688</v>
                </pt>
                <pt idx="145">
                  <v>96.84888598000001</v>
                </pt>
                <pt idx="146">
                  <v>96.43567741</v>
                </pt>
                <pt idx="147">
                  <v>98.62506626</v>
                </pt>
                <pt idx="148">
                  <v>99.73992038</v>
                </pt>
                <pt idx="149">
                  <v>101.4332652</v>
                </pt>
                <pt idx="150">
                  <v>103.4870991</v>
                </pt>
                <pt idx="151">
                  <v>103.2700719</v>
                </pt>
                <pt idx="152">
                  <v>105.6791488</v>
                </pt>
                <pt idx="153">
                  <v>105.4667634</v>
                </pt>
                <pt idx="154">
                  <v>108.9932376</v>
                </pt>
                <pt idx="155">
                  <v>110.2318339</v>
                </pt>
                <pt idx="156">
                  <v>108.0249386</v>
                </pt>
                <pt idx="157">
                  <v>112.4885635</v>
                </pt>
                <pt idx="158">
                  <v>109.8932054</v>
                </pt>
                <pt idx="159">
                  <v>111.7716365</v>
                </pt>
                <pt idx="160">
                  <v>116.361659</v>
                </pt>
                <pt idx="161">
                  <v>117.9793412</v>
                </pt>
                <pt idx="162">
                  <v>119.4460158</v>
                </pt>
                <pt idx="163">
                  <v>121.4953305</v>
                </pt>
                <pt idx="164">
                  <v>125.6863603</v>
                </pt>
                <pt idx="165">
                  <v>123.857707</v>
                </pt>
                <pt idx="166">
                  <v>123.6059674</v>
                </pt>
                <pt idx="167">
                  <v>120.3113972</v>
                </pt>
                <pt idx="168">
                  <v>121.750413</v>
                </pt>
                <pt idx="169">
                  <v>123.3405794</v>
                </pt>
                <pt idx="170">
                  <v>121.4474584</v>
                </pt>
                <pt idx="171">
                  <v>118.8106645</v>
                </pt>
                <pt idx="172">
                  <v>122.4722045</v>
                </pt>
                <pt idx="173">
                  <v>123.1519803</v>
                </pt>
                <pt idx="174">
                  <v>121.4569706</v>
                </pt>
                <pt idx="175">
                  <v>122.2778372</v>
                </pt>
                <pt idx="176">
                  <v>124.1304798</v>
                </pt>
                <pt idx="177">
                  <v>122.6897945</v>
                </pt>
                <pt idx="178">
                  <v>122.4129587</v>
                </pt>
                <pt idx="179">
                  <v>123.802724</v>
                </pt>
                <pt idx="180">
                  <v>124.1036384</v>
                </pt>
                <pt idx="181">
                  <v>122.9895256</v>
                </pt>
                <pt idx="182">
                  <v>124.9541372</v>
                </pt>
                <pt idx="183">
                  <v>123.3173692</v>
                </pt>
                <pt idx="184">
                  <v>119.9547612</v>
                </pt>
                <pt idx="185">
                  <v>114.397974</v>
                </pt>
                <pt idx="186">
                  <v>120.775215</v>
                </pt>
                <pt idx="187">
                  <v>122.3613235</v>
                </pt>
                <pt idx="188">
                  <v>123.0903194</v>
                </pt>
                <pt idx="189">
                  <v>118.9604652</v>
                </pt>
                <pt idx="190">
                  <v>124.120221</v>
                </pt>
                <pt idx="191">
                  <v>122.663307</v>
                </pt>
                <pt idx="192">
                  <v>123.5849186</v>
                </pt>
                <pt idx="193">
                  <v>121.3854897</v>
                </pt>
                <pt idx="194">
                  <v>121.2355467</v>
                </pt>
                <pt idx="195">
                  <v>118.8964247</v>
                </pt>
                <pt idx="196">
                  <v>118.0984577</v>
                </pt>
                <pt idx="197">
                  <v>120.4842092</v>
                </pt>
                <pt idx="198">
                  <v>119.9718564</v>
                </pt>
                <pt idx="199">
                  <v>120.2487486</v>
                </pt>
                <pt idx="200">
                  <v>124.1170092</v>
                </pt>
                <pt idx="201">
                  <v>123.5354313</v>
                </pt>
                <pt idx="202">
                  <v>122.3113195</v>
                </pt>
                <pt idx="203">
                  <v>122.5622401</v>
                </pt>
                <pt idx="204">
                  <v>121.2310591</v>
                </pt>
                <pt idx="205">
                  <v>120.8796032</v>
                </pt>
                <pt idx="206">
                  <v>120.0374223</v>
                </pt>
                <pt idx="207">
                  <v>117.6554727</v>
                </pt>
                <pt idx="208">
                  <v>118.4209349</v>
                </pt>
                <pt idx="209">
                  <v>118.0549167</v>
                </pt>
                <pt idx="210">
                  <v>121.9073686</v>
                </pt>
                <pt idx="211">
                  <v>119.8693628</v>
                </pt>
                <pt idx="212">
                  <v>120.1178284</v>
                </pt>
                <pt idx="213">
                  <v>117.5122157</v>
                </pt>
                <pt idx="214">
                  <v>119.7324885</v>
                </pt>
                <pt idx="215">
                  <v>118.8581232</v>
                </pt>
                <pt idx="216">
                  <v>113.7394639</v>
                </pt>
                <pt idx="217">
                  <v>122.6461621</v>
                </pt>
                <pt idx="218">
                  <v>120.7274491</v>
                </pt>
                <pt idx="219">
                  <v>117.2999492</v>
                </pt>
                <pt idx="220">
                  <v>119.3179419</v>
                </pt>
                <pt idx="221">
                  <v>120.8518842</v>
                </pt>
                <pt idx="222">
                  <v>120.4537492</v>
                </pt>
                <pt idx="223">
                  <v>121.3466229</v>
                </pt>
                <pt idx="224">
                  <v>122.4350485</v>
                </pt>
                <pt idx="225">
                  <v>122.0587675</v>
                </pt>
                <pt idx="226">
                  <v>122.0218894</v>
                </pt>
                <pt idx="227">
                  <v>122.9779469</v>
                </pt>
                <pt idx="228">
                  <v>122.29588</v>
                </pt>
                <pt idx="229">
                  <v>122.2492998</v>
                </pt>
                <pt idx="230">
                  <v>122.083345</v>
                </pt>
                <pt idx="231">
                  <v>120.7304846</v>
                </pt>
                <pt idx="232">
                  <v>121.1732005</v>
                </pt>
                <pt idx="233">
                  <v>121.5869682</v>
                </pt>
                <pt idx="234">
                  <v>121.2697818</v>
                </pt>
                <pt idx="235">
                  <v>32.23781884</v>
                </pt>
                <pt idx="236">
                  <v>31.98081099</v>
                </pt>
                <pt idx="237">
                  <v>32.08932829</v>
                </pt>
                <pt idx="238">
                  <v>32.31398735</v>
                </pt>
                <pt idx="239">
                  <v>31.24979354</v>
                </pt>
                <pt idx="240">
                  <v>31.96783112</v>
                </pt>
                <pt idx="241">
                  <v>32.00063957</v>
                </pt>
                <pt idx="242">
                  <v>31.96751746</v>
                </pt>
                <pt idx="243">
                  <v>31.80146679</v>
                </pt>
                <pt idx="244">
                  <v>32.00951194</v>
                </pt>
                <pt idx="245">
                  <v>32.23784718</v>
                </pt>
                <pt idx="246">
                  <v>31.86920363</v>
                </pt>
                <pt idx="247">
                  <v>31.73256979</v>
                </pt>
                <pt idx="248">
                  <v>31.84081798</v>
                </pt>
                <pt idx="249">
                  <v>31.94158548</v>
                </pt>
                <pt idx="250">
                  <v>31.83069509</v>
                </pt>
                <pt idx="251">
                  <v>31.95319847</v>
                </pt>
                <pt idx="252">
                  <v>31.64995552</v>
                </pt>
                <pt idx="253">
                  <v>31.2871159</v>
                </pt>
                <pt idx="254">
                  <v>31.61438743</v>
                </pt>
                <pt idx="255">
                  <v>31.6188587</v>
                </pt>
                <pt idx="256">
                  <v>31.68423807</v>
                </pt>
                <pt idx="257">
                  <v>31.01148302</v>
                </pt>
                <pt idx="258">
                  <v>30.87095264</v>
                </pt>
                <pt idx="259">
                  <v>30.69082636</v>
                </pt>
                <pt idx="260">
                  <v>31.13741889</v>
                </pt>
                <pt idx="261">
                  <v>30.95742854</v>
                </pt>
                <pt idx="262">
                  <v>30.89526417</v>
                </pt>
                <pt idx="263">
                  <v>31.07221813</v>
                </pt>
                <pt idx="264">
                  <v>30.94443308</v>
                </pt>
                <pt idx="265">
                  <v>30.93693392</v>
                </pt>
                <pt idx="266">
                  <v>30.87968368</v>
                </pt>
                <pt idx="267">
                  <v>30.97172018</v>
                </pt>
                <pt idx="268">
                  <v>30.42961766</v>
                </pt>
                <pt idx="269">
                  <v>29.59506413</v>
                </pt>
                <pt idx="270">
                  <v>30.29773218</v>
                </pt>
                <pt idx="271">
                  <v>30.73613769</v>
                </pt>
                <pt idx="272">
                  <v>31.02956487</v>
                </pt>
                <pt idx="273">
                  <v>30.83014462</v>
                </pt>
                <pt idx="274">
                  <v>30.84718201</v>
                </pt>
                <pt idx="275">
                  <v>30.74597513</v>
                </pt>
                <pt idx="276">
                  <v>29.78601089</v>
                </pt>
                <pt idx="277">
                  <v>29.80985349</v>
                </pt>
                <pt idx="278">
                  <v>30.18059645</v>
                </pt>
                <pt idx="279">
                  <v>29.784643</v>
                </pt>
                <pt idx="280">
                  <v>30.09267464</v>
                </pt>
                <pt idx="281">
                  <v>30.17597011</v>
                </pt>
                <pt idx="282">
                  <v>30.26803826</v>
                </pt>
                <pt idx="283">
                  <v>30.18511414</v>
                </pt>
                <pt idx="284">
                  <v>30.21642286</v>
                </pt>
                <pt idx="285">
                  <v>30.15947636</v>
                </pt>
                <pt idx="286">
                  <v>30.20906673</v>
                </pt>
                <pt idx="287">
                  <v>30.18191983</v>
                </pt>
                <pt idx="288">
                  <v>30.05787462</v>
                </pt>
                <pt idx="289">
                  <v>30.07146456</v>
                </pt>
                <pt idx="290">
                  <v>30.03281806</v>
                </pt>
                <pt idx="291">
                  <v>29.9992049</v>
                </pt>
                <pt idx="292">
                  <v>29.8594878</v>
                </pt>
                <pt idx="293">
                  <v>29.68801831</v>
                </pt>
                <pt idx="294">
                  <v>29.37513084</v>
                </pt>
                <pt idx="295">
                  <v>29.80047721</v>
                </pt>
                <pt idx="296">
                  <v>29.70895917</v>
                </pt>
                <pt idx="297">
                  <v>29.83941458</v>
                </pt>
                <pt idx="298">
                  <v>29.6972625</v>
                </pt>
                <pt idx="299">
                  <v>29.78123185</v>
                </pt>
                <pt idx="300">
                  <v>29.86371085</v>
                </pt>
                <pt idx="301">
                  <v>29.74483501</v>
                </pt>
                <pt idx="302">
                  <v>29.70208983</v>
                </pt>
                <pt idx="303">
                  <v>29.4369687</v>
                </pt>
                <pt idx="304">
                  <v>29.37305182</v>
                </pt>
                <pt idx="305">
                  <v>29.25445136</v>
                </pt>
                <pt idx="306">
                  <v>29.35465488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94746287"/>
        <axId val="1368800655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1471167632"/>
        <scaling>
          <orientation val="minMax"/>
        </scaling>
        <delete val="1"/>
        <axPos val="t"/>
        <numFmt formatCode="m/d/yyyy" sourceLinked="1"/>
        <majorTickMark val="out"/>
        <minorTickMark val="none"/>
        <tickLblPos val="nextTo"/>
        <crossAx val="1471520128"/>
        <crosses val="autoZero"/>
        <lblOffset val="100"/>
        <baseTimeUnit val="days"/>
      </dateAx>
      <valAx>
        <axId val="1471520128"/>
        <scaling>
          <orientation val="maxMin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471167632"/>
        <crosses val="max"/>
        <crossBetween val="between"/>
      </valAx>
      <dateAx>
        <axId val="1494746287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368800655"/>
        <crosses val="autoZero"/>
        <lblOffset val="100"/>
        <baseTimeUnit val="days"/>
      </dateAx>
      <valAx>
        <axId val="1368800655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494746287"/>
        <crosses val="autoZero"/>
        <crossBetween val="between"/>
        <minorUnit val="100"/>
      </valAx>
    </plotArea>
    <legend>
      <legendPos val="b"/>
      <layout>
        <manualLayout>
          <xMode val="edge"/>
          <yMode val="edge"/>
          <wMode val="factor"/>
          <hMode val="factor"/>
          <x val="0.2695739226336948"/>
          <y val="0.956312790757826"/>
          <w val="0.4588326159332547"/>
          <h val="0.0322283282785933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it-I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areaChart>
        <grouping val="standard"/>
        <varyColors val="0"/>
        <ser>
          <idx val="4"/>
          <order val="0"/>
          <tx>
            <v>Contenuto idrico</v>
          </tx>
          <spPr>
            <a:solidFill xmlns:a="http://schemas.openxmlformats.org/drawingml/2006/main">
              <a:srgbClr val="C6D9F1"/>
            </a:solidFill>
            <a:ln xmlns:a="http://schemas.openxmlformats.org/drawingml/2006/main" w="19050">
              <a:prstDash val="solid"/>
            </a:ln>
          </spP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strato'!$O$2:$O$366</f>
              <numCache>
                <formatCode>General</formatCode>
                <ptCount val="365"/>
                <pt idx="0">
                  <v>32.23606619</v>
                </pt>
                <pt idx="1">
                  <v>33.62979973</v>
                </pt>
                <pt idx="2">
                  <v>30.69110169</v>
                </pt>
                <pt idx="3">
                  <v>31.06860741</v>
                </pt>
                <pt idx="4">
                  <v>31.77989623</v>
                </pt>
                <pt idx="5">
                  <v>28.41585376</v>
                </pt>
                <pt idx="6">
                  <v>26.50554176</v>
                </pt>
                <pt idx="7">
                  <v>26.99248327</v>
                </pt>
                <pt idx="8">
                  <v>25.65244107</v>
                </pt>
                <pt idx="9">
                  <v>24.6190545</v>
                </pt>
                <pt idx="10">
                  <v>23.97139016</v>
                </pt>
                <pt idx="11">
                  <v>23.30353729</v>
                </pt>
                <pt idx="12">
                  <v>22.39787804</v>
                </pt>
                <pt idx="13">
                  <v>21.66364587</v>
                </pt>
                <pt idx="14">
                  <v>20.96343968</v>
                </pt>
                <pt idx="15">
                  <v>20.44705087</v>
                </pt>
                <pt idx="16">
                  <v>20.07699504</v>
                </pt>
                <pt idx="17">
                  <v>19.81533283</v>
                </pt>
                <pt idx="18">
                  <v>20.52503622</v>
                </pt>
                <pt idx="19">
                  <v>23.22656515</v>
                </pt>
                <pt idx="20">
                  <v>30.71942126</v>
                </pt>
                <pt idx="21">
                  <v>33.67127937</v>
                </pt>
                <pt idx="22">
                  <v>32.92307108</v>
                </pt>
                <pt idx="23">
                  <v>27.748202</v>
                </pt>
                <pt idx="24">
                  <v>25.67089248</v>
                </pt>
                <pt idx="25">
                  <v>23.21948423</v>
                </pt>
                <pt idx="26">
                  <v>22.19837361</v>
                </pt>
                <pt idx="27">
                  <v>21.4743878</v>
                </pt>
                <pt idx="28">
                  <v>20.77478715</v>
                </pt>
                <pt idx="29">
                  <v>21.57889369</v>
                </pt>
                <pt idx="30">
                  <v>25.01477516</v>
                </pt>
                <pt idx="31">
                  <v>23.89695056</v>
                </pt>
                <pt idx="32">
                  <v>23.17615542</v>
                </pt>
                <pt idx="33">
                  <v>33.04704959</v>
                </pt>
                <pt idx="34">
                  <v>28.80770283</v>
                </pt>
                <pt idx="35">
                  <v>26.64960781</v>
                </pt>
                <pt idx="36">
                  <v>25.25375055</v>
                </pt>
                <pt idx="37">
                  <v>34.0997787</v>
                </pt>
                <pt idx="38">
                  <v>27.91077434</v>
                </pt>
                <pt idx="39">
                  <v>28.04744195</v>
                </pt>
                <pt idx="40">
                  <v>32.62359133</v>
                </pt>
                <pt idx="41">
                  <v>27.78148385</v>
                </pt>
                <pt idx="42">
                  <v>25.40666301</v>
                </pt>
                <pt idx="43">
                  <v>23.87492465</v>
                </pt>
                <pt idx="44">
                  <v>22.4388088</v>
                </pt>
                <pt idx="45">
                  <v>21.19306591</v>
                </pt>
                <pt idx="46">
                  <v>19.9577532</v>
                </pt>
                <pt idx="47">
                  <v>18.64607669</v>
                </pt>
                <pt idx="48">
                  <v>18.82190084</v>
                </pt>
                <pt idx="49">
                  <v>18.02556007</v>
                </pt>
                <pt idx="50">
                  <v>17.15250215</v>
                </pt>
                <pt idx="51">
                  <v>15.92716782</v>
                </pt>
                <pt idx="52">
                  <v>14.87079527</v>
                </pt>
                <pt idx="53">
                  <v>13.58119109</v>
                </pt>
                <pt idx="54">
                  <v>12.08620901</v>
                </pt>
                <pt idx="55">
                  <v>10.79960555</v>
                </pt>
                <pt idx="56">
                  <v>9.672428507999999</v>
                </pt>
                <pt idx="57">
                  <v>8.628553459999999</v>
                </pt>
                <pt idx="58">
                  <v>7.840499293</v>
                </pt>
                <pt idx="59">
                  <v>7.198915301</v>
                </pt>
                <pt idx="60">
                  <v>6.677937204</v>
                </pt>
                <pt idx="61">
                  <v>6.330155051</v>
                </pt>
                <pt idx="62">
                  <v>6.016556811</v>
                </pt>
                <pt idx="63">
                  <v>5.673985463</v>
                </pt>
                <pt idx="64">
                  <v>5.462177884</v>
                </pt>
                <pt idx="65">
                  <v>5.256581061</v>
                </pt>
                <pt idx="66">
                  <v>5.07581282</v>
                </pt>
                <pt idx="67">
                  <v>4.911640699</v>
                </pt>
                <pt idx="68">
                  <v>4.770506954</v>
                </pt>
                <pt idx="69">
                  <v>4.699192129</v>
                </pt>
                <pt idx="70">
                  <v>4.599900245</v>
                </pt>
                <pt idx="71">
                  <v>4.510640334</v>
                </pt>
                <pt idx="72">
                  <v>4.402413494</v>
                </pt>
                <pt idx="73">
                  <v>4.329819865</v>
                </pt>
                <pt idx="74">
                  <v>4.258203588</v>
                </pt>
                <pt idx="75">
                  <v>4.22667201</v>
                </pt>
                <pt idx="76">
                  <v>5.261781529</v>
                </pt>
                <pt idx="77">
                  <v>5.044555812</v>
                </pt>
                <pt idx="78">
                  <v>4.858219691</v>
                </pt>
                <pt idx="79">
                  <v>4.722138541</v>
                </pt>
                <pt idx="80">
                  <v>4.587720606</v>
                </pt>
                <pt idx="81">
                  <v>4.477644186</v>
                </pt>
                <pt idx="82">
                  <v>4.399026818</v>
                </pt>
                <pt idx="83">
                  <v>4.337702393</v>
                </pt>
                <pt idx="84">
                  <v>4.29305996</v>
                </pt>
                <pt idx="85">
                  <v>4.270478626</v>
                </pt>
                <pt idx="86">
                  <v>4.242187828</v>
                </pt>
                <pt idx="87">
                  <v>4.218262816</v>
                </pt>
                <pt idx="88">
                  <v>4.199341395</v>
                </pt>
                <pt idx="89">
                  <v>4.185659698</v>
                </pt>
                <pt idx="90">
                  <v>4.175245567</v>
                </pt>
                <pt idx="91">
                  <v>4.167784725</v>
                </pt>
                <pt idx="92">
                  <v>4.164091714</v>
                </pt>
                <pt idx="93">
                  <v>4.161916433</v>
                </pt>
                <pt idx="94">
                  <v>4.160324109</v>
                </pt>
                <pt idx="95">
                  <v>4.159112187</v>
                </pt>
                <pt idx="96">
                  <v>4.158150228</v>
                </pt>
                <pt idx="97">
                  <v>4.157520983</v>
                </pt>
                <pt idx="98">
                  <v>4.157215468</v>
                </pt>
                <pt idx="99">
                  <v>5.929789247</v>
                </pt>
                <pt idx="100">
                  <v>12.73770506</v>
                </pt>
                <pt idx="101">
                  <v>18.6757185</v>
                </pt>
                <pt idx="102">
                  <v>17.71263798</v>
                </pt>
                <pt idx="103">
                  <v>14.40863589</v>
                </pt>
                <pt idx="104">
                  <v>12.28293197</v>
                </pt>
                <pt idx="105">
                  <v>10.94253892</v>
                </pt>
                <pt idx="106">
                  <v>9.234077348</v>
                </pt>
                <pt idx="107">
                  <v>7.997525055</v>
                </pt>
                <pt idx="108">
                  <v>6.985483268</v>
                </pt>
                <pt idx="109">
                  <v>6.122614441</v>
                </pt>
                <pt idx="110">
                  <v>5.542397201</v>
                </pt>
                <pt idx="111">
                  <v>5.155330031</v>
                </pt>
                <pt idx="112">
                  <v>4.855588032</v>
                </pt>
                <pt idx="113">
                  <v>4.625836978</v>
                </pt>
                <pt idx="114">
                  <v>4.465270688</v>
                </pt>
                <pt idx="115">
                  <v>4.419012801</v>
                </pt>
                <pt idx="116">
                  <v>4.589198841</v>
                </pt>
                <pt idx="117">
                  <v>4.893835093</v>
                </pt>
                <pt idx="118">
                  <v>11.10738098</v>
                </pt>
                <pt idx="119">
                  <v>12.67100407</v>
                </pt>
                <pt idx="120">
                  <v>25.29498115</v>
                </pt>
                <pt idx="121">
                  <v>20.90986553</v>
                </pt>
                <pt idx="122">
                  <v>16.65294979</v>
                </pt>
                <pt idx="123">
                  <v>12.69287042</v>
                </pt>
                <pt idx="124">
                  <v>10.52791463</v>
                </pt>
                <pt idx="125">
                  <v>8.803453268</v>
                </pt>
                <pt idx="126">
                  <v>7.134429878</v>
                </pt>
                <pt idx="127">
                  <v>6.296770566</v>
                </pt>
                <pt idx="128">
                  <v>5.718413304</v>
                </pt>
                <pt idx="129">
                  <v>5.920819759</v>
                </pt>
                <pt idx="130">
                  <v>10.71245524</v>
                </pt>
                <pt idx="131">
                  <v>13.06361145</v>
                </pt>
                <pt idx="132">
                  <v>10.82078538</v>
                </pt>
                <pt idx="133">
                  <v>11.87546918</v>
                </pt>
                <pt idx="134">
                  <v>10.6130726</v>
                </pt>
                <pt idx="135">
                  <v>27.79152316</v>
                </pt>
                <pt idx="136">
                  <v>22.1351363</v>
                </pt>
                <pt idx="137">
                  <v>20.52801576</v>
                </pt>
                <pt idx="138">
                  <v>17.2345952</v>
                </pt>
                <pt idx="139">
                  <v>14.04938681</v>
                </pt>
                <pt idx="140">
                  <v>11.9759347</v>
                </pt>
                <pt idx="141">
                  <v>11.83703655</v>
                </pt>
                <pt idx="142">
                  <v>10.2003085</v>
                </pt>
                <pt idx="143">
                  <v>34.57141955</v>
                </pt>
                <pt idx="144">
                  <v>26.93326909</v>
                </pt>
                <pt idx="145">
                  <v>24.19028457</v>
                </pt>
                <pt idx="146">
                  <v>21.84901648</v>
                </pt>
                <pt idx="147">
                  <v>19.88561981</v>
                </pt>
                <pt idx="148">
                  <v>17.88933552</v>
                </pt>
                <pt idx="149">
                  <v>15.87671967</v>
                </pt>
                <pt idx="150">
                  <v>14.32725656</v>
                </pt>
                <pt idx="151">
                  <v>12.93812384</v>
                </pt>
                <pt idx="152">
                  <v>11.95084306</v>
                </pt>
                <pt idx="153">
                  <v>27.32390355</v>
                </pt>
                <pt idx="154">
                  <v>23.29088111</v>
                </pt>
                <pt idx="155">
                  <v>22.01518911</v>
                </pt>
                <pt idx="156">
                  <v>25.6833649</v>
                </pt>
                <pt idx="157">
                  <v>24.42132781</v>
                </pt>
                <pt idx="158">
                  <v>23.57206827</v>
                </pt>
                <pt idx="159">
                  <v>22.59213539</v>
                </pt>
                <pt idx="160">
                  <v>21.84098572</v>
                </pt>
                <pt idx="161">
                  <v>23.25185476</v>
                </pt>
                <pt idx="162">
                  <v>22.56683779</v>
                </pt>
                <pt idx="163">
                  <v>21.78417875</v>
                </pt>
                <pt idx="164">
                  <v>21.36348677</v>
                </pt>
                <pt idx="165">
                  <v>28.24197214</v>
                </pt>
                <pt idx="166">
                  <v>24.32066646</v>
                </pt>
                <pt idx="167">
                  <v>23.29104596</v>
                </pt>
                <pt idx="168">
                  <v>22.57057283</v>
                </pt>
                <pt idx="169">
                  <v>22.04547333</v>
                </pt>
                <pt idx="170">
                  <v>21.73515884</v>
                </pt>
                <pt idx="171">
                  <v>21.30435048</v>
                </pt>
                <pt idx="172">
                  <v>20.8742394</v>
                </pt>
                <pt idx="173">
                  <v>24.64926388</v>
                </pt>
                <pt idx="174">
                  <v>23.94387556</v>
                </pt>
                <pt idx="175">
                  <v>23.190569</v>
                </pt>
                <pt idx="176">
                  <v>22.68397293</v>
                </pt>
                <pt idx="177">
                  <v>28.27896887</v>
                </pt>
                <pt idx="178">
                  <v>24.22055664</v>
                </pt>
                <pt idx="179">
                  <v>23.03465033</v>
                </pt>
                <pt idx="180">
                  <v>22.31115295</v>
                </pt>
                <pt idx="181">
                  <v>21.58026002</v>
                </pt>
                <pt idx="182">
                  <v>21.08322459</v>
                </pt>
                <pt idx="183">
                  <v>20.79461827</v>
                </pt>
                <pt idx="184">
                  <v>22.37854404</v>
                </pt>
                <pt idx="185">
                  <v>22.00217078</v>
                </pt>
                <pt idx="186">
                  <v>21.6224447</v>
                </pt>
                <pt idx="187">
                  <v>26.66058183</v>
                </pt>
                <pt idx="188">
                  <v>35.06403528</v>
                </pt>
                <pt idx="189">
                  <v>28.47704109</v>
                </pt>
                <pt idx="190">
                  <v>26.72382529</v>
                </pt>
                <pt idx="191">
                  <v>25.45123899</v>
                </pt>
                <pt idx="192">
                  <v>24.69947893</v>
                </pt>
                <pt idx="193">
                  <v>27.44938568</v>
                </pt>
                <pt idx="194">
                  <v>24.20987968</v>
                </pt>
                <pt idx="195">
                  <v>23.27827571</v>
                </pt>
                <pt idx="196">
                  <v>30.29508189</v>
                </pt>
                <pt idx="197">
                  <v>26.94778426</v>
                </pt>
                <pt idx="198">
                  <v>25.64146693</v>
                </pt>
                <pt idx="199">
                  <v>24.54545101</v>
                </pt>
                <pt idx="200">
                  <v>23.81218068</v>
                </pt>
                <pt idx="201">
                  <v>23.28256827</v>
                </pt>
                <pt idx="202">
                  <v>22.80608145</v>
                </pt>
                <pt idx="203">
                  <v>22.45733057</v>
                </pt>
                <pt idx="204">
                  <v>22.13881566</v>
                </pt>
                <pt idx="205">
                  <v>21.82959811</v>
                </pt>
                <pt idx="206">
                  <v>37.92893392</v>
                </pt>
                <pt idx="207">
                  <v>28.94403398</v>
                </pt>
                <pt idx="208">
                  <v>27.03590557</v>
                </pt>
                <pt idx="209">
                  <v>25.78400143</v>
                </pt>
                <pt idx="210">
                  <v>25.00566403</v>
                </pt>
                <pt idx="211">
                  <v>24.33491533</v>
                </pt>
                <pt idx="212">
                  <v>24.62868254</v>
                </pt>
                <pt idx="213">
                  <v>24.04320303</v>
                </pt>
                <pt idx="214">
                  <v>23.46399063</v>
                </pt>
                <pt idx="215">
                  <v>26.50472711</v>
                </pt>
                <pt idx="216">
                  <v>24.69818066</v>
                </pt>
                <pt idx="217">
                  <v>28.27908063</v>
                </pt>
                <pt idx="218">
                  <v>23.99907852</v>
                </pt>
                <pt idx="219">
                  <v>22.15031311</v>
                </pt>
                <pt idx="220">
                  <v>20.29798017</v>
                </pt>
                <pt idx="221">
                  <v>18.35507833</v>
                </pt>
                <pt idx="222">
                  <v>16.04267923</v>
                </pt>
                <pt idx="223">
                  <v>13.43075302</v>
                </pt>
                <pt idx="224">
                  <v>11.2932163</v>
                </pt>
                <pt idx="225">
                  <v>9.518958218</v>
                </pt>
                <pt idx="226">
                  <v>8.002543868</v>
                </pt>
                <pt idx="227">
                  <v>27.67460416</v>
                </pt>
                <pt idx="228">
                  <v>22.8474132</v>
                </pt>
                <pt idx="229">
                  <v>18.5339538</v>
                </pt>
                <pt idx="230">
                  <v>14.56840359</v>
                </pt>
                <pt idx="231">
                  <v>11.23096201</v>
                </pt>
                <pt idx="232">
                  <v>8.817195689</v>
                </pt>
                <pt idx="233">
                  <v>7.202771637</v>
                </pt>
                <pt idx="234">
                  <v>6.270762704</v>
                </pt>
                <pt idx="235">
                  <v>5.516926985</v>
                </pt>
                <pt idx="236">
                  <v>5.007637054</v>
                </pt>
                <pt idx="237">
                  <v>4.671419125</v>
                </pt>
                <pt idx="238">
                  <v>4.521321852</v>
                </pt>
                <pt idx="239">
                  <v>8.083185492</v>
                </pt>
                <pt idx="240">
                  <v>6.646456541</v>
                </pt>
                <pt idx="241">
                  <v>5.743192462</v>
                </pt>
                <pt idx="242">
                  <v>5.496759883</v>
                </pt>
                <pt idx="243">
                  <v>5.02095724</v>
                </pt>
                <pt idx="244">
                  <v>4.685454104</v>
                </pt>
                <pt idx="245">
                  <v>4.498216496</v>
                </pt>
                <pt idx="246">
                  <v>4.381644078</v>
                </pt>
                <pt idx="247">
                  <v>4.302327027</v>
                </pt>
                <pt idx="248">
                  <v>4.249383941</v>
                </pt>
                <pt idx="249">
                  <v>4.216406894</v>
                </pt>
                <pt idx="250">
                  <v>4.194345086</v>
                </pt>
                <pt idx="251">
                  <v>4.181484915</v>
                </pt>
                <pt idx="252">
                  <v>4.17389302</v>
                </pt>
                <pt idx="253">
                  <v>4.167947228</v>
                </pt>
                <pt idx="254">
                  <v>4.163966027</v>
                </pt>
                <pt idx="255">
                  <v>4.161252659</v>
                </pt>
                <pt idx="256">
                  <v>4.159833796</v>
                </pt>
                <pt idx="257">
                  <v>4.158855126</v>
                </pt>
                <pt idx="258">
                  <v>23.45524658</v>
                </pt>
                <pt idx="259">
                  <v>19.74557332</v>
                </pt>
                <pt idx="260">
                  <v>16.69992469</v>
                </pt>
                <pt idx="261">
                  <v>16.44333674</v>
                </pt>
                <pt idx="262">
                  <v>26.37502852</v>
                </pt>
                <pt idx="263">
                  <v>22.61880127</v>
                </pt>
                <pt idx="264">
                  <v>19.18074947</v>
                </pt>
                <pt idx="265">
                  <v>15.91627758</v>
                </pt>
                <pt idx="266">
                  <v>12.85260903</v>
                </pt>
                <pt idx="267">
                  <v>11.12110436</v>
                </pt>
                <pt idx="268">
                  <v>32.40077524</v>
                </pt>
                <pt idx="269">
                  <v>26.80010915</v>
                </pt>
                <pt idx="270">
                  <v>23.2009947</v>
                </pt>
                <pt idx="271">
                  <v>19.61717568</v>
                </pt>
                <pt idx="272">
                  <v>16.431304</v>
                </pt>
                <pt idx="273">
                  <v>13.43021799</v>
                </pt>
                <pt idx="274">
                  <v>11.24268729</v>
                </pt>
                <pt idx="275">
                  <v>13.43375459</v>
                </pt>
                <pt idx="276">
                  <v>37.03306286</v>
                </pt>
                <pt idx="277">
                  <v>29.23039997</v>
                </pt>
                <pt idx="278">
                  <v>31.71765256</v>
                </pt>
                <pt idx="279">
                  <v>26.79933886</v>
                </pt>
                <pt idx="280">
                  <v>24.05848238</v>
                </pt>
                <pt idx="281">
                  <v>21.61616842</v>
                </pt>
                <pt idx="282">
                  <v>19.46260928</v>
                </pt>
                <pt idx="283">
                  <v>17.30228557</v>
                </pt>
                <pt idx="284">
                  <v>15.25189709</v>
                </pt>
                <pt idx="285">
                  <v>13.35609559</v>
                </pt>
                <pt idx="286">
                  <v>11.80056536</v>
                </pt>
                <pt idx="287">
                  <v>10.62625083</v>
                </pt>
                <pt idx="288">
                  <v>9.621203567</v>
                </pt>
                <pt idx="289">
                  <v>8.798790508</v>
                </pt>
                <pt idx="290">
                  <v>8.119888805</v>
                </pt>
                <pt idx="291">
                  <v>7.611261898</v>
                </pt>
                <pt idx="292">
                  <v>7.264012445</v>
                </pt>
                <pt idx="293">
                  <v>9.219449493999999</v>
                </pt>
                <pt idx="294">
                  <v>8.653250412</v>
                </pt>
                <pt idx="295">
                  <v>8.164864077000001</v>
                </pt>
                <pt idx="296">
                  <v>7.684536511</v>
                </pt>
                <pt idx="297">
                  <v>7.306649678</v>
                </pt>
                <pt idx="298">
                  <v>6.934409943</v>
                </pt>
                <pt idx="299">
                  <v>6.859252633</v>
                </pt>
                <pt idx="300">
                  <v>6.55273432</v>
                </pt>
                <pt idx="301">
                  <v>6.294524743</v>
                </pt>
                <pt idx="302">
                  <v>7.544538449</v>
                </pt>
                <pt idx="303">
                  <v>7.376949404</v>
                </pt>
                <pt idx="304">
                  <v>36.48503976</v>
                </pt>
                <pt idx="305">
                  <v>30.02720707</v>
                </pt>
                <pt idx="306">
                  <v>33.68130748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5"/>
          <order val="5"/>
          <tx>
            <v>Precipitazioni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strato'!$C$2:$C$366</f>
              <numCache>
                <formatCode>General</formatCode>
                <ptCount val="365"/>
                <pt idx="0">
                  <v>16.78306093</v>
                </pt>
                <pt idx="1">
                  <v>20.88713147</v>
                </pt>
                <pt idx="2">
                  <v>4.516953496</v>
                </pt>
                <pt idx="3">
                  <v>6.345044908</v>
                </pt>
                <pt idx="4">
                  <v>8.610897692</v>
                </pt>
                <pt idx="5">
                  <v>0.768219107</v>
                </pt>
                <pt idx="6">
                  <v>0</v>
                </pt>
                <pt idx="7">
                  <v>1.818294062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0.0196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1.04334672</v>
                </pt>
                <pt idx="19">
                  <v>3.181116719</v>
                </pt>
                <pt idx="20">
                  <v>11.35560072</v>
                </pt>
                <pt idx="21">
                  <v>22.29129709</v>
                </pt>
                <pt idx="22">
                  <v>14.61222636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1.767741484</v>
                </pt>
                <pt idx="30">
                  <v>4.545410555</v>
                </pt>
                <pt idx="31">
                  <v>0</v>
                </pt>
                <pt idx="32">
                  <v>0</v>
                </pt>
                <pt idx="33">
                  <v>22.31354299</v>
                </pt>
                <pt idx="34">
                  <v>1.204897362</v>
                </pt>
                <pt idx="35">
                  <v>0.09089999999999999</v>
                </pt>
                <pt idx="36">
                  <v>0</v>
                </pt>
                <pt idx="37">
                  <v>33.06222653</v>
                </pt>
                <pt idx="38">
                  <v>0.29090438</v>
                </pt>
                <pt idx="39">
                  <v>2.793836587</v>
                </pt>
                <pt idx="40">
                  <v>14.38476088</v>
                </pt>
                <pt idx="41">
                  <v>0.352617198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1.312970235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1.163617519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1.97963828</v>
                </pt>
                <pt idx="100">
                  <v>7.378620707</v>
                </pt>
                <pt idx="101">
                  <v>7.043577812</v>
                </pt>
                <pt idx="102">
                  <v>1.878903865</v>
                </pt>
                <pt idx="103">
                  <v>0</v>
                </pt>
                <pt idx="104">
                  <v>0</v>
                </pt>
                <pt idx="105">
                  <v>0.727317625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0.258348514</v>
                </pt>
                <pt idx="117">
                  <v>0.5151833179999999</v>
                </pt>
                <pt idx="118">
                  <v>6.84972576</v>
                </pt>
                <pt idx="119">
                  <v>3.210243875</v>
                </pt>
                <pt idx="120">
                  <v>14.58369928</v>
                </pt>
                <pt idx="121">
                  <v>0.424268615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0.9746179109999999</v>
                </pt>
                <pt idx="130">
                  <v>5.964405779</v>
                </pt>
                <pt idx="131">
                  <v>5.411489529</v>
                </pt>
                <pt idx="132">
                  <v>0</v>
                </pt>
                <pt idx="133">
                  <v>3.373414887</v>
                </pt>
                <pt idx="134">
                  <v>0</v>
                </pt>
                <pt idx="135">
                  <v>5.084854339</v>
                </pt>
                <pt idx="136">
                  <v>1.390551032</v>
                </pt>
                <pt idx="137">
                  <v>2.63676875</v>
                </pt>
                <pt idx="138">
                  <v>0</v>
                </pt>
                <pt idx="139">
                  <v>0</v>
                </pt>
                <pt idx="140">
                  <v>0.0756</v>
                </pt>
                <pt idx="141">
                  <v>1.681445315</v>
                </pt>
                <pt idx="142">
                  <v>0</v>
                </pt>
                <pt idx="143">
                  <v>29.83870499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0.0588</v>
                </pt>
                <pt idx="156">
                  <v>7.300746949</v>
                </pt>
                <pt idx="157">
                  <v>0.0252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3.798615199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6.307786675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3.27220817</v>
                </pt>
                <pt idx="185">
                  <v>0</v>
                </pt>
                <pt idx="186">
                  <v>0</v>
                </pt>
                <pt idx="187">
                  <v>7.984172002</v>
                </pt>
                <pt idx="188">
                  <v>26.62565781</v>
                </pt>
                <pt idx="189">
                  <v>0</v>
                </pt>
                <pt idx="190">
                  <v>0.819959399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0.390927813</v>
                </pt>
                <pt idx="195">
                  <v>0</v>
                </pt>
                <pt idx="196">
                  <v>13.33774753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61.04768352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1.970787837</v>
                </pt>
                <pt idx="213">
                  <v>0</v>
                </pt>
                <pt idx="214">
                  <v>0</v>
                </pt>
                <pt idx="215">
                  <v>5.577375586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25.82138758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0.681412537</v>
                </pt>
                <pt idx="235">
                  <v>0.0196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4.540804357</v>
                </pt>
                <pt idx="240">
                  <v>0</v>
                </pt>
                <pt idx="241">
                  <v>0</v>
                </pt>
                <pt idx="242">
                  <v>0.369703635</v>
                </pt>
                <pt idx="243">
                  <v>0.0196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21.82979029</v>
                </pt>
                <pt idx="259">
                  <v>0.108123062</v>
                </pt>
                <pt idx="260">
                  <v>0.355196443</v>
                </pt>
                <pt idx="261">
                  <v>3.025973271</v>
                </pt>
                <pt idx="262">
                  <v>13.69370695</v>
                </pt>
                <pt idx="263">
                  <v>0.11374693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24.20254817</v>
                </pt>
                <pt idx="269">
                  <v>0.0531</v>
                </pt>
                <pt idx="270">
                  <v>0.0303</v>
                </pt>
                <pt idx="271">
                  <v>0.0392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3.225110588</v>
                </pt>
                <pt idx="276">
                  <v>51.38018507</v>
                </pt>
                <pt idx="277">
                  <v>2.652400298</v>
                </pt>
                <pt idx="278">
                  <v>10.68860048</v>
                </pt>
                <pt idx="279">
                  <v>0</v>
                </pt>
                <pt idx="280">
                  <v>0.0252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0.0196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0.0196</v>
                </pt>
                <pt idx="293">
                  <v>2.222400885</v>
                </pt>
                <pt idx="294">
                  <v>0.0475</v>
                </pt>
                <pt idx="295">
                  <v>0</v>
                </pt>
                <pt idx="296">
                  <v>0.0252</v>
                </pt>
                <pt idx="297">
                  <v>0</v>
                </pt>
                <pt idx="298">
                  <v>0</v>
                </pt>
                <pt idx="299">
                  <v>0.302564554</v>
                </pt>
                <pt idx="300">
                  <v>0</v>
                </pt>
                <pt idx="301">
                  <v>0</v>
                </pt>
                <pt idx="302">
                  <v>1.455518614</v>
                </pt>
                <pt idx="303">
                  <v>0.0475</v>
                </pt>
                <pt idx="304">
                  <v>39.75071036</v>
                </pt>
                <pt idx="305">
                  <v>2.975461376</v>
                </pt>
                <pt idx="306">
                  <v>23.64618842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6"/>
          <order val="6"/>
          <tx>
            <v>Irrigazione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strato'!$D$2:$D$366</f>
              <numCache>
                <formatCode>General</formatCode>
                <ptCount val="36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198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198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198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198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198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198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29344512"/>
        <axId val="608075072"/>
      </lineChart>
      <lineChart>
        <grouping val="standard"/>
        <varyColors val="0"/>
        <ser>
          <idx val="7"/>
          <order val="7"/>
          <tx>
            <v>Intercezione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strato'!$H$2:$H$366</f>
              <numCache>
                <formatCode>General</formatCode>
                <ptCount val="36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0.0459</v>
                </pt>
                <pt idx="100">
                  <v>0.0786</v>
                </pt>
                <pt idx="101">
                  <v>0.08550000000000001</v>
                </pt>
                <pt idx="102">
                  <v>0.0598</v>
                </pt>
                <pt idx="103">
                  <v>0</v>
                </pt>
                <pt idx="104">
                  <v>0</v>
                </pt>
                <pt idx="105">
                  <v>0.042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0.0316</v>
                </pt>
                <pt idx="117">
                  <v>0.0582</v>
                </pt>
                <pt idx="118">
                  <v>0.214763529</v>
                </pt>
                <pt idx="119">
                  <v>0.179918683</v>
                </pt>
                <pt idx="120">
                  <v>0.258495118</v>
                </pt>
                <pt idx="121">
                  <v>0.0572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0.289580415</v>
                </pt>
                <pt idx="130">
                  <v>0.683981113</v>
                </pt>
                <pt idx="131">
                  <v>0.717230701</v>
                </pt>
                <pt idx="132">
                  <v>0</v>
                </pt>
                <pt idx="133">
                  <v>0.708927613</v>
                </pt>
                <pt idx="134">
                  <v>0</v>
                </pt>
                <pt idx="135">
                  <v>0.89956189</v>
                </pt>
                <pt idx="136">
                  <v>0.559611022</v>
                </pt>
                <pt idx="137">
                  <v>0.801947533</v>
                </pt>
                <pt idx="138">
                  <v>0</v>
                </pt>
                <pt idx="139">
                  <v>0</v>
                </pt>
                <pt idx="140">
                  <v>0.0624</v>
                </pt>
                <pt idx="141">
                  <v>0.778359855</v>
                </pt>
                <pt idx="142">
                  <v>0</v>
                </pt>
                <pt idx="143">
                  <v>1.643836649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0.0574</v>
                </pt>
                <pt idx="156">
                  <v>1.914829672</v>
                </pt>
                <pt idx="157">
                  <v>0.025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1.651951388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2.06262212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1.564445186</v>
                </pt>
                <pt idx="185">
                  <v>0</v>
                </pt>
                <pt idx="186">
                  <v>0</v>
                </pt>
                <pt idx="187">
                  <v>2.169522506</v>
                </pt>
                <pt idx="188">
                  <v>2.67438075</v>
                </pt>
                <pt idx="189">
                  <v>0</v>
                </pt>
                <pt idx="190">
                  <v>0.642138548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0.344997696</v>
                </pt>
                <pt idx="195">
                  <v>0</v>
                </pt>
                <pt idx="196">
                  <v>2.398105479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2.73438153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1.161078333</v>
                </pt>
                <pt idx="213">
                  <v>0</v>
                </pt>
                <pt idx="214">
                  <v>0</v>
                </pt>
                <pt idx="215">
                  <v>1.847673235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2.212463392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0.521379092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8"/>
          <order val="8"/>
          <tx>
            <v>Scorrimento superficiale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strato'!$I$2:$I$366</f>
              <numCache>
                <formatCode>General</formatCode>
                <ptCount val="365"/>
                <pt idx="0">
                  <v>4.004855447</v>
                </pt>
                <pt idx="1">
                  <v>7.084339606</v>
                </pt>
                <pt idx="2">
                  <v>0.0027</v>
                </pt>
                <pt idx="3">
                  <v>0.164401081</v>
                </pt>
                <pt idx="4">
                  <v>0.706794096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1.486823842</v>
                </pt>
                <pt idx="21">
                  <v>8.098880669</v>
                </pt>
                <pt idx="22">
                  <v>3.461391775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7.64401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15.90758247</v>
                </pt>
                <pt idx="38">
                  <v>0</v>
                </pt>
                <pt idx="39">
                  <v>0</v>
                </pt>
                <pt idx="40">
                  <v>3.138429988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0.08110000000000001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2.443852629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0.0246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10.47978263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0.00529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0.472714146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13.23949625</v>
                </pt>
                <pt idx="277">
                  <v>0</v>
                </pt>
                <pt idx="278">
                  <v>1.49420161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3.34085664</v>
                </pt>
                <pt idx="305">
                  <v>0</v>
                </pt>
                <pt idx="306">
                  <v>9.232970835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9"/>
          <order val="4"/>
          <tx>
            <v>Evaporazione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strato'!$K$2:$K$366</f>
              <numCache>
                <formatCode>General</formatCode>
                <ptCount val="365"/>
                <pt idx="0">
                  <v>0.283313756</v>
                </pt>
                <pt idx="1">
                  <v>0.304878524</v>
                </pt>
                <pt idx="2">
                  <v>0.258571857</v>
                </pt>
                <pt idx="3">
                  <v>0.28063463</v>
                </pt>
                <pt idx="4">
                  <v>0.396633921</v>
                </pt>
                <pt idx="5">
                  <v>0.331268269</v>
                </pt>
                <pt idx="6">
                  <v>0.412011405</v>
                </pt>
                <pt idx="7">
                  <v>0.183659972</v>
                </pt>
                <pt idx="8">
                  <v>0.392232207</v>
                </pt>
                <pt idx="9">
                  <v>0.462487223</v>
                </pt>
                <pt idx="10">
                  <v>0.258781902</v>
                </pt>
                <pt idx="11">
                  <v>0.382345134</v>
                </pt>
                <pt idx="12">
                  <v>0.710130889</v>
                </pt>
                <pt idx="13">
                  <v>0.6059771349999999</v>
                </pt>
                <pt idx="14">
                  <v>0.632474997</v>
                </pt>
                <pt idx="15">
                  <v>0.45460657</v>
                </pt>
                <pt idx="16">
                  <v>0.322426103</v>
                </pt>
                <pt idx="17">
                  <v>0.222258593</v>
                </pt>
                <pt idx="18">
                  <v>0.288720745</v>
                </pt>
                <pt idx="19">
                  <v>0.355017832</v>
                </pt>
                <pt idx="20">
                  <v>0.408384496</v>
                </pt>
                <pt idx="21">
                  <v>0.402373792</v>
                </pt>
                <pt idx="22">
                  <v>0.637525139</v>
                </pt>
                <pt idx="23">
                  <v>1.066819771</v>
                </pt>
                <pt idx="24">
                  <v>0.954653237</v>
                </pt>
                <pt idx="25">
                  <v>2.003426736</v>
                </pt>
                <pt idx="26">
                  <v>0.838192396</v>
                </pt>
                <pt idx="27">
                  <v>0.608254644</v>
                </pt>
                <pt idx="28">
                  <v>0.620924993</v>
                </pt>
                <pt idx="29">
                  <v>0.88375223</v>
                </pt>
                <pt idx="30">
                  <v>0.8438635410000001</v>
                </pt>
                <pt idx="31">
                  <v>0.695911247</v>
                </pt>
                <pt idx="32">
                  <v>0.448609303</v>
                </pt>
                <pt idx="33">
                  <v>0.474014182</v>
                </pt>
                <pt idx="34">
                  <v>0.571873907</v>
                </pt>
                <pt idx="35">
                  <v>0.585922388</v>
                </pt>
                <pt idx="36">
                  <v>0.5821204290000001</v>
                </pt>
                <pt idx="37">
                  <v>0.504529023</v>
                </pt>
                <pt idx="38">
                  <v>1.470236806</v>
                </pt>
                <pt idx="39">
                  <v>0.796274944</v>
                </pt>
                <pt idx="40">
                  <v>0.517944267</v>
                </pt>
                <pt idx="41">
                  <v>1.251278234</v>
                </pt>
                <pt idx="42">
                  <v>1.291762912</v>
                </pt>
                <pt idx="43">
                  <v>1.067346005</v>
                </pt>
                <pt idx="44">
                  <v>1.203944464</v>
                </pt>
                <pt idx="45">
                  <v>1.128757313</v>
                </pt>
                <pt idx="46">
                  <v>1.175728504</v>
                </pt>
                <pt idx="47">
                  <v>1.283438737</v>
                </pt>
                <pt idx="48">
                  <v>1.118611978</v>
                </pt>
                <pt idx="49">
                  <v>0.780878815</v>
                </pt>
                <pt idx="50">
                  <v>0.864259802</v>
                </pt>
                <pt idx="51">
                  <v>1.221094606</v>
                </pt>
                <pt idx="52">
                  <v>1.054714639</v>
                </pt>
                <pt idx="53">
                  <v>1.289001994</v>
                </pt>
                <pt idx="54">
                  <v>1.494826347</v>
                </pt>
                <pt idx="55">
                  <v>1.286575265</v>
                </pt>
                <pt idx="56">
                  <v>1.127172324</v>
                </pt>
                <pt idx="57">
                  <v>1.043874372</v>
                </pt>
                <pt idx="58">
                  <v>0.788054089</v>
                </pt>
                <pt idx="59">
                  <v>0.641583983</v>
                </pt>
                <pt idx="60">
                  <v>0.520978096</v>
                </pt>
                <pt idx="61">
                  <v>0.347782153</v>
                </pt>
                <pt idx="62">
                  <v>0.31359824</v>
                </pt>
                <pt idx="63">
                  <v>0.342571347</v>
                </pt>
                <pt idx="64">
                  <v>0.211807579</v>
                </pt>
                <pt idx="65">
                  <v>0.205596823</v>
                </pt>
                <pt idx="66">
                  <v>0.180768241</v>
                </pt>
                <pt idx="67">
                  <v>0.16417212</v>
                </pt>
                <pt idx="68">
                  <v>0.141133745</v>
                </pt>
                <pt idx="69">
                  <v>0.0713</v>
                </pt>
                <pt idx="70">
                  <v>0.0993</v>
                </pt>
                <pt idx="71">
                  <v>0.0893</v>
                </pt>
                <pt idx="72">
                  <v>0.10822684</v>
                </pt>
                <pt idx="73">
                  <v>0.0726</v>
                </pt>
                <pt idx="74">
                  <v>0.0716</v>
                </pt>
                <pt idx="75">
                  <v>0.0315</v>
                </pt>
                <pt idx="76">
                  <v>0.128508035</v>
                </pt>
                <pt idx="77">
                  <v>0.217225718</v>
                </pt>
                <pt idx="78">
                  <v>0.18633612</v>
                </pt>
                <pt idx="79">
                  <v>0.13608115</v>
                </pt>
                <pt idx="80">
                  <v>0.134417935</v>
                </pt>
                <pt idx="81">
                  <v>0.11007642</v>
                </pt>
                <pt idx="82">
                  <v>0.0786</v>
                </pt>
                <pt idx="83">
                  <v>0.0613</v>
                </pt>
                <pt idx="84">
                  <v>0.0446</v>
                </pt>
                <pt idx="85">
                  <v>0.0226</v>
                </pt>
                <pt idx="86">
                  <v>0.0283</v>
                </pt>
                <pt idx="87">
                  <v>0.0239</v>
                </pt>
                <pt idx="88">
                  <v>0.0189</v>
                </pt>
                <pt idx="89">
                  <v>0.0137</v>
                </pt>
                <pt idx="90">
                  <v>0.0104</v>
                </pt>
                <pt idx="91">
                  <v>0.00746</v>
                </pt>
                <pt idx="92">
                  <v>0.00369</v>
                </pt>
                <pt idx="93">
                  <v>0.00218</v>
                </pt>
                <pt idx="94">
                  <v>0.00159</v>
                </pt>
                <pt idx="95">
                  <v>0.00121</v>
                </pt>
                <pt idx="96">
                  <v>0.000962</v>
                </pt>
                <pt idx="97">
                  <v>0.000629</v>
                </pt>
                <pt idx="98">
                  <v>0.000306</v>
                </pt>
                <pt idx="99">
                  <v>0.161182837</v>
                </pt>
                <pt idx="100">
                  <v>0.492073403</v>
                </pt>
                <pt idx="101">
                  <v>1.016383943</v>
                </pt>
                <pt idx="102">
                  <v>2.767901626</v>
                </pt>
                <pt idx="103">
                  <v>3.299587001</v>
                </pt>
                <pt idx="104">
                  <v>2.12539296</v>
                </pt>
                <pt idx="105">
                  <v>2.025714085</v>
                </pt>
                <pt idx="106">
                  <v>1.708456711</v>
                </pt>
                <pt idx="107">
                  <v>1.236552041</v>
                </pt>
                <pt idx="108">
                  <v>1.012041775</v>
                </pt>
                <pt idx="109">
                  <v>0.862868826</v>
                </pt>
                <pt idx="110">
                  <v>0.58021724</v>
                </pt>
                <pt idx="111">
                  <v>0.38706717</v>
                </pt>
                <pt idx="112">
                  <v>0.299741999</v>
                </pt>
                <pt idx="113">
                  <v>0.229751054</v>
                </pt>
                <pt idx="114">
                  <v>0.16056629</v>
                </pt>
                <pt idx="115">
                  <v>0.0463</v>
                </pt>
                <pt idx="116">
                  <v>0.0565</v>
                </pt>
                <pt idx="117">
                  <v>0.152334861</v>
                </pt>
                <pt idx="118">
                  <v>0.421415373</v>
                </pt>
                <pt idx="119">
                  <v>1.466660051</v>
                </pt>
                <pt idx="120">
                  <v>1.609769537</v>
                </pt>
                <pt idx="121">
                  <v>4.452708778</v>
                </pt>
                <pt idx="122">
                  <v>4.224988344</v>
                </pt>
                <pt idx="123">
                  <v>3.95829199</v>
                </pt>
                <pt idx="124">
                  <v>2.164908648</v>
                </pt>
                <pt idx="125">
                  <v>1.72445889</v>
                </pt>
                <pt idx="126">
                  <v>1.669023305</v>
                </pt>
                <pt idx="127">
                  <v>0.837659312</v>
                </pt>
                <pt idx="128">
                  <v>0.578357262</v>
                </pt>
                <pt idx="129">
                  <v>0.482631062</v>
                </pt>
                <pt idx="130">
                  <v>0.48878855</v>
                </pt>
                <pt idx="131">
                  <v>2.343056939</v>
                </pt>
                <pt idx="132">
                  <v>2.242754632</v>
                </pt>
                <pt idx="133">
                  <v>1.609783795</v>
                </pt>
                <pt idx="134">
                  <v>1.262375563</v>
                </pt>
                <pt idx="135">
                  <v>1.002210944</v>
                </pt>
                <pt idx="136">
                  <v>3.903050118</v>
                </pt>
                <pt idx="137">
                  <v>3.183139522</v>
                </pt>
                <pt idx="138">
                  <v>3.241725334</v>
                </pt>
                <pt idx="139">
                  <v>3.180821856</v>
                </pt>
                <pt idx="140">
                  <v>2.086475456</v>
                </pt>
                <pt idx="141">
                  <v>1.041937467</v>
                </pt>
                <pt idx="142">
                  <v>1.636709362</v>
                </pt>
                <pt idx="143">
                  <v>0.471015923</v>
                </pt>
                <pt idx="144">
                  <v>2.740931677</v>
                </pt>
                <pt idx="145">
                  <v>2.013343227</v>
                </pt>
                <pt idx="146">
                  <v>2.111782084</v>
                </pt>
                <pt idx="147">
                  <v>1.889457289</v>
                </pt>
                <pt idx="148">
                  <v>1.972987705</v>
                </pt>
                <pt idx="149">
                  <v>2.006547593</v>
                </pt>
                <pt idx="150">
                  <v>1.548093581</v>
                </pt>
                <pt idx="151">
                  <v>1.388792324</v>
                </pt>
                <pt idx="152">
                  <v>0.9871931350000001</v>
                </pt>
                <pt idx="153">
                  <v>1.34691868</v>
                </pt>
                <pt idx="154">
                  <v>1.409771154</v>
                </pt>
                <pt idx="155">
                  <v>0.797116792</v>
                </pt>
                <pt idx="156">
                  <v>1.0541405</v>
                </pt>
                <pt idx="157">
                  <v>0.479734863</v>
                </pt>
                <pt idx="158">
                  <v>0.437929836</v>
                </pt>
                <pt idx="159">
                  <v>0.737064081</v>
                </pt>
                <pt idx="160">
                  <v>0.602443684</v>
                </pt>
                <pt idx="161">
                  <v>0.564019665</v>
                </pt>
                <pt idx="162">
                  <v>0.482013528</v>
                </pt>
                <pt idx="163">
                  <v>0.6434058</v>
                </pt>
                <pt idx="164">
                  <v>0.320708908</v>
                </pt>
                <pt idx="165">
                  <v>0.379577733</v>
                </pt>
                <pt idx="166">
                  <v>0.211505471</v>
                </pt>
                <pt idx="167">
                  <v>0.197073702</v>
                </pt>
                <pt idx="168">
                  <v>0.345822827</v>
                </pt>
                <pt idx="169">
                  <v>0.315021011</v>
                </pt>
                <pt idx="170">
                  <v>0.167246773</v>
                </pt>
                <pt idx="171">
                  <v>0.323641286</v>
                </pt>
                <pt idx="172">
                  <v>0.34957962</v>
                </pt>
                <pt idx="173">
                  <v>0.252865651</v>
                </pt>
                <pt idx="174">
                  <v>0.310670956</v>
                </pt>
                <pt idx="175">
                  <v>0.474799802</v>
                </pt>
                <pt idx="176">
                  <v>0.303507897</v>
                </pt>
                <pt idx="177">
                  <v>0.295570528</v>
                </pt>
                <pt idx="178">
                  <v>0.389232513</v>
                </pt>
                <pt idx="179">
                  <v>0.419137268</v>
                </pt>
                <pt idx="180">
                  <v>0.393991886</v>
                </pt>
                <pt idx="181">
                  <v>0.556098557</v>
                </pt>
                <pt idx="182">
                  <v>0.390778672</v>
                </pt>
                <pt idx="183">
                  <v>0.211009369</v>
                </pt>
                <pt idx="184">
                  <v>0.0163</v>
                </pt>
                <pt idx="185">
                  <v>0.234612916</v>
                </pt>
                <pt idx="186">
                  <v>0.265058844</v>
                </pt>
                <pt idx="187">
                  <v>0.322747448</v>
                </pt>
                <pt idx="188">
                  <v>0.155279318</v>
                </pt>
                <pt idx="189">
                  <v>0.489008446</v>
                </pt>
                <pt idx="190">
                  <v>0.350009381</v>
                </pt>
                <pt idx="191">
                  <v>0.412994501</v>
                </pt>
                <pt idx="192">
                  <v>0.197333195</v>
                </pt>
                <pt idx="193">
                  <v>0.421953731</v>
                </pt>
                <pt idx="194">
                  <v>0.138449035</v>
                </pt>
                <pt idx="195">
                  <v>0.123186621</v>
                </pt>
                <pt idx="196">
                  <v>0.205517333</v>
                </pt>
                <pt idx="197">
                  <v>0.152156936</v>
                </pt>
                <pt idx="198">
                  <v>0.174105466</v>
                </pt>
                <pt idx="199">
                  <v>0.477032662</v>
                </pt>
                <pt idx="200">
                  <v>0.344742365</v>
                </pt>
                <pt idx="201">
                  <v>0.249257729</v>
                </pt>
                <pt idx="202">
                  <v>0.260256294</v>
                </pt>
                <pt idx="203">
                  <v>0.174414525</v>
                </pt>
                <pt idx="204">
                  <v>0.172134894</v>
                </pt>
                <pt idx="205">
                  <v>0.185199707</v>
                </pt>
                <pt idx="206">
                  <v>0.0843</v>
                </pt>
                <pt idx="207">
                  <v>0.0959</v>
                </pt>
                <pt idx="208">
                  <v>0.0759</v>
                </pt>
                <pt idx="209">
                  <v>0.270224927</v>
                </pt>
                <pt idx="210">
                  <v>0.140827878</v>
                </pt>
                <pt idx="211">
                  <v>0.208646642</v>
                </pt>
                <pt idx="212">
                  <v>0.0921</v>
                </pt>
                <pt idx="213">
                  <v>0.189057892</v>
                </pt>
                <pt idx="214">
                  <v>0.27757721</v>
                </pt>
                <pt idx="215">
                  <v>0.10440223</v>
                </pt>
                <pt idx="216">
                  <v>1.098015089</v>
                </pt>
                <pt idx="217">
                  <v>0.952825718</v>
                </pt>
                <pt idx="218">
                  <v>0.742827231</v>
                </pt>
                <pt idx="219">
                  <v>1.246850427</v>
                </pt>
                <pt idx="220">
                  <v>1.688908983</v>
                </pt>
                <pt idx="221">
                  <v>1.899511181</v>
                </pt>
                <pt idx="222">
                  <v>2.302649357</v>
                </pt>
                <pt idx="223">
                  <v>2.610518259</v>
                </pt>
                <pt idx="224">
                  <v>2.137419617</v>
                </pt>
                <pt idx="225">
                  <v>1.774249805</v>
                </pt>
                <pt idx="226">
                  <v>1.516413928</v>
                </pt>
                <pt idx="227">
                  <v>3.768490882</v>
                </pt>
                <pt idx="228">
                  <v>4.064048853</v>
                </pt>
                <pt idx="229">
                  <v>4.221676289</v>
                </pt>
                <pt idx="230">
                  <v>3.958185101</v>
                </pt>
                <pt idx="231">
                  <v>3.337139952</v>
                </pt>
                <pt idx="232">
                  <v>2.413759758</v>
                </pt>
                <pt idx="233">
                  <v>1.614423962</v>
                </pt>
                <pt idx="234">
                  <v>1.092042383</v>
                </pt>
                <pt idx="235">
                  <v>0.773425563</v>
                </pt>
                <pt idx="236">
                  <v>0.5092899319999999</v>
                </pt>
                <pt idx="237">
                  <v>0.336217928</v>
                </pt>
                <pt idx="238">
                  <v>0.150097273</v>
                </pt>
                <pt idx="239">
                  <v>0.9789408509999999</v>
                </pt>
                <pt idx="240">
                  <v>1.436728937</v>
                </pt>
                <pt idx="241">
                  <v>0.9032640790000001</v>
                </pt>
                <pt idx="242">
                  <v>0.616136226</v>
                </pt>
                <pt idx="243">
                  <v>0.495392488</v>
                </pt>
                <pt idx="244">
                  <v>0.335503136</v>
                </pt>
                <pt idx="245">
                  <v>0.187237608</v>
                </pt>
                <pt idx="246">
                  <v>0.116572418</v>
                </pt>
                <pt idx="247">
                  <v>0.0793</v>
                </pt>
                <pt idx="248">
                  <v>0.0529</v>
                </pt>
                <pt idx="249">
                  <v>0.033</v>
                </pt>
                <pt idx="250">
                  <v>0.0221</v>
                </pt>
                <pt idx="251">
                  <v>0.0129</v>
                </pt>
                <pt idx="252">
                  <v>0.00759</v>
                </pt>
                <pt idx="253">
                  <v>0.00595</v>
                </pt>
                <pt idx="254">
                  <v>0.00398</v>
                </pt>
                <pt idx="255">
                  <v>0.00271</v>
                </pt>
                <pt idx="256">
                  <v>0.00142</v>
                </pt>
                <pt idx="257">
                  <v>0.0009790000000000001</v>
                </pt>
                <pt idx="258">
                  <v>2.511435759</v>
                </pt>
                <pt idx="259">
                  <v>3.683055578</v>
                </pt>
                <pt idx="260">
                  <v>3.382040974</v>
                </pt>
                <pt idx="261">
                  <v>3.278077722</v>
                </pt>
                <pt idx="262">
                  <v>3.574014281</v>
                </pt>
                <pt idx="263">
                  <v>3.36030746</v>
                </pt>
                <pt idx="264">
                  <v>3.347765906</v>
                </pt>
                <pt idx="265">
                  <v>3.252021009</v>
                </pt>
                <pt idx="266">
                  <v>3.062571723</v>
                </pt>
                <pt idx="267">
                  <v>1.731440473</v>
                </pt>
                <pt idx="268">
                  <v>1.10358767</v>
                </pt>
                <pt idx="269">
                  <v>2.278769405</v>
                </pt>
                <pt idx="270">
                  <v>3.011955705</v>
                </pt>
                <pt idx="271">
                  <v>3.50268126</v>
                </pt>
                <pt idx="272">
                  <v>3.169172246</v>
                </pt>
                <pt idx="273">
                  <v>2.999372179</v>
                </pt>
                <pt idx="274">
                  <v>2.187417591</v>
                </pt>
                <pt idx="275">
                  <v>1.033963028</v>
                </pt>
                <pt idx="276">
                  <v>1.46284444</v>
                </pt>
                <pt idx="277">
                  <v>2.082872447</v>
                </pt>
                <pt idx="278">
                  <v>1.420682669</v>
                </pt>
                <pt idx="279">
                  <v>1.935832629</v>
                </pt>
                <pt idx="280">
                  <v>2.075135388</v>
                </pt>
                <pt idx="281">
                  <v>2.229109515</v>
                </pt>
                <pt idx="282">
                  <v>2.090427785</v>
                </pt>
                <pt idx="283">
                  <v>2.142788282</v>
                </pt>
                <pt idx="284">
                  <v>2.046414113</v>
                </pt>
                <pt idx="285">
                  <v>1.914652485</v>
                </pt>
                <pt idx="286">
                  <v>1.555410405</v>
                </pt>
                <pt idx="287">
                  <v>1.174294515</v>
                </pt>
                <pt idx="288">
                  <v>1.005043525</v>
                </pt>
                <pt idx="289">
                  <v>0.822412385</v>
                </pt>
                <pt idx="290">
                  <v>0.67890158</v>
                </pt>
                <pt idx="291">
                  <v>0.508626883</v>
                </pt>
                <pt idx="292">
                  <v>0.366839292</v>
                </pt>
                <pt idx="293">
                  <v>0.266963793</v>
                </pt>
                <pt idx="294">
                  <v>0.613712</v>
                </pt>
                <pt idx="295">
                  <v>0.488386237</v>
                </pt>
                <pt idx="296">
                  <v>0.505541251</v>
                </pt>
                <pt idx="297">
                  <v>0.377886826</v>
                </pt>
                <pt idx="298">
                  <v>0.372239734</v>
                </pt>
                <pt idx="299">
                  <v>0.377721872</v>
                </pt>
                <pt idx="300">
                  <v>0.306518312</v>
                </pt>
                <pt idx="301">
                  <v>0.258209578</v>
                </pt>
                <pt idx="302">
                  <v>0.205504949</v>
                </pt>
                <pt idx="303">
                  <v>0.2151023</v>
                </pt>
                <pt idx="304">
                  <v>0.53397743</v>
                </pt>
                <pt idx="305">
                  <v>0.701573556</v>
                </pt>
                <pt idx="306">
                  <v>0.54586942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10"/>
          <order val="5"/>
          <tx>
            <v>Traspirazione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strato'!$L$2:$L$366</f>
              <numCache>
                <formatCode>General</formatCode>
                <ptCount val="36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11"/>
          <order val="11"/>
          <tx>
            <v>Percolazione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primo strato'!$M$2:$M$366</f>
              <numCache>
                <formatCode>General</formatCode>
                <ptCount val="365"/>
                <pt idx="0">
                  <v>3.179725921</v>
                </pt>
                <pt idx="1">
                  <v>12.10418021</v>
                </pt>
                <pt idx="2">
                  <v>7.19438075</v>
                </pt>
                <pt idx="3">
                  <v>5.522503665</v>
                </pt>
                <pt idx="4">
                  <v>6.796181093</v>
                </pt>
                <pt idx="5">
                  <v>3.800993333</v>
                </pt>
                <pt idx="6">
                  <v>1.49830059</v>
                </pt>
                <pt idx="7">
                  <v>1.147692638</v>
                </pt>
                <pt idx="8">
                  <v>0.947809989</v>
                </pt>
                <pt idx="9">
                  <v>0.5708993489999999</v>
                </pt>
                <pt idx="10">
                  <v>0.38888244</v>
                </pt>
                <pt idx="11">
                  <v>0.285507728</v>
                </pt>
                <pt idx="12">
                  <v>0.195528363</v>
                </pt>
                <pt idx="13">
                  <v>0.128255034</v>
                </pt>
                <pt idx="14">
                  <v>0.0873</v>
                </pt>
                <pt idx="15">
                  <v>0.0618</v>
                </pt>
                <pt idx="16">
                  <v>0.0476</v>
                </pt>
                <pt idx="17">
                  <v>0.0394</v>
                </pt>
                <pt idx="18">
                  <v>0.0449</v>
                </pt>
                <pt idx="19">
                  <v>0.124570049</v>
                </pt>
                <pt idx="20">
                  <v>1.967536573</v>
                </pt>
                <pt idx="21">
                  <v>10.83818494</v>
                </pt>
                <pt idx="22">
                  <v>11.26151807</v>
                </pt>
                <pt idx="23">
                  <v>4.1080493</v>
                </pt>
                <pt idx="24">
                  <v>1.12265629</v>
                </pt>
                <pt idx="25">
                  <v>0.447981513</v>
                </pt>
                <pt idx="26">
                  <v>0.182918224</v>
                </pt>
                <pt idx="27">
                  <v>0.115731161</v>
                </pt>
                <pt idx="28">
                  <v>0.07870000000000001</v>
                </pt>
                <pt idx="29">
                  <v>0.0799</v>
                </pt>
                <pt idx="30">
                  <v>0.265665678</v>
                </pt>
                <pt idx="31">
                  <v>0.421913348</v>
                </pt>
                <pt idx="32">
                  <v>0.27218584</v>
                </pt>
                <pt idx="33">
                  <v>4.324625072</v>
                </pt>
                <pt idx="34">
                  <v>4.872370257</v>
                </pt>
                <pt idx="35">
                  <v>1.663087334</v>
                </pt>
                <pt idx="36">
                  <v>0.813736833</v>
                </pt>
                <pt idx="37">
                  <v>7.804087404</v>
                </pt>
                <pt idx="38">
                  <v>5.009671941</v>
                </pt>
                <pt idx="39">
                  <v>1.86089412</v>
                </pt>
                <pt idx="40">
                  <v>6.15223758</v>
                </pt>
                <pt idx="41">
                  <v>3.94344645</v>
                </pt>
                <pt idx="42">
                  <v>1.083057932</v>
                </pt>
                <pt idx="43">
                  <v>0.464392359</v>
                </pt>
                <pt idx="44">
                  <v>0.232171386</v>
                </pt>
                <pt idx="45">
                  <v>0.116985573</v>
                </pt>
                <pt idx="46">
                  <v>0.0596</v>
                </pt>
                <pt idx="47">
                  <v>0.0282</v>
                </pt>
                <pt idx="48">
                  <v>0.0185</v>
                </pt>
                <pt idx="49">
                  <v>0.0155</v>
                </pt>
                <pt idx="50">
                  <v>0.008800000000000001</v>
                </pt>
                <pt idx="51">
                  <v>0.00424</v>
                </pt>
                <pt idx="52">
                  <v>0.00166</v>
                </pt>
                <pt idx="53">
                  <v>0.000602</v>
                </pt>
                <pt idx="54">
                  <v>0.000156</v>
                </pt>
                <pt idx="55">
                  <v>2.82e-05</v>
                </pt>
                <pt idx="56">
                  <v>4.71e-06</v>
                </pt>
                <pt idx="57">
                  <v>6.76e-07</v>
                </pt>
                <pt idx="58">
                  <v>7.689999999999999e-08</v>
                </pt>
                <pt idx="59">
                  <v>9.4e-09</v>
                </pt>
                <pt idx="60">
                  <v>1.08e-09</v>
                </pt>
                <pt idx="61">
                  <v>1.24e-10</v>
                </pt>
                <pt idx="62">
                  <v>1.85e-11</v>
                </pt>
                <pt idx="63">
                  <v>2.04e-12</v>
                </pt>
                <pt idx="64">
                  <v>1.06e-13</v>
                </pt>
                <pt idx="65">
                  <v>7.790000000000001e-15</v>
                </pt>
                <pt idx="66">
                  <v>2.44e-16</v>
                </pt>
                <pt idx="67">
                  <v>2.22e-18</v>
                </pt>
                <pt idx="68">
                  <v>4.54e-22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1.83e-17</v>
                </pt>
                <pt idx="77">
                  <v>2.56e-16</v>
                </pt>
                <pt idx="78">
                  <v>6.88e-19</v>
                </pt>
                <pt idx="79">
                  <v>8.28e-25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1.06e-13</v>
                </pt>
                <pt idx="100">
                  <v>1.11e-05</v>
                </pt>
                <pt idx="101">
                  <v>0.00364</v>
                </pt>
                <pt idx="102">
                  <v>0.0143</v>
                </pt>
                <pt idx="103">
                  <v>0.00442</v>
                </pt>
                <pt idx="104">
                  <v>0.000311</v>
                </pt>
                <pt idx="105">
                  <v>3.79e-05</v>
                </pt>
                <pt idx="106">
                  <v>4.86e-06</v>
                </pt>
                <pt idx="107">
                  <v>2.52e-07</v>
                </pt>
                <pt idx="108">
                  <v>1.23e-08</v>
                </pt>
                <pt idx="109">
                  <v>3.59e-10</v>
                </pt>
                <pt idx="110">
                  <v>3.64e-12</v>
                </pt>
                <pt idx="111">
                  <v>1.81e-14</v>
                </pt>
                <pt idx="112">
                  <v>1.95e-17</v>
                </pt>
                <pt idx="113">
                  <v>4.25e-25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2.38e-24</v>
                </pt>
                <pt idx="118">
                  <v>1.17e-06</v>
                </pt>
                <pt idx="119">
                  <v>4.21e-05</v>
                </pt>
                <pt idx="120">
                  <v>0.0915</v>
                </pt>
                <pt idx="121">
                  <v>0.299451908</v>
                </pt>
                <pt idx="122">
                  <v>0.0319</v>
                </pt>
                <pt idx="123">
                  <v>0.00179</v>
                </pt>
                <pt idx="124">
                  <v>4.71e-05</v>
                </pt>
                <pt idx="125">
                  <v>2.47e-06</v>
                </pt>
                <pt idx="126">
                  <v>8.44e-08</v>
                </pt>
                <pt idx="127">
                  <v>6.65e-10</v>
                </pt>
                <pt idx="128">
                  <v>1.15e-11</v>
                </pt>
                <pt idx="129">
                  <v>9.5e-13</v>
                </pt>
                <pt idx="130">
                  <v>7.95e-07</v>
                </pt>
                <pt idx="131">
                  <v>4.58e-05</v>
                </pt>
                <pt idx="132">
                  <v>7.14e-05</v>
                </pt>
                <pt idx="133">
                  <v>1.98e-05</v>
                </pt>
                <pt idx="134">
                  <v>2.1e-05</v>
                </pt>
                <pt idx="135">
                  <v>184.0046311</v>
                </pt>
                <pt idx="136">
                  <v>2.584276774</v>
                </pt>
                <pt idx="137">
                  <v>0.2588023</v>
                </pt>
                <pt idx="138">
                  <v>0.0517</v>
                </pt>
                <pt idx="139">
                  <v>0.00439</v>
                </pt>
                <pt idx="140">
                  <v>0.000262</v>
                </pt>
                <pt idx="141">
                  <v>4.62e-05</v>
                </pt>
                <pt idx="142">
                  <v>1.87e-05</v>
                </pt>
                <pt idx="143">
                  <v>3.271689399</v>
                </pt>
                <pt idx="144">
                  <v>4.897218779</v>
                </pt>
                <pt idx="145">
                  <v>0.729641295</v>
                </pt>
                <pt idx="146">
                  <v>0.229486012</v>
                </pt>
                <pt idx="147">
                  <v>0.07389999999999999</v>
                </pt>
                <pt idx="148">
                  <v>0.0233</v>
                </pt>
                <pt idx="149">
                  <v>0.00607</v>
                </pt>
                <pt idx="150">
                  <v>0.00137</v>
                </pt>
                <pt idx="151">
                  <v>0.00034</v>
                </pt>
                <pt idx="152">
                  <v>8.76e-05</v>
                </pt>
                <pt idx="153">
                  <v>181.2800208</v>
                </pt>
                <pt idx="154">
                  <v>2.623251292</v>
                </pt>
                <pt idx="155">
                  <v>0.479909585</v>
                </pt>
                <pt idx="156">
                  <v>0.663601148</v>
                </pt>
                <pt idx="157">
                  <v>0.782538883</v>
                </pt>
                <pt idx="158">
                  <v>0.411329712</v>
                </pt>
                <pt idx="159">
                  <v>0.242868791</v>
                </pt>
                <pt idx="160">
                  <v>0.14870599</v>
                </pt>
                <pt idx="161">
                  <v>0.171775172</v>
                </pt>
                <pt idx="162">
                  <v>0.203003436</v>
                </pt>
                <pt idx="163">
                  <v>0.139253243</v>
                </pt>
                <pt idx="164">
                  <v>0.1</v>
                </pt>
                <pt idx="165">
                  <v>190.7419369</v>
                </pt>
                <pt idx="166">
                  <v>3.709800211</v>
                </pt>
                <pt idx="167">
                  <v>0.832546792</v>
                </pt>
                <pt idx="168">
                  <v>0.37465031</v>
                </pt>
                <pt idx="169">
                  <v>0.21007849</v>
                </pt>
                <pt idx="170">
                  <v>0.143067714</v>
                </pt>
                <pt idx="171">
                  <v>0.107167076</v>
                </pt>
                <pt idx="172">
                  <v>0.0805</v>
                </pt>
                <pt idx="173">
                  <v>0.217274549</v>
                </pt>
                <pt idx="174">
                  <v>0.394717358</v>
                </pt>
                <pt idx="175">
                  <v>0.278506757</v>
                </pt>
                <pt idx="176">
                  <v>0.203088174</v>
                </pt>
                <pt idx="177">
                  <v>192.1094335</v>
                </pt>
                <pt idx="178">
                  <v>3.669179715</v>
                </pt>
                <pt idx="179">
                  <v>0.766769038</v>
                </pt>
                <pt idx="180">
                  <v>0.329505495</v>
                </pt>
                <pt idx="181">
                  <v>0.174794372</v>
                </pt>
                <pt idx="182">
                  <v>0.106256762</v>
                </pt>
                <pt idx="183">
                  <v>0.0776</v>
                </pt>
                <pt idx="184">
                  <v>0.1075812</v>
                </pt>
                <pt idx="185">
                  <v>0.141760346</v>
                </pt>
                <pt idx="186">
                  <v>0.11466723</v>
                </pt>
                <pt idx="187">
                  <v>0.453765094</v>
                </pt>
                <pt idx="188">
                  <v>12.94869231</v>
                </pt>
                <pt idx="189">
                  <v>6.097985744</v>
                </pt>
                <pt idx="190">
                  <v>1.581027278</v>
                </pt>
                <pt idx="191">
                  <v>0.859591798</v>
                </pt>
                <pt idx="192">
                  <v>0.554426865</v>
                </pt>
                <pt idx="193">
                  <v>194.8281395</v>
                </pt>
                <pt idx="194">
                  <v>3.146987088</v>
                </pt>
                <pt idx="195">
                  <v>0.808417346</v>
                </pt>
                <pt idx="196">
                  <v>3.692751167</v>
                </pt>
                <pt idx="197">
                  <v>3.195140696</v>
                </pt>
                <pt idx="198">
                  <v>1.132211862</v>
                </pt>
                <pt idx="199">
                  <v>0.618983255</v>
                </pt>
                <pt idx="200">
                  <v>0.388527965</v>
                </pt>
                <pt idx="201">
                  <v>0.280354681</v>
                </pt>
                <pt idx="202">
                  <v>0.216230525</v>
                </pt>
                <pt idx="203">
                  <v>0.174336364</v>
                </pt>
                <pt idx="204">
                  <v>0.146380007</v>
                </pt>
                <pt idx="205">
                  <v>0.124017842</v>
                </pt>
                <pt idx="206">
                  <v>31.64992142</v>
                </pt>
                <pt idx="207">
                  <v>8.889020892</v>
                </pt>
                <pt idx="208">
                  <v>1.832274363</v>
                </pt>
                <pt idx="209">
                  <v>0.981679219</v>
                </pt>
                <pt idx="210">
                  <v>0.637509523</v>
                </pt>
                <pt idx="211">
                  <v>0.462102059</v>
                </pt>
                <pt idx="212">
                  <v>0.423841143</v>
                </pt>
                <pt idx="213">
                  <v>0.396421612</v>
                </pt>
                <pt idx="214">
                  <v>0.30163519</v>
                </pt>
                <pt idx="215">
                  <v>0.584563758</v>
                </pt>
                <pt idx="216">
                  <v>0.708531358</v>
                </pt>
                <pt idx="217">
                  <v>193.4662743</v>
                </pt>
                <pt idx="218">
                  <v>3.537174879</v>
                </pt>
                <pt idx="219">
                  <v>0.601914985</v>
                </pt>
                <pt idx="220">
                  <v>0.163423956</v>
                </pt>
                <pt idx="221">
                  <v>0.0434</v>
                </pt>
                <pt idx="222">
                  <v>0.00975</v>
                </pt>
                <pt idx="223">
                  <v>0.00141</v>
                </pt>
                <pt idx="224">
                  <v>0.000117</v>
                </pt>
                <pt idx="225">
                  <v>8.27e-06</v>
                </pt>
                <pt idx="226">
                  <v>4.22e-07</v>
                </pt>
                <pt idx="227">
                  <v>0.168373714</v>
                </pt>
                <pt idx="228">
                  <v>0.763142107</v>
                </pt>
                <pt idx="229">
                  <v>0.09180000000000001</v>
                </pt>
                <pt idx="230">
                  <v>0.00737</v>
                </pt>
                <pt idx="231">
                  <v>0.000302</v>
                </pt>
                <pt idx="232">
                  <v>6.57e-06</v>
                </pt>
                <pt idx="233">
                  <v>8.99e-08</v>
                </pt>
                <pt idx="234">
                  <v>9.29e-10</v>
                </pt>
                <pt idx="235">
                  <v>9.289999999999999e-12</v>
                </pt>
                <pt idx="236">
                  <v>1.23e-14</v>
                </pt>
                <pt idx="237">
                  <v>1.25e-19</v>
                </pt>
                <pt idx="238">
                  <v>0</v>
                </pt>
                <pt idx="239">
                  <v>2.28e-09</v>
                </pt>
                <pt idx="240">
                  <v>1.41e-08</v>
                </pt>
                <pt idx="241">
                  <v>7.36e-11</v>
                </pt>
                <pt idx="242">
                  <v>3.29e-13</v>
                </pt>
                <pt idx="243">
                  <v>1.01e-14</v>
                </pt>
                <pt idx="244">
                  <v>2.28e-19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0.022</v>
                </pt>
                <pt idx="259">
                  <v>0.134740747</v>
                </pt>
                <pt idx="260">
                  <v>0.0188</v>
                </pt>
                <pt idx="261">
                  <v>0.00448</v>
                </pt>
                <pt idx="262">
                  <v>0.182712885</v>
                </pt>
                <pt idx="263">
                  <v>0.509666716</v>
                </pt>
                <pt idx="264">
                  <v>0.09030000000000001</v>
                </pt>
                <pt idx="265">
                  <v>0.0125</v>
                </pt>
                <pt idx="266">
                  <v>0.0011</v>
                </pt>
                <pt idx="267">
                  <v>6.42e-05</v>
                </pt>
                <pt idx="268">
                  <v>1.346576187</v>
                </pt>
                <pt idx="269">
                  <v>3.375033815</v>
                </pt>
                <pt idx="270">
                  <v>0.617463648</v>
                </pt>
                <pt idx="271">
                  <v>0.12031745</v>
                </pt>
                <pt idx="272">
                  <v>0.0167</v>
                </pt>
                <pt idx="273">
                  <v>0.00171</v>
                </pt>
                <pt idx="274">
                  <v>0.000113</v>
                </pt>
                <pt idx="275">
                  <v>8.04e-05</v>
                </pt>
                <pt idx="276">
                  <v>13.07853725</v>
                </pt>
                <pt idx="277">
                  <v>8.372190822</v>
                </pt>
                <pt idx="278">
                  <v>5.286463877</v>
                </pt>
                <pt idx="279">
                  <v>2.982481079</v>
                </pt>
                <pt idx="280">
                  <v>0.690934802</v>
                </pt>
                <pt idx="281">
                  <v>0.213204445</v>
                </pt>
                <pt idx="282">
                  <v>0.0631</v>
                </pt>
                <pt idx="283">
                  <v>0.0175</v>
                </pt>
                <pt idx="284">
                  <v>0.00397</v>
                </pt>
                <pt idx="285">
                  <v>0.000739</v>
                </pt>
                <pt idx="286">
                  <v>0.00012</v>
                </pt>
                <pt idx="287">
                  <v>2e-05</v>
                </pt>
                <pt idx="288">
                  <v>3.74e-06</v>
                </pt>
                <pt idx="289">
                  <v>6.74e-07</v>
                </pt>
                <pt idx="290">
                  <v>1.24e-07</v>
                </pt>
                <pt idx="291">
                  <v>2.37e-08</v>
                </pt>
                <pt idx="292">
                  <v>5.71e-09</v>
                </pt>
                <pt idx="293">
                  <v>1.09e-07</v>
                </pt>
                <pt idx="294">
                  <v>3.43e-07</v>
                </pt>
                <pt idx="295">
                  <v>9.85e-08</v>
                </pt>
                <pt idx="296">
                  <v>2.77e-08</v>
                </pt>
                <pt idx="297">
                  <v>7.03e-09</v>
                </pt>
                <pt idx="298">
                  <v>1.87e-09</v>
                </pt>
                <pt idx="299">
                  <v>6.64e-10</v>
                </pt>
                <pt idx="300">
                  <v>3.14e-10</v>
                </pt>
                <pt idx="301">
                  <v>7.28e-11</v>
                </pt>
                <pt idx="302">
                  <v>1.37e-09</v>
                </pt>
                <pt idx="303">
                  <v>5.65e-09</v>
                </pt>
                <pt idx="304">
                  <v>6.767787016</v>
                </pt>
                <pt idx="305">
                  <v>8.731720599999999</v>
                </pt>
                <pt idx="306">
                  <v>10.21324818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29740032"/>
        <axId val="629342208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629344512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lang="it-IT"/>
          </a:p>
        </txPr>
        <crossAx val="608075072"/>
        <crosses val="max"/>
        <lblOffset val="100"/>
        <baseTimeUnit val="days"/>
      </dateAx>
      <valAx>
        <axId val="608075072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800"/>
                </a:pPr>
                <a:r>
                  <a:rPr lang="en-US" sz="800"/>
                  <a:t>Precipitazioni e irrigazione [mm]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lang="it-IT"/>
          </a:p>
        </txPr>
        <crossAx val="629344512"/>
        <crosses val="autoZero"/>
        <crossBetween val="between"/>
      </valAx>
      <dateAx>
        <axId val="629740032"/>
        <scaling>
          <orientation val="minMax"/>
        </scaling>
        <delete val="1"/>
        <axPos val="b"/>
        <numFmt formatCode="m/d/yyyy" sourceLinked="1"/>
        <majorTickMark val="out"/>
        <minorTickMark val="none"/>
        <crossAx val="629342208"/>
        <crosses val="autoZero"/>
        <lblOffset val="100"/>
        <baseTimeUnit val="days"/>
      </dateAx>
      <valAx>
        <axId val="629342208"/>
        <scaling>
          <orientation val="minMax"/>
          <max val="90"/>
        </scaling>
        <delete val="0"/>
        <axPos val="r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800"/>
                </a:pPr>
                <a:r>
                  <a:rPr lang="en-US" sz="800"/>
                  <a:t>Intercezione, scorrimento, evaporazione, percolazione; contenuto idrico [mm]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lang="it-IT"/>
          </a:p>
        </txPr>
        <crossAx val="629740032"/>
        <crosses val="max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/>
          </a:pPr>
          <a:r>
            <a:t/>
          </a:r>
          <a:endParaRPr lang="it-IT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areaChart>
        <grouping val="standard"/>
        <varyColors val="0"/>
        <ser>
          <idx val="4"/>
          <order val="0"/>
          <tx>
            <v>Contenuto idrico</v>
          </tx>
          <spPr>
            <a:solidFill xmlns:a="http://schemas.openxmlformats.org/drawingml/2006/main">
              <a:srgbClr val="C6D9F1"/>
            </a:solidFill>
            <a:ln xmlns:a="http://schemas.openxmlformats.org/drawingml/2006/main" w="19050">
              <a:prstDash val="solid"/>
            </a:ln>
          </spPr>
          <cat>
            <numRef>
              <f>'Bilancio primo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secondo strato'!$H$2:$H$366</f>
              <numCache>
                <formatCode>General</formatCode>
                <ptCount val="365"/>
                <pt idx="0">
                  <v>180.265257</v>
                </pt>
                <pt idx="1">
                  <v>192.0045689</v>
                </pt>
                <pt idx="2">
                  <v>198.522883</v>
                </pt>
                <pt idx="3">
                  <v>203.1374706</v>
                </pt>
                <pt idx="4">
                  <v>208.7162624</v>
                </pt>
                <pt idx="5">
                  <v>210.96758</v>
                </pt>
                <pt idx="6">
                  <v>210.8495585</v>
                </pt>
                <pt idx="7">
                  <v>210.4155501</v>
                </pt>
                <pt idx="8">
                  <v>209.8201622</v>
                </pt>
                <pt idx="9">
                  <v>208.912427</v>
                </pt>
                <pt idx="10">
                  <v>207.9005734</v>
                </pt>
                <pt idx="11">
                  <v>206.8634983</v>
                </pt>
                <pt idx="12">
                  <v>205.8119769</v>
                </pt>
                <pt idx="13">
                  <v>204.7655353</v>
                </pt>
                <pt idx="14">
                  <v>203.745635</v>
                </pt>
                <pt idx="15">
                  <v>202.762344</v>
                </pt>
                <pt idx="16">
                  <v>201.8216377</v>
                </pt>
                <pt idx="17">
                  <v>200.924338</v>
                </pt>
                <pt idx="18">
                  <v>200.0793792</v>
                </pt>
                <pt idx="19">
                  <v>199.3550381</v>
                </pt>
                <pt idx="20">
                  <v>200.4835579</v>
                </pt>
                <pt idx="21">
                  <v>210.1712767</v>
                </pt>
                <pt idx="22">
                  <v>219.3970764</v>
                </pt>
                <pt idx="23">
                  <v>220.7909002</v>
                </pt>
                <pt idx="24">
                  <v>219.287301</v>
                </pt>
                <pt idx="25">
                  <v>217.3400675</v>
                </pt>
                <pt idx="26">
                  <v>215.3661308</v>
                </pt>
                <pt idx="27">
                  <v>213.5329629</v>
                </pt>
                <pt idx="28">
                  <v>211.8396265</v>
                </pt>
                <pt idx="29">
                  <v>210.2975447</v>
                </pt>
                <pt idx="30">
                  <v>209.0632678</v>
                </pt>
                <pt idx="31">
                  <v>208.0709518</v>
                </pt>
                <pt idx="32">
                  <v>207.0087391</v>
                </pt>
                <pt idx="33">
                  <v>209.9985304</v>
                </pt>
                <pt idx="34">
                  <v>213.1447797</v>
                </pt>
                <pt idx="35">
                  <v>212.9874129</v>
                </pt>
                <pt idx="36">
                  <v>212.0418893</v>
                </pt>
                <pt idx="37">
                  <v>217.9747409</v>
                </pt>
                <pt idx="38">
                  <v>220.3588565</v>
                </pt>
                <pt idx="39">
                  <v>219.6111222</v>
                </pt>
                <pt idx="40">
                  <v>223.0545138</v>
                </pt>
                <pt idx="41">
                  <v>223.7904941</v>
                </pt>
                <pt idx="42">
                  <v>221.8450389</v>
                </pt>
                <pt idx="43">
                  <v>219.5989662</v>
                </pt>
                <pt idx="44">
                  <v>217.4165971</v>
                </pt>
                <pt idx="45">
                  <v>215.3730428</v>
                </pt>
                <pt idx="46">
                  <v>213.4858005</v>
                </pt>
                <pt idx="47">
                  <v>211.7486918</v>
                </pt>
                <pt idx="48">
                  <v>210.1553863</v>
                </pt>
                <pt idx="49">
                  <v>208.6893204</v>
                </pt>
                <pt idx="50">
                  <v>207.3287237</v>
                </pt>
                <pt idx="51">
                  <v>206.0610521</v>
                </pt>
                <pt idx="52">
                  <v>204.8762093</v>
                </pt>
                <pt idx="53">
                  <v>203.7656247</v>
                </pt>
                <pt idx="54">
                  <v>202.7214292</v>
                </pt>
                <pt idx="55">
                  <v>201.7367737</v>
                </pt>
                <pt idx="56">
                  <v>200.8056597</v>
                </pt>
                <pt idx="57">
                  <v>199.922877</v>
                </pt>
                <pt idx="58">
                  <v>199.083916</v>
                </pt>
                <pt idx="59">
                  <v>198.284857</v>
                </pt>
                <pt idx="60">
                  <v>197.522274</v>
                </pt>
                <pt idx="61">
                  <v>196.7931566</v>
                </pt>
                <pt idx="62">
                  <v>196.0948452</v>
                </pt>
                <pt idx="63">
                  <v>195.4249797</v>
                </pt>
                <pt idx="64">
                  <v>194.7814565</v>
                </pt>
                <pt idx="65">
                  <v>194.1623923</v>
                </pt>
                <pt idx="66">
                  <v>193.5660956</v>
                </pt>
                <pt idx="67">
                  <v>192.991041</v>
                </pt>
                <pt idx="68">
                  <v>192.4358486</v>
                </pt>
                <pt idx="69">
                  <v>191.8992664</v>
                </pt>
                <pt idx="70">
                  <v>191.380155</v>
                </pt>
                <pt idx="71">
                  <v>190.8774742</v>
                </pt>
                <pt idx="72">
                  <v>190.3902728</v>
                </pt>
                <pt idx="73">
                  <v>189.9176778</v>
                </pt>
                <pt idx="74">
                  <v>189.4588871</v>
                </pt>
                <pt idx="75">
                  <v>189.0131614</v>
                </pt>
                <pt idx="76">
                  <v>188.5798181</v>
                </pt>
                <pt idx="77">
                  <v>188.1582258</v>
                </pt>
                <pt idx="78">
                  <v>187.7477993</v>
                </pt>
                <pt idx="79">
                  <v>187.347995</v>
                </pt>
                <pt idx="80">
                  <v>186.9583077</v>
                </pt>
                <pt idx="81">
                  <v>186.5782663</v>
                </pt>
                <pt idx="82">
                  <v>186.2074314</v>
                </pt>
                <pt idx="83">
                  <v>185.8453924</v>
                </pt>
                <pt idx="84">
                  <v>185.4917651</v>
                </pt>
                <pt idx="85">
                  <v>185.1461891</v>
                </pt>
                <pt idx="86">
                  <v>184.8083268</v>
                </pt>
                <pt idx="87">
                  <v>184.4778604</v>
                </pt>
                <pt idx="88">
                  <v>184.1544913</v>
                </pt>
                <pt idx="89">
                  <v>183.8379382</v>
                </pt>
                <pt idx="90">
                  <v>183.527936</v>
                </pt>
                <pt idx="91">
                  <v>183.2242341</v>
                </pt>
                <pt idx="92">
                  <v>40.16244419</v>
                </pt>
                <pt idx="93">
                  <v>39.44378943</v>
                </pt>
                <pt idx="94">
                  <v>40.15103526</v>
                </pt>
                <pt idx="95">
                  <v>40.8801866</v>
                </pt>
                <pt idx="96">
                  <v>41.59048189</v>
                </pt>
                <pt idx="97">
                  <v>42.54378542</v>
                </pt>
                <pt idx="98">
                  <v>43.48604153</v>
                </pt>
                <pt idx="99">
                  <v>44.48949461</v>
                </pt>
                <pt idx="100">
                  <v>45.62817591</v>
                </pt>
                <pt idx="101">
                  <v>46.77755253</v>
                </pt>
                <pt idx="102">
                  <v>47.70011329</v>
                </pt>
                <pt idx="103">
                  <v>48.55353084</v>
                </pt>
                <pt idx="104">
                  <v>49.69766592</v>
                </pt>
                <pt idx="105">
                  <v>50.58919881</v>
                </pt>
                <pt idx="106">
                  <v>51.45249763</v>
                </pt>
                <pt idx="107">
                  <v>52.33819716</v>
                </pt>
                <pt idx="108">
                  <v>53.18873774</v>
                </pt>
                <pt idx="109">
                  <v>53.96023094</v>
                </pt>
                <pt idx="110">
                  <v>54.7524157</v>
                </pt>
                <pt idx="111">
                  <v>55.76801975</v>
                </pt>
                <pt idx="112">
                  <v>56.54730119</v>
                </pt>
                <pt idx="113">
                  <v>57.27237482</v>
                </pt>
                <pt idx="114">
                  <v>57.97014201</v>
                </pt>
                <pt idx="115">
                  <v>59.05856224</v>
                </pt>
                <pt idx="116">
                  <v>60.13830498</v>
                </pt>
                <pt idx="117">
                  <v>61.06653529</v>
                </pt>
                <pt idx="118">
                  <v>62.42793491</v>
                </pt>
                <pt idx="119">
                  <v>63.45936621</v>
                </pt>
                <pt idx="120">
                  <v>64.66026607000001</v>
                </pt>
                <pt idx="121">
                  <v>65.69166711</v>
                </pt>
                <pt idx="122">
                  <v>66.58550912</v>
                </pt>
                <pt idx="123">
                  <v>67.3288368</v>
                </pt>
                <pt idx="124">
                  <v>68.14825432000001</v>
                </pt>
                <pt idx="125">
                  <v>69.02935816</v>
                </pt>
                <pt idx="126">
                  <v>69.30370988999999</v>
                </pt>
                <pt idx="127">
                  <v>69.72466724</v>
                </pt>
                <pt idx="128">
                  <v>70.06998855000001</v>
                </pt>
                <pt idx="129">
                  <v>70.41788507</v>
                </pt>
                <pt idx="130">
                  <v>71.40027888</v>
                </pt>
                <pt idx="131">
                  <v>71.40395137</v>
                </pt>
                <pt idx="132">
                  <v>71.54142481</v>
                </pt>
                <pt idx="133">
                  <v>71.70656561</v>
                </pt>
                <pt idx="134">
                  <v>72.00084501000001</v>
                </pt>
                <pt idx="135">
                  <v>140.1117883</v>
                </pt>
                <pt idx="136">
                  <v>124.119995</v>
                </pt>
                <pt idx="137">
                  <v>119.8033701</v>
                </pt>
                <pt idx="138">
                  <v>117.3394784</v>
                </pt>
                <pt idx="139">
                  <v>115.6395567</v>
                </pt>
                <pt idx="140">
                  <v>114.2408841</v>
                </pt>
                <pt idx="141">
                  <v>113.7228704</v>
                </pt>
                <pt idx="142">
                  <v>112.1460984</v>
                </pt>
                <pt idx="143">
                  <v>116.0055715</v>
                </pt>
                <pt idx="144">
                  <v>118.8663756</v>
                </pt>
                <pt idx="145">
                  <v>117.8332642</v>
                </pt>
                <pt idx="146">
                  <v>116.0570737</v>
                </pt>
                <pt idx="147">
                  <v>114.2507239</v>
                </pt>
                <pt idx="148">
                  <v>112.105095</v>
                </pt>
                <pt idx="149">
                  <v>109.6049027</v>
                </pt>
                <pt idx="150">
                  <v>107.5054887</v>
                </pt>
                <pt idx="151">
                  <v>104.8895091</v>
                </pt>
                <pt idx="152">
                  <v>102.736227</v>
                </pt>
                <pt idx="153">
                  <v>182.8230875</v>
                </pt>
                <pt idx="154">
                  <v>161.5580863</v>
                </pt>
                <pt idx="155">
                  <v>155.3982617</v>
                </pt>
                <pt idx="156">
                  <v>150.9181626</v>
                </pt>
                <pt idx="157">
                  <v>148.7408056</v>
                </pt>
                <pt idx="158">
                  <v>146.2337608</v>
                </pt>
                <pt idx="159">
                  <v>142.5325209</v>
                </pt>
                <pt idx="160">
                  <v>138.6771514</v>
                </pt>
                <pt idx="161">
                  <v>135.0150331</v>
                </pt>
                <pt idx="162">
                  <v>130.822129</v>
                </pt>
                <pt idx="163">
                  <v>125.4773331</v>
                </pt>
                <pt idx="164">
                  <v>120.607133</v>
                </pt>
                <pt idx="165">
                  <v>212.882685</v>
                </pt>
                <pt idx="166">
                  <v>184.6169593</v>
                </pt>
                <pt idx="167">
                  <v>174.0993725</v>
                </pt>
                <pt idx="168">
                  <v>166.097174</v>
                </pt>
                <pt idx="169">
                  <v>159.8768133</v>
                </pt>
                <pt idx="170">
                  <v>155.0488775</v>
                </pt>
                <pt idx="171">
                  <v>148.9284954</v>
                </pt>
                <pt idx="172">
                  <v>142.6438355</v>
                </pt>
                <pt idx="173">
                  <v>137.2328172</v>
                </pt>
                <pt idx="174">
                  <v>131.7339811</v>
                </pt>
                <pt idx="175">
                  <v>125.4847868</v>
                </pt>
                <pt idx="176">
                  <v>119.6482381</v>
                </pt>
                <pt idx="177">
                  <v>213.0021527</v>
                </pt>
                <pt idx="178">
                  <v>183.7437065</v>
                </pt>
                <pt idx="179">
                  <v>172.7073438</v>
                </pt>
                <pt idx="180">
                  <v>165.0369837</v>
                </pt>
                <pt idx="181">
                  <v>157.5660963</v>
                </pt>
                <pt idx="182">
                  <v>151.0296792</v>
                </pt>
                <pt idx="183">
                  <v>145.9714947</v>
                </pt>
                <pt idx="184">
                  <v>143.3050089</v>
                </pt>
                <pt idx="185">
                  <v>138.0965205</v>
                </pt>
                <pt idx="186">
                  <v>132.2304177</v>
                </pt>
                <pt idx="187">
                  <v>126.4660525</v>
                </pt>
                <pt idx="188">
                  <v>134.8737865</v>
                </pt>
                <pt idx="189">
                  <v>134.4290733</v>
                </pt>
                <pt idx="190">
                  <v>129.9970973</v>
                </pt>
                <pt idx="191">
                  <v>124.5153882</v>
                </pt>
                <pt idx="192">
                  <v>119.5069561</v>
                </pt>
                <pt idx="193">
                  <v>210.780382</v>
                </pt>
                <pt idx="194">
                  <v>184.2345613</v>
                </pt>
                <pt idx="195">
                  <v>175.1505715</v>
                </pt>
                <pt idx="196">
                  <v>171.2511474</v>
                </pt>
                <pt idx="197">
                  <v>167.9056368</v>
                </pt>
                <pt idx="198">
                  <v>162.9911361</v>
                </pt>
                <pt idx="199">
                  <v>156.5325585</v>
                </pt>
                <pt idx="200">
                  <v>150.2202565</v>
                </pt>
                <pt idx="201">
                  <v>144.3908706</v>
                </pt>
                <pt idx="202">
                  <v>138.4787627</v>
                </pt>
                <pt idx="203">
                  <v>133.0824443</v>
                </pt>
                <pt idx="204">
                  <v>127.8415891</v>
                </pt>
                <pt idx="205">
                  <v>122.9842368</v>
                </pt>
                <pt idx="206">
                  <v>150.573945</v>
                </pt>
                <pt idx="207">
                  <v>154.7858603</v>
                </pt>
                <pt idx="208">
                  <v>152.1116044</v>
                </pt>
                <pt idx="209">
                  <v>147.1485528</v>
                </pt>
                <pt idx="210">
                  <v>142.6996844</v>
                </pt>
                <pt idx="211">
                  <v>138.0853053</v>
                </pt>
                <pt idx="212">
                  <v>134.5126544</v>
                </pt>
                <pt idx="213">
                  <v>130.0424709</v>
                </pt>
                <pt idx="214">
                  <v>125.9735512</v>
                </pt>
                <pt idx="215">
                  <v>124.3061004</v>
                </pt>
                <pt idx="216">
                  <v>119.7901616</v>
                </pt>
                <pt idx="217">
                  <v>213.0791898</v>
                </pt>
                <pt idx="218">
                  <v>185.6602043</v>
                </pt>
                <pt idx="219">
                  <v>176.435427</v>
                </pt>
                <pt idx="220">
                  <v>170.1826277</v>
                </pt>
                <pt idx="221">
                  <v>165.4309143</v>
                </pt>
                <pt idx="222">
                  <v>161.1790173</v>
                </pt>
                <pt idx="223">
                  <v>157.2166593</v>
                </pt>
                <pt idx="224">
                  <v>153.7228798</v>
                </pt>
                <pt idx="225">
                  <v>150.6144814</v>
                </pt>
                <pt idx="226">
                  <v>147.6723514</v>
                </pt>
                <pt idx="227">
                  <v>145.3018222</v>
                </pt>
                <pt idx="228">
                  <v>143.8448584</v>
                </pt>
                <pt idx="229">
                  <v>141.9710859</v>
                </pt>
                <pt idx="230">
                  <v>140.4054264</v>
                </pt>
                <pt idx="231">
                  <v>139.0078211</v>
                </pt>
                <pt idx="232">
                  <v>137.784351</v>
                </pt>
                <pt idx="233">
                  <v>136.7997999</v>
                </pt>
                <pt idx="234">
                  <v>136.0364587</v>
                </pt>
                <pt idx="235">
                  <v>36.2074819</v>
                </pt>
                <pt idx="236">
                  <v>36.14024707</v>
                </pt>
                <pt idx="237">
                  <v>36.07460928</v>
                </pt>
                <pt idx="238">
                  <v>36.01049868</v>
                </pt>
                <pt idx="239">
                  <v>35.94784929</v>
                </pt>
                <pt idx="240">
                  <v>35.88659972</v>
                </pt>
                <pt idx="241">
                  <v>35.82669227</v>
                </pt>
                <pt idx="242">
                  <v>35.7680727</v>
                </pt>
                <pt idx="243">
                  <v>35.71068991</v>
                </pt>
                <pt idx="244">
                  <v>35.65449572</v>
                </pt>
                <pt idx="245">
                  <v>35.59944468</v>
                </pt>
                <pt idx="246">
                  <v>35.54549382</v>
                </pt>
                <pt idx="247">
                  <v>35.49260251</v>
                </pt>
                <pt idx="248">
                  <v>35.44073229</v>
                </pt>
                <pt idx="249">
                  <v>35.38984672</v>
                </pt>
                <pt idx="250">
                  <v>35.33991121</v>
                </pt>
                <pt idx="251">
                  <v>35.29089296</v>
                </pt>
                <pt idx="252">
                  <v>35.2427608</v>
                </pt>
                <pt idx="253">
                  <v>35.19548506</v>
                </pt>
                <pt idx="254">
                  <v>35.14903754</v>
                </pt>
                <pt idx="255">
                  <v>35.10339137</v>
                </pt>
                <pt idx="256">
                  <v>35.05852095</v>
                </pt>
                <pt idx="257">
                  <v>35.01440184</v>
                </pt>
                <pt idx="258">
                  <v>34.99294963</v>
                </pt>
                <pt idx="259">
                  <v>35.08311626</v>
                </pt>
                <pt idx="260">
                  <v>35.05717273</v>
                </pt>
                <pt idx="261">
                  <v>35.01751573</v>
                </pt>
                <pt idx="262">
                  <v>35.15618987</v>
                </pt>
                <pt idx="263">
                  <v>35.61385778</v>
                </pt>
                <pt idx="264">
                  <v>35.64866758</v>
                </pt>
                <pt idx="265">
                  <v>35.60600856</v>
                </pt>
                <pt idx="266">
                  <v>35.55300839</v>
                </pt>
                <pt idx="267">
                  <v>35.50003391</v>
                </pt>
                <pt idx="268">
                  <v>36.79126813</v>
                </pt>
                <pt idx="269">
                  <v>39.98372045</v>
                </pt>
                <pt idx="270">
                  <v>40.33927878</v>
                </pt>
                <pt idx="271">
                  <v>40.1954796</v>
                </pt>
                <pt idx="272">
                  <v>39.9643273</v>
                </pt>
                <pt idx="273">
                  <v>39.73546844</v>
                </pt>
                <pt idx="274">
                  <v>39.52050219</v>
                </pt>
                <pt idx="275">
                  <v>39.31917597</v>
                </pt>
                <pt idx="276">
                  <v>51.66200246</v>
                </pt>
                <pt idx="277">
                  <v>52.48833905</v>
                </pt>
                <pt idx="278">
                  <v>52.37006724</v>
                </pt>
                <pt idx="279">
                  <v>50.41213864</v>
                </pt>
                <pt idx="280">
                  <v>48.21866498</v>
                </pt>
                <pt idx="281">
                  <v>46.60063866</v>
                </pt>
                <pt idx="282">
                  <v>45.37755179</v>
                </pt>
                <pt idx="283">
                  <v>44.42240962</v>
                </pt>
                <pt idx="284">
                  <v>43.65172648</v>
                </pt>
                <pt idx="285">
                  <v>43.01310583</v>
                </pt>
                <pt idx="286">
                  <v>42.47075596</v>
                </pt>
                <pt idx="287">
                  <v>42.00082863</v>
                </pt>
                <pt idx="288">
                  <v>41.58708017</v>
                </pt>
                <pt idx="289">
                  <v>41.21808056</v>
                </pt>
                <pt idx="290">
                  <v>40.88551457</v>
                </pt>
                <pt idx="291">
                  <v>40.58315433</v>
                </pt>
                <pt idx="292">
                  <v>40.30621985</v>
                </pt>
                <pt idx="293">
                  <v>40.05096572</v>
                </pt>
                <pt idx="294">
                  <v>39.81440471</v>
                </pt>
                <pt idx="295">
                  <v>39.59411699</v>
                </pt>
                <pt idx="296">
                  <v>39.38811704</v>
                </pt>
                <pt idx="297">
                  <v>39.19475581</v>
                </pt>
                <pt idx="298">
                  <v>39.01264945</v>
                </pt>
                <pt idx="299">
                  <v>38.84062578</v>
                </pt>
                <pt idx="300">
                  <v>38.67768357</v>
                </pt>
                <pt idx="301">
                  <v>38.52296111</v>
                </pt>
                <pt idx="302">
                  <v>38.37571167</v>
                </pt>
                <pt idx="303">
                  <v>38.23528407</v>
                </pt>
                <pt idx="304">
                  <v>44.79078286</v>
                </pt>
                <pt idx="305">
                  <v>50.51332063</v>
                </pt>
                <pt idx="306">
                  <v>54.82988194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lineChart>
        <grouping val="standard"/>
        <varyColors val="0"/>
        <ser>
          <idx val="5"/>
          <order val="1"/>
          <tx>
            <v>Percolazione dal primo strato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secondo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secondo strato'!$C$2:$C$366</f>
              <numCache>
                <formatCode>General</formatCode>
                <ptCount val="365"/>
                <pt idx="0">
                  <v>3.179725921</v>
                </pt>
                <pt idx="1">
                  <v>12.10418021</v>
                </pt>
                <pt idx="2">
                  <v>7.19438075</v>
                </pt>
                <pt idx="3">
                  <v>5.522503665</v>
                </pt>
                <pt idx="4">
                  <v>6.796181093</v>
                </pt>
                <pt idx="5">
                  <v>3.800993333</v>
                </pt>
                <pt idx="6">
                  <v>1.49830059</v>
                </pt>
                <pt idx="7">
                  <v>1.147692638</v>
                </pt>
                <pt idx="8">
                  <v>0.947809989</v>
                </pt>
                <pt idx="9">
                  <v>0.5708993489999999</v>
                </pt>
                <pt idx="10">
                  <v>0.38888244</v>
                </pt>
                <pt idx="11">
                  <v>0.285507728</v>
                </pt>
                <pt idx="12">
                  <v>0.195528363</v>
                </pt>
                <pt idx="13">
                  <v>0.128255034</v>
                </pt>
                <pt idx="14">
                  <v>0.0873</v>
                </pt>
                <pt idx="15">
                  <v>0.0618</v>
                </pt>
                <pt idx="16">
                  <v>0.0476</v>
                </pt>
                <pt idx="17">
                  <v>0.0394</v>
                </pt>
                <pt idx="18">
                  <v>0.0449</v>
                </pt>
                <pt idx="19">
                  <v>0.124570049</v>
                </pt>
                <pt idx="20">
                  <v>1.967536573</v>
                </pt>
                <pt idx="21">
                  <v>10.83818494</v>
                </pt>
                <pt idx="22">
                  <v>11.26151807</v>
                </pt>
                <pt idx="23">
                  <v>4.1080493</v>
                </pt>
                <pt idx="24">
                  <v>1.12265629</v>
                </pt>
                <pt idx="25">
                  <v>0.447981513</v>
                </pt>
                <pt idx="26">
                  <v>0.182918224</v>
                </pt>
                <pt idx="27">
                  <v>0.115731161</v>
                </pt>
                <pt idx="28">
                  <v>0.07870000000000001</v>
                </pt>
                <pt idx="29">
                  <v>0.0799</v>
                </pt>
                <pt idx="30">
                  <v>0.265665678</v>
                </pt>
                <pt idx="31">
                  <v>0.421913348</v>
                </pt>
                <pt idx="32">
                  <v>0.27218584</v>
                </pt>
                <pt idx="33">
                  <v>4.324625072</v>
                </pt>
                <pt idx="34">
                  <v>4.872370257</v>
                </pt>
                <pt idx="35">
                  <v>1.663087334</v>
                </pt>
                <pt idx="36">
                  <v>0.813736833</v>
                </pt>
                <pt idx="37">
                  <v>7.804087404</v>
                </pt>
                <pt idx="38">
                  <v>5.009671941</v>
                </pt>
                <pt idx="39">
                  <v>1.86089412</v>
                </pt>
                <pt idx="40">
                  <v>6.15223758</v>
                </pt>
                <pt idx="41">
                  <v>3.94344645</v>
                </pt>
                <pt idx="42">
                  <v>1.083057932</v>
                </pt>
                <pt idx="43">
                  <v>0.464392359</v>
                </pt>
                <pt idx="44">
                  <v>0.232171386</v>
                </pt>
                <pt idx="45">
                  <v>0.116985573</v>
                </pt>
                <pt idx="46">
                  <v>0.0596</v>
                </pt>
                <pt idx="47">
                  <v>0.0282</v>
                </pt>
                <pt idx="48">
                  <v>0.0185</v>
                </pt>
                <pt idx="49">
                  <v>0.0155</v>
                </pt>
                <pt idx="50">
                  <v>0.008800000000000001</v>
                </pt>
                <pt idx="51">
                  <v>0.00424</v>
                </pt>
                <pt idx="52">
                  <v>0.00166</v>
                </pt>
                <pt idx="53">
                  <v>0.000602</v>
                </pt>
                <pt idx="54">
                  <v>0.000156</v>
                </pt>
                <pt idx="55">
                  <v>2.82e-05</v>
                </pt>
                <pt idx="56">
                  <v>4.71e-06</v>
                </pt>
                <pt idx="57">
                  <v>6.76e-07</v>
                </pt>
                <pt idx="58">
                  <v>7.689999999999999e-08</v>
                </pt>
                <pt idx="59">
                  <v>9.4e-09</v>
                </pt>
                <pt idx="60">
                  <v>1.08e-09</v>
                </pt>
                <pt idx="61">
                  <v>1.24e-10</v>
                </pt>
                <pt idx="62">
                  <v>1.85e-11</v>
                </pt>
                <pt idx="63">
                  <v>2.04e-12</v>
                </pt>
                <pt idx="64">
                  <v>1.06e-13</v>
                </pt>
                <pt idx="65">
                  <v>7.790000000000001e-15</v>
                </pt>
                <pt idx="66">
                  <v>2.44e-16</v>
                </pt>
                <pt idx="67">
                  <v>2.22e-18</v>
                </pt>
                <pt idx="68">
                  <v>4.54e-22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1.83e-17</v>
                </pt>
                <pt idx="77">
                  <v>2.56e-16</v>
                </pt>
                <pt idx="78">
                  <v>6.88e-19</v>
                </pt>
                <pt idx="79">
                  <v>8.28e-25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1.06e-13</v>
                </pt>
                <pt idx="100">
                  <v>1.11e-05</v>
                </pt>
                <pt idx="101">
                  <v>0.00364</v>
                </pt>
                <pt idx="102">
                  <v>0.0143</v>
                </pt>
                <pt idx="103">
                  <v>0.00442</v>
                </pt>
                <pt idx="104">
                  <v>0.000311</v>
                </pt>
                <pt idx="105">
                  <v>3.79e-05</v>
                </pt>
                <pt idx="106">
                  <v>4.86e-06</v>
                </pt>
                <pt idx="107">
                  <v>2.52e-07</v>
                </pt>
                <pt idx="108">
                  <v>1.23e-08</v>
                </pt>
                <pt idx="109">
                  <v>3.59e-10</v>
                </pt>
                <pt idx="110">
                  <v>3.64e-12</v>
                </pt>
                <pt idx="111">
                  <v>1.81e-14</v>
                </pt>
                <pt idx="112">
                  <v>1.95e-17</v>
                </pt>
                <pt idx="113">
                  <v>4.25e-25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2.38e-24</v>
                </pt>
                <pt idx="118">
                  <v>1.17e-06</v>
                </pt>
                <pt idx="119">
                  <v>4.21e-05</v>
                </pt>
                <pt idx="120">
                  <v>0.0915</v>
                </pt>
                <pt idx="121">
                  <v>0.299451908</v>
                </pt>
                <pt idx="122">
                  <v>0.0319</v>
                </pt>
                <pt idx="123">
                  <v>0.00179</v>
                </pt>
                <pt idx="124">
                  <v>4.71e-05</v>
                </pt>
                <pt idx="125">
                  <v>2.47e-06</v>
                </pt>
                <pt idx="126">
                  <v>8.44e-08</v>
                </pt>
                <pt idx="127">
                  <v>6.65e-10</v>
                </pt>
                <pt idx="128">
                  <v>1.15e-11</v>
                </pt>
                <pt idx="129">
                  <v>9.5e-13</v>
                </pt>
                <pt idx="130">
                  <v>7.95e-07</v>
                </pt>
                <pt idx="131">
                  <v>4.58e-05</v>
                </pt>
                <pt idx="132">
                  <v>7.14e-05</v>
                </pt>
                <pt idx="133">
                  <v>1.98e-05</v>
                </pt>
                <pt idx="134">
                  <v>2.1e-05</v>
                </pt>
                <pt idx="135">
                  <v>184.0046311</v>
                </pt>
                <pt idx="136">
                  <v>2.584276774</v>
                </pt>
                <pt idx="137">
                  <v>0.2588023</v>
                </pt>
                <pt idx="138">
                  <v>0.0517</v>
                </pt>
                <pt idx="139">
                  <v>0.00439</v>
                </pt>
                <pt idx="140">
                  <v>0.000262</v>
                </pt>
                <pt idx="141">
                  <v>4.62e-05</v>
                </pt>
                <pt idx="142">
                  <v>1.87e-05</v>
                </pt>
                <pt idx="143">
                  <v>3.271689399</v>
                </pt>
                <pt idx="144">
                  <v>4.897218779</v>
                </pt>
                <pt idx="145">
                  <v>0.729641295</v>
                </pt>
                <pt idx="146">
                  <v>0.229486012</v>
                </pt>
                <pt idx="147">
                  <v>0.07389999999999999</v>
                </pt>
                <pt idx="148">
                  <v>0.0233</v>
                </pt>
                <pt idx="149">
                  <v>0.00607</v>
                </pt>
                <pt idx="150">
                  <v>0.00137</v>
                </pt>
                <pt idx="151">
                  <v>0.00034</v>
                </pt>
                <pt idx="152">
                  <v>8.76e-05</v>
                </pt>
                <pt idx="153">
                  <v>181.2800208</v>
                </pt>
                <pt idx="154">
                  <v>2.623251292</v>
                </pt>
                <pt idx="155">
                  <v>0.479909585</v>
                </pt>
                <pt idx="156">
                  <v>0.663601148</v>
                </pt>
                <pt idx="157">
                  <v>0.782538883</v>
                </pt>
                <pt idx="158">
                  <v>0.411329712</v>
                </pt>
                <pt idx="159">
                  <v>0.242868791</v>
                </pt>
                <pt idx="160">
                  <v>0.14870599</v>
                </pt>
                <pt idx="161">
                  <v>0.171775172</v>
                </pt>
                <pt idx="162">
                  <v>0.203003436</v>
                </pt>
                <pt idx="163">
                  <v>0.139253243</v>
                </pt>
                <pt idx="164">
                  <v>0.1</v>
                </pt>
                <pt idx="165">
                  <v>190.7419369</v>
                </pt>
                <pt idx="166">
                  <v>3.709800211</v>
                </pt>
                <pt idx="167">
                  <v>0.832546792</v>
                </pt>
                <pt idx="168">
                  <v>0.37465031</v>
                </pt>
                <pt idx="169">
                  <v>0.21007849</v>
                </pt>
                <pt idx="170">
                  <v>0.143067714</v>
                </pt>
                <pt idx="171">
                  <v>0.107167076</v>
                </pt>
                <pt idx="172">
                  <v>0.0805</v>
                </pt>
                <pt idx="173">
                  <v>0.217274549</v>
                </pt>
                <pt idx="174">
                  <v>0.394717358</v>
                </pt>
                <pt idx="175">
                  <v>0.278506757</v>
                </pt>
                <pt idx="176">
                  <v>0.203088174</v>
                </pt>
                <pt idx="177">
                  <v>192.1094335</v>
                </pt>
                <pt idx="178">
                  <v>3.669179715</v>
                </pt>
                <pt idx="179">
                  <v>0.766769038</v>
                </pt>
                <pt idx="180">
                  <v>0.329505495</v>
                </pt>
                <pt idx="181">
                  <v>0.174794372</v>
                </pt>
                <pt idx="182">
                  <v>0.106256762</v>
                </pt>
                <pt idx="183">
                  <v>0.0776</v>
                </pt>
                <pt idx="184">
                  <v>0.1075812</v>
                </pt>
                <pt idx="185">
                  <v>0.141760346</v>
                </pt>
                <pt idx="186">
                  <v>0.11466723</v>
                </pt>
                <pt idx="187">
                  <v>0.453765094</v>
                </pt>
                <pt idx="188">
                  <v>12.94869231</v>
                </pt>
                <pt idx="189">
                  <v>6.097985744</v>
                </pt>
                <pt idx="190">
                  <v>1.581027278</v>
                </pt>
                <pt idx="191">
                  <v>0.859591798</v>
                </pt>
                <pt idx="192">
                  <v>0.554426865</v>
                </pt>
                <pt idx="193">
                  <v>194.8281395</v>
                </pt>
                <pt idx="194">
                  <v>3.146987088</v>
                </pt>
                <pt idx="195">
                  <v>0.808417346</v>
                </pt>
                <pt idx="196">
                  <v>3.692751167</v>
                </pt>
                <pt idx="197">
                  <v>3.195140696</v>
                </pt>
                <pt idx="198">
                  <v>1.132211862</v>
                </pt>
                <pt idx="199">
                  <v>0.618983255</v>
                </pt>
                <pt idx="200">
                  <v>0.388527965</v>
                </pt>
                <pt idx="201">
                  <v>0.280354681</v>
                </pt>
                <pt idx="202">
                  <v>0.216230525</v>
                </pt>
                <pt idx="203">
                  <v>0.174336364</v>
                </pt>
                <pt idx="204">
                  <v>0.146380007</v>
                </pt>
                <pt idx="205">
                  <v>0.124017842</v>
                </pt>
                <pt idx="206">
                  <v>31.64992142</v>
                </pt>
                <pt idx="207">
                  <v>8.889020892</v>
                </pt>
                <pt idx="208">
                  <v>1.832274363</v>
                </pt>
                <pt idx="209">
                  <v>0.981679219</v>
                </pt>
                <pt idx="210">
                  <v>0.637509523</v>
                </pt>
                <pt idx="211">
                  <v>0.462102059</v>
                </pt>
                <pt idx="212">
                  <v>0.423841143</v>
                </pt>
                <pt idx="213">
                  <v>0.396421612</v>
                </pt>
                <pt idx="214">
                  <v>0.30163519</v>
                </pt>
                <pt idx="215">
                  <v>0.584563758</v>
                </pt>
                <pt idx="216">
                  <v>0.708531358</v>
                </pt>
                <pt idx="217">
                  <v>193.4662743</v>
                </pt>
                <pt idx="218">
                  <v>3.537174879</v>
                </pt>
                <pt idx="219">
                  <v>0.601914985</v>
                </pt>
                <pt idx="220">
                  <v>0.163423956</v>
                </pt>
                <pt idx="221">
                  <v>0.0434</v>
                </pt>
                <pt idx="222">
                  <v>0.00975</v>
                </pt>
                <pt idx="223">
                  <v>0.00141</v>
                </pt>
                <pt idx="224">
                  <v>0.000117</v>
                </pt>
                <pt idx="225">
                  <v>8.27e-06</v>
                </pt>
                <pt idx="226">
                  <v>4.22e-07</v>
                </pt>
                <pt idx="227">
                  <v>0.168373714</v>
                </pt>
                <pt idx="228">
                  <v>0.763142107</v>
                </pt>
                <pt idx="229">
                  <v>0.09180000000000001</v>
                </pt>
                <pt idx="230">
                  <v>0.00737</v>
                </pt>
                <pt idx="231">
                  <v>0.000302</v>
                </pt>
                <pt idx="232">
                  <v>6.57e-06</v>
                </pt>
                <pt idx="233">
                  <v>8.99e-08</v>
                </pt>
                <pt idx="234">
                  <v>9.29e-10</v>
                </pt>
                <pt idx="235">
                  <v>9.289999999999999e-12</v>
                </pt>
                <pt idx="236">
                  <v>1.23e-14</v>
                </pt>
                <pt idx="237">
                  <v>1.25e-19</v>
                </pt>
                <pt idx="238">
                  <v>0</v>
                </pt>
                <pt idx="239">
                  <v>2.28e-09</v>
                </pt>
                <pt idx="240">
                  <v>1.41e-08</v>
                </pt>
                <pt idx="241">
                  <v>7.36e-11</v>
                </pt>
                <pt idx="242">
                  <v>3.29e-13</v>
                </pt>
                <pt idx="243">
                  <v>1.01e-14</v>
                </pt>
                <pt idx="244">
                  <v>2.28e-19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0.022</v>
                </pt>
                <pt idx="259">
                  <v>0.134740747</v>
                </pt>
                <pt idx="260">
                  <v>0.0188</v>
                </pt>
                <pt idx="261">
                  <v>0.00448</v>
                </pt>
                <pt idx="262">
                  <v>0.182712885</v>
                </pt>
                <pt idx="263">
                  <v>0.509666716</v>
                </pt>
                <pt idx="264">
                  <v>0.09030000000000001</v>
                </pt>
                <pt idx="265">
                  <v>0.0125</v>
                </pt>
                <pt idx="266">
                  <v>0.0011</v>
                </pt>
                <pt idx="267">
                  <v>6.42e-05</v>
                </pt>
                <pt idx="268">
                  <v>1.346576187</v>
                </pt>
                <pt idx="269">
                  <v>3.375033815</v>
                </pt>
                <pt idx="270">
                  <v>0.617463648</v>
                </pt>
                <pt idx="271">
                  <v>0.12031745</v>
                </pt>
                <pt idx="272">
                  <v>0.0167</v>
                </pt>
                <pt idx="273">
                  <v>0.00171</v>
                </pt>
                <pt idx="274">
                  <v>0.000113</v>
                </pt>
                <pt idx="275">
                  <v>8.04e-05</v>
                </pt>
                <pt idx="276">
                  <v>13.07853725</v>
                </pt>
                <pt idx="277">
                  <v>8.372190822</v>
                </pt>
                <pt idx="278">
                  <v>5.286463877</v>
                </pt>
                <pt idx="279">
                  <v>2.982481079</v>
                </pt>
                <pt idx="280">
                  <v>0.690934802</v>
                </pt>
                <pt idx="281">
                  <v>0.213204445</v>
                </pt>
                <pt idx="282">
                  <v>0.0631</v>
                </pt>
                <pt idx="283">
                  <v>0.0175</v>
                </pt>
                <pt idx="284">
                  <v>0.00397</v>
                </pt>
                <pt idx="285">
                  <v>0.000739</v>
                </pt>
                <pt idx="286">
                  <v>0.00012</v>
                </pt>
                <pt idx="287">
                  <v>2e-05</v>
                </pt>
                <pt idx="288">
                  <v>3.74e-06</v>
                </pt>
                <pt idx="289">
                  <v>6.74e-07</v>
                </pt>
                <pt idx="290">
                  <v>1.24e-07</v>
                </pt>
                <pt idx="291">
                  <v>2.37e-08</v>
                </pt>
                <pt idx="292">
                  <v>5.71e-09</v>
                </pt>
                <pt idx="293">
                  <v>1.09e-07</v>
                </pt>
                <pt idx="294">
                  <v>3.43e-07</v>
                </pt>
                <pt idx="295">
                  <v>9.85e-08</v>
                </pt>
                <pt idx="296">
                  <v>2.77e-08</v>
                </pt>
                <pt idx="297">
                  <v>7.03e-09</v>
                </pt>
                <pt idx="298">
                  <v>1.87e-09</v>
                </pt>
                <pt idx="299">
                  <v>6.64e-10</v>
                </pt>
                <pt idx="300">
                  <v>3.14e-10</v>
                </pt>
                <pt idx="301">
                  <v>7.28e-11</v>
                </pt>
                <pt idx="302">
                  <v>1.37e-09</v>
                </pt>
                <pt idx="303">
                  <v>5.65e-09</v>
                </pt>
                <pt idx="304">
                  <v>6.767787016</v>
                </pt>
                <pt idx="305">
                  <v>8.731720599999999</v>
                </pt>
                <pt idx="306">
                  <v>10.21324818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6"/>
          <order val="4"/>
          <tx>
            <v>Risalita capillare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secondo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secondo strato'!$D$2:$D$366</f>
              <numCache>
                <formatCode>General</formatCode>
                <ptCount val="36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0704384"/>
        <axId val="630704960"/>
      </lineChart>
      <lineChart>
        <grouping val="standard"/>
        <varyColors val="0"/>
        <ser>
          <idx val="7"/>
          <order val="7"/>
          <tx>
            <v>Traspirazione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secondo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secondo strato'!$E$2:$E$366</f>
              <numCache>
                <formatCode>General</formatCode>
                <ptCount val="36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0.27717725</v>
                </pt>
                <pt idx="93">
                  <v>0.490676116</v>
                </pt>
                <pt idx="94">
                  <v>0.4881839</v>
                </pt>
                <pt idx="95">
                  <v>0.499120909</v>
                </pt>
                <pt idx="96">
                  <v>0.543823631</v>
                </pt>
                <pt idx="97">
                  <v>0.5177821339999999</v>
                </pt>
                <pt idx="98">
                  <v>0.345216708</v>
                </pt>
                <pt idx="99">
                  <v>0.292200224</v>
                </pt>
                <pt idx="100">
                  <v>0.161980992</v>
                </pt>
                <pt idx="101">
                  <v>0.157852272</v>
                </pt>
                <pt idx="102">
                  <v>0.399976033</v>
                </pt>
                <pt idx="103">
                  <v>0.466049405</v>
                </pt>
                <pt idx="104">
                  <v>0.373787174</v>
                </pt>
                <pt idx="105">
                  <v>0.433909239</v>
                </pt>
                <pt idx="106">
                  <v>0.466879957</v>
                </pt>
                <pt idx="107">
                  <v>0.448719214</v>
                </pt>
                <pt idx="108">
                  <v>0.487670139</v>
                </pt>
                <pt idx="109">
                  <v>0.57058262</v>
                </pt>
                <pt idx="110">
                  <v>0.553546328</v>
                </pt>
                <pt idx="111">
                  <v>0.5299537560000001</v>
                </pt>
                <pt idx="112">
                  <v>0.571989869</v>
                </pt>
                <pt idx="113">
                  <v>0.628869991</v>
                </pt>
                <pt idx="114">
                  <v>0.6587465260000001</v>
                </pt>
                <pt idx="115">
                  <v>0.269525207</v>
                </pt>
                <pt idx="116">
                  <v>0.278567726</v>
                </pt>
                <pt idx="117">
                  <v>0.43077382</v>
                </pt>
                <pt idx="118">
                  <v>0.19496693</v>
                </pt>
                <pt idx="119">
                  <v>0.328210969</v>
                </pt>
                <pt idx="120">
                  <v>0.250458996</v>
                </pt>
                <pt idx="121">
                  <v>0.627698234</v>
                </pt>
                <pt idx="122">
                  <v>0.695907604</v>
                </pt>
                <pt idx="123">
                  <v>0.818031726</v>
                </pt>
                <pt idx="124">
                  <v>0.7418594670000001</v>
                </pt>
                <pt idx="125">
                  <v>0.878539001</v>
                </pt>
                <pt idx="126">
                  <v>1.290237518</v>
                </pt>
                <pt idx="127">
                  <v>1.145572698</v>
                </pt>
                <pt idx="128">
                  <v>1.222724285</v>
                </pt>
                <pt idx="129">
                  <v>1.221459716</v>
                </pt>
                <pt idx="130">
                  <v>0.58770123</v>
                </pt>
                <pt idx="131">
                  <v>1.567219278</v>
                </pt>
                <pt idx="132">
                  <v>1.631532327</v>
                </pt>
                <pt idx="133">
                  <v>1.407662757</v>
                </pt>
                <pt idx="134">
                  <v>1.27909189</v>
                </pt>
                <pt idx="135">
                  <v>0.844713607</v>
                </pt>
                <pt idx="136">
                  <v>2.496589046</v>
                </pt>
                <pt idx="137">
                  <v>2.272061168</v>
                </pt>
                <pt idx="138">
                  <v>2.479187672</v>
                </pt>
                <pt idx="139">
                  <v>2.645049174</v>
                </pt>
                <pt idx="140">
                  <v>2.476713452</v>
                </pt>
                <pt idx="141">
                  <v>1.751353042</v>
                </pt>
                <pt idx="142">
                  <v>2.90765359</v>
                </pt>
                <pt idx="143">
                  <v>0.790684319</v>
                </pt>
                <pt idx="144">
                  <v>3.311617921</v>
                </pt>
                <pt idx="145">
                  <v>3.087701599</v>
                </pt>
                <pt idx="146">
                  <v>3.399190515</v>
                </pt>
                <pt idx="147">
                  <v>3.527449986</v>
                </pt>
                <pt idx="148">
                  <v>3.66036029</v>
                </pt>
                <pt idx="149">
                  <v>4.027380815</v>
                </pt>
                <pt idx="150">
                  <v>3.641730435</v>
                </pt>
                <pt idx="151">
                  <v>4.170162838</v>
                </pt>
                <pt idx="152">
                  <v>3.715766055</v>
                </pt>
                <pt idx="153">
                  <v>4.570619636</v>
                </pt>
                <pt idx="154">
                  <v>4.660419611</v>
                </pt>
                <pt idx="155">
                  <v>3.559426775</v>
                </pt>
                <pt idx="156">
                  <v>4.847867833</v>
                </pt>
                <pt idx="157">
                  <v>3.564305765</v>
                </pt>
                <pt idx="158">
                  <v>3.900631389</v>
                </pt>
                <pt idx="159">
                  <v>5.15439565</v>
                </pt>
                <pt idx="160">
                  <v>5.361383018</v>
                </pt>
                <pt idx="161">
                  <v>5.475737658</v>
                </pt>
                <pt idx="162">
                  <v>5.894679496</v>
                </pt>
                <pt idx="163">
                  <v>7.01817876</v>
                </pt>
                <pt idx="164">
                  <v>6.525348492</v>
                </pt>
                <pt idx="165">
                  <v>6.354210988</v>
                </pt>
                <pt idx="166">
                  <v>5.052998965</v>
                </pt>
                <pt idx="167">
                  <v>5.70919068</v>
                </pt>
                <pt idx="168">
                  <v>6.269610391</v>
                </pt>
                <pt idx="169">
                  <v>5.456134275</v>
                </pt>
                <pt idx="170">
                  <v>4.427973706</v>
                </pt>
                <pt idx="171">
                  <v>5.90452152</v>
                </pt>
                <pt idx="172">
                  <v>6.181743785</v>
                </pt>
                <pt idx="173">
                  <v>5.522531822</v>
                </pt>
                <pt idx="174">
                  <v>5.830809601</v>
                </pt>
                <pt idx="175">
                  <v>6.49290648</v>
                </pt>
                <pt idx="176">
                  <v>6.021693828</v>
                </pt>
                <pt idx="177">
                  <v>5.906170332</v>
                </pt>
                <pt idx="178">
                  <v>6.432304045</v>
                </pt>
                <pt idx="179">
                  <v>6.536598484</v>
                </pt>
                <pt idx="180">
                  <v>6.064881388</v>
                </pt>
                <pt idx="181">
                  <v>6.778935387</v>
                </pt>
                <pt idx="182">
                  <v>6.214303467</v>
                </pt>
                <pt idx="183">
                  <v>4.894445577</v>
                </pt>
                <pt idx="184">
                  <v>2.611030371</v>
                </pt>
                <pt idx="185">
                  <v>5.236741023</v>
                </pt>
                <pt idx="186">
                  <v>5.913654184</v>
                </pt>
                <pt idx="187">
                  <v>6.181076961</v>
                </pt>
                <pt idx="188">
                  <v>4.506748004</v>
                </pt>
                <pt idx="189">
                  <v>6.4741227</v>
                </pt>
                <pt idx="190">
                  <v>5.963379677</v>
                </pt>
                <pt idx="191">
                  <v>6.31140703</v>
                </pt>
                <pt idx="192">
                  <v>5.546185833</v>
                </pt>
                <pt idx="193">
                  <v>5.254694986</v>
                </pt>
                <pt idx="194">
                  <v>4.495018028</v>
                </pt>
                <pt idx="195">
                  <v>4.154409943</v>
                </pt>
                <pt idx="196">
                  <v>5.136056296</v>
                </pt>
                <pt idx="197">
                  <v>4.960922001</v>
                </pt>
                <pt idx="198">
                  <v>5.062459475</v>
                </pt>
                <pt idx="199">
                  <v>6.484666085</v>
                </pt>
                <pt idx="200">
                  <v>6.357589252</v>
                </pt>
                <pt idx="201">
                  <v>5.907154986</v>
                </pt>
                <pt idx="202">
                  <v>6.008059836</v>
                </pt>
                <pt idx="203">
                  <v>5.500232858</v>
                </pt>
                <pt idx="204">
                  <v>5.345773203</v>
                </pt>
                <pt idx="205">
                  <v>4.957119748</v>
                </pt>
                <pt idx="206">
                  <v>3.995774328</v>
                </pt>
                <pt idx="207">
                  <v>4.325533137</v>
                </pt>
                <pt idx="208">
                  <v>4.182324472</v>
                </pt>
                <pt idx="209">
                  <v>5.706037191</v>
                </pt>
                <pt idx="210">
                  <v>4.926541812</v>
                </pt>
                <pt idx="211">
                  <v>4.969531612</v>
                </pt>
                <pt idx="212">
                  <v>3.924048186</v>
                </pt>
                <pt idx="213">
                  <v>4.817269781</v>
                </pt>
                <pt idx="214">
                  <v>4.338808472</v>
                </pt>
                <pt idx="215">
                  <v>2.229207514</v>
                </pt>
                <pt idx="216">
                  <v>5.207727865</v>
                </pt>
                <pt idx="217">
                  <v>4.497225963</v>
                </pt>
                <pt idx="218">
                  <v>3.178657346</v>
                </pt>
                <pt idx="219">
                  <v>3.574601297</v>
                </pt>
                <pt idx="220">
                  <v>3.816637218</v>
                </pt>
                <pt idx="221">
                  <v>3.428478165</v>
                </pt>
                <pt idx="222">
                  <v>3.42353618</v>
                </pt>
                <pt idx="223">
                  <v>3.40277654</v>
                </pt>
                <pt idx="224">
                  <v>3.09466257</v>
                </pt>
                <pt idx="225">
                  <v>2.809794926</v>
                </pt>
                <pt idx="226">
                  <v>2.712372316</v>
                </pt>
                <pt idx="227">
                  <v>2.357961266</v>
                </pt>
                <pt idx="228">
                  <v>2.064704838</v>
                </pt>
                <pt idx="229">
                  <v>1.83306627</v>
                </pt>
                <pt idx="230">
                  <v>1.459865973</v>
                </pt>
                <pt idx="231">
                  <v>1.299160184</v>
                </pt>
                <pt idx="232">
                  <v>1.136079398</v>
                </pt>
                <pt idx="233">
                  <v>0.9058148070000001</v>
                </pt>
                <pt idx="234">
                  <v>0.690914253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ser>
          <idx val="8"/>
          <order val="8"/>
          <tx>
            <v>Percolazione dal secondo strato</v>
          </tx>
          <spPr>
            <a:ln xmlns:a="http://schemas.openxmlformats.org/drawingml/2006/main" w="1905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'Bilancio secondo strato'!$B$2:$B$366</f>
              <numCache>
                <formatCode>m/d/yyyy</formatCode>
                <ptCount val="365"/>
                <pt idx="0">
                  <v>44197</v>
                </pt>
                <pt idx="1">
                  <v>44198</v>
                </pt>
                <pt idx="2">
                  <v>44199</v>
                </pt>
                <pt idx="3">
                  <v>44200</v>
                </pt>
                <pt idx="4">
                  <v>44201</v>
                </pt>
                <pt idx="5">
                  <v>44202</v>
                </pt>
                <pt idx="6">
                  <v>44203</v>
                </pt>
                <pt idx="7">
                  <v>44204</v>
                </pt>
                <pt idx="8">
                  <v>44205</v>
                </pt>
                <pt idx="9">
                  <v>44206</v>
                </pt>
                <pt idx="10">
                  <v>44207</v>
                </pt>
                <pt idx="11">
                  <v>44208</v>
                </pt>
                <pt idx="12">
                  <v>44209</v>
                </pt>
                <pt idx="13">
                  <v>44210</v>
                </pt>
                <pt idx="14">
                  <v>44211</v>
                </pt>
                <pt idx="15">
                  <v>44212</v>
                </pt>
                <pt idx="16">
                  <v>44213</v>
                </pt>
                <pt idx="17">
                  <v>44214</v>
                </pt>
                <pt idx="18">
                  <v>44215</v>
                </pt>
                <pt idx="19">
                  <v>44216</v>
                </pt>
                <pt idx="20">
                  <v>44217</v>
                </pt>
                <pt idx="21">
                  <v>44218</v>
                </pt>
                <pt idx="22">
                  <v>44219</v>
                </pt>
                <pt idx="23">
                  <v>44220</v>
                </pt>
                <pt idx="24">
                  <v>44221</v>
                </pt>
                <pt idx="25">
                  <v>44222</v>
                </pt>
                <pt idx="26">
                  <v>44223</v>
                </pt>
                <pt idx="27">
                  <v>44224</v>
                </pt>
                <pt idx="28">
                  <v>44225</v>
                </pt>
                <pt idx="29">
                  <v>44226</v>
                </pt>
                <pt idx="30">
                  <v>44227</v>
                </pt>
                <pt idx="31">
                  <v>44228</v>
                </pt>
                <pt idx="32">
                  <v>44229</v>
                </pt>
                <pt idx="33">
                  <v>44230</v>
                </pt>
                <pt idx="34">
                  <v>44231</v>
                </pt>
                <pt idx="35">
                  <v>44232</v>
                </pt>
                <pt idx="36">
                  <v>44233</v>
                </pt>
                <pt idx="37">
                  <v>44234</v>
                </pt>
                <pt idx="38">
                  <v>44235</v>
                </pt>
                <pt idx="39">
                  <v>44236</v>
                </pt>
                <pt idx="40">
                  <v>44237</v>
                </pt>
                <pt idx="41">
                  <v>44238</v>
                </pt>
                <pt idx="42">
                  <v>44239</v>
                </pt>
                <pt idx="43">
                  <v>44240</v>
                </pt>
                <pt idx="44">
                  <v>44241</v>
                </pt>
                <pt idx="45">
                  <v>44242</v>
                </pt>
                <pt idx="46">
                  <v>44243</v>
                </pt>
                <pt idx="47">
                  <v>44244</v>
                </pt>
                <pt idx="48">
                  <v>44245</v>
                </pt>
                <pt idx="49">
                  <v>44246</v>
                </pt>
                <pt idx="50">
                  <v>44247</v>
                </pt>
                <pt idx="51">
                  <v>44248</v>
                </pt>
                <pt idx="52">
                  <v>44249</v>
                </pt>
                <pt idx="53">
                  <v>44250</v>
                </pt>
                <pt idx="54">
                  <v>44251</v>
                </pt>
                <pt idx="55">
                  <v>44252</v>
                </pt>
                <pt idx="56">
                  <v>44253</v>
                </pt>
                <pt idx="57">
                  <v>44254</v>
                </pt>
                <pt idx="58">
                  <v>44255</v>
                </pt>
                <pt idx="59">
                  <v>44256</v>
                </pt>
                <pt idx="60">
                  <v>44257</v>
                </pt>
                <pt idx="61">
                  <v>44258</v>
                </pt>
                <pt idx="62">
                  <v>44259</v>
                </pt>
                <pt idx="63">
                  <v>44260</v>
                </pt>
                <pt idx="64">
                  <v>44261</v>
                </pt>
                <pt idx="65">
                  <v>44262</v>
                </pt>
                <pt idx="66">
                  <v>44263</v>
                </pt>
                <pt idx="67">
                  <v>44264</v>
                </pt>
                <pt idx="68">
                  <v>44265</v>
                </pt>
                <pt idx="69">
                  <v>44266</v>
                </pt>
                <pt idx="70">
                  <v>44267</v>
                </pt>
                <pt idx="71">
                  <v>44268</v>
                </pt>
                <pt idx="72">
                  <v>44269</v>
                </pt>
                <pt idx="73">
                  <v>44270</v>
                </pt>
                <pt idx="74">
                  <v>44271</v>
                </pt>
                <pt idx="75">
                  <v>44272</v>
                </pt>
                <pt idx="76">
                  <v>44273</v>
                </pt>
                <pt idx="77">
                  <v>44274</v>
                </pt>
                <pt idx="78">
                  <v>44275</v>
                </pt>
                <pt idx="79">
                  <v>44276</v>
                </pt>
                <pt idx="80">
                  <v>44277</v>
                </pt>
                <pt idx="81">
                  <v>44278</v>
                </pt>
                <pt idx="82">
                  <v>44279</v>
                </pt>
                <pt idx="83">
                  <v>44280</v>
                </pt>
                <pt idx="84">
                  <v>44281</v>
                </pt>
                <pt idx="85">
                  <v>44282</v>
                </pt>
                <pt idx="86">
                  <v>44283</v>
                </pt>
                <pt idx="87">
                  <v>44284</v>
                </pt>
                <pt idx="88">
                  <v>44285</v>
                </pt>
                <pt idx="89">
                  <v>44286</v>
                </pt>
                <pt idx="90">
                  <v>44287</v>
                </pt>
                <pt idx="91">
                  <v>44288</v>
                </pt>
                <pt idx="92">
                  <v>44289</v>
                </pt>
                <pt idx="93">
                  <v>44290</v>
                </pt>
                <pt idx="94">
                  <v>44291</v>
                </pt>
                <pt idx="95">
                  <v>44292</v>
                </pt>
                <pt idx="96">
                  <v>44293</v>
                </pt>
                <pt idx="97">
                  <v>44294</v>
                </pt>
                <pt idx="98">
                  <v>44295</v>
                </pt>
                <pt idx="99">
                  <v>44296</v>
                </pt>
                <pt idx="100">
                  <v>44297</v>
                </pt>
                <pt idx="101">
                  <v>44298</v>
                </pt>
                <pt idx="102">
                  <v>44299</v>
                </pt>
                <pt idx="103">
                  <v>44300</v>
                </pt>
                <pt idx="104">
                  <v>44301</v>
                </pt>
                <pt idx="105">
                  <v>44302</v>
                </pt>
                <pt idx="106">
                  <v>44303</v>
                </pt>
                <pt idx="107">
                  <v>44304</v>
                </pt>
                <pt idx="108">
                  <v>44305</v>
                </pt>
                <pt idx="109">
                  <v>44306</v>
                </pt>
                <pt idx="110">
                  <v>44307</v>
                </pt>
                <pt idx="111">
                  <v>44308</v>
                </pt>
                <pt idx="112">
                  <v>44309</v>
                </pt>
                <pt idx="113">
                  <v>44310</v>
                </pt>
                <pt idx="114">
                  <v>44311</v>
                </pt>
                <pt idx="115">
                  <v>44312</v>
                </pt>
                <pt idx="116">
                  <v>44313</v>
                </pt>
                <pt idx="117">
                  <v>44314</v>
                </pt>
                <pt idx="118">
                  <v>44315</v>
                </pt>
                <pt idx="119">
                  <v>44316</v>
                </pt>
                <pt idx="120">
                  <v>44317</v>
                </pt>
                <pt idx="121">
                  <v>44318</v>
                </pt>
                <pt idx="122">
                  <v>44319</v>
                </pt>
                <pt idx="123">
                  <v>44320</v>
                </pt>
                <pt idx="124">
                  <v>44321</v>
                </pt>
                <pt idx="125">
                  <v>44322</v>
                </pt>
                <pt idx="126">
                  <v>44323</v>
                </pt>
                <pt idx="127">
                  <v>44324</v>
                </pt>
                <pt idx="128">
                  <v>44325</v>
                </pt>
                <pt idx="129">
                  <v>44326</v>
                </pt>
                <pt idx="130">
                  <v>44327</v>
                </pt>
                <pt idx="131">
                  <v>44328</v>
                </pt>
                <pt idx="132">
                  <v>44329</v>
                </pt>
                <pt idx="133">
                  <v>44330</v>
                </pt>
                <pt idx="134">
                  <v>44331</v>
                </pt>
                <pt idx="135">
                  <v>44332</v>
                </pt>
                <pt idx="136">
                  <v>44333</v>
                </pt>
                <pt idx="137">
                  <v>44334</v>
                </pt>
                <pt idx="138">
                  <v>44335</v>
                </pt>
                <pt idx="139">
                  <v>44336</v>
                </pt>
                <pt idx="140">
                  <v>44337</v>
                </pt>
                <pt idx="141">
                  <v>44338</v>
                </pt>
                <pt idx="142">
                  <v>44339</v>
                </pt>
                <pt idx="143">
                  <v>44340</v>
                </pt>
                <pt idx="144">
                  <v>44341</v>
                </pt>
                <pt idx="145">
                  <v>44342</v>
                </pt>
                <pt idx="146">
                  <v>44343</v>
                </pt>
                <pt idx="147">
                  <v>44344</v>
                </pt>
                <pt idx="148">
                  <v>44345</v>
                </pt>
                <pt idx="149">
                  <v>44346</v>
                </pt>
                <pt idx="150">
                  <v>44347</v>
                </pt>
                <pt idx="151">
                  <v>44348</v>
                </pt>
                <pt idx="152">
                  <v>44349</v>
                </pt>
                <pt idx="153">
                  <v>44350</v>
                </pt>
                <pt idx="154">
                  <v>44351</v>
                </pt>
                <pt idx="155">
                  <v>44352</v>
                </pt>
                <pt idx="156">
                  <v>44353</v>
                </pt>
                <pt idx="157">
                  <v>44354</v>
                </pt>
                <pt idx="158">
                  <v>44355</v>
                </pt>
                <pt idx="159">
                  <v>44356</v>
                </pt>
                <pt idx="160">
                  <v>44357</v>
                </pt>
                <pt idx="161">
                  <v>44358</v>
                </pt>
                <pt idx="162">
                  <v>44359</v>
                </pt>
                <pt idx="163">
                  <v>44360</v>
                </pt>
                <pt idx="164">
                  <v>44361</v>
                </pt>
                <pt idx="165">
                  <v>44362</v>
                </pt>
                <pt idx="166">
                  <v>44363</v>
                </pt>
                <pt idx="167">
                  <v>44364</v>
                </pt>
                <pt idx="168">
                  <v>44365</v>
                </pt>
                <pt idx="169">
                  <v>44366</v>
                </pt>
                <pt idx="170">
                  <v>44367</v>
                </pt>
                <pt idx="171">
                  <v>44368</v>
                </pt>
                <pt idx="172">
                  <v>44369</v>
                </pt>
                <pt idx="173">
                  <v>44370</v>
                </pt>
                <pt idx="174">
                  <v>44371</v>
                </pt>
                <pt idx="175">
                  <v>44372</v>
                </pt>
                <pt idx="176">
                  <v>44373</v>
                </pt>
                <pt idx="177">
                  <v>44374</v>
                </pt>
                <pt idx="178">
                  <v>44375</v>
                </pt>
                <pt idx="179">
                  <v>44376</v>
                </pt>
                <pt idx="180">
                  <v>44377</v>
                </pt>
                <pt idx="181">
                  <v>44378</v>
                </pt>
                <pt idx="182">
                  <v>44379</v>
                </pt>
                <pt idx="183">
                  <v>44380</v>
                </pt>
                <pt idx="184">
                  <v>44381</v>
                </pt>
                <pt idx="185">
                  <v>44382</v>
                </pt>
                <pt idx="186">
                  <v>44383</v>
                </pt>
                <pt idx="187">
                  <v>44384</v>
                </pt>
                <pt idx="188">
                  <v>44385</v>
                </pt>
                <pt idx="189">
                  <v>44386</v>
                </pt>
                <pt idx="190">
                  <v>44387</v>
                </pt>
                <pt idx="191">
                  <v>44388</v>
                </pt>
                <pt idx="192">
                  <v>44389</v>
                </pt>
                <pt idx="193">
                  <v>44390</v>
                </pt>
                <pt idx="194">
                  <v>44391</v>
                </pt>
                <pt idx="195">
                  <v>44392</v>
                </pt>
                <pt idx="196">
                  <v>44393</v>
                </pt>
                <pt idx="197">
                  <v>44394</v>
                </pt>
                <pt idx="198">
                  <v>44395</v>
                </pt>
                <pt idx="199">
                  <v>44396</v>
                </pt>
                <pt idx="200">
                  <v>44397</v>
                </pt>
                <pt idx="201">
                  <v>44398</v>
                </pt>
                <pt idx="202">
                  <v>44399</v>
                </pt>
                <pt idx="203">
                  <v>44400</v>
                </pt>
                <pt idx="204">
                  <v>44401</v>
                </pt>
                <pt idx="205">
                  <v>44402</v>
                </pt>
                <pt idx="206">
                  <v>44403</v>
                </pt>
                <pt idx="207">
                  <v>44404</v>
                </pt>
                <pt idx="208">
                  <v>44405</v>
                </pt>
                <pt idx="209">
                  <v>44406</v>
                </pt>
                <pt idx="210">
                  <v>44407</v>
                </pt>
                <pt idx="211">
                  <v>44408</v>
                </pt>
                <pt idx="212">
                  <v>44409</v>
                </pt>
                <pt idx="213">
                  <v>44410</v>
                </pt>
                <pt idx="214">
                  <v>44411</v>
                </pt>
                <pt idx="215">
                  <v>44412</v>
                </pt>
                <pt idx="216">
                  <v>44413</v>
                </pt>
                <pt idx="217">
                  <v>44414</v>
                </pt>
                <pt idx="218">
                  <v>44415</v>
                </pt>
                <pt idx="219">
                  <v>44416</v>
                </pt>
                <pt idx="220">
                  <v>44417</v>
                </pt>
                <pt idx="221">
                  <v>44418</v>
                </pt>
                <pt idx="222">
                  <v>44419</v>
                </pt>
                <pt idx="223">
                  <v>44420</v>
                </pt>
                <pt idx="224">
                  <v>44421</v>
                </pt>
                <pt idx="225">
                  <v>44422</v>
                </pt>
                <pt idx="226">
                  <v>44423</v>
                </pt>
                <pt idx="227">
                  <v>44424</v>
                </pt>
                <pt idx="228">
                  <v>44425</v>
                </pt>
                <pt idx="229">
                  <v>44426</v>
                </pt>
                <pt idx="230">
                  <v>44427</v>
                </pt>
                <pt idx="231">
                  <v>44428</v>
                </pt>
                <pt idx="232">
                  <v>44429</v>
                </pt>
                <pt idx="233">
                  <v>44430</v>
                </pt>
                <pt idx="234">
                  <v>44431</v>
                </pt>
                <pt idx="235">
                  <v>44432</v>
                </pt>
                <pt idx="236">
                  <v>44433</v>
                </pt>
                <pt idx="237">
                  <v>44434</v>
                </pt>
                <pt idx="238">
                  <v>44435</v>
                </pt>
                <pt idx="239">
                  <v>44436</v>
                </pt>
                <pt idx="240">
                  <v>44437</v>
                </pt>
                <pt idx="241">
                  <v>44438</v>
                </pt>
                <pt idx="242">
                  <v>44439</v>
                </pt>
                <pt idx="243">
                  <v>44440</v>
                </pt>
                <pt idx="244">
                  <v>44441</v>
                </pt>
                <pt idx="245">
                  <v>44442</v>
                </pt>
                <pt idx="246">
                  <v>44443</v>
                </pt>
                <pt idx="247">
                  <v>44444</v>
                </pt>
                <pt idx="248">
                  <v>44445</v>
                </pt>
                <pt idx="249">
                  <v>44446</v>
                </pt>
                <pt idx="250">
                  <v>44447</v>
                </pt>
                <pt idx="251">
                  <v>44448</v>
                </pt>
                <pt idx="252">
                  <v>44449</v>
                </pt>
                <pt idx="253">
                  <v>44450</v>
                </pt>
                <pt idx="254">
                  <v>44451</v>
                </pt>
                <pt idx="255">
                  <v>44452</v>
                </pt>
                <pt idx="256">
                  <v>44453</v>
                </pt>
                <pt idx="257">
                  <v>44454</v>
                </pt>
                <pt idx="258">
                  <v>44455</v>
                </pt>
                <pt idx="259">
                  <v>44456</v>
                </pt>
                <pt idx="260">
                  <v>44457</v>
                </pt>
                <pt idx="261">
                  <v>44458</v>
                </pt>
                <pt idx="262">
                  <v>44459</v>
                </pt>
                <pt idx="263">
                  <v>44460</v>
                </pt>
                <pt idx="264">
                  <v>44461</v>
                </pt>
                <pt idx="265">
                  <v>44462</v>
                </pt>
                <pt idx="266">
                  <v>44463</v>
                </pt>
                <pt idx="267">
                  <v>44464</v>
                </pt>
                <pt idx="268">
                  <v>44465</v>
                </pt>
                <pt idx="269">
                  <v>44466</v>
                </pt>
                <pt idx="270">
                  <v>44467</v>
                </pt>
                <pt idx="271">
                  <v>44468</v>
                </pt>
                <pt idx="272">
                  <v>44469</v>
                </pt>
                <pt idx="273">
                  <v>44470</v>
                </pt>
                <pt idx="274">
                  <v>44471</v>
                </pt>
                <pt idx="275">
                  <v>44472</v>
                </pt>
                <pt idx="276">
                  <v>44473</v>
                </pt>
                <pt idx="277">
                  <v>44474</v>
                </pt>
                <pt idx="278">
                  <v>44475</v>
                </pt>
                <pt idx="279">
                  <v>44476</v>
                </pt>
                <pt idx="280">
                  <v>44477</v>
                </pt>
                <pt idx="281">
                  <v>44478</v>
                </pt>
                <pt idx="282">
                  <v>44479</v>
                </pt>
                <pt idx="283">
                  <v>44480</v>
                </pt>
                <pt idx="284">
                  <v>44481</v>
                </pt>
                <pt idx="285">
                  <v>44482</v>
                </pt>
                <pt idx="286">
                  <v>44483</v>
                </pt>
                <pt idx="287">
                  <v>44484</v>
                </pt>
                <pt idx="288">
                  <v>44485</v>
                </pt>
                <pt idx="289">
                  <v>44486</v>
                </pt>
                <pt idx="290">
                  <v>44487</v>
                </pt>
                <pt idx="291">
                  <v>44488</v>
                </pt>
                <pt idx="292">
                  <v>44489</v>
                </pt>
                <pt idx="293">
                  <v>44490</v>
                </pt>
                <pt idx="294">
                  <v>44491</v>
                </pt>
                <pt idx="295">
                  <v>44492</v>
                </pt>
                <pt idx="296">
                  <v>44493</v>
                </pt>
                <pt idx="297">
                  <v>44494</v>
                </pt>
                <pt idx="298">
                  <v>44495</v>
                </pt>
                <pt idx="299">
                  <v>44496</v>
                </pt>
                <pt idx="300">
                  <v>44497</v>
                </pt>
                <pt idx="301">
                  <v>44498</v>
                </pt>
                <pt idx="302">
                  <v>44499</v>
                </pt>
                <pt idx="303">
                  <v>44500</v>
                </pt>
                <pt idx="304">
                  <v>44501</v>
                </pt>
                <pt idx="305">
                  <v>44502</v>
                </pt>
                <pt idx="306">
                  <v>44503</v>
                </pt>
                <pt idx="307">
                  <v>44504</v>
                </pt>
                <pt idx="308">
                  <v>44505</v>
                </pt>
                <pt idx="309">
                  <v>44506</v>
                </pt>
                <pt idx="310">
                  <v>44507</v>
                </pt>
                <pt idx="311">
                  <v>44508</v>
                </pt>
                <pt idx="312">
                  <v>44509</v>
                </pt>
                <pt idx="313">
                  <v>44510</v>
                </pt>
                <pt idx="314">
                  <v>44511</v>
                </pt>
                <pt idx="315">
                  <v>44512</v>
                </pt>
                <pt idx="316">
                  <v>44513</v>
                </pt>
                <pt idx="317">
                  <v>44514</v>
                </pt>
                <pt idx="318">
                  <v>44515</v>
                </pt>
                <pt idx="319">
                  <v>44516</v>
                </pt>
                <pt idx="320">
                  <v>44517</v>
                </pt>
                <pt idx="321">
                  <v>44518</v>
                </pt>
                <pt idx="322">
                  <v>44519</v>
                </pt>
                <pt idx="323">
                  <v>44520</v>
                </pt>
                <pt idx="324">
                  <v>44521</v>
                </pt>
                <pt idx="325">
                  <v>44522</v>
                </pt>
                <pt idx="326">
                  <v>44523</v>
                </pt>
                <pt idx="327">
                  <v>44524</v>
                </pt>
                <pt idx="328">
                  <v>44525</v>
                </pt>
                <pt idx="329">
                  <v>44526</v>
                </pt>
                <pt idx="330">
                  <v>44527</v>
                </pt>
                <pt idx="331">
                  <v>44528</v>
                </pt>
                <pt idx="332">
                  <v>44529</v>
                </pt>
                <pt idx="333">
                  <v>44530</v>
                </pt>
                <pt idx="334">
                  <v>44531</v>
                </pt>
                <pt idx="335">
                  <v>44532</v>
                </pt>
                <pt idx="336">
                  <v>44533</v>
                </pt>
                <pt idx="337">
                  <v>44534</v>
                </pt>
                <pt idx="338">
                  <v>44535</v>
                </pt>
                <pt idx="339">
                  <v>44536</v>
                </pt>
                <pt idx="340">
                  <v>44537</v>
                </pt>
                <pt idx="341">
                  <v>44538</v>
                </pt>
                <pt idx="342">
                  <v>44539</v>
                </pt>
                <pt idx="343">
                  <v>44540</v>
                </pt>
                <pt idx="344">
                  <v>44541</v>
                </pt>
                <pt idx="345">
                  <v>44542</v>
                </pt>
                <pt idx="346">
                  <v>44543</v>
                </pt>
                <pt idx="347">
                  <v>44544</v>
                </pt>
                <pt idx="348">
                  <v>44545</v>
                </pt>
                <pt idx="349">
                  <v>44546</v>
                </pt>
                <pt idx="350">
                  <v>44547</v>
                </pt>
                <pt idx="351">
                  <v>44548</v>
                </pt>
                <pt idx="352">
                  <v>44549</v>
                </pt>
                <pt idx="353">
                  <v>44550</v>
                </pt>
                <pt idx="354">
                  <v>44551</v>
                </pt>
                <pt idx="355">
                  <v>44552</v>
                </pt>
                <pt idx="356">
                  <v>44553</v>
                </pt>
                <pt idx="357">
                  <v>44554</v>
                </pt>
                <pt idx="358">
                  <v>44555</v>
                </pt>
                <pt idx="359">
                  <v>44556</v>
                </pt>
                <pt idx="360">
                  <v>44557</v>
                </pt>
                <pt idx="361">
                  <v>44558</v>
                </pt>
                <pt idx="362">
                  <v>44559</v>
                </pt>
                <pt idx="363">
                  <v>44560</v>
                </pt>
                <pt idx="364">
                  <v>44561</v>
                </pt>
              </numCache>
            </numRef>
          </cat>
          <val>
            <numRef>
              <f>'Bilancio secondo strato'!$F$2:$F$366</f>
              <numCache>
                <formatCode>General</formatCode>
                <ptCount val="365"/>
                <pt idx="0">
                  <v>0.21086889</v>
                </pt>
                <pt idx="1">
                  <v>0.364868325</v>
                </pt>
                <pt idx="2">
                  <v>0.67606668</v>
                </pt>
                <pt idx="3">
                  <v>0.907916036</v>
                </pt>
                <pt idx="4">
                  <v>1.217389349</v>
                </pt>
                <pt idx="5">
                  <v>1.549675688</v>
                </pt>
                <pt idx="6">
                  <v>1.616322092</v>
                </pt>
                <pt idx="7">
                  <v>1.581701082</v>
                </pt>
                <pt idx="8">
                  <v>1.543197891</v>
                </pt>
                <pt idx="9">
                  <v>1.47863455</v>
                </pt>
                <pt idx="10">
                  <v>1.400735985</v>
                </pt>
                <pt idx="11">
                  <v>1.322582878</v>
                </pt>
                <pt idx="12">
                  <v>1.2470497</v>
                </pt>
                <pt idx="13">
                  <v>1.174696609</v>
                </pt>
                <pt idx="14">
                  <v>1.107221364</v>
                </pt>
                <pt idx="15">
                  <v>1.04507331</v>
                </pt>
                <pt idx="16">
                  <v>0.988335952</v>
                </pt>
                <pt idx="17">
                  <v>0.93670332</v>
                </pt>
                <pt idx="18">
                  <v>0.889881481</v>
                </pt>
                <pt idx="19">
                  <v>0.848911062</v>
                </pt>
                <pt idx="20">
                  <v>0.839016854</v>
                </pt>
                <pt idx="21">
                  <v>1.150466061</v>
                </pt>
                <pt idx="22">
                  <v>2.03571844</v>
                </pt>
                <pt idx="23">
                  <v>2.714225468</v>
                </pt>
                <pt idx="24">
                  <v>2.626255474</v>
                </pt>
                <pt idx="25">
                  <v>2.395215019</v>
                </pt>
                <pt idx="26">
                  <v>2.156854938</v>
                </pt>
                <pt idx="27">
                  <v>1.94889904</v>
                </pt>
                <pt idx="28">
                  <v>1.772012036</v>
                </pt>
                <pt idx="29">
                  <v>1.621964655</v>
                </pt>
                <pt idx="30">
                  <v>1.499942576</v>
                </pt>
                <pt idx="31">
                  <v>1.414229347</v>
                </pt>
                <pt idx="32">
                  <v>1.334398514</v>
                </pt>
                <pt idx="33">
                  <v>1.334833732</v>
                </pt>
                <pt idx="34">
                  <v>1.72612099</v>
                </pt>
                <pt idx="35">
                  <v>1.820454141</v>
                </pt>
                <pt idx="36">
                  <v>1.759260403</v>
                </pt>
                <pt idx="37">
                  <v>1.871235867</v>
                </pt>
                <pt idx="38">
                  <v>2.625556336</v>
                </pt>
                <pt idx="39">
                  <v>2.608628421</v>
                </pt>
                <pt idx="40">
                  <v>2.708845926</v>
                </pt>
                <pt idx="41">
                  <v>3.207466153</v>
                </pt>
                <pt idx="42">
                  <v>3.028513179</v>
                </pt>
                <pt idx="43">
                  <v>2.710465058</v>
                </pt>
                <pt idx="44">
                  <v>2.414540398</v>
                </pt>
                <pt idx="45">
                  <v>2.160539914</v>
                </pt>
                <pt idx="46">
                  <v>1.946826523</v>
                </pt>
                <pt idx="47">
                  <v>1.765346451</v>
                </pt>
                <pt idx="48">
                  <v>1.611839693</v>
                </pt>
                <pt idx="49">
                  <v>1.481527836</v>
                </pt>
                <pt idx="50">
                  <v>1.369394778</v>
                </pt>
                <pt idx="51">
                  <v>1.271911353</v>
                </pt>
                <pt idx="52">
                  <v>1.186500724</v>
                </pt>
                <pt idx="53">
                  <v>1.111186803</v>
                </pt>
                <pt idx="54">
                  <v>1.044351149</v>
                </pt>
                <pt idx="55">
                  <v>0.984683784</v>
                </pt>
                <pt idx="56">
                  <v>0.931118695</v>
                </pt>
                <pt idx="57">
                  <v>0.882783362</v>
                </pt>
                <pt idx="58">
                  <v>0.83896109</v>
                </pt>
                <pt idx="59">
                  <v>0.799059039</v>
                </pt>
                <pt idx="60">
                  <v>0.762582923</v>
                </pt>
                <pt idx="61">
                  <v>0.72911748</v>
                </pt>
                <pt idx="62">
                  <v>0.698311378</v>
                </pt>
                <pt idx="63">
                  <v>0.669865424</v>
                </pt>
                <pt idx="64">
                  <v>0.64352329</v>
                </pt>
                <pt idx="65">
                  <v>0.619064143</v>
                </pt>
                <pt idx="66">
                  <v>0.596296733</v>
                </pt>
                <pt idx="67">
                  <v>0.575054631</v>
                </pt>
                <pt idx="68">
                  <v>0.5551923479999999</v>
                </pt>
                <pt idx="69">
                  <v>0.536582158</v>
                </pt>
                <pt idx="70">
                  <v>0.519111484</v>
                </pt>
                <pt idx="71">
                  <v>0.502680729</v>
                </pt>
                <pt idx="72">
                  <v>0.487201465</v>
                </pt>
                <pt idx="73">
                  <v>0.472594923</v>
                </pt>
                <pt idx="74">
                  <v>0.458790711</v>
                </pt>
                <pt idx="75">
                  <v>0.44572574</v>
                </pt>
                <pt idx="76">
                  <v>0.433343304</v>
                </pt>
                <pt idx="77">
                  <v>0.421592297</v>
                </pt>
                <pt idx="78">
                  <v>0.410426543</v>
                </pt>
                <pt idx="79">
                  <v>0.399804219</v>
                </pt>
                <pt idx="80">
                  <v>0.389687355</v>
                </pt>
                <pt idx="81">
                  <v>0.380041405</v>
                </pt>
                <pt idx="82">
                  <v>0.370834871</v>
                </pt>
                <pt idx="83">
                  <v>0.362038974</v>
                </pt>
                <pt idx="84">
                  <v>0.353627374</v>
                </pt>
                <pt idx="85">
                  <v>0.34557591</v>
                </pt>
                <pt idx="86">
                  <v>0.337862389</v>
                </pt>
                <pt idx="87">
                  <v>0.330466385</v>
                </pt>
                <pt idx="88">
                  <v>0.32336907</v>
                </pt>
                <pt idx="89">
                  <v>0.316553063</v>
                </pt>
                <pt idx="90">
                  <v>0.310002289</v>
                </pt>
                <pt idx="91">
                  <v>0.303701867</v>
                </pt>
                <pt idx="92">
                  <v>0.276875023</v>
                </pt>
                <pt idx="93">
                  <v>0.227978643</v>
                </pt>
                <pt idx="94">
                  <v>0.183542274</v>
                </pt>
                <pt idx="95">
                  <v>0.150699747</v>
                </pt>
                <pt idx="96">
                  <v>0.124853079</v>
                </pt>
                <pt idx="97">
                  <v>0.104882341</v>
                </pt>
                <pt idx="98">
                  <v>0.0915</v>
                </pt>
                <pt idx="99">
                  <v>0.0833</v>
                </pt>
                <pt idx="100">
                  <v>0.07829999999999999</v>
                </pt>
                <pt idx="101">
                  <v>0.07539999999999999</v>
                </pt>
                <pt idx="102">
                  <v>0.0708</v>
                </pt>
                <pt idx="103">
                  <v>0.0639</v>
                </pt>
                <pt idx="104">
                  <v>0.0584</v>
                </pt>
                <pt idx="105">
                  <v>0.0536</v>
                </pt>
                <pt idx="106">
                  <v>0.0488</v>
                </pt>
                <pt idx="107">
                  <v>0.0446</v>
                </pt>
                <pt idx="108">
                  <v>0.0408</v>
                </pt>
                <pt idx="109">
                  <v>0.0369</v>
                </pt>
                <pt idx="110">
                  <v>0.0332</v>
                </pt>
                <pt idx="111">
                  <v>0.0304</v>
                </pt>
                <pt idx="112">
                  <v>0.0277</v>
                </pt>
                <pt idx="113">
                  <v>0.025</v>
                </pt>
                <pt idx="114">
                  <v>0.0225</v>
                </pt>
                <pt idx="115">
                  <v>0.021</v>
                </pt>
                <pt idx="116">
                  <v>0.0207</v>
                </pt>
                <pt idx="117">
                  <v>0.02</v>
                </pt>
                <pt idx="118">
                  <v>0.0196</v>
                </pt>
                <pt idx="119">
                  <v>0.0194</v>
                </pt>
                <pt idx="120">
                  <v>0.0191</v>
                </pt>
                <pt idx="121">
                  <v>0.0193</v>
                </pt>
                <pt idx="122">
                  <v>0.0181</v>
                </pt>
                <pt idx="123">
                  <v>0.0164</v>
                </pt>
                <pt idx="124">
                  <v>0.0147</v>
                </pt>
                <pt idx="125">
                  <v>0.0133</v>
                </pt>
                <pt idx="126">
                  <v>0.0114</v>
                </pt>
                <pt idx="127">
                  <v>0.00944</v>
                </pt>
                <pt idx="128">
                  <v>0.00792</v>
                </pt>
                <pt idx="129">
                  <v>0.00661</v>
                </pt>
                <pt idx="130">
                  <v>0.00587</v>
                </pt>
                <pt idx="131">
                  <v>0.00512</v>
                </pt>
                <pt idx="132">
                  <v>0.00403</v>
                </pt>
                <pt idx="133">
                  <v>0.00318</v>
                </pt>
                <pt idx="134">
                  <v>0.00262</v>
                </pt>
                <pt idx="135">
                  <v>116.6249422</v>
                </pt>
                <pt idx="136">
                  <v>17.65544902</v>
                </pt>
                <pt idx="137">
                  <v>3.879334016</v>
                </pt>
                <pt idx="138">
                  <v>1.612367292</v>
                </pt>
                <pt idx="139">
                  <v>0.832223025</v>
                </pt>
                <pt idx="140">
                  <v>0.498189554</v>
                </pt>
                <pt idx="141">
                  <v>0.342674822</v>
                </pt>
                <pt idx="142">
                  <v>0.245105116</v>
                </pt>
                <pt idx="143">
                  <v>0.197499995</v>
                </pt>
                <pt idx="144">
                  <v>0.300764741</v>
                </pt>
                <pt idx="145">
                  <v>0.251019115</v>
                </pt>
                <pt idx="146">
                  <v>0.182454004</v>
                </pt>
                <pt idx="147">
                  <v>0.125803147</v>
                </pt>
                <pt idx="148">
                  <v>0.08450000000000001</v>
                </pt>
                <pt idx="149">
                  <v>0.0548</v>
                </pt>
                <pt idx="150">
                  <v>0.035</v>
                </pt>
                <pt idx="151">
                  <v>0.0221</v>
                </pt>
                <pt idx="152">
                  <v>0.0136</v>
                </pt>
                <pt idx="153">
                  <v>98.19850871</v>
                </pt>
                <pt idx="154">
                  <v>21.00079689</v>
                </pt>
                <pt idx="155">
                  <v>4.656275445</v>
                </pt>
                <pt idx="156">
                  <v>1.871800366</v>
                </pt>
                <pt idx="157">
                  <v>0.971558122</v>
                </pt>
                <pt idx="158">
                  <v>0.59371114</v>
                </pt>
                <pt idx="159">
                  <v>0.365681054</v>
                </pt>
                <pt idx="160">
                  <v>0.218660491</v>
                </pt>
                <pt idx="161">
                  <v>0.131119775</v>
                </pt>
                <pt idx="162">
                  <v>0.0772</v>
                </pt>
                <pt idx="163">
                  <v>0.0418</v>
                </pt>
                <pt idx="164">
                  <v>0.0208</v>
                </pt>
                <pt idx="165">
                  <v>92.11217388</v>
                </pt>
                <pt idx="166">
                  <v>26.92252701</v>
                </pt>
                <pt idx="167">
                  <v>5.640942935</v>
                </pt>
                <pt idx="168">
                  <v>2.107238326</v>
                </pt>
                <pt idx="169">
                  <v>0.974304965</v>
                </pt>
                <pt idx="170">
                  <v>0.543029825</v>
                </pt>
                <pt idx="171">
                  <v>0.323027661</v>
                </pt>
                <pt idx="172">
                  <v>0.183447569</v>
                </pt>
                <pt idx="173">
                  <v>0.105761012</v>
                </pt>
                <pt idx="174">
                  <v>0.06270000000000001</v>
                </pt>
                <pt idx="175">
                  <v>0.0348</v>
                </pt>
                <pt idx="176">
                  <v>0.0179</v>
                </pt>
                <pt idx="177">
                  <v>92.84934859000001</v>
                </pt>
                <pt idx="178">
                  <v>26.49532188</v>
                </pt>
                <pt idx="179">
                  <v>5.266533269</v>
                </pt>
                <pt idx="180">
                  <v>1.934984253</v>
                </pt>
                <pt idx="181">
                  <v>0.866746336</v>
                </pt>
                <pt idx="182">
                  <v>0.428370434</v>
                </pt>
                <pt idx="183">
                  <v>0.241335874</v>
                </pt>
                <pt idx="184">
                  <v>0.163036613</v>
                </pt>
                <pt idx="185">
                  <v>0.113507656</v>
                </pt>
                <pt idx="186">
                  <v>0.06710000000000001</v>
                </pt>
                <pt idx="187">
                  <v>0.0371</v>
                </pt>
                <pt idx="188">
                  <v>0.0342</v>
                </pt>
                <pt idx="189">
                  <v>0.06859999999999999</v>
                </pt>
                <pt idx="190">
                  <v>0.0496</v>
                </pt>
                <pt idx="191">
                  <v>0.0299</v>
                </pt>
                <pt idx="192">
                  <v>0.0167</v>
                </pt>
                <pt idx="193">
                  <v>98.30001862</v>
                </pt>
                <pt idx="194">
                  <v>25.19778978</v>
                </pt>
                <pt idx="195">
                  <v>5.737997194</v>
                </pt>
                <pt idx="196">
                  <v>2.45611897</v>
                </pt>
                <pt idx="197">
                  <v>1.579729309</v>
                </pt>
                <pt idx="198">
                  <v>0.984253069</v>
                </pt>
                <pt idx="199">
                  <v>0.592894771</v>
                </pt>
                <pt idx="200">
                  <v>0.343240669</v>
                </pt>
                <pt idx="201">
                  <v>0.202585622</v>
                </pt>
                <pt idx="202">
                  <v>0.120278577</v>
                </pt>
                <pt idx="203">
                  <v>0.0704</v>
                </pt>
                <pt idx="204">
                  <v>0.0415</v>
                </pt>
                <pt idx="205">
                  <v>0.0243</v>
                </pt>
                <pt idx="206">
                  <v>0.0644</v>
                </pt>
                <pt idx="207">
                  <v>0.351572482</v>
                </pt>
                <pt idx="208">
                  <v>0.324205765</v>
                </pt>
                <pt idx="209">
                  <v>0.238693637</v>
                </pt>
                <pt idx="210">
                  <v>0.159836172</v>
                </pt>
                <pt idx="211">
                  <v>0.106949528</v>
                </pt>
                <pt idx="212">
                  <v>0.07240000000000001</v>
                </pt>
                <pt idx="213">
                  <v>0.0493</v>
                </pt>
                <pt idx="214">
                  <v>0.0317</v>
                </pt>
                <pt idx="215">
                  <v>0.0228</v>
                </pt>
                <pt idx="216">
                  <v>0.0167</v>
                </pt>
                <pt idx="217">
                  <v>95.68002016</v>
                </pt>
                <pt idx="218">
                  <v>27.77750307</v>
                </pt>
                <pt idx="219">
                  <v>6.252090952</v>
                </pt>
                <pt idx="220">
                  <v>2.599586057</v>
                </pt>
                <pt idx="221">
                  <v>1.366625908</v>
                </pt>
                <pt idx="222">
                  <v>0.838110516</v>
                </pt>
                <pt idx="223">
                  <v>0.560989453</v>
                </pt>
                <pt idx="224">
                  <v>0.399233974</v>
                </pt>
                <pt idx="225">
                  <v>0.298611779</v>
                </pt>
                <pt idx="226">
                  <v>0.229758071</v>
                </pt>
                <pt idx="227">
                  <v>0.180941646</v>
                </pt>
                <pt idx="228">
                  <v>0.155401151</v>
                </pt>
                <pt idx="229">
                  <v>0.132489324</v>
                </pt>
                <pt idx="230">
                  <v>0.11315864</v>
                </pt>
                <pt idx="231">
                  <v>0.0987</v>
                </pt>
                <pt idx="232">
                  <v>0.08740000000000001</v>
                </pt>
                <pt idx="233">
                  <v>0.07870000000000001</v>
                </pt>
                <pt idx="234">
                  <v>0.07240000000000001</v>
                </pt>
                <pt idx="235">
                  <v>0.0689</v>
                </pt>
                <pt idx="236">
                  <v>0.0672</v>
                </pt>
                <pt idx="237">
                  <v>0.06560000000000001</v>
                </pt>
                <pt idx="238">
                  <v>0.0641</v>
                </pt>
                <pt idx="239">
                  <v>0.0626</v>
                </pt>
                <pt idx="240">
                  <v>0.0612</v>
                </pt>
                <pt idx="241">
                  <v>0.0599</v>
                </pt>
                <pt idx="242">
                  <v>0.0586</v>
                </pt>
                <pt idx="243">
                  <v>0.0574</v>
                </pt>
                <pt idx="244">
                  <v>0.0562</v>
                </pt>
                <pt idx="245">
                  <v>0.0551</v>
                </pt>
                <pt idx="246">
                  <v>0.054</v>
                </pt>
                <pt idx="247">
                  <v>0.0529</v>
                </pt>
                <pt idx="248">
                  <v>0.0519</v>
                </pt>
                <pt idx="249">
                  <v>0.0509</v>
                </pt>
                <pt idx="250">
                  <v>0.0499</v>
                </pt>
                <pt idx="251">
                  <v>0.049</v>
                </pt>
                <pt idx="252">
                  <v>0.0481</v>
                </pt>
                <pt idx="253">
                  <v>0.0473</v>
                </pt>
                <pt idx="254">
                  <v>0.0464</v>
                </pt>
                <pt idx="255">
                  <v>0.0456</v>
                </pt>
                <pt idx="256">
                  <v>0.0449</v>
                </pt>
                <pt idx="257">
                  <v>0.0441</v>
                </pt>
                <pt idx="258">
                  <v>0.0434</v>
                </pt>
                <pt idx="259">
                  <v>0.0446</v>
                </pt>
                <pt idx="260">
                  <v>0.0447</v>
                </pt>
                <pt idx="261">
                  <v>0.0441</v>
                </pt>
                <pt idx="262">
                  <v>0.044</v>
                </pt>
                <pt idx="263">
                  <v>0.052</v>
                </pt>
                <pt idx="264">
                  <v>0.0555</v>
                </pt>
                <pt idx="265">
                  <v>0.0551</v>
                </pt>
                <pt idx="266">
                  <v>0.0541</v>
                </pt>
                <pt idx="267">
                  <v>0.053</v>
                </pt>
                <pt idx="268">
                  <v>0.0553</v>
                </pt>
                <pt idx="269">
                  <v>0.182581488</v>
                </pt>
                <pt idx="270">
                  <v>0.261905325</v>
                </pt>
                <pt idx="271">
                  <v>0.26411663</v>
                </pt>
                <pt idx="272">
                  <v>0.247851724</v>
                </pt>
                <pt idx="273">
                  <v>0.23057269</v>
                </pt>
                <pt idx="274">
                  <v>0.215079372</v>
                </pt>
                <pt idx="275">
                  <v>0.201406568</v>
                </pt>
                <pt idx="276">
                  <v>0.735710767</v>
                </pt>
                <pt idx="277">
                  <v>7.545854232</v>
                </pt>
                <pt idx="278">
                  <v>5.404735681</v>
                </pt>
                <pt idx="279">
                  <v>4.940409688</v>
                </pt>
                <pt idx="280">
                  <v>2.884408457</v>
                </pt>
                <pt idx="281">
                  <v>1.831230768</v>
                </pt>
                <pt idx="282">
                  <v>1.286218217</v>
                </pt>
                <pt idx="283">
                  <v>0.9726775989999999</v>
                </pt>
                <pt idx="284">
                  <v>0.774657507</v>
                </pt>
                <pt idx="285">
                  <v>0.63935951</v>
                </pt>
                <pt idx="286">
                  <v>0.542469702</v>
                </pt>
                <pt idx="287">
                  <v>0.469947343</v>
                </pt>
                <pt idx="288">
                  <v>0.413752201</v>
                </pt>
                <pt idx="289">
                  <v>0.369000282</v>
                </pt>
                <pt idx="290">
                  <v>0.332566114</v>
                </pt>
                <pt idx="291">
                  <v>0.302360259</v>
                </pt>
                <pt idx="292">
                  <v>0.276934488</v>
                </pt>
                <pt idx="293">
                  <v>0.255254243</v>
                </pt>
                <pt idx="294">
                  <v>0.236561352</v>
                </pt>
                <pt idx="295">
                  <v>0.220287812</v>
                </pt>
                <pt idx="296">
                  <v>0.205999985</v>
                </pt>
                <pt idx="297">
                  <v>0.193361237</v>
                </pt>
                <pt idx="298">
                  <v>0.18210636</v>
                </pt>
                <pt idx="299">
                  <v>0.17202367</v>
                </pt>
                <pt idx="300">
                  <v>0.162942211</v>
                </pt>
                <pt idx="301">
                  <v>0.154722458</v>
                </pt>
                <pt idx="302">
                  <v>0.147249443</v>
                </pt>
                <pt idx="303">
                  <v>0.140427608</v>
                </pt>
                <pt idx="304">
                  <v>0.212288223</v>
                </pt>
                <pt idx="305">
                  <v>3.009182831</v>
                </pt>
                <pt idx="306">
                  <v>5.896686872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5975040"/>
        <axId val="630705536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63070438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lang="it-IT"/>
          </a:p>
        </txPr>
        <crossAx val="630704960"/>
        <crosses val="max"/>
        <lblOffset val="100"/>
        <baseTimeUnit val="days"/>
      </dateAx>
      <valAx>
        <axId val="630704960"/>
        <scaling>
          <orientation val="maxMin"/>
          <max val="16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800"/>
                </a:pPr>
                <a:r>
                  <a:rPr lang="en-US" sz="800"/>
                  <a:t>Percolazione dal primo</a:t>
                </a:r>
                <a:r>
                  <a:rPr lang="en-US" sz="800" baseline="0"/>
                  <a:t xml:space="preserve"> strato , risalita capillare [mm]</a:t>
                </a:r>
                <a:endParaRPr lang="en-US" sz="800"/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lang="it-IT"/>
          </a:p>
        </txPr>
        <crossAx val="630704384"/>
        <crosses val="autoZero"/>
        <crossBetween val="between"/>
      </valAx>
      <dateAx>
        <axId val="165975040"/>
        <scaling>
          <orientation val="minMax"/>
        </scaling>
        <delete val="1"/>
        <axPos val="b"/>
        <numFmt formatCode="m/d/yyyy" sourceLinked="1"/>
        <majorTickMark val="out"/>
        <minorTickMark val="none"/>
        <crossAx val="630705536"/>
        <crosses val="autoZero"/>
        <lblOffset val="100"/>
        <baseTimeUnit val="days"/>
      </dateAx>
      <valAx>
        <axId val="630705536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800"/>
                </a:pPr>
                <a:r>
                  <a:rPr lang="en-US" sz="800"/>
                  <a:t>Traspirazione, percolazione dal secondo strao; contenuto idrico [mm]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lang="it-IT"/>
          </a:p>
        </txPr>
        <crossAx val="165975040"/>
        <crosses val="max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/>
          </a:pPr>
          <a:r>
            <a:t/>
          </a:r>
          <a:endParaRPr lang="it-IT"/>
        </a:p>
      </txPr>
    </legend>
    <plotVisOnly val="1"/>
    <dispBlanksAs val="gap"/>
  </chart>
  <spPr>
    <a:ln xmlns:a="http://schemas.openxmlformats.org/drawingml/2006/main" w="12700">
      <a:prstDash val="solid"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3.xml" Id="rId1"/></Relationships>
</file>

<file path=xl/chartsheets/sheet1.xml><?xml version="1.0" encoding="utf-8"?>
<chartsheet xmlns="http://schemas.openxmlformats.org/spreadsheetml/2006/main">
  <sheetPr codeName="Grafico7"/>
  <sheetViews>
    <sheetView zoomScale="130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Pr codeName="Grafico9"/>
  <sheetViews>
    <sheetView zoomScale="115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comments/comment1.xml><?xml version="1.0" encoding="utf-8"?>
<comments xmlns="http://schemas.openxmlformats.org/spreadsheetml/2006/main">
  <authors>
    <author>OpenAI</author>
  </authors>
  <commentList>
    <comment ref="J1" authorId="0" shapeId="0">
      <text>
        <t>Current IdrAgra v2 behaviour: wat_bal1_old%h_soil + wat_bal2_old%h_soil. The root fractions RF_e and RF_t are not used. Layer 1 comes from the previous day's theta1 output; layer 2 uses the current day's theta_old output, which already accounts for changes in root-zone thickness.</t>
      </text>
    </comment>
    <comment ref="K1" authorId="0" shapeId="0">
      <text>
        <t>Direct rawbig output (wat_bal2%h_raw_sup). In the current IdrAgra v2 code, this is the unweighted sum of the layer-1 and layer-2 trigger water contents.</t>
      </text>
    </comment>
    <comment ref="L1" authorId="0" shapeId="0">
      <text>
        <t>This sheet uses the NEED-mode comparison old profile water content &lt; rawbig. USE mode uses &lt;= and may also be constrained by source availability and irrigation-unit ordering.</t>
      </text>
    </comment>
  </commentList>
</comments>
</file>

<file path=xl/comments/comment2.xml><?xml version="1.0" encoding="utf-8"?>
<comments xmlns="http://schemas.openxmlformats.org/spreadsheetml/2006/main">
  <authors>
    <author>tc={3350645D-B2A1-45F0-AC76-54A5CDA8725F}</author>
    <author>tc={861729D2-2D40-4029-8C3E-49A253CE1F05}</author>
  </authors>
  <commentList>
    <comment ref="D1" authorId="0" shapeId="0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Fase:
0 se Kcb = Kcbmin colturale
1 se Kcb &gt; Kcbmin e Kcb&lt;Kcbini, in crescita
2 se Kcb &gt; Kcbini e Kcb&lt;Kcbmax, in crescita
3 se Kcb = Kcbmax
4 se Kcb in decrescita</t>
      </text>
    </comment>
    <comment ref="M1" authorId="1" shapeId="0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Calcolato solo per i giorni compresi tra TSPlow e TSPhigh:
1 se Tday &lt; Tcrit
0 se Tday&gt;= Tlim
(1-Tcrit)/(Tlim-Tcrit) se Tday compreso tra Tcrit e Tlim</t>
      </text>
    </comment>
  </commentList>
</comments>
</file>

<file path=xl/comments/comment3.xml><?xml version="1.0" encoding="utf-8"?>
<comments xmlns="http://schemas.openxmlformats.org/spreadsheetml/2006/main">
  <authors>
    <author>tc={B1CCFE7C-AFB1-4E7E-8CE4-90664DD5DB26}</author>
  </authors>
  <commentList>
    <comment ref="G1" authorId="0" shapeId="0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H2O disponibile netta non considera le irrigazioni del giorno i-esimo, ma solo la pioggia infiltrata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18</col>
      <colOff>179650</colOff>
      <row>3</row>
      <rowOff>115756</rowOff>
    </from>
    <to>
      <col>39</col>
      <colOff>4101</colOff>
      <row>40</row>
      <rowOff>21037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3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Foglio1">
    <tabColor theme="9" tint="0.3999755851924192"/>
    <outlinePr summaryBelow="1" summaryRight="1"/>
    <pageSetUpPr/>
  </sheetPr>
  <dimension ref="B2:N79"/>
  <sheetViews>
    <sheetView showGridLines="0" zoomScale="121" workbookViewId="0">
      <selection activeCell="E8" sqref="E8"/>
    </sheetView>
  </sheetViews>
  <sheetFormatPr baseColWidth="8" defaultColWidth="9.140625" defaultRowHeight="11.25"/>
  <cols>
    <col width="10.7109375" bestFit="1" customWidth="1" style="1" min="1" max="1"/>
    <col width="35.85546875" bestFit="1" customWidth="1" style="1" min="2" max="2"/>
    <col width="15.7109375" customWidth="1" style="1" min="3" max="4"/>
    <col width="17.7109375" bestFit="1" customWidth="1" style="1" min="5" max="5"/>
    <col width="15.7109375" customWidth="1" style="1" min="6" max="7"/>
    <col width="9.140625" customWidth="1" style="1" min="8" max="16384"/>
  </cols>
  <sheetData>
    <row r="2">
      <c r="B2" s="47" t="inlineStr">
        <is>
          <t>Parametri di simulazione</t>
        </is>
      </c>
      <c r="C2" s="54" t="n"/>
    </row>
    <row r="3">
      <c r="B3" s="17" t="inlineStr">
        <is>
          <t>Codice uso suolo</t>
        </is>
      </c>
      <c r="C3" s="29">
        <f>'Paste cellinfo here'!B4</f>
        <v/>
      </c>
      <c r="E3" s="40" t="n"/>
    </row>
    <row r="4">
      <c r="B4" s="17" t="inlineStr">
        <is>
          <t>Anno</t>
        </is>
      </c>
      <c r="C4" s="46">
        <f>'Paste cellinfo here'!B25</f>
        <v/>
      </c>
      <c r="D4" s="10" t="n"/>
      <c r="E4" s="10" t="n"/>
      <c r="F4" s="10" t="n"/>
    </row>
    <row r="5">
      <c r="B5" s="17" t="inlineStr">
        <is>
          <t>Spessore primo strato</t>
        </is>
      </c>
      <c r="C5" s="46">
        <f>'Paste cellinfo here'!B23</f>
        <v/>
      </c>
      <c r="D5" s="4" t="n"/>
      <c r="E5" s="4" t="n"/>
      <c r="F5" s="4" t="n"/>
    </row>
    <row r="6">
      <c r="B6" s="17" t="inlineStr">
        <is>
          <t>Spessore massimo secondo strato</t>
        </is>
      </c>
      <c r="C6" s="17">
        <f>'Paste cellinfo here'!B24</f>
        <v/>
      </c>
      <c r="D6" s="4" t="n"/>
      <c r="E6" s="4" t="n"/>
      <c r="F6" s="4" t="n"/>
    </row>
    <row r="7">
      <c r="B7" s="4" t="n"/>
      <c r="C7" s="25" t="n"/>
      <c r="D7" s="4" t="n"/>
      <c r="E7" s="4" t="n"/>
      <c r="F7" s="4" t="n"/>
      <c r="G7" s="2" t="n"/>
    </row>
    <row r="8">
      <c r="B8" s="16" t="inlineStr">
        <is>
          <t>Dati delle colture</t>
        </is>
      </c>
      <c r="C8" s="47">
        <f>IF(C9="","","Prima coltura")</f>
        <v/>
      </c>
      <c r="D8" s="47">
        <f>IF(D9="","","Seconda coltura")</f>
        <v/>
      </c>
      <c r="E8" s="47">
        <f>IF(E9="","","Terza coltura")</f>
        <v/>
      </c>
      <c r="F8" s="47">
        <f>IF(F9="","","Quarta coltura")</f>
        <v/>
      </c>
    </row>
    <row r="9">
      <c r="B9" s="17" t="inlineStr">
        <is>
          <t>Data di emergenza (DOI)</t>
        </is>
      </c>
      <c r="C9" s="17">
        <f t="array" ref="C9:F9">IF(ISNUMBER(ii0),ii0+irandom,"")</f>
        <v/>
      </c>
      <c r="D9" s="17" t="str"/>
      <c r="E9" s="17" t="str"/>
      <c r="F9" s="18" t="str"/>
    </row>
    <row r="10">
      <c r="B10" s="17" t="inlineStr">
        <is>
          <t>Data di raccolta (DOI)</t>
        </is>
      </c>
      <c r="C10" s="17">
        <f t="array" ref="C10:F10">IF(ISNUMBER(iie),iie+irandom,"")</f>
        <v/>
      </c>
      <c r="D10" s="17" t="str"/>
      <c r="E10" s="17" t="str"/>
      <c r="F10" s="18" t="str"/>
    </row>
    <row r="11">
      <c r="B11" s="17" t="inlineStr">
        <is>
          <t>Durata ciclo colturale</t>
        </is>
      </c>
      <c r="C11" s="29">
        <f t="array" ref="C11:F11">IF(ISTEXT(_xlfn.ANCHORARRAY(C9)),"",IF(_xlfn.ANCHORARRAY(C10)-_xlfn.ANCHORARRAY(C9)&lt;0,_xlfn.ANCHORARRAY(C10)-_xlfn.ANCHORARRAY(C9)+366,_xlfn.ANCHORARRAY(C10)-_xlfn.ANCHORARRAY(C9)+1))</f>
        <v/>
      </c>
      <c r="D11" s="29" t="str"/>
      <c r="E11" s="29" t="str"/>
      <c r="F11" s="29" t="str"/>
    </row>
    <row r="12">
      <c r="B12" s="17" t="inlineStr">
        <is>
          <t>Data di emergenza</t>
        </is>
      </c>
      <c r="C12" s="18">
        <f t="array" ref="C12:F12">IF(ISTEXT(_xlfn.ANCHORARRAY(C9)),"",DATE($C$4-1,12,31)+_xlfn.ANCHORARRAY(C9))</f>
        <v/>
      </c>
      <c r="D12" s="18" t="str"/>
      <c r="E12" s="18" t="str"/>
      <c r="F12" s="18" t="str"/>
    </row>
    <row r="13">
      <c r="B13" s="17" t="inlineStr">
        <is>
          <t>Data di raccolta</t>
        </is>
      </c>
      <c r="C13" s="18">
        <f t="array" ref="C13:F13">IF(ISTEXT(_xlfn.ANCHORARRAY(C10)),"",DATE($C$4-1,12,31)+_xlfn.ANCHORARRAY(C10))</f>
        <v/>
      </c>
      <c r="D13" s="18" t="str"/>
      <c r="E13" s="18" t="str"/>
      <c r="F13" s="18" t="str"/>
    </row>
    <row r="14">
      <c r="B14" s="17" t="inlineStr">
        <is>
          <t>Kcb minimo</t>
        </is>
      </c>
      <c r="C14" s="26">
        <f t="array" ref="C14:F14">IF(Kcbmin="","",Kcbmin)</f>
        <v/>
      </c>
      <c r="D14" s="26" t="inlineStr">
        <is>
          <t xml:space="preserve"> </t>
        </is>
      </c>
      <c r="E14" s="17" t="str"/>
      <c r="F14" s="17" t="str"/>
    </row>
    <row r="15">
      <c r="B15" s="17" t="inlineStr">
        <is>
          <t>Kcb ini</t>
        </is>
      </c>
      <c r="C15" s="26">
        <f t="array" ref="C15:F15">IF(Kcbini="","",Kcbini)</f>
        <v/>
      </c>
      <c r="D15" s="26" t="inlineStr">
        <is>
          <t xml:space="preserve"> </t>
        </is>
      </c>
      <c r="E15" s="17" t="str"/>
      <c r="F15" s="17" t="str"/>
    </row>
    <row r="16">
      <c r="B16" s="17" t="inlineStr">
        <is>
          <t>Kcb massimo</t>
        </is>
      </c>
      <c r="C16" s="26">
        <f t="array" ref="C16:F16">IF(Kcbmax="","",Kcbmax)</f>
        <v/>
      </c>
      <c r="D16" s="26" t="inlineStr">
        <is>
          <t xml:space="preserve"> </t>
        </is>
      </c>
      <c r="E16" s="17" t="str"/>
      <c r="F16" s="17" t="str"/>
    </row>
    <row r="17">
      <c r="B17" s="17" t="inlineStr">
        <is>
          <t>Tcrit</t>
        </is>
      </c>
      <c r="C17" s="33">
        <f t="array" ref="C17:F17">IF(Tcrit="","",Tcrit)</f>
        <v/>
      </c>
      <c r="D17" s="33" t="inlineStr">
        <is>
          <t xml:space="preserve"> </t>
        </is>
      </c>
      <c r="E17" s="17" t="str"/>
      <c r="F17" s="17" t="str"/>
    </row>
    <row r="18">
      <c r="B18" s="17" t="inlineStr">
        <is>
          <t>Tlim</t>
        </is>
      </c>
      <c r="C18" s="33">
        <f t="array" ref="C18:F18">IF(Tlim="","",Tlim)</f>
        <v/>
      </c>
      <c r="D18" s="33" t="inlineStr">
        <is>
          <t xml:space="preserve"> </t>
        </is>
      </c>
      <c r="E18" s="17" t="str"/>
      <c r="F18" s="17" t="str"/>
    </row>
    <row r="19">
      <c r="B19" s="17" t="inlineStr">
        <is>
          <t>KyT</t>
        </is>
      </c>
      <c r="C19" s="33">
        <f t="array" ref="C19:F19">IF(KyT="","",KyT)</f>
        <v/>
      </c>
      <c r="D19" s="33" t="inlineStr">
        <is>
          <t xml:space="preserve"> </t>
        </is>
      </c>
      <c r="E19" s="17" t="str"/>
      <c r="F19" s="17" t="str"/>
    </row>
    <row r="20">
      <c r="B20" s="17" t="inlineStr">
        <is>
          <t>Ky1</t>
        </is>
      </c>
      <c r="C20" s="33">
        <f t="array" ref="C20:F23">IF(KyP="","",KyP)</f>
        <v/>
      </c>
      <c r="D20" s="33" t="inlineStr">
        <is>
          <t xml:space="preserve"> </t>
        </is>
      </c>
      <c r="E20" s="17" t="str"/>
      <c r="F20" s="17" t="str"/>
    </row>
    <row r="21">
      <c r="B21" s="17" t="inlineStr">
        <is>
          <t>Ky2</t>
        </is>
      </c>
      <c r="C21" s="33" t="n">
        <v>0.9</v>
      </c>
      <c r="D21" s="33" t="inlineStr">
        <is>
          <t xml:space="preserve"> </t>
        </is>
      </c>
      <c r="E21" s="17" t="str"/>
      <c r="F21" s="17" t="str"/>
      <c r="H21" s="5" t="n"/>
    </row>
    <row r="22">
      <c r="B22" s="17" t="inlineStr">
        <is>
          <t>Ky3</t>
        </is>
      </c>
      <c r="C22" s="33" t="n">
        <v>1.5</v>
      </c>
      <c r="D22" s="33" t="inlineStr">
        <is>
          <t xml:space="preserve"> </t>
        </is>
      </c>
      <c r="E22" s="17" t="str"/>
      <c r="F22" s="17" t="str"/>
    </row>
    <row r="23">
      <c r="B23" s="17" t="inlineStr">
        <is>
          <t>Ky4</t>
        </is>
      </c>
      <c r="C23" s="33" t="n">
        <v>0.5</v>
      </c>
      <c r="D23" s="33" t="inlineStr">
        <is>
          <t xml:space="preserve"> </t>
        </is>
      </c>
      <c r="E23" s="17" t="str"/>
      <c r="F23" s="17" t="str"/>
    </row>
    <row r="24">
      <c r="B24" s="17" t="inlineStr">
        <is>
          <t>WPadj</t>
        </is>
      </c>
      <c r="C24" s="26">
        <f t="array" ref="C24:F24">IF(WPadj="","",WPadj)</f>
        <v/>
      </c>
      <c r="D24" s="26" t="inlineStr">
        <is>
          <t xml:space="preserve"> </t>
        </is>
      </c>
      <c r="E24" s="17" t="str"/>
      <c r="F24" s="17" t="str"/>
    </row>
    <row r="25">
      <c r="B25" s="17" t="inlineStr">
        <is>
          <t>HI</t>
        </is>
      </c>
      <c r="C25" s="26">
        <f t="array" ref="C25:F25">IF(HI="","",HI)</f>
        <v/>
      </c>
      <c r="D25" s="26" t="inlineStr">
        <is>
          <t xml:space="preserve"> </t>
        </is>
      </c>
      <c r="E25" s="17" t="str"/>
      <c r="F25" s="17" t="str"/>
    </row>
    <row r="26" customFormat="1" s="4">
      <c r="B26" s="1" t="n"/>
      <c r="C26" s="1" t="n"/>
      <c r="D26" s="1" t="n"/>
      <c r="E26" s="1" t="n"/>
      <c r="F26" s="1" t="n"/>
    </row>
    <row r="27" ht="12.75" customHeight="1">
      <c r="B27" s="19" t="inlineStr">
        <is>
          <t>Caratteristiche idrauliche del suolo</t>
        </is>
      </c>
      <c r="C27" s="22" t="inlineStr">
        <is>
          <t>m3/m3</t>
        </is>
      </c>
      <c r="D27" s="22" t="inlineStr">
        <is>
          <t>mm</t>
        </is>
      </c>
    </row>
    <row r="28">
      <c r="B28" s="20" t="inlineStr">
        <is>
          <t>Theta I sat</t>
        </is>
      </c>
      <c r="C28" s="23">
        <f>'Paste cellinfo here'!B11</f>
        <v/>
      </c>
      <c r="D28" s="23">
        <f>C28*$C$5*1000</f>
        <v/>
      </c>
      <c r="F28" s="38" t="inlineStr">
        <is>
          <t>mm</t>
        </is>
      </c>
      <c r="G28" s="38" t="inlineStr">
        <is>
          <t>TAW</t>
        </is>
      </c>
    </row>
    <row r="29">
      <c r="B29" s="20" t="inlineStr">
        <is>
          <t>Theta I fc</t>
        </is>
      </c>
      <c r="C29" s="23">
        <f>'Paste cellinfo here'!B12</f>
        <v/>
      </c>
      <c r="D29" s="23">
        <f>C29*$C$5*1000</f>
        <v/>
      </c>
      <c r="F29" s="23" t="inlineStr">
        <is>
          <t>1° strato</t>
        </is>
      </c>
      <c r="G29" s="23">
        <f>D29-D30</f>
        <v/>
      </c>
    </row>
    <row r="30">
      <c r="B30" s="20" t="inlineStr">
        <is>
          <t>Theta I wp</t>
        </is>
      </c>
      <c r="C30" s="23">
        <f>'Paste cellinfo here'!B13</f>
        <v/>
      </c>
      <c r="D30" s="23">
        <f>C30*$C$5*1000</f>
        <v/>
      </c>
      <c r="F30" s="23" t="inlineStr">
        <is>
          <t>2° strato</t>
        </is>
      </c>
      <c r="G30" s="23">
        <f>D33-D34</f>
        <v/>
      </c>
    </row>
    <row r="31">
      <c r="B31" s="20" t="inlineStr">
        <is>
          <t>Theta I r</t>
        </is>
      </c>
      <c r="C31" s="23">
        <f>'Paste cellinfo here'!B14</f>
        <v/>
      </c>
      <c r="D31" s="23">
        <f>C31*$C$5*1000</f>
        <v/>
      </c>
      <c r="F31" s="23" t="inlineStr">
        <is>
          <t>intero profilo</t>
        </is>
      </c>
      <c r="G31" s="24">
        <f>G29+G30</f>
        <v/>
      </c>
    </row>
    <row r="32">
      <c r="B32" s="20" t="inlineStr">
        <is>
          <t>Theta II sat</t>
        </is>
      </c>
      <c r="C32" s="23">
        <f>'Paste cellinfo here'!B15</f>
        <v/>
      </c>
      <c r="D32" s="23">
        <f>C32*$C$6*1000</f>
        <v/>
      </c>
    </row>
    <row r="33">
      <c r="B33" s="20" t="inlineStr">
        <is>
          <t>Theta II fc</t>
        </is>
      </c>
      <c r="C33" s="23">
        <f>'Paste cellinfo here'!B16</f>
        <v/>
      </c>
      <c r="D33" s="23">
        <f>C33*$C$6*1000</f>
        <v/>
      </c>
    </row>
    <row r="34">
      <c r="B34" s="20" t="inlineStr">
        <is>
          <t>Theta II wp</t>
        </is>
      </c>
      <c r="C34" s="23">
        <f>'Paste cellinfo here'!B17</f>
        <v/>
      </c>
      <c r="D34" s="23">
        <f>C34*$C$6*1000</f>
        <v/>
      </c>
      <c r="I34" s="1" t="inlineStr">
        <is>
          <t xml:space="preserve"> </t>
        </is>
      </c>
    </row>
    <row r="35">
      <c r="B35" s="20" t="inlineStr">
        <is>
          <t>Theta II r</t>
        </is>
      </c>
      <c r="C35" s="23">
        <f>'Paste cellinfo here'!B18</f>
        <v/>
      </c>
      <c r="D35" s="23">
        <f>C35*$C$6*1000</f>
        <v/>
      </c>
    </row>
    <row r="36">
      <c r="B36" s="19" t="inlineStr">
        <is>
          <t>AWC</t>
        </is>
      </c>
      <c r="C36" s="24" t="n"/>
      <c r="D36" s="24">
        <f>D33-D34</f>
        <v/>
      </c>
      <c r="E36" s="11" t="n"/>
    </row>
    <row r="37">
      <c r="B37" s="4" t="n"/>
      <c r="C37" s="11" t="n"/>
      <c r="D37" s="11" t="n"/>
      <c r="E37" s="11" t="n"/>
      <c r="F37" s="11" t="n"/>
    </row>
    <row r="38">
      <c r="B38" s="19" t="inlineStr">
        <is>
          <t>Dati relativi al bilancio idrologico - 1° strato</t>
        </is>
      </c>
      <c r="C38" s="22" t="inlineStr">
        <is>
          <t>Anno intero</t>
        </is>
      </c>
      <c r="D38" s="22">
        <f>IF(C9="","","Prima coltura")</f>
        <v/>
      </c>
      <c r="E38" s="22">
        <f>IF(D9="","","Prima coltura")</f>
        <v/>
      </c>
      <c r="F38" s="22">
        <f>IF(E9="","","Prima coltura")</f>
        <v/>
      </c>
      <c r="G38" s="22">
        <f>IF(F9="","","Prima coltura")</f>
        <v/>
      </c>
    </row>
    <row r="39">
      <c r="B39" s="20" t="inlineStr">
        <is>
          <t>Precipitazioni [mm]</t>
        </is>
      </c>
      <c r="C39" s="23">
        <f>SUM('Paste cell here'!B2:B366)</f>
        <v/>
      </c>
      <c r="D39" s="23">
        <f>IF(ISTEXT(C9),"",IF(C9&lt;C10,SUM(INDIRECT(ADDRESS(C9+1,2,,,"Paste cell here")):INDIRECT(ADDRESS(C10+1,2,,,"Paste cell here"))),SUM('Paste cell here'!B2:INDIRECT(ADDRESS(C10+1,2,,,"Paste cell here")))+SUM(INDIRECT(ADDRESS(C9+1,2,,,"Paste cell here")):'Paste cell here'!B366)))</f>
        <v/>
      </c>
      <c r="E39" s="23">
        <f>IF(ISTEXT(D9),"",IF(D9&lt;D10,SUM(INDIRECT(ADDRESS(D9+1,2,,,"Paste cell here")):INDIRECT(ADDRESS(D10+1,2,,,"Paste cell here"))),SUM('Paste cell here'!C2:INDIRECT(ADDRESS(D10+1,2,,,"Paste cell here")))+SUM(INDIRECT(ADDRESS(D9+1,2,,,"Paste cell here")):'Paste cell here'!C366)))</f>
        <v/>
      </c>
      <c r="F39" s="23">
        <f>IF(ISTEXT(E9),"",IF(E9&lt;E10,SUM(INDIRECT(ADDRESS(E9+1,2,,,"Paste cell here")):INDIRECT(ADDRESS(E10+1,2,,,"Paste cell here"))),SUM('Paste cell here'!D2:INDIRECT(ADDRESS(E10+1,2,,,"Paste cell here")))+SUM(INDIRECT(ADDRESS(E9+1,2,,,"Paste cell here")):'Paste cell here'!D366)))</f>
        <v/>
      </c>
      <c r="G39" s="23">
        <f>IF(ISTEXT(F9),"",IF(F9&lt;F10,SUM(INDIRECT(ADDRESS(F9+1,2,,,"Paste cell here")):INDIRECT(ADDRESS(F10+1,2,,,"Paste cell here"))),SUM('Paste cell here'!E2:INDIRECT(ADDRESS(F10+1,2,,,"Paste cell here")))+SUM(INDIRECT(ADDRESS(F9+1,2,,,"Paste cell here")):'Paste cell here'!E366)))</f>
        <v/>
      </c>
    </row>
    <row r="40">
      <c r="B40" s="20" t="inlineStr">
        <is>
          <t>Irrigazione [mm]</t>
        </is>
      </c>
      <c r="C40" s="23">
        <f>SUM('Paste cell here'!I2:I366)</f>
        <v/>
      </c>
      <c r="D40" s="23">
        <f>IF(ISTEXT(C9),"",IF(C9&lt;C10,SUM(INDIRECT(ADDRESS(C9+1,9,,,"Paste cell here")):INDIRECT(ADDRESS(C10+1,9,,,"Paste cell here"))),SUM('Paste cell here'!I2:INDIRECT(ADDRESS(C10+1,9,,,"Paste cell here")))+SUM(INDIRECT(ADDRESS(C9+1,9,,,"Paste cell here")):'Paste cell here'!I366)))</f>
        <v/>
      </c>
      <c r="E40" s="23">
        <f>IF(ISTEXT(D9),"",IF(D9&lt;D10,SUM(INDIRECT(ADDRESS(D9+1,9,,,"Paste cell here")):INDIRECT(ADDRESS(D10+1,9,,,"Paste cell here"))),SUM('Paste cell here'!J2:INDIRECT(ADDRESS(D10+1,9,,,"Paste cell here")))+SUM(INDIRECT(ADDRESS(D9+1,9,,,"Paste cell here")):'Paste cell here'!J366)))</f>
        <v/>
      </c>
      <c r="F40" s="23">
        <f>IF(ISTEXT(E9),"",IF(E9&lt;E10,SUM(INDIRECT(ADDRESS(E9+1,9,,,"Paste cell here")):INDIRECT(ADDRESS(E10+1,9,,,"Paste cell here"))),SUM('Paste cell here'!K2:INDIRECT(ADDRESS(E10+1,9,,,"Paste cell here")))+SUM(INDIRECT(ADDRESS(E9+1,9,,,"Paste cell here")):'Paste cell here'!K366)))</f>
        <v/>
      </c>
      <c r="G40" s="23">
        <f>IF(ISTEXT(F9),"",IF(F9&lt;F10,SUM(INDIRECT(ADDRESS(F9+1,9,,,"Paste cell here")):INDIRECT(ADDRESS(F10+1,9,,,"Paste cell here"))),SUM('Paste cell here'!L2:INDIRECT(ADDRESS(F10+1,9,,,"Paste cell here")))+SUM(INDIRECT(ADDRESS(F9+1,9,,,"Paste cell here")):'Paste cell here'!L366)))</f>
        <v/>
      </c>
    </row>
    <row r="41">
      <c r="B41" s="20" t="inlineStr">
        <is>
          <t>Intercezione [mm]</t>
        </is>
      </c>
      <c r="C41" s="23">
        <f>SUM('Paste cell here'!M2:M366)</f>
        <v/>
      </c>
      <c r="D41" s="23">
        <f>IF(ISTEXT(C9),"",IF(C9&lt;C10,SUM(INDIRECT(ADDRESS(C9+1,13,,,"Paste cell here")):INDIRECT(ADDRESS(C10+1,13,,,"Paste cell here"))),SUM('Paste cell here'!M2:INDIRECT(ADDRESS(C10+1,13,,,"Paste cell here")))+SUM(INDIRECT(ADDRESS(C9+1,13,,,"Paste cell here")):'Paste cell here'!M366)))</f>
        <v/>
      </c>
      <c r="E41" s="23">
        <f>IF(ISTEXT(D9),"",IF(D9&lt;D10,SUM(INDIRECT(ADDRESS(D9+1,13,,,"Paste cell here")):INDIRECT(ADDRESS(D10+1,13,,,"Paste cell here"))),SUM('Paste cell here'!N2:INDIRECT(ADDRESS(D10+1,13,,,"Paste cell here")))+SUM(INDIRECT(ADDRESS(D9+1,13,,,"Paste cell here")):'Paste cell here'!N366)))</f>
        <v/>
      </c>
      <c r="F41" s="23">
        <f>IF(ISTEXT(E9),"",IF(E9&lt;E10,SUM(INDIRECT(ADDRESS(E9+1,13,,,"Paste cell here")):INDIRECT(ADDRESS(E10+1,13,,,"Paste cell here"))),SUM('Paste cell here'!O2:INDIRECT(ADDRESS(E10+1,13,,,"Paste cell here")))+SUM(INDIRECT(ADDRESS(E9+1,13,,,"Paste cell here")):'Paste cell here'!O366)))</f>
        <v/>
      </c>
      <c r="G41" s="23">
        <f>IF(ISTEXT(F9),"",IF(F9&lt;F10,SUM(INDIRECT(ADDRESS(F9+1,13,,,"Paste cell here")):INDIRECT(ADDRESS(F10+1,13,,,"Paste cell here"))),SUM('Paste cell here'!P2:INDIRECT(ADDRESS(F10+1,13,,,"Paste cell here")))+SUM(INDIRECT(ADDRESS(F9+1,13,,,"Paste cell here")):'Paste cell here'!P366)))</f>
        <v/>
      </c>
    </row>
    <row r="42">
      <c r="B42" s="20" t="inlineStr">
        <is>
          <t>Scorrimento [mm]</t>
        </is>
      </c>
      <c r="C42" s="23">
        <f>SUM('Paste cell here'!N2:N366)</f>
        <v/>
      </c>
      <c r="D42" s="23">
        <f>IF(ISTEXT(C9),"",IF(C9&lt;C10,SUM(INDIRECT(ADDRESS(C9+1,14,,,"Paste cell here")):INDIRECT(ADDRESS(C10+1,14,,,"Paste cell here"))),SUM('Paste cell here'!N2:INDIRECT(ADDRESS(C10+1,14,,,"Paste cell here")))+SUM(INDIRECT(ADDRESS(C9+1,14,,,"Paste cell here")):'Paste cell here'!N366)))</f>
        <v/>
      </c>
      <c r="E42" s="23">
        <f>IF(ISTEXT(D9),"",IF(D9&lt;D10,SUM(INDIRECT(ADDRESS(D9+1,14,,,"Paste cell here")):INDIRECT(ADDRESS(D10+1,14,,,"Paste cell here"))),SUM('Paste cell here'!O2:INDIRECT(ADDRESS(D10+1,14,,,"Paste cell here")))+SUM(INDIRECT(ADDRESS(D9+1,14,,,"Paste cell here")):'Paste cell here'!O366)))</f>
        <v/>
      </c>
      <c r="F42" s="23">
        <f>IF(ISTEXT(E9),"",IF(E9&lt;E10,SUM(INDIRECT(ADDRESS(E9+1,14,,,"Paste cell here")):INDIRECT(ADDRESS(E10+1,14,,,"Paste cell here"))),SUM('Paste cell here'!P2:INDIRECT(ADDRESS(E10+1,14,,,"Paste cell here")))+SUM(INDIRECT(ADDRESS(E9+1,14,,,"Paste cell here")):'Paste cell here'!P366)))</f>
        <v/>
      </c>
      <c r="G42" s="23">
        <f>IF(ISTEXT(F9),"",IF(F9&lt;F10,SUM(INDIRECT(ADDRESS(F9+1,14,,,"Paste cell here")):INDIRECT(ADDRESS(F10+1,14,,,"Paste cell here"))),SUM('Paste cell here'!Q2:INDIRECT(ADDRESS(F10+1,14,,,"Paste cell here")))+SUM(INDIRECT(ADDRESS(F9+1,14,,,"Paste cell here")):'Paste cell here'!Q366)))</f>
        <v/>
      </c>
    </row>
    <row r="43">
      <c r="B43" s="20" t="inlineStr">
        <is>
          <t>Infiltrazione [mm]</t>
        </is>
      </c>
      <c r="C43" s="23">
        <f>SUM('Paste cell here'!O2:O366)</f>
        <v/>
      </c>
      <c r="D43" s="23">
        <f>IF(ISTEXT(C9),"",IF(C9&lt;C10,SUM(INDIRECT(ADDRESS(C9+1,15,,,"Paste cell here")):INDIRECT(ADDRESS(C10+1,15,,,"Paste cell here"))),SUM('Paste cell here'!O2:INDIRECT(ADDRESS(C10+1,15,,,"Paste cell here")))+SUM(INDIRECT(ADDRESS(C9+1,15,,,"Paste cell here")):'Paste cell here'!O366)))</f>
        <v/>
      </c>
      <c r="E43" s="23">
        <f>IF(ISTEXT(D9),"",IF(D9&lt;D10,SUM(INDIRECT(ADDRESS(D9+1,15,,,"Paste cell here")):INDIRECT(ADDRESS(D10+1,15,,,"Paste cell here"))),SUM('Paste cell here'!P2:INDIRECT(ADDRESS(D10+1,15,,,"Paste cell here")))+SUM(INDIRECT(ADDRESS(D9+1,15,,,"Paste cell here")):'Paste cell here'!P366)))</f>
        <v/>
      </c>
      <c r="F43" s="23">
        <f>IF(ISTEXT(E9),"",IF(E9&lt;E10,SUM(INDIRECT(ADDRESS(E9+1,15,,,"Paste cell here")):INDIRECT(ADDRESS(E10+1,15,,,"Paste cell here"))),SUM('Paste cell here'!Q2:INDIRECT(ADDRESS(E10+1,15,,,"Paste cell here")))+SUM(INDIRECT(ADDRESS(E9+1,15,,,"Paste cell here")):'Paste cell here'!Q366)))</f>
        <v/>
      </c>
      <c r="G43" s="23">
        <f>IF(ISTEXT(F9),"",IF(F9&lt;F10,SUM(INDIRECT(ADDRESS(F9+1,15,,,"Paste cell here")):INDIRECT(ADDRESS(F10+1,15,,,"Paste cell here"))),SUM('Paste cell here'!R2:INDIRECT(ADDRESS(F10+1,15,,,"Paste cell here")))+SUM(INDIRECT(ADDRESS(F9+1,15,,,"Paste cell here")):'Paste cell here'!R366)))</f>
        <v/>
      </c>
    </row>
    <row r="44">
      <c r="B44" s="20" t="inlineStr">
        <is>
          <t>Evaporazione [mm]</t>
        </is>
      </c>
      <c r="C44" s="23">
        <f>SUM('Paste cell here'!Q2:Q366)</f>
        <v/>
      </c>
      <c r="D44" s="23">
        <f>IF(ISTEXT(C9),"",IF(C9&lt;C10,SUM(INDIRECT(ADDRESS(C9+1,17,,,"Paste cell here")):INDIRECT(ADDRESS(C10+1,17,,,"Paste cell here"))),SUM('Paste cell here'!Q2:INDIRECT(ADDRESS(C10+1,17,,,"Paste cell here")))+SUM(INDIRECT(ADDRESS(C9+1,17,,,"Paste cell here")):'Paste cell here'!Q366)))</f>
        <v/>
      </c>
      <c r="E44" s="23">
        <f>IF(ISTEXT(D9),"",IF(D9&lt;D10,SUM(INDIRECT(ADDRESS(D9+1,17,,,"Paste cell here")):INDIRECT(ADDRESS(D10+1,17,,,"Paste cell here"))),SUM('Paste cell here'!R2:INDIRECT(ADDRESS(D10+1,17,,,"Paste cell here")))+SUM(INDIRECT(ADDRESS(D9+1,17,,,"Paste cell here")):'Paste cell here'!R366)))</f>
        <v/>
      </c>
      <c r="F44" s="23">
        <f>IF(ISTEXT(E9),"",IF(E9&lt;E10,SUM(INDIRECT(ADDRESS(E9+1,17,,,"Paste cell here")):INDIRECT(ADDRESS(E10+1,17,,,"Paste cell here"))),SUM('Paste cell here'!S2:INDIRECT(ADDRESS(E10+1,17,,,"Paste cell here")))+SUM(INDIRECT(ADDRESS(E9+1,17,,,"Paste cell here")):'Paste cell here'!S366)))</f>
        <v/>
      </c>
      <c r="G44" s="23">
        <f>IF(ISTEXT(F9),"",IF(F9&lt;F10,SUM(INDIRECT(ADDRESS(F9+1,17,,,"Paste cell here")):INDIRECT(ADDRESS(F10+1,17,,,"Paste cell here"))),SUM('Paste cell here'!T2:INDIRECT(ADDRESS(F10+1,17,,,"Paste cell here")))+SUM(INDIRECT(ADDRESS(F9+1,17,,,"Paste cell here")):'Paste cell here'!T366)))</f>
        <v/>
      </c>
    </row>
    <row r="45">
      <c r="B45" s="20" t="inlineStr">
        <is>
          <t>Traspirazione del 1° strato [mm]</t>
        </is>
      </c>
      <c r="C45" s="23">
        <f>SUM('Paste cell here'!S2:S366)</f>
        <v/>
      </c>
      <c r="D45" s="23">
        <f>IF(ISTEXT(C9),"",IF(C9&lt;C10,SUM(INDIRECT(ADDRESS(C9+1,19,,,"Paste cell here")):INDIRECT(ADDRESS(C10+1,19,,,"Paste cell here"))),SUM('Paste cell here'!S2:INDIRECT(ADDRESS(C10+1,19,,,"Paste cell here")))+SUM(INDIRECT(ADDRESS(C9+1,19,,,"Paste cell here")):'Paste cell here'!S366)))</f>
        <v/>
      </c>
      <c r="E45" s="23">
        <f>D45/(D45+D51)</f>
        <v/>
      </c>
      <c r="F45" s="23">
        <f>IF(ISTEXT(E9),"",IF(E9&lt;E10,SUM(INDIRECT(ADDRESS(E9+1,19,,,"Paste cell here")):INDIRECT(ADDRESS(E10+1,19,,,"Paste cell here"))),SUM('Paste cell here'!U2:INDIRECT(ADDRESS(E10+1,19,,,"Paste cell here")))+SUM(INDIRECT(ADDRESS(E9+1,19,,,"Paste cell here")):'Paste cell here'!U366)))</f>
        <v/>
      </c>
      <c r="G45" s="23">
        <f>IF(ISTEXT(F9),"",IF(F9&lt;F10,SUM(INDIRECT(ADDRESS(F9+1,19,,,"Paste cell here")):INDIRECT(ADDRESS(F10+1,19,,,"Paste cell here"))),SUM('Paste cell here'!V2:INDIRECT(ADDRESS(F10+1,19,,,"Paste cell here")))+SUM(INDIRECT(ADDRESS(F9+1,19,,,"Paste cell here")):'Paste cell here'!V366)))</f>
        <v/>
      </c>
    </row>
    <row r="46">
      <c r="B46" s="20" t="inlineStr">
        <is>
          <t>Percolazione al 2° strato [mm]</t>
        </is>
      </c>
      <c r="C46" s="23">
        <f>SUM('Paste cell here'!T2:T366)</f>
        <v/>
      </c>
      <c r="D46" s="23">
        <f>IF(ISTEXT(C9),"",IF(C9&lt;C10,SUM(INDIRECT(ADDRESS(C9+1,20,,,"Paste cell here")):INDIRECT(ADDRESS(C10+1,20,,,"Paste cell here"))),SUM('Paste cell here'!T2:INDIRECT(ADDRESS(C10+1,20,,,"Paste cell here")))+SUM(INDIRECT(ADDRESS(C9+1,20,,,"Paste cell here")):'Paste cell here'!T366)))</f>
        <v/>
      </c>
      <c r="E46" s="23">
        <f>IF(ISTEXT(D9),"",IF(D9&lt;D10,SUM(INDIRECT(ADDRESS(D9+1,20,,,"Paste cell here")):INDIRECT(ADDRESS(D10+1,20,,,"Paste cell here"))),SUM('Paste cell here'!U2:INDIRECT(ADDRESS(D10+1,20,,,"Paste cell here")))+SUM(INDIRECT(ADDRESS(D9+1,20,,,"Paste cell here")):'Paste cell here'!U366)))</f>
        <v/>
      </c>
      <c r="F46" s="23">
        <f>IF(ISTEXT(E9),"",IF(E9&lt;E10,SUM(INDIRECT(ADDRESS(E9+1,20,,,"Paste cell here")):INDIRECT(ADDRESS(E10+1,20,,,"Paste cell here"))),SUM('Paste cell here'!V2:INDIRECT(ADDRESS(E10+1,20,,,"Paste cell here")))+SUM(INDIRECT(ADDRESS(E9+1,20,,,"Paste cell here")):'Paste cell here'!V366)))</f>
        <v/>
      </c>
      <c r="G46" s="23">
        <f>IF(ISTEXT(F9),"",IF(F9&lt;F10,SUM(INDIRECT(ADDRESS(F9+1,20,,,"Paste cell here")):INDIRECT(ADDRESS(F10+1,20,,,"Paste cell here"))),SUM('Paste cell here'!W2:INDIRECT(ADDRESS(F10+1,20,,,"Paste cell here")))+SUM(INDIRECT(ADDRESS(F9+1,20,,,"Paste cell here")):'Paste cell here'!W366)))</f>
        <v/>
      </c>
    </row>
    <row r="47">
      <c r="B47" s="20" t="inlineStr">
        <is>
          <t>Risalita dal 2° strato [mm]</t>
        </is>
      </c>
      <c r="C47" s="23">
        <f>SUM('Paste cell here'!W2:W366)</f>
        <v/>
      </c>
      <c r="D47" s="23">
        <f>IF(ISTEXT(C9),"",IF(C9&lt;C10,SUM(INDIRECT(ADDRESS(C9+1,23,,,"Paste cell here")):INDIRECT(ADDRESS(C10+1,23,,,"Paste cell here"))),SUM('Paste cell here'!W2:INDIRECT(ADDRESS(C10+1,23,,,"Paste cell here")))+SUM(INDIRECT(ADDRESS(C9+1,23,,,"Paste cell here")):'Paste cell here'!W366)))</f>
        <v/>
      </c>
      <c r="E47" s="23">
        <f>IF(ISTEXT(D9),"",IF(D9&lt;D10,SUM(INDIRECT(ADDRESS(D9+1,23,,,"Paste cell here")):INDIRECT(ADDRESS(D10+1,23,,,"Paste cell here"))),SUM('Paste cell here'!X2:INDIRECT(ADDRESS(D10+1,23,,,"Paste cell here")))+SUM(INDIRECT(ADDRESS(D9+1,23,,,"Paste cell here")):'Paste cell here'!X366)))</f>
        <v/>
      </c>
      <c r="F47" s="23">
        <f>IF(ISTEXT(E9),"",IF(E9&lt;E10,SUM(INDIRECT(ADDRESS(E9+1,23,,,"Paste cell here")):INDIRECT(ADDRESS(E10+1,23,,,"Paste cell here"))),SUM('Paste cell here'!Y2:INDIRECT(ADDRESS(E10+1,23,,,"Paste cell here")))+SUM(INDIRECT(ADDRESS(E9+1,23,,,"Paste cell here")):'Paste cell here'!Y366)))</f>
        <v/>
      </c>
      <c r="G47" s="23">
        <f>IF(ISTEXT(F9),"",IF(F9&lt;F10,SUM(INDIRECT(ADDRESS(F9+1,23,,,"Paste cell here")):INDIRECT(ADDRESS(F10+1,23,,,"Paste cell here"))),SUM('Paste cell here'!Z2:INDIRECT(ADDRESS(F10+1,23,,,"Paste cell here")))+SUM(INDIRECT(ADDRESS(F9+1,23,,,"Paste cell here")):'Paste cell here'!Z366)))</f>
        <v/>
      </c>
    </row>
    <row r="48">
      <c r="B48" s="19" t="inlineStr">
        <is>
          <t>Dati relativi al bilancio idrologico - 2° strato</t>
        </is>
      </c>
      <c r="C48" s="22" t="inlineStr">
        <is>
          <t>Anno intero</t>
        </is>
      </c>
      <c r="D48" s="22">
        <f>IF(C9="","","Prima coltura")</f>
        <v/>
      </c>
      <c r="E48" s="22">
        <f>IF(D9="","","Prima coltura")</f>
        <v/>
      </c>
      <c r="F48" s="22">
        <f>IF(E9="","","Prima coltura")</f>
        <v/>
      </c>
      <c r="G48" s="22">
        <f>IF(F9="","","Prima coltura")</f>
        <v/>
      </c>
    </row>
    <row r="49">
      <c r="B49" s="20" t="inlineStr">
        <is>
          <t>Percolazione dal 1° strato [mm]</t>
        </is>
      </c>
      <c r="C49" s="23">
        <f>SUM('Paste cell here'!T2:T366)</f>
        <v/>
      </c>
      <c r="D49" s="23">
        <f>IF(ISTEXT(C9),"",IF(C9&lt;C10,SUM(INDIRECT(ADDRESS(C9+1,20,,,"Paste cell here")):INDIRECT(ADDRESS(C10+1,20,,,"Paste cell here"))),SUM('Paste cell here'!T2:INDIRECT(ADDRESS(C10+1,20,,,"Paste cell here")))+SUM(INDIRECT(ADDRESS(C9+1,20,,,"Paste cell here")):'Paste cell here'!T366)))</f>
        <v/>
      </c>
      <c r="E49" s="23">
        <f>IF(ISTEXT(D9),"",IF(D9&lt;D10,SUM(INDIRECT(ADDRESS(D9+1,20,,,"Paste cell here")):INDIRECT(ADDRESS(D10+1,20,,,"Paste cell here"))),SUM('Paste cell here'!U2:INDIRECT(ADDRESS(D10+1,20,,,"Paste cell here")))+SUM(INDIRECT(ADDRESS(D9+1,20,,,"Paste cell here")):'Paste cell here'!U366)))</f>
        <v/>
      </c>
      <c r="F49" s="23">
        <f>IF(ISTEXT(E9),"",IF(E9&lt;E10,SUM(INDIRECT(ADDRESS(E9+1,20,,,"Paste cell here")):INDIRECT(ADDRESS(E10+1,20,,,"Paste cell here"))),SUM('Paste cell here'!V2:INDIRECT(ADDRESS(E10+1,20,,,"Paste cell here")))+SUM(INDIRECT(ADDRESS(E9+1,20,,,"Paste cell here")):'Paste cell here'!V366)))</f>
        <v/>
      </c>
      <c r="G49" s="23">
        <f>IF(ISTEXT(F9),"",IF(F9&lt;F10,SUM(INDIRECT(ADDRESS(F9+1,20,,,"Paste cell here")):INDIRECT(ADDRESS(F10+1,20,,,"Paste cell here"))),SUM('Paste cell here'!W2:INDIRECT(ADDRESS(F10+1,20,,,"Paste cell here")))+SUM(INDIRECT(ADDRESS(F9+1,20,,,"Paste cell here")):'Paste cell here'!W366)))</f>
        <v/>
      </c>
    </row>
    <row r="50">
      <c r="B50" s="20" t="inlineStr">
        <is>
          <t>Risalita capillare da falda [mm]</t>
        </is>
      </c>
      <c r="C50" s="23">
        <f>SUM('Paste cell here'!AC2:AC366)</f>
        <v/>
      </c>
      <c r="D50" s="23">
        <f>IF(ISTEXT(C9),"",IF(C9&lt;C10,SUM(INDIRECT(ADDRESS(C9+1,29,,,"Paste cell here")):INDIRECT(ADDRESS(C10+1,29,,,"Paste cell here"))),SUM('Paste cell here'!AC2:INDIRECT(ADDRESS(C10+1,29,,,"Paste cell here")))+SUM(INDIRECT(ADDRESS(C9+1,29,,,"Paste cell here")):'Paste cell here'!AC366)))</f>
        <v/>
      </c>
      <c r="E50" s="23">
        <f>IF(ISTEXT(D9),"",IF(D9&lt;D10,SUM(INDIRECT(ADDRESS(D9+1,29,,,"Paste cell here")):INDIRECT(ADDRESS(D10+1,29,,,"Paste cell here"))),SUM('Paste cell here'!AD2:INDIRECT(ADDRESS(D10+1,29,,,"Paste cell here")))+SUM(INDIRECT(ADDRESS(D9+1,29,,,"Paste cell here")):'Paste cell here'!AD366)))</f>
        <v/>
      </c>
      <c r="F50" s="23">
        <f>IF(ISTEXT(E9),"",IF(E9&lt;E10,SUM(INDIRECT(ADDRESS(E9+1,29,,,"Paste cell here")):INDIRECT(ADDRESS(E10+1,29,,,"Paste cell here"))),SUM('Paste cell here'!AE2:INDIRECT(ADDRESS(E10+1,29,,,"Paste cell here")))+SUM(INDIRECT(ADDRESS(E9+1,29,,,"Paste cell here")):'Paste cell here'!AE366)))</f>
        <v/>
      </c>
      <c r="G50" s="23">
        <f>IF(ISTEXT(F9),"",IF(F9&lt;F10,SUM(INDIRECT(ADDRESS(F9+1,29,,,"Paste cell here")):INDIRECT(ADDRESS(F10+1,29,,,"Paste cell here"))),SUM('Paste cell here'!AF2:INDIRECT(ADDRESS(F10+1,29,,,"Paste cell here")))+SUM(INDIRECT(ADDRESS(F9+1,29,,,"Paste cell here")):'Paste cell here'!AF366)))</f>
        <v/>
      </c>
    </row>
    <row r="51">
      <c r="B51" s="20" t="inlineStr">
        <is>
          <t>Traspirazione del 2° strato [mm]</t>
        </is>
      </c>
      <c r="C51" s="23">
        <f>SUM('Paste cell here'!Y2:Y366)</f>
        <v/>
      </c>
      <c r="D51" s="23">
        <f>IF(ISTEXT(C9),"",IF(C9&lt;C10,SUM(INDIRECT(ADDRESS(C9+1,25,,,"Paste cell here")):INDIRECT(ADDRESS(C10+1,25,,,"Paste cell here"))),SUM('Paste cell here'!Y2:INDIRECT(ADDRESS(C10+1,25,,,"Paste cell here")))+SUM(INDIRECT(ADDRESS(C9+1,25,,,"Paste cell here")):'Paste cell here'!Y366)))</f>
        <v/>
      </c>
      <c r="E51" s="23">
        <f>IF(ISTEXT(D9),"",IF(D9&lt;D10,SUM(INDIRECT(ADDRESS(D9+1,25,,,"Paste cell here")):INDIRECT(ADDRESS(D10+1,25,,,"Paste cell here"))),SUM('Paste cell here'!Z2:INDIRECT(ADDRESS(D10+1,25,,,"Paste cell here")))+SUM(INDIRECT(ADDRESS(D9+1,25,,,"Paste cell here")):'Paste cell here'!Z366)))</f>
        <v/>
      </c>
      <c r="F51" s="23">
        <f>IF(ISTEXT(E9),"",IF(E9&lt;E10,SUM(INDIRECT(ADDRESS(E9+1,25,,,"Paste cell here")):INDIRECT(ADDRESS(E10+1,25,,,"Paste cell here"))),SUM('Paste cell here'!AA2:INDIRECT(ADDRESS(E10+1,25,,,"Paste cell here")))+SUM(INDIRECT(ADDRESS(E9+1,25,,,"Paste cell here")):'Paste cell here'!AA366)))</f>
        <v/>
      </c>
      <c r="G51" s="23">
        <f>IF(ISTEXT(F9),"",IF(F9&lt;F10,SUM(INDIRECT(ADDRESS(F9+1,25,,,"Paste cell here")):INDIRECT(ADDRESS(F10+1,25,,,"Paste cell here"))),SUM('Paste cell here'!AB2:INDIRECT(ADDRESS(F10+1,25,,,"Paste cell here")))+SUM(INDIRECT(ADDRESS(F9+1,25,,,"Paste cell here")):'Paste cell here'!AB366)))</f>
        <v/>
      </c>
    </row>
    <row r="52">
      <c r="B52" s="20" t="inlineStr">
        <is>
          <t>Percolazione a falda [mm]</t>
        </is>
      </c>
      <c r="C52" s="23">
        <f>SUM('Paste cell here'!AD2:AD366)</f>
        <v/>
      </c>
      <c r="D52" s="23">
        <f>IF(ISTEXT(C9),"",IF(C9&lt;C10,SUM(INDIRECT(ADDRESS(C9+1,30,,,"Paste cell here")):INDIRECT(ADDRESS(C10+1,30,,,"Paste cell here"))),SUM('Paste cell here'!AD2:INDIRECT(ADDRESS(C10+1,30,,,"Paste cell here")))+SUM(INDIRECT(ADDRESS(C9+1,30,,,"Paste cell here")):'Paste cell here'!AD366)))</f>
        <v/>
      </c>
      <c r="E52" s="23">
        <f>IF(ISTEXT(D9),"",IF(D9&lt;D10,SUM(INDIRECT(ADDRESS(D9+1,30,,,"Paste cell here")):INDIRECT(ADDRESS(D10+1,30,,,"Paste cell here"))),SUM('Paste cell here'!AE2:INDIRECT(ADDRESS(D10+1,30,,,"Paste cell here")))+SUM(INDIRECT(ADDRESS(D9+1,30,,,"Paste cell here")):'Paste cell here'!AE366)))</f>
        <v/>
      </c>
      <c r="F52" s="23">
        <f>IF(ISTEXT(E9),"",IF(E9&lt;E10,SUM(INDIRECT(ADDRESS(E9+1,30,,,"Paste cell here")):INDIRECT(ADDRESS(E10+1,30,,,"Paste cell here"))),SUM('Paste cell here'!AF2:INDIRECT(ADDRESS(E10+1,30,,,"Paste cell here")))+SUM(INDIRECT(ADDRESS(E9+1,30,,,"Paste cell here")):'Paste cell here'!AF366)))</f>
        <v/>
      </c>
      <c r="G52" s="23">
        <f>IF(ISTEXT(F9),"",IF(F9&lt;F10,SUM(INDIRECT(ADDRESS(F9+1,30,,,"Paste cell here")):INDIRECT(ADDRESS(F10+1,30,,,"Paste cell here"))),SUM('Paste cell here'!AG2:INDIRECT(ADDRESS(F10+1,30,,,"Paste cell here")))+SUM(INDIRECT(ADDRESS(F9+1,30,,,"Paste cell here")):'Paste cell here'!AG366)))</f>
        <v/>
      </c>
    </row>
    <row r="53">
      <c r="B53" s="20" t="inlineStr">
        <is>
          <t>Risalita al 1° strato [mm]</t>
        </is>
      </c>
      <c r="C53" s="23">
        <f>SUM('Paste cell here'!W2:W366)</f>
        <v/>
      </c>
      <c r="D53" s="23">
        <f>IF(ISTEXT(C9),"",IF(C9&lt;C10,SUM(INDIRECT(ADDRESS(C9+1,23,,,"Paste cell here")):INDIRECT(ADDRESS(C10+1,23,,,"Paste cell here"))),SUM('Paste cell here'!W2:INDIRECT(ADDRESS(C10+1,23,,,"Paste cell here")))+SUM(INDIRECT(ADDRESS(C9+1,23,,,"Paste cell here")):'Paste cell here'!W366)))</f>
        <v/>
      </c>
      <c r="E53" s="23">
        <f>IF(ISTEXT(D9),"",IF(D9&lt;D10,SUM(INDIRECT(ADDRESS(D9+1,23,,,"Paste cell here")):INDIRECT(ADDRESS(D10+1,23,,,"Paste cell here"))),SUM('Paste cell here'!X2:INDIRECT(ADDRESS(D10+1,23,,,"Paste cell here")))+SUM(INDIRECT(ADDRESS(D9+1,23,,,"Paste cell here")):'Paste cell here'!X366)))</f>
        <v/>
      </c>
      <c r="F53" s="23">
        <f>IF(ISTEXT(E9),"",IF(E9&lt;E10,SUM(INDIRECT(ADDRESS(E9+1,23,,,"Paste cell here")):INDIRECT(ADDRESS(E10+1,23,,,"Paste cell here"))),SUM('Paste cell here'!Y2:INDIRECT(ADDRESS(E10+1,23,,,"Paste cell here")))+SUM(INDIRECT(ADDRESS(E9+1,23,,,"Paste cell here")):'Paste cell here'!Y366)))</f>
        <v/>
      </c>
      <c r="G53" s="23">
        <f>IF(ISTEXT(F9),"",IF(F9&lt;F10,SUM(INDIRECT(ADDRESS(F9+1,23,,,"Paste cell here")):INDIRECT(ADDRESS(F10+1,23,,,"Paste cell here"))),SUM('Paste cell here'!Z2:INDIRECT(ADDRESS(F10+1,23,,,"Paste cell here")))+SUM(INDIRECT(ADDRESS(F9+1,23,,,"Paste cell here")):'Paste cell here'!Z366)))</f>
        <v/>
      </c>
    </row>
    <row r="54">
      <c r="B54" s="4" t="n"/>
      <c r="C54" s="11" t="n"/>
      <c r="D54" s="11" t="n"/>
      <c r="E54" s="11" t="n"/>
      <c r="F54" s="11" t="n"/>
    </row>
    <row r="55">
      <c r="B55" s="35" t="inlineStr">
        <is>
          <t>Dati irrigui</t>
        </is>
      </c>
      <c r="C55" s="47">
        <f>IF(C9="","","Prima coltura")</f>
        <v/>
      </c>
      <c r="D55" s="47">
        <f>IF(D9="","","Seconda coltura")</f>
        <v/>
      </c>
      <c r="E55" s="47">
        <f>IF(E9="","","Terza coltura")</f>
        <v/>
      </c>
      <c r="F55" s="47">
        <f>IF(F9="","","Quarta coltura")</f>
        <v/>
      </c>
    </row>
    <row r="56">
      <c r="B56" s="20" t="inlineStr">
        <is>
          <t>Numero di interventi irrigui</t>
        </is>
      </c>
      <c r="C56" s="20">
        <f>IF(ISTEXT(C9),"",IF(C9&lt;C10,COUNTIF(INDIRECT(ADDRESS(C9+1,9,,,"Paste cell here")):INDIRECT(ADDRESS(C10+1,9,,,"Paste cell here")),"&gt;0"),COUNTIF(INDIRECT(ADDRESS(C9+1,9,,,"Paste cell here")):'Paste cell here'!I366,"&gt;0")+COUNTIF('Paste cell here'!I2:INDIRECT(ADDRESS(C10+1,9,,,"Paste cell here")),"&gt;0")))</f>
        <v/>
      </c>
      <c r="D56" s="20">
        <f>IF(ISTEXT(D9),"",IF(D9&lt;D10,COUNTIF(INDIRECT(ADDRESS(D9+1,9,,,"Paste cell here")):INDIRECT(ADDRESS(D10+1,9,,,"Paste cell here")),"&gt;0"),COUNTIF(INDIRECT(ADDRESS(D9+1,9,,,"Paste cell here")):'Paste cell here'!J366,"&gt;0")+COUNTIF('Paste cell here'!J2:INDIRECT(ADDRESS(D10+1,9,,,"Paste cell here")),"&gt;0")))</f>
        <v/>
      </c>
      <c r="E56" s="20">
        <f>IF(ISTEXT(E9),"",IF(E9&lt;E10,COUNTIF(INDIRECT(ADDRESS(E9+1,9,,,"Paste cell here")):INDIRECT(ADDRESS(E10+1,9,,,"Paste cell here")),"&gt;0"),COUNTIF(INDIRECT(ADDRESS(E9+1,9,,,"Paste cell here")):'Paste cell here'!K366,"&gt;0")+COUNTIF('Paste cell here'!K2:INDIRECT(ADDRESS(E10+1,9,,,"Paste cell here")),"&gt;0")))</f>
        <v/>
      </c>
      <c r="F56" s="20">
        <f>IF(ISTEXT(F9),"",IF(F9&lt;F10,COUNTIF(INDIRECT(ADDRESS(F9+1,9,,,"Paste cell here")):INDIRECT(ADDRESS(F10+1,9,,,"Paste cell here")),"&gt;0"),COUNTIF(INDIRECT(ADDRESS(F9+1,9,,,"Paste cell here")):'Paste cell here'!L366,"&gt;0")+COUNTIF('Paste cell here'!L2:INDIRECT(ADDRESS(F10+1,9,,,"Paste cell here")),"&gt;0")))</f>
        <v/>
      </c>
    </row>
    <row r="57">
      <c r="B57" s="20" t="inlineStr">
        <is>
          <t>Irrigazione totale [mm]</t>
        </is>
      </c>
      <c r="C57" s="21">
        <f>IF(ISTEXT(C9),"",IF(C9&lt;C10,SUM(INDIRECT(ADDRESS(C9+1,9,,,"Paste cell here")):INDIRECT(ADDRESS(C10+1,9,,,"Paste cell here"))),SUM('Paste cell here'!I2:INDIRECT(ADDRESS(C10+1,9,,,"Paste cell here")))+SUM(INDIRECT(ADDRESS(C9+1,9,,,"Paste cell here")):'Paste cell here'!I366)))</f>
        <v/>
      </c>
      <c r="D57" s="21">
        <f>IF(ISTEXT(D9),"",IF(D9&lt;D10,SUM(INDIRECT(ADDRESS(D9+1,9,,,"Paste cell here")):INDIRECT(ADDRESS(D10+1,9,,,"Paste cell here"))),SUM('Paste cell here'!J2:INDIRECT(ADDRESS(D10+1,9,,,"Paste cell here")))+SUM(INDIRECT(ADDRESS(D9+1,9,,,"Paste cell here")):'Paste cell here'!J366)))</f>
        <v/>
      </c>
      <c r="E57" s="21">
        <f>IF(ISTEXT(E9),"",IF(E9&lt;E10,SUM(INDIRECT(ADDRESS(E9+1,9,,,"Paste cell here")):INDIRECT(ADDRESS(E10+1,9,,,"Paste cell here"))),SUM('Paste cell here'!K2:INDIRECT(ADDRESS(E10+1,9,,,"Paste cell here")))+SUM(INDIRECT(ADDRESS(E9+1,9,,,"Paste cell here")):'Paste cell here'!K366)))</f>
        <v/>
      </c>
      <c r="F57" s="21">
        <f>IF(ISTEXT(F9),"",IF(F9&lt;F10,SUM(INDIRECT(ADDRESS(F9+1,9,,,"Paste cell here")):INDIRECT(ADDRESS(F10+1,9,,,"Paste cell here"))),SUM('Paste cell here'!L2:INDIRECT(ADDRESS(F10+1,9,,,"Paste cell here")))+SUM(INDIRECT(ADDRESS(F9+1,9,,,"Paste cell here")):'Paste cell here'!L366)))</f>
        <v/>
      </c>
    </row>
    <row r="58">
      <c r="B58" s="20" t="inlineStr">
        <is>
          <t>Irrigazione media per intervento [mm]</t>
        </is>
      </c>
      <c r="C58" s="30">
        <f>IF(ISTEXT(C9),"",IF(C57=0,"Non irriguo",C57/C56))</f>
        <v/>
      </c>
      <c r="D58" s="30">
        <f>IF(ISTEXT(D9),"",IF(D57=0,"Non irriguo",D57/D56))</f>
        <v/>
      </c>
      <c r="E58" s="30">
        <f>IF(ISTEXT(E9),"",IF(E57=0,"Non irriguo",E57/E56))</f>
        <v/>
      </c>
      <c r="F58" s="30">
        <f>IF(ISTEXT(F9),"",IF(F57=0,"Non irriguo",F57/F56))</f>
        <v/>
      </c>
    </row>
    <row r="59">
      <c r="B59" s="20" t="inlineStr">
        <is>
          <t>Turno medio stimato [d]</t>
        </is>
      </c>
      <c r="C59" s="30">
        <f>IF(ISTEXT(C9),"",IF(C57=0,"Non irriguo",(C13-C12)/C56))</f>
        <v/>
      </c>
      <c r="D59" s="30">
        <f>IF(ISTEXT(D9),"",IF(D57=0,"Non irriguo",(D13-D12)/D56))</f>
        <v/>
      </c>
      <c r="E59" s="30">
        <f>IF(ISTEXT(E9),"",IF(E57=0,"Non irriguo",(E13-E12)/E56))</f>
        <v/>
      </c>
      <c r="F59" s="30">
        <f>IF(ISTEXT(F9),"",IF(F57=0,"Non irriguo",(F13-F12)/F56))</f>
        <v/>
      </c>
    </row>
    <row r="60">
      <c r="B60" s="20" t="inlineStr">
        <is>
          <t>Efficienza irrigua</t>
        </is>
      </c>
      <c r="C60" s="27">
        <f>IF(ISTEXT(C9),"",IF(C9&lt;C10,(SUM(INDIRECT(ADDRESS(C9+1,17,,,"Paste cell here")):INDIRECT(ADDRESS(C10+1,17,,,"Paste cell here")))+SUM(INDIRECT(ADDRESS(C9+1,22,,,"Paste cell here")):INDIRECT(ADDRESS(C10+1,22,,,"Paste cell here"))))/(SUM(INDIRECT(ADDRESS(C9+1,2,,,"Paste cell here")):INDIRECT(ADDRESS(C10+1,2,,,"Paste cell here")))+SUM(INDIRECT(ADDRESS(C9+1,9,,,"Paste cell here")):INDIRECT(ADDRESS(C10+1,9,,,"Paste cell here")))),(SUM('Paste cell here'!Q2:INDIRECT(ADDRESS(C10+1,17,,,"Paste cell here")))+SUM(INDIRECT(ADDRESS(C9+1,17,,,"Paste cell here")):'Paste cell here'!Q366)+SUM('Paste cell here'!X2:INDIRECT(ADDRESS(C10+1,22,,,"Paste cell here")))+SUM(INDIRECT(ADDRESS(C9+1,22,,,"Paste cell here")):'Paste cell here'!X366))/(SUM('Paste cell here'!B2:INDIRECT(ADDRESS(C10+1,2,,,"Paste cell here")))+SUM(INDIRECT(ADDRESS(C9+1,2,,,"Paste cell here")):'Paste cell here'!B366)+SUM('Paste cell here'!I2:INDIRECT(ADDRESS(C10+1,9,,,"Paste cell here")))+SUM(INDIRECT(ADDRESS(C9+1,9,,,"Paste cell here")):'Paste cell here'!I366))))</f>
        <v/>
      </c>
      <c r="D60" s="27">
        <f>IF(ISTEXT(D9),"",IF(D9&lt;D10,(SUM(INDIRECT(ADDRESS(D9+1,17,,,"Paste cell here")):INDIRECT(ADDRESS(D10+1,17,,,"Paste cell here")))+SUM(INDIRECT(ADDRESS(D9+1,22,,,"Paste cell here")):INDIRECT(ADDRESS(D10+1,22,,,"Paste cell here"))))/(SUM(INDIRECT(ADDRESS(D9+1,2,,,"Paste cell here")):INDIRECT(ADDRESS(D10+1,2,,,"Paste cell here")))+SUM(INDIRECT(ADDRESS(D9+1,9,,,"Paste cell here")):INDIRECT(ADDRESS(D10+1,9,,,"Paste cell here")))),(SUM('Paste cell here'!T2:INDIRECT(ADDRESS(D10+1,17,,,"Paste cell here")))+SUM(INDIRECT(ADDRESS(D9+1,17,,,"Paste cell here")):'Paste cell here'!T366)+SUM('Paste cell here'!Y2:INDIRECT(ADDRESS(D10+1,22,,,"Paste cell here")))+SUM(INDIRECT(ADDRESS(D9+1,22,,,"Paste cell here")):'Paste cell here'!Y366))/(SUM('Paste cell here'!C2:INDIRECT(ADDRESS(D10+1,2,,,"Paste cell here")))+SUM(INDIRECT(ADDRESS(D9+1,2,,,"Paste cell here")):'Paste cell here'!C366)+SUM('Paste cell here'!J2:INDIRECT(ADDRESS(D10+1,9,,,"Paste cell here")))+SUM(INDIRECT(ADDRESS(D9+1,9,,,"Paste cell here")):'Paste cell here'!J366))))</f>
        <v/>
      </c>
      <c r="E60" s="27">
        <f>IF(ISTEXT(E9),"",IF(E9&lt;E10,(SUM(INDIRECT(ADDRESS(E9+1,17,,,"Paste cell here")):INDIRECT(ADDRESS(E10+1,17,,,"Paste cell here")))+SUM(INDIRECT(ADDRESS(E9+1,22,,,"Paste cell here")):INDIRECT(ADDRESS(E10+1,22,,,"Paste cell here"))))/(SUM(INDIRECT(ADDRESS(E9+1,2,,,"Paste cell here")):INDIRECT(ADDRESS(E10+1,2,,,"Paste cell here")))+SUM(INDIRECT(ADDRESS(E9+1,9,,,"Paste cell here")):INDIRECT(ADDRESS(E10+1,9,,,"Paste cell here")))),(SUM('Paste cell here'!U2:INDIRECT(ADDRESS(E10+1,17,,,"Paste cell here")))+SUM(INDIRECT(ADDRESS(E9+1,17,,,"Paste cell here")):'Paste cell here'!U366)+SUM('Paste cell here'!Z2:INDIRECT(ADDRESS(E10+1,22,,,"Paste cell here")))+SUM(INDIRECT(ADDRESS(E9+1,22,,,"Paste cell here")):'Paste cell here'!Z366))/(SUM('Paste cell here'!D2:INDIRECT(ADDRESS(E10+1,2,,,"Paste cell here")))+SUM(INDIRECT(ADDRESS(E9+1,2,,,"Paste cell here")):'Paste cell here'!D366)+SUM('Paste cell here'!K2:INDIRECT(ADDRESS(E10+1,9,,,"Paste cell here")))+SUM(INDIRECT(ADDRESS(E9+1,9,,,"Paste cell here")):'Paste cell here'!K366))))</f>
        <v/>
      </c>
      <c r="F60" s="27">
        <f>IF(ISTEXT(F9),"",IF(F9&lt;F10,(SUM(INDIRECT(ADDRESS(F9+1,17,,,"Paste cell here")):INDIRECT(ADDRESS(F10+1,17,,,"Paste cell here")))+SUM(INDIRECT(ADDRESS(F9+1,22,,,"Paste cell here")):INDIRECT(ADDRESS(F10+1,22,,,"Paste cell here"))))/(SUM(INDIRECT(ADDRESS(F9+1,2,,,"Paste cell here")):INDIRECT(ADDRESS(F10+1,2,,,"Paste cell here")))+SUM(INDIRECT(ADDRESS(F9+1,9,,,"Paste cell here")):INDIRECT(ADDRESS(F10+1,9,,,"Paste cell here")))),(SUM('Paste cell here'!V2:INDIRECT(ADDRESS(F10+1,17,,,"Paste cell here")))+SUM(INDIRECT(ADDRESS(F9+1,17,,,"Paste cell here")):'Paste cell here'!V366)+SUM('Paste cell here'!AA2:INDIRECT(ADDRESS(F10+1,22,,,"Paste cell here")))+SUM(INDIRECT(ADDRESS(F9+1,22,,,"Paste cell here")):'Paste cell here'!AA366))/(SUM('Paste cell here'!E2:INDIRECT(ADDRESS(F10+1,2,,,"Paste cell here")))+SUM(INDIRECT(ADDRESS(F9+1,2,,,"Paste cell here")):'Paste cell here'!E366)+SUM('Paste cell here'!L2:INDIRECT(ADDRESS(F10+1,9,,,"Paste cell here")))+SUM(INDIRECT(ADDRESS(F9+1,9,,,"Paste cell here")):'Paste cell here'!L366))))</f>
        <v/>
      </c>
      <c r="H60" s="49" t="n"/>
      <c r="I60" s="55" t="n"/>
      <c r="J60" s="49" t="inlineStr">
        <is>
          <t>Fase</t>
        </is>
      </c>
      <c r="K60" s="56" t="n"/>
      <c r="L60" s="56" t="n"/>
      <c r="M60" s="54" t="n"/>
      <c r="N60" s="17" t="n"/>
    </row>
    <row r="61">
      <c r="H61" s="57" t="n"/>
      <c r="I61" s="58" t="n"/>
      <c r="J61" s="17">
        <f t="array" ref="J61:M61">_xlfn._xlws.SORT(TRANSPOSE(_xlfn.UNIQUE(_xlfn._xlws.FILTER('Verifica produttività'!$D$2:$D$366,'Verifica produttività'!$D$2:$D$366&lt;&gt;0))),1,1,TRUE)</f>
        <v/>
      </c>
      <c r="K61" s="17" t="n">
        <v>2</v>
      </c>
      <c r="L61" s="17" t="n">
        <v>3</v>
      </c>
      <c r="M61" s="17" t="n">
        <v>4</v>
      </c>
      <c r="N61" s="17" t="inlineStr">
        <is>
          <t>fcCS</t>
        </is>
      </c>
    </row>
    <row r="62">
      <c r="B62" s="16" t="inlineStr">
        <is>
          <t>Dati relativi alla produttività</t>
        </is>
      </c>
      <c r="C62" s="47">
        <f>IF(C9="","","Prima coltura")</f>
        <v/>
      </c>
      <c r="D62" s="47">
        <f>IF(D9="","","Seconda coltura")</f>
        <v/>
      </c>
      <c r="E62" s="47">
        <f>IF(E9="","","Terza coltura")</f>
        <v/>
      </c>
      <c r="F62" s="47">
        <f>IF(F9="","","Quarta coltura")</f>
        <v/>
      </c>
      <c r="H62" s="48" t="inlineStr">
        <is>
          <t>Coltura</t>
        </is>
      </c>
      <c r="I62" s="17">
        <f t="array" ref="I62">_xlfn.UNIQUE(_xlfn._xlws.FILTER('Verifica produttività'!$C$2:$C$366,'Verifica produttività'!$C$2:$C$366&lt;&gt;0))</f>
        <v/>
      </c>
      <c r="J62" s="33">
        <f t="array" ref="J62">IF(J$61="","",IF($I62="","",(IFERROR((1-INDEX(_xlfn.ANCHORARRAY($C$20),J$61,$I62)*(1-SUMIFS('Verifica produttività'!$J$2:$J$366,'Verifica produttività'!$C$2:$C$366,$I62,'Verifica produttività'!$D$2:$D$366,J$61)/SUMIFS('Verifica produttività'!$I$2:$I$366,'Verifica produttività'!$C$2:$C$366,$I62,'Verifica produttività'!$D$2:$D$366,J$61)))^(COUNTIFS('Verifica produttività'!$C$2:$C$366,$I62,'Verifica produttività'!$D$2:$D$366,J$61)/COUNTIF('Verifica produttività'!$C$2:$C$366,$I62)),""))))</f>
        <v/>
      </c>
      <c r="K62" s="33">
        <f t="array" ref="K62">IF(K$61="","",IF($I62="","",(IFERROR((1-INDEX(_xlfn.ANCHORARRAY($C$20),K$61,$I62)*(1-SUMIFS('Verifica produttività'!$J$2:$J$366,'Verifica produttività'!$C$2:$C$366,$I62,'Verifica produttività'!$D$2:$D$366,K$61)/SUMIFS('Verifica produttività'!$I$2:$I$366,'Verifica produttività'!$C$2:$C$366,$I62,'Verifica produttività'!$D$2:$D$366,K$61)))^(COUNTIFS('Verifica produttività'!$C$2:$C$366,$I62,'Verifica produttività'!$D$2:$D$366,K$61)/COUNTIF('Verifica produttività'!$C$2:$C$366,$I62)),""))))</f>
        <v/>
      </c>
      <c r="L62" s="33">
        <f t="array" ref="L62">IF(L$61="","",IF($I62="","",(IFERROR((1-INDEX(_xlfn.ANCHORARRAY($C$20),L$61,$I62)*(1-SUMIFS('Verifica produttività'!$J$2:$J$366,'Verifica produttività'!$C$2:$C$366,$I62,'Verifica produttività'!$D$2:$D$366,L$61)/SUMIFS('Verifica produttività'!$I$2:$I$366,'Verifica produttività'!$C$2:$C$366,$I62,'Verifica produttività'!$D$2:$D$366,L$61)))^(COUNTIFS('Verifica produttività'!$C$2:$C$366,$I62,'Verifica produttività'!$D$2:$D$366,L$61)/COUNTIF('Verifica produttività'!$C$2:$C$366,$I62)),""))))</f>
        <v/>
      </c>
      <c r="M62" s="33">
        <f t="array" ref="M62">IF(M$61="","",IF($I62="","",(IFERROR((1-INDEX(_xlfn.ANCHORARRAY($C$20),M$61,$I62)*(1-SUMIFS('Verifica produttività'!$J$2:$J$366,'Verifica produttività'!$C$2:$C$366,$I62,'Verifica produttività'!$D$2:$D$366,M$61)/SUMIFS('Verifica produttività'!$I$2:$I$366,'Verifica produttività'!$C$2:$C$366,$I62,'Verifica produttività'!$D$2:$D$366,M$61)))^(COUNTIFS('Verifica produttività'!$C$2:$C$366,$I62,'Verifica produttività'!$D$2:$D$366,M$61)/COUNTIF('Verifica produttività'!$C$2:$C$366,$I62)),""))))</f>
        <v/>
      </c>
      <c r="N62" s="33">
        <f>IF(I62="","",PRODUCT(J62:M62))</f>
        <v/>
      </c>
    </row>
    <row r="63">
      <c r="B63" s="17" t="inlineStr">
        <is>
          <t>fcCS</t>
        </is>
      </c>
      <c r="C63" s="26">
        <f t="array" ref="C63:F63">TRANSPOSE((N62:N65))</f>
        <v/>
      </c>
      <c r="D63" s="26" t="str"/>
      <c r="E63" s="17" t="str"/>
      <c r="F63" s="17" t="str"/>
      <c r="H63" s="59" t="n"/>
      <c r="I63" s="17" t="n"/>
      <c r="J63" s="33">
        <f t="array" ref="J63">IF(J$61="","",IF($I63="","",(IFERROR((1-INDEX(_xlfn.ANCHORARRAY($C$20),J$61,$I63)*(1-SUMIFS('Verifica produttività'!$J$2:$J$366,'Verifica produttività'!$C$2:$C$366,$I63,'Verifica produttività'!$D$2:$D$366,J$61)/SUMIFS('Verifica produttività'!$I$2:$I$366,'Verifica produttività'!$C$2:$C$366,$I63,'Verifica produttività'!$D$2:$D$366,J$61)))^(COUNTIFS('Verifica produttività'!$C$2:$C$366,$I63,'Verifica produttività'!$D$2:$D$366,J$61)/COUNTIF('Verifica produttività'!$C$2:$C$366,$I63)),""))))</f>
        <v/>
      </c>
      <c r="K63" s="33">
        <f t="array" ref="K63">IF(K$61="","",IF($I63="","",(IFERROR((1-INDEX(_xlfn.ANCHORARRAY($C$20),K$61,$I63)*(1-SUMIFS('Verifica produttività'!$J$2:$J$366,'Verifica produttività'!$C$2:$C$366,$I63,'Verifica produttività'!$D$2:$D$366,K$61)/SUMIFS('Verifica produttività'!$I$2:$I$366,'Verifica produttività'!$C$2:$C$366,$I63,'Verifica produttività'!$D$2:$D$366,K$61)))^(COUNTIFS('Verifica produttività'!$C$2:$C$366,$I63,'Verifica produttività'!$D$2:$D$366,K$61)/COUNTIF('Verifica produttività'!$C$2:$C$366,$I63)),""))))</f>
        <v/>
      </c>
      <c r="L63" s="33">
        <f t="array" ref="L63">IF(L$61="","",IF($I63="","",(IFERROR((1-INDEX(_xlfn.ANCHORARRAY($C$20),L$61,$I63)*(1-SUMIFS('Verifica produttività'!$J$2:$J$366,'Verifica produttività'!$C$2:$C$366,$I63,'Verifica produttività'!$D$2:$D$366,L$61)/SUMIFS('Verifica produttività'!$I$2:$I$366,'Verifica produttività'!$C$2:$C$366,$I63,'Verifica produttività'!$D$2:$D$366,L$61)))^(COUNTIFS('Verifica produttività'!$C$2:$C$366,$I63,'Verifica produttività'!$D$2:$D$366,L$61)/COUNTIF('Verifica produttività'!$C$2:$C$366,$I63)),""))))</f>
        <v/>
      </c>
      <c r="M63" s="33">
        <f t="array" ref="M63">IF(M$61="","",IF($I63="","",(IFERROR((1-INDEX(_xlfn.ANCHORARRAY($C$20),M$61,$I63)*(1-SUMIFS('Verifica produttività'!$J$2:$J$366,'Verifica produttività'!$C$2:$C$366,$I63,'Verifica produttività'!$D$2:$D$366,M$61)/SUMIFS('Verifica produttività'!$I$2:$I$366,'Verifica produttività'!$C$2:$C$366,$I63,'Verifica produttività'!$D$2:$D$366,M$61)))^(COUNTIFS('Verifica produttività'!$C$2:$C$366,$I63,'Verifica produttività'!$D$2:$D$366,M$61)/COUNTIF('Verifica produttività'!$C$2:$C$366,$I63)),""))))</f>
        <v/>
      </c>
      <c r="N63" s="33">
        <f>IF(I63="","",PRODUCT(J63:M63))</f>
        <v/>
      </c>
    </row>
    <row r="64">
      <c r="B64" s="33" t="inlineStr">
        <is>
          <t>fcT</t>
        </is>
      </c>
      <c r="C64" s="26">
        <f>IFERROR(1-C19*(1-SUMIF('Verifica produttività'!$C$2:$C$366,COLUMN(C64)-COLUMN($C64)+1,'Verifica produttività'!$J$2:$J$366)/SUMIF('Verifica produttività'!$C$2:$C$366,COLUMN(C64)-COLUMN($C64)+1,'Verifica produttività'!$I$2:$I$366)),"")</f>
        <v/>
      </c>
      <c r="D64" s="26">
        <f>IFERROR(1-D19*(1-SUMIF('Verifica produttività'!$C$2:$C$366,COLUMN(D64)-COLUMN($C64)+1,'Verifica produttività'!$J$2:$J$366)/SUMIF('Verifica produttività'!$C$2:$C$366,COLUMN(D64)-COLUMN($C64)+1,'Verifica produttività'!$I$2:$I$366)),"")</f>
        <v/>
      </c>
      <c r="E64" s="26">
        <f>IFERROR(1-E19*(1-SUMIF('Verifica produttività'!$C$2:$C$366,COLUMN(E64)-COLUMN($C64)+1,'Verifica produttività'!$J$2:$J$366)/SUMIF('Verifica produttività'!$C$2:$C$366,COLUMN(E64)-COLUMN($C64)+1,'Verifica produttività'!$I$2:$I$366)),"")</f>
        <v/>
      </c>
      <c r="F64" s="26">
        <f>IFERROR(1-F19*(1-SUMIF('Verifica produttività'!$C$2:$C$366,COLUMN(F64)-COLUMN($C64)+1,'Verifica produttività'!$J$2:$J$366)/SUMIF('Verifica produttività'!$C$2:$C$366,COLUMN(F64)-COLUMN($C64)+1,'Verifica produttività'!$I$2:$I$366)),"")</f>
        <v/>
      </c>
      <c r="H64" s="59" t="n"/>
      <c r="I64" s="17" t="n"/>
      <c r="J64" s="33">
        <f t="array" ref="J64">IF(J$61="","",IF($I64="","",(IFERROR((1-INDEX(_xlfn.ANCHORARRAY($C$20),J$61,$I64)*(1-SUMIFS('Verifica produttività'!$J$2:$J$366,'Verifica produttività'!$C$2:$C$366,$I64,'Verifica produttività'!$D$2:$D$366,J$61)/SUMIFS('Verifica produttività'!$I$2:$I$366,'Verifica produttività'!$C$2:$C$366,$I64,'Verifica produttività'!$D$2:$D$366,J$61)))^(COUNTIFS('Verifica produttività'!$C$2:$C$366,$I64,'Verifica produttività'!$D$2:$D$366,J$61)/COUNTIF('Verifica produttività'!$C$2:$C$366,$I64)),""))))</f>
        <v/>
      </c>
      <c r="K64" s="33">
        <f t="array" ref="K64">IF(K$61="","",IF($I64="","",(IFERROR((1-INDEX(_xlfn.ANCHORARRAY($C$20),K$61,$I64)*(1-SUMIFS('Verifica produttività'!$J$2:$J$366,'Verifica produttività'!$C$2:$C$366,$I64,'Verifica produttività'!$D$2:$D$366,K$61)/SUMIFS('Verifica produttività'!$I$2:$I$366,'Verifica produttività'!$C$2:$C$366,$I64,'Verifica produttività'!$D$2:$D$366,K$61)))^(COUNTIFS('Verifica produttività'!$C$2:$C$366,$I64,'Verifica produttività'!$D$2:$D$366,K$61)/COUNTIF('Verifica produttività'!$C$2:$C$366,$I64)),""))))</f>
        <v/>
      </c>
      <c r="L64" s="33">
        <f t="array" ref="L64">IF(L$61="","",IF($I64="","",(IFERROR((1-INDEX(_xlfn.ANCHORARRAY($C$20),L$61,$I64)*(1-SUMIFS('Verifica produttività'!$J$2:$J$366,'Verifica produttività'!$C$2:$C$366,$I64,'Verifica produttività'!$D$2:$D$366,L$61)/SUMIFS('Verifica produttività'!$I$2:$I$366,'Verifica produttività'!$C$2:$C$366,$I64,'Verifica produttività'!$D$2:$D$366,L$61)))^(COUNTIFS('Verifica produttività'!$C$2:$C$366,$I64,'Verifica produttività'!$D$2:$D$366,L$61)/COUNTIF('Verifica produttività'!$C$2:$C$366,$I64)),""))))</f>
        <v/>
      </c>
      <c r="M64" s="33">
        <f t="array" ref="M64">IF(M$61="","",IF($I64="","",(IFERROR((1-INDEX(_xlfn.ANCHORARRAY($C$20),M$61,$I64)*(1-SUMIFS('Verifica produttività'!$J$2:$J$366,'Verifica produttività'!$C$2:$C$366,$I64,'Verifica produttività'!$D$2:$D$366,M$61)/SUMIFS('Verifica produttività'!$I$2:$I$366,'Verifica produttività'!$C$2:$C$366,$I64,'Verifica produttività'!$D$2:$D$366,M$61)))^(COUNTIFS('Verifica produttività'!$C$2:$C$366,$I64,'Verifica produttività'!$D$2:$D$366,M$61)/COUNTIF('Verifica produttività'!$C$2:$C$366,$I64)),""))))</f>
        <v/>
      </c>
      <c r="N64" s="33">
        <f>IF(I64="","",PRODUCT(J64:M64))</f>
        <v/>
      </c>
    </row>
    <row r="65">
      <c r="B65" s="17" t="inlineStr">
        <is>
          <t>fHSd</t>
        </is>
      </c>
      <c r="C65" s="26">
        <f t="array" ref="C65">IFERROR((SUMIF('Verifica produttività'!$C$2:$C$366,COLUMN(C65)-COLUMN($C65)+1,'Verifica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C65)-COLUMN($C65)+1)-INDEX(IF(ROUND(0.45*_xlfn.ANCHORARRAY($C$11),0)+_xlfn.ANCHORARRAY($C$9)&gt;365,ROUND(0.45*_xlfn.ANCHORARRAY($C$11),0)+_xlfn.ANCHORARRAY($C$9)-365,ROUND(0.45*_xlfn.ANCHORARRAY($C$11),0)+_xlfn.ANCHORARRAY($C$9)+1),1,COLUMN(C65)-COLUMN($C65)+1)),"")</f>
        <v/>
      </c>
      <c r="D65" s="26">
        <f t="array" ref="D65">IFERROR((SUMIF('Verifica produttività'!$C$2:$C$366,COLUMN(D65)-COLUMN($C65)+1,'Verifica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D65)-COLUMN($C65)+1)-INDEX(IF(ROUND(0.45*_xlfn.ANCHORARRAY($C$11),0)+_xlfn.ANCHORARRAY($C$9)&gt;365,ROUND(0.45*_xlfn.ANCHORARRAY($C$11),0)+_xlfn.ANCHORARRAY($C$9)-365,ROUND(0.45*_xlfn.ANCHORARRAY($C$11),0)+_xlfn.ANCHORARRAY($C$9)+1),1,COLUMN(D65)-COLUMN($C65)+1)),"")</f>
        <v/>
      </c>
      <c r="E65" s="26">
        <f t="array" ref="E65">IFERROR((SUMIF('Verifica produttività'!$C$2:$C$366,COLUMN(E65)-COLUMN($C65)+1,'Verifica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E65)-COLUMN($C65)+1)-INDEX(IF(ROUND(0.45*_xlfn.ANCHORARRAY($C$11),0)+_xlfn.ANCHORARRAY($C$9)&gt;365,ROUND(0.45*_xlfn.ANCHORARRAY($C$11),0)+_xlfn.ANCHORARRAY($C$9)-365,ROUND(0.45*_xlfn.ANCHORARRAY($C$11),0)+_xlfn.ANCHORARRAY($C$9)+1),1,COLUMN(E65)-COLUMN($C65)+1)),"")</f>
        <v/>
      </c>
      <c r="F65" s="26">
        <f t="array" ref="F65">IFERROR((SUMIF('Verifica produttività'!$C$2:$C$366,COLUMN(F65)-COLUMN($C65)+1,'Verifica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F65)-COLUMN($C65)+1)-INDEX(IF(ROUND(0.45*_xlfn.ANCHORARRAY($C$11),0)+_xlfn.ANCHORARRAY($C$9)&gt;365,ROUND(0.45*_xlfn.ANCHORARRAY($C$11),0)+_xlfn.ANCHORARRAY($C$9)-365,ROUND(0.45*_xlfn.ANCHORARRAY($C$11),0)+_xlfn.ANCHORARRAY($C$9)+1),1,COLUMN(F65)-COLUMN($C65)+1)),"")</f>
        <v/>
      </c>
      <c r="H65" s="60" t="n"/>
      <c r="I65" s="17" t="n"/>
      <c r="J65" s="33">
        <f t="array" ref="J65">IF(J$61="","",IF($I65="","",(IFERROR((1-INDEX(_xlfn.ANCHORARRAY($C$20),J$61,$I65)*(1-SUMIFS('Verifica produttività'!$J$2:$J$366,'Verifica produttività'!$C$2:$C$366,$I65,'Verifica produttività'!$D$2:$D$366,J$61)/SUMIFS('Verifica produttività'!$I$2:$I$366,'Verifica produttività'!$C$2:$C$366,$I65,'Verifica produttività'!$D$2:$D$366,J$61)))^(COUNTIFS('Verifica produttività'!$C$2:$C$366,$I65,'Verifica produttività'!$D$2:$D$366,J$61)/COUNTIF('Verifica produttività'!$C$2:$C$366,$I65)),""))))</f>
        <v/>
      </c>
      <c r="K65" s="33">
        <f t="array" ref="K65">IF(K$61="","",IF($I65="","",(IFERROR((1-INDEX(_xlfn.ANCHORARRAY($C$20),K$61,$I65)*(1-SUMIFS('Verifica produttività'!$J$2:$J$366,'Verifica produttività'!$C$2:$C$366,$I65,'Verifica produttività'!$D$2:$D$366,K$61)/SUMIFS('Verifica produttività'!$I$2:$I$366,'Verifica produttività'!$C$2:$C$366,$I65,'Verifica produttività'!$D$2:$D$366,K$61)))^(COUNTIFS('Verifica produttività'!$C$2:$C$366,$I65,'Verifica produttività'!$D$2:$D$366,K$61)/COUNTIF('Verifica produttività'!$C$2:$C$366,$I65)),""))))</f>
        <v/>
      </c>
      <c r="L65" s="33">
        <f t="array" ref="L65">IF(L$61="","",IF($I65="","",(IFERROR((1-INDEX(_xlfn.ANCHORARRAY($C$20),L$61,$I65)*(1-SUMIFS('Verifica produttività'!$J$2:$J$366,'Verifica produttività'!$C$2:$C$366,$I65,'Verifica produttività'!$D$2:$D$366,L$61)/SUMIFS('Verifica produttività'!$I$2:$I$366,'Verifica produttività'!$C$2:$C$366,$I65,'Verifica produttività'!$D$2:$D$366,L$61)))^(COUNTIFS('Verifica produttività'!$C$2:$C$366,$I65,'Verifica produttività'!$D$2:$D$366,L$61)/COUNTIF('Verifica produttività'!$C$2:$C$366,$I65)),""))))</f>
        <v/>
      </c>
      <c r="M65" s="33">
        <f t="array" ref="M65">IF(M$61="","",IF($I65="","",(IFERROR((1-INDEX(_xlfn.ANCHORARRAY($C$20),M$61,$I65)*(1-SUMIFS('Verifica produttività'!$J$2:$J$366,'Verifica produttività'!$C$2:$C$366,$I65,'Verifica produttività'!$D$2:$D$366,M$61)/SUMIFS('Verifica produttività'!$I$2:$I$366,'Verifica produttività'!$C$2:$C$366,$I65,'Verifica produttività'!$D$2:$D$366,M$61)))^(COUNTIFS('Verifica produttività'!$C$2:$C$366,$I65,'Verifica produttività'!$D$2:$D$366,M$61)/COUNTIF('Verifica produttività'!$C$2:$C$366,$I65)),""))))</f>
        <v/>
      </c>
      <c r="N65" s="33">
        <f>IF(I65="","",PRODUCT(J65:M65))</f>
        <v/>
      </c>
    </row>
    <row r="66">
      <c r="B66" s="17" t="inlineStr">
        <is>
          <t>Biomassa potenziale</t>
        </is>
      </c>
      <c r="C66" s="26">
        <f t="array" ref="C66">IFERROR(INDEX(_xlfn.ANCHORARRAY($C$24),1,COLUMN(C66)-COLUMN($C66)+1)*SUMIFS('Verifica produttività'!$K$2:$K$366,'Verifica produttività'!$C$2:$C$366,COLUMN(C66)-COLUMN($C66)+1),"")</f>
        <v/>
      </c>
      <c r="D66" s="26">
        <f t="array" ref="D66">IFERROR(INDEX(_xlfn.ANCHORARRAY($C$24),1,COLUMN(D66)-COLUMN($C66)+1)*SUMIFS('Verifica produttività'!$K$2:$K$366,'Verifica produttività'!$C$2:$C$366,COLUMN(D66)-COLUMN($C66)+1),"")</f>
        <v/>
      </c>
      <c r="E66" s="26">
        <f t="array" ref="E66">IFERROR(INDEX(_xlfn.ANCHORARRAY($C$24),1,COLUMN(E66)-COLUMN($C66)+1)*SUMIFS('Verifica produttività'!$K$2:$K$366,'Verifica produttività'!$C$2:$C$366,COLUMN(E66)-COLUMN($C66)+1),"")</f>
        <v/>
      </c>
      <c r="F66" s="26">
        <f t="array" ref="F66">IFERROR(INDEX(_xlfn.ANCHORARRAY($C$24),1,COLUMN(F66)-COLUMN($C66)+1)*SUMIFS('Verifica produttività'!$K$2:$K$366,'Verifica produttività'!$C$2:$C$366,COLUMN(F66)-COLUMN($C66)+1),"")</f>
        <v/>
      </c>
    </row>
    <row r="67">
      <c r="B67" s="17" t="inlineStr">
        <is>
          <t>Resa potenziale</t>
        </is>
      </c>
      <c r="C67" s="26">
        <f>IFERROR(C25*C66,"")</f>
        <v/>
      </c>
      <c r="D67" s="26">
        <f>IFERROR(D25*D66,"")</f>
        <v/>
      </c>
      <c r="E67" s="26">
        <f>IFERROR(E25*E66,"")</f>
        <v/>
      </c>
      <c r="F67" s="26">
        <f>IFERROR(F25*F66,"")</f>
        <v/>
      </c>
    </row>
    <row r="68">
      <c r="B68" s="17" t="inlineStr">
        <is>
          <t>Resa effettiva</t>
        </is>
      </c>
      <c r="C68" s="26">
        <f>IFERROR(C67*MIN(C63,C64)*C65,"")</f>
        <v/>
      </c>
      <c r="D68" s="26">
        <f>IFERROR(D67*MIN(D63,D64)*D65,"")</f>
        <v/>
      </c>
      <c r="E68" s="26">
        <f>IFERROR(E67*MIN(E63,E64)*E65,"")</f>
        <v/>
      </c>
      <c r="F68" s="26">
        <f>IFERROR(F67*MIN(F63,F64)*F65,"")</f>
        <v/>
      </c>
    </row>
    <row r="74">
      <c r="E74" s="12" t="n"/>
      <c r="F74" s="12" t="n"/>
    </row>
    <row r="75">
      <c r="E75" s="12" t="n"/>
      <c r="F75" s="12" t="n"/>
    </row>
    <row r="78">
      <c r="D78" s="12" t="n"/>
      <c r="E78" s="12" t="n"/>
      <c r="F78" s="12" t="n"/>
    </row>
    <row r="79">
      <c r="D79" s="12" t="n"/>
      <c r="E79" s="12" t="n"/>
      <c r="F79" s="12" t="n"/>
    </row>
  </sheetData>
  <mergeCells count="4">
    <mergeCell ref="J60:M60"/>
    <mergeCell ref="H62:H65"/>
    <mergeCell ref="B2:C2"/>
    <mergeCell ref="H60:I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Foglio2">
    <tabColor theme="6" tint="0.5999633777886288"/>
    <outlinePr summaryBelow="1" summaryRight="1"/>
    <pageSetUpPr/>
  </sheetPr>
  <dimension ref="A1:BU367"/>
  <sheetViews>
    <sheetView zoomScale="115" zoomScaleNormal="115" workbookViewId="0">
      <pane ySplit="1" topLeftCell="A2" activePane="bottomLeft" state="frozen"/>
      <selection pane="bottomLeft" activeCell="AD346" sqref="AD346"/>
    </sheetView>
  </sheetViews>
  <sheetFormatPr baseColWidth="8" defaultRowHeight="15"/>
  <cols>
    <col width="11.5703125" bestFit="1" customWidth="1" min="1" max="1"/>
    <col width="9.7109375" bestFit="1" customWidth="1" min="2" max="2"/>
    <col width="10.7109375" bestFit="1" customWidth="1" min="3" max="4"/>
    <col width="12.7109375" bestFit="1" customWidth="1" min="5" max="5"/>
    <col width="5.7109375" bestFit="1" customWidth="1" min="6" max="6"/>
    <col width="8.7109375" bestFit="1" customWidth="1" min="7" max="7"/>
    <col width="12.7109375" bestFit="1" customWidth="1" min="8" max="8"/>
    <col width="9.140625" bestFit="1" customWidth="1" min="9" max="9"/>
    <col width="14.7109375" bestFit="1" customWidth="1" min="10" max="10"/>
    <col width="18.85546875" bestFit="1" customWidth="1" min="11" max="11"/>
    <col width="17.28515625" bestFit="1" customWidth="1" min="12" max="12"/>
    <col width="16.5703125" bestFit="1" customWidth="1" min="13" max="13"/>
    <col width="14.7109375" bestFit="1" customWidth="1" min="14" max="14"/>
    <col width="15.140625" bestFit="1" customWidth="1" min="15" max="15"/>
    <col width="12.7109375" bestFit="1" customWidth="1" min="16" max="16"/>
    <col width="13.7109375" bestFit="1" customWidth="1" min="17" max="17"/>
    <col width="15" bestFit="1" customWidth="1" min="18" max="18"/>
    <col width="15.7109375" bestFit="1" customWidth="1" min="19" max="20"/>
    <col width="11.7109375" bestFit="1" customWidth="1" min="21" max="21"/>
    <col width="12.85546875" bestFit="1" customWidth="1" min="22" max="22"/>
    <col width="8.85546875" bestFit="1" customWidth="1" min="23" max="23"/>
    <col width="15" bestFit="1" customWidth="1" min="24" max="24"/>
    <col width="14.5703125" bestFit="1" customWidth="1" min="25" max="25"/>
    <col width="12.7109375" bestFit="1" customWidth="1" min="26" max="26"/>
    <col width="14.28515625" bestFit="1" customWidth="1" min="27" max="27"/>
    <col width="30" bestFit="1" customWidth="1" min="28" max="28"/>
    <col width="14.7109375" bestFit="1" customWidth="1" min="29" max="30"/>
    <col width="11.7109375" bestFit="1" customWidth="1" min="31" max="31"/>
    <col width="14.140625" bestFit="1" customWidth="1" min="32" max="32"/>
    <col width="11.7109375" bestFit="1" customWidth="1" min="33" max="34"/>
    <col width="19" bestFit="1" customWidth="1" min="35" max="35"/>
    <col width="12.5703125" bestFit="1" customWidth="1" min="36" max="36"/>
    <col width="16.85546875" bestFit="1" customWidth="1" min="37" max="37"/>
    <col width="11.7109375" bestFit="1" customWidth="1" min="38" max="39"/>
    <col width="12" bestFit="1" customWidth="1" min="40" max="40"/>
    <col width="8.7109375" bestFit="1" customWidth="1" min="41" max="42"/>
    <col width="8" bestFit="1" customWidth="1" min="43" max="43"/>
    <col width="8.7109375" bestFit="1" customWidth="1" min="44" max="45"/>
    <col width="9.7109375" bestFit="1" customWidth="1" min="46" max="47"/>
    <col width="11.5703125" customWidth="1" min="48" max="48"/>
    <col width="11.42578125" bestFit="1" customWidth="1" min="73" max="73"/>
  </cols>
  <sheetData>
    <row r="1">
      <c r="A1" t="inlineStr">
        <is>
          <t>Giulian_day</t>
        </is>
      </c>
      <c r="B1" t="inlineStr">
        <is>
          <t xml:space="preserve"> rain_mm</t>
        </is>
      </c>
      <c r="C1" t="inlineStr">
        <is>
          <t xml:space="preserve"> Tmax</t>
        </is>
      </c>
      <c r="D1" t="inlineStr">
        <is>
          <t xml:space="preserve"> Tmin</t>
        </is>
      </c>
      <c r="E1" t="inlineStr">
        <is>
          <t xml:space="preserve"> et0</t>
        </is>
      </c>
      <c r="F1" t="inlineStr">
        <is>
          <t xml:space="preserve"> kcb</t>
        </is>
      </c>
      <c r="G1" t="inlineStr">
        <is>
          <t xml:space="preserve"> lai</t>
        </is>
      </c>
      <c r="H1" t="inlineStr">
        <is>
          <t xml:space="preserve"> pday</t>
        </is>
      </c>
      <c r="I1" t="inlineStr">
        <is>
          <t xml:space="preserve"> irrig_mm</t>
        </is>
      </c>
      <c r="J1" t="inlineStr">
        <is>
          <t xml:space="preserve"> eff_rain_mm</t>
        </is>
      </c>
      <c r="K1" t="inlineStr">
        <is>
          <t xml:space="preserve"> GrossAv_water_mm</t>
        </is>
      </c>
      <c r="L1" t="inlineStr">
        <is>
          <t xml:space="preserve"> NetAv_water_mm</t>
        </is>
      </c>
      <c r="M1" t="inlineStr">
        <is>
          <t xml:space="preserve"> interception_mm</t>
        </is>
      </c>
      <c r="N1" t="inlineStr">
        <is>
          <t xml:space="preserve"> runoff_mm</t>
        </is>
      </c>
      <c r="O1" t="inlineStr">
        <is>
          <t xml:space="preserve"> infiltration_mm</t>
        </is>
      </c>
      <c r="P1" t="inlineStr">
        <is>
          <t xml:space="preserve"> eva_pot_mm</t>
        </is>
      </c>
      <c r="Q1" t="inlineStr">
        <is>
          <t xml:space="preserve"> eva_mm</t>
        </is>
      </c>
      <c r="R1" t="inlineStr">
        <is>
          <t xml:space="preserve"> trasp_pot1_mm</t>
        </is>
      </c>
      <c r="S1" t="inlineStr">
        <is>
          <t xml:space="preserve"> trasp_act1_mm</t>
        </is>
      </c>
      <c r="T1" t="inlineStr">
        <is>
          <t xml:space="preserve"> perc1_mm</t>
        </is>
      </c>
      <c r="U1" t="inlineStr">
        <is>
          <t xml:space="preserve"> theta1_mm</t>
        </is>
      </c>
      <c r="V1" t="inlineStr">
        <is>
          <t xml:space="preserve"> ponding_mm</t>
        </is>
      </c>
      <c r="W1" t="inlineStr">
        <is>
          <t xml:space="preserve"> rise_mm</t>
        </is>
      </c>
      <c r="X1" t="inlineStr">
        <is>
          <t xml:space="preserve"> trasp_pot2_mm</t>
        </is>
      </c>
      <c r="Y1" t="inlineStr">
        <is>
          <t xml:space="preserve"> trasp_act2_mm</t>
        </is>
      </c>
      <c r="Z1" t="inlineStr">
        <is>
          <t xml:space="preserve"> ks</t>
        </is>
      </c>
      <c r="AA1" t="inlineStr">
        <is>
          <t xml:space="preserve"> thickness_II_m</t>
        </is>
      </c>
      <c r="AB1" t="inlineStr">
        <is>
          <t xml:space="preserve"> wat_table_depth_under_root_m</t>
        </is>
      </c>
      <c r="AC1" t="inlineStr">
        <is>
          <t xml:space="preserve"> capflux_mm</t>
        </is>
      </c>
      <c r="AD1" t="inlineStr">
        <is>
          <t xml:space="preserve"> perc2_mm</t>
        </is>
      </c>
      <c r="AE1" t="inlineStr">
        <is>
          <t xml:space="preserve"> theta2_mm</t>
        </is>
      </c>
      <c r="AF1" t="inlineStr">
        <is>
          <t xml:space="preserve"> theta_old_mm</t>
        </is>
      </c>
      <c r="AG1" t="inlineStr">
        <is>
          <t xml:space="preserve"> rawbig</t>
        </is>
      </c>
      <c r="AH1" t="inlineStr">
        <is>
          <t xml:space="preserve"> rawinf</t>
        </is>
      </c>
      <c r="AI1" t="inlineStr">
        <is>
          <t xml:space="preserve"> wat_table_depth_m</t>
        </is>
      </c>
      <c r="AJ1" t="inlineStr">
        <is>
          <t xml:space="preserve"> distr_irr_mm</t>
        </is>
      </c>
      <c r="AK1" t="inlineStr">
        <is>
          <t xml:space="preserve"> priv_well_irr_mm</t>
        </is>
      </c>
      <c r="AL1" t="inlineStr">
        <is>
          <t xml:space="preserve"> espperc1</t>
        </is>
      </c>
      <c r="AM1" t="inlineStr">
        <is>
          <t xml:space="preserve"> espperc2</t>
        </is>
      </c>
      <c r="AN1" t="inlineStr">
        <is>
          <t xml:space="preserve"> irr_loss_mm</t>
        </is>
      </c>
      <c r="AO1" t="inlineStr">
        <is>
          <t xml:space="preserve"> RF_e</t>
        </is>
      </c>
      <c r="AP1" t="inlineStr">
        <is>
          <t xml:space="preserve"> RF_t</t>
        </is>
      </c>
      <c r="AQ1" t="inlineStr">
        <is>
          <t xml:space="preserve"> r_stress</t>
        </is>
      </c>
      <c r="AR1" t="inlineStr">
        <is>
          <t xml:space="preserve"> h_r</t>
        </is>
      </c>
      <c r="AS1" t="inlineStr">
        <is>
          <t xml:space="preserve"> h_wp</t>
        </is>
      </c>
      <c r="AT1" t="inlineStr">
        <is>
          <t xml:space="preserve"> h_fc</t>
        </is>
      </c>
      <c r="AU1" t="inlineStr">
        <is>
          <t xml:space="preserve"> h_sat</t>
        </is>
      </c>
      <c r="AV1" t="inlineStr">
        <is>
          <t xml:space="preserve"> h_maxpond</t>
        </is>
      </c>
    </row>
    <row r="2">
      <c r="A2" t="n">
        <v>1</v>
      </c>
      <c r="B2" s="15" t="n">
        <v>16.78306093</v>
      </c>
      <c r="C2" t="n">
        <v>2.746074695</v>
      </c>
      <c r="D2" t="n">
        <v>0.461249406</v>
      </c>
      <c r="E2" t="n">
        <v>0.236094791</v>
      </c>
      <c r="F2" t="n">
        <v>0</v>
      </c>
      <c r="G2" t="n">
        <v>0</v>
      </c>
      <c r="H2" t="n">
        <v>0.699999996</v>
      </c>
      <c r="I2" t="n">
        <v>0</v>
      </c>
      <c r="J2" s="15" t="n">
        <v>16.78306093</v>
      </c>
      <c r="K2" s="15" t="n">
        <v>16.78306093</v>
      </c>
      <c r="L2" s="15" t="n">
        <v>12.77820549</v>
      </c>
      <c r="M2" t="n">
        <v>0</v>
      </c>
      <c r="N2" t="n">
        <v>4.004855447</v>
      </c>
      <c r="O2" s="15" t="n">
        <v>12.77820587</v>
      </c>
      <c r="P2" t="n">
        <v>0.283313756</v>
      </c>
      <c r="Q2" t="n">
        <v>0.283313756</v>
      </c>
      <c r="R2" t="n">
        <v>0</v>
      </c>
      <c r="S2" t="n">
        <v>0</v>
      </c>
      <c r="T2" t="n">
        <v>3.179725921</v>
      </c>
      <c r="U2" t="n">
        <v>32.23606619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0.9</v>
      </c>
      <c r="AB2" t="n">
        <v>99</v>
      </c>
      <c r="AC2" t="n">
        <v>0</v>
      </c>
      <c r="AD2" t="n">
        <v>0.21086889</v>
      </c>
      <c r="AE2" t="n">
        <v>180.265257</v>
      </c>
      <c r="AF2" t="n">
        <v>177.2964</v>
      </c>
      <c r="AG2" t="n">
        <v>130.2081843</v>
      </c>
      <c r="AH2" t="n">
        <v>95.61276021</v>
      </c>
      <c r="AI2" t="n">
        <v>100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58.7952</v>
      </c>
      <c r="AS2" t="n">
        <v>81.19799999999999</v>
      </c>
      <c r="AT2" t="n">
        <v>177.2964</v>
      </c>
      <c r="AU2" t="n">
        <v>389.8692</v>
      </c>
      <c r="AV2" t="n">
        <v>0</v>
      </c>
    </row>
    <row r="3">
      <c r="A3" t="n">
        <v>2</v>
      </c>
      <c r="B3" s="15" t="n">
        <v>20.88713147</v>
      </c>
      <c r="C3" t="n">
        <v>4.068851101</v>
      </c>
      <c r="D3" t="n">
        <v>1.497320274</v>
      </c>
      <c r="E3" t="n">
        <v>0.25406543</v>
      </c>
      <c r="F3" t="n">
        <v>0</v>
      </c>
      <c r="G3" t="n">
        <v>0</v>
      </c>
      <c r="H3" t="n">
        <v>0.688667446</v>
      </c>
      <c r="I3" t="n">
        <v>0</v>
      </c>
      <c r="J3" s="15" t="n">
        <v>20.88713147</v>
      </c>
      <c r="K3" s="15" t="n">
        <v>20.88713147</v>
      </c>
      <c r="L3" s="15" t="n">
        <v>13.80279186</v>
      </c>
      <c r="M3" t="n">
        <v>0</v>
      </c>
      <c r="N3" t="n">
        <v>7.084339606</v>
      </c>
      <c r="O3" s="15" t="n">
        <v>13.80279227</v>
      </c>
      <c r="P3" t="n">
        <v>0.304878524</v>
      </c>
      <c r="Q3" t="n">
        <v>0.304878524</v>
      </c>
      <c r="R3" t="n">
        <v>0</v>
      </c>
      <c r="S3" t="n">
        <v>0</v>
      </c>
      <c r="T3" s="15" t="n">
        <v>12.10418021</v>
      </c>
      <c r="U3" t="n">
        <v>33.62979973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0.9</v>
      </c>
      <c r="AB3" t="n">
        <v>99</v>
      </c>
      <c r="AC3" t="n">
        <v>0</v>
      </c>
      <c r="AD3" t="n">
        <v>0.364868325</v>
      </c>
      <c r="AE3" t="n">
        <v>192.0045689</v>
      </c>
      <c r="AF3" t="n">
        <v>180.265257</v>
      </c>
      <c r="AG3" t="n">
        <v>130.9705122</v>
      </c>
      <c r="AH3" t="n">
        <v>96.15728018</v>
      </c>
      <c r="AI3" t="n">
        <v>100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58.7952</v>
      </c>
      <c r="AS3" t="n">
        <v>81.19799999999999</v>
      </c>
      <c r="AT3" t="n">
        <v>177.2964</v>
      </c>
      <c r="AU3" t="n">
        <v>389.8692</v>
      </c>
      <c r="AV3" t="n">
        <v>0</v>
      </c>
    </row>
    <row r="4">
      <c r="A4" t="n">
        <v>3</v>
      </c>
      <c r="B4" t="n">
        <v>4.516953496</v>
      </c>
      <c r="C4" t="n">
        <v>8.161249406</v>
      </c>
      <c r="D4" t="n">
        <v>2.030058839</v>
      </c>
      <c r="E4" t="n">
        <v>0.215476542</v>
      </c>
      <c r="F4" t="n">
        <v>0</v>
      </c>
      <c r="G4" t="n">
        <v>0</v>
      </c>
      <c r="H4" t="n">
        <v>0.687804855</v>
      </c>
      <c r="I4" t="n">
        <v>0</v>
      </c>
      <c r="J4" t="n">
        <v>4.516953496</v>
      </c>
      <c r="K4" t="n">
        <v>4.516953496</v>
      </c>
      <c r="L4" t="n">
        <v>4.51425443</v>
      </c>
      <c r="M4" t="n">
        <v>0</v>
      </c>
      <c r="N4" s="15" t="n">
        <v>0.0027</v>
      </c>
      <c r="O4" t="n">
        <v>4.514254565</v>
      </c>
      <c r="P4" t="n">
        <v>0.258571857</v>
      </c>
      <c r="Q4" t="n">
        <v>0.258571857</v>
      </c>
      <c r="R4" t="n">
        <v>0</v>
      </c>
      <c r="S4" t="n">
        <v>0</v>
      </c>
      <c r="T4" s="15" t="n">
        <v>7.19438075</v>
      </c>
      <c r="U4" t="n">
        <v>30.69110169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0.9</v>
      </c>
      <c r="AB4" t="n">
        <v>99</v>
      </c>
      <c r="AC4" t="n">
        <v>0</v>
      </c>
      <c r="AD4" t="n">
        <v>0.67606668</v>
      </c>
      <c r="AE4" t="n">
        <v>198.522883</v>
      </c>
      <c r="AF4" t="n">
        <v>192.0045689</v>
      </c>
      <c r="AG4" t="n">
        <v>131.0285378</v>
      </c>
      <c r="AH4" t="n">
        <v>96.19872697</v>
      </c>
      <c r="AI4" t="n">
        <v>100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58.7952</v>
      </c>
      <c r="AS4" t="n">
        <v>81.19799999999999</v>
      </c>
      <c r="AT4" t="n">
        <v>177.2964</v>
      </c>
      <c r="AU4" t="n">
        <v>389.8692</v>
      </c>
      <c r="AV4" t="n">
        <v>0</v>
      </c>
    </row>
    <row r="5">
      <c r="A5" t="n">
        <v>4</v>
      </c>
      <c r="B5" t="n">
        <v>6.345044908</v>
      </c>
      <c r="C5" t="n">
        <v>6.746074695</v>
      </c>
      <c r="D5" t="n">
        <v>4.389511332</v>
      </c>
      <c r="E5" t="n">
        <v>0.233862185</v>
      </c>
      <c r="F5" t="n">
        <v>0</v>
      </c>
      <c r="G5" t="n">
        <v>0</v>
      </c>
      <c r="H5" t="n">
        <v>0.689657121</v>
      </c>
      <c r="I5" t="n">
        <v>0</v>
      </c>
      <c r="J5" t="n">
        <v>6.345044908</v>
      </c>
      <c r="K5" t="n">
        <v>6.345044908</v>
      </c>
      <c r="L5" t="n">
        <v>6.180643827</v>
      </c>
      <c r="M5" t="n">
        <v>0</v>
      </c>
      <c r="N5" t="n">
        <v>0.164401081</v>
      </c>
      <c r="O5" t="n">
        <v>6.180644011</v>
      </c>
      <c r="P5" t="n">
        <v>0.28063463</v>
      </c>
      <c r="Q5" t="n">
        <v>0.28063463</v>
      </c>
      <c r="R5" t="n">
        <v>0</v>
      </c>
      <c r="S5" t="n">
        <v>0</v>
      </c>
      <c r="T5" s="15" t="n">
        <v>5.522503665</v>
      </c>
      <c r="U5" t="n">
        <v>31.06860741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0.9</v>
      </c>
      <c r="AB5" t="n">
        <v>99</v>
      </c>
      <c r="AC5" t="n">
        <v>0</v>
      </c>
      <c r="AD5" t="n">
        <v>0.907916036</v>
      </c>
      <c r="AE5" t="n">
        <v>203.1374706</v>
      </c>
      <c r="AF5" t="n">
        <v>198.522883</v>
      </c>
      <c r="AG5" t="n">
        <v>130.9039379</v>
      </c>
      <c r="AH5" t="n">
        <v>96.10972704</v>
      </c>
      <c r="AI5" t="n">
        <v>100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58.7952</v>
      </c>
      <c r="AS5" t="n">
        <v>81.19799999999999</v>
      </c>
      <c r="AT5" t="n">
        <v>177.2964</v>
      </c>
      <c r="AU5" t="n">
        <v>389.8692</v>
      </c>
      <c r="AV5" t="n">
        <v>0</v>
      </c>
    </row>
    <row r="6">
      <c r="A6" t="n">
        <v>5</v>
      </c>
      <c r="B6" t="n">
        <v>8.610897692</v>
      </c>
      <c r="C6" t="n">
        <v>6.9</v>
      </c>
      <c r="D6" s="15" t="n">
        <v>2.982019494</v>
      </c>
      <c r="E6" t="n">
        <v>0.330528259</v>
      </c>
      <c r="F6" t="n">
        <v>0</v>
      </c>
      <c r="G6" t="n">
        <v>0</v>
      </c>
      <c r="H6" t="n">
        <v>0.688774611</v>
      </c>
      <c r="I6" t="n">
        <v>0</v>
      </c>
      <c r="J6" t="n">
        <v>8.610897692</v>
      </c>
      <c r="K6" t="n">
        <v>8.610897692</v>
      </c>
      <c r="L6" t="n">
        <v>7.904103596</v>
      </c>
      <c r="M6" t="n">
        <v>0</v>
      </c>
      <c r="N6" t="n">
        <v>0.706794096</v>
      </c>
      <c r="O6" t="n">
        <v>7.904103831</v>
      </c>
      <c r="P6" t="n">
        <v>0.396633921</v>
      </c>
      <c r="Q6" t="n">
        <v>0.396633921</v>
      </c>
      <c r="R6" t="n">
        <v>0</v>
      </c>
      <c r="S6" t="n">
        <v>0</v>
      </c>
      <c r="T6" s="15" t="n">
        <v>6.796181093</v>
      </c>
      <c r="U6" t="n">
        <v>31.77989623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0.9</v>
      </c>
      <c r="AB6" t="n">
        <v>99</v>
      </c>
      <c r="AC6" t="n">
        <v>0</v>
      </c>
      <c r="AD6" t="n">
        <v>1.217389349</v>
      </c>
      <c r="AE6" t="n">
        <v>208.7162624</v>
      </c>
      <c r="AF6" t="n">
        <v>203.1374706</v>
      </c>
      <c r="AG6" t="n">
        <v>130.9633034</v>
      </c>
      <c r="AH6" t="n">
        <v>96.15213098</v>
      </c>
      <c r="AI6" t="n">
        <v>100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58.7952</v>
      </c>
      <c r="AS6" t="n">
        <v>81.19799999999999</v>
      </c>
      <c r="AT6" t="n">
        <v>177.2964</v>
      </c>
      <c r="AU6" t="n">
        <v>389.8692</v>
      </c>
      <c r="AV6" t="n">
        <v>0</v>
      </c>
    </row>
    <row r="7">
      <c r="A7" t="n">
        <v>6</v>
      </c>
      <c r="B7" t="n">
        <v>0.768219107</v>
      </c>
      <c r="C7" t="n">
        <v>5.802679726</v>
      </c>
      <c r="D7" t="n">
        <v>2.417980506</v>
      </c>
      <c r="E7" t="n">
        <v>0.276056883</v>
      </c>
      <c r="F7" t="n">
        <v>0</v>
      </c>
      <c r="G7" t="n">
        <v>0</v>
      </c>
      <c r="H7" t="n">
        <v>0.684134639</v>
      </c>
      <c r="I7" t="n">
        <v>0</v>
      </c>
      <c r="J7" t="n">
        <v>0.768219107</v>
      </c>
      <c r="K7" t="n">
        <v>0.768219107</v>
      </c>
      <c r="L7" t="n">
        <v>0.768219107</v>
      </c>
      <c r="M7" t="n">
        <v>0</v>
      </c>
      <c r="N7" t="n">
        <v>0</v>
      </c>
      <c r="O7" t="n">
        <v>0.76821913</v>
      </c>
      <c r="P7" t="n">
        <v>0.331268269</v>
      </c>
      <c r="Q7" t="n">
        <v>0.331268269</v>
      </c>
      <c r="R7" t="n">
        <v>0</v>
      </c>
      <c r="S7" t="n">
        <v>0</v>
      </c>
      <c r="T7" s="15" t="n">
        <v>3.800993333</v>
      </c>
      <c r="U7" t="n">
        <v>28.41585376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0.9</v>
      </c>
      <c r="AB7" t="n">
        <v>99</v>
      </c>
      <c r="AC7" t="n">
        <v>0</v>
      </c>
      <c r="AD7" t="n">
        <v>1.549675688</v>
      </c>
      <c r="AE7" t="n">
        <v>210.96758</v>
      </c>
      <c r="AF7" t="n">
        <v>208.7162624</v>
      </c>
      <c r="AG7" t="n">
        <v>131.2754291</v>
      </c>
      <c r="AH7" t="n">
        <v>96.37507789999999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58.7952</v>
      </c>
      <c r="AS7" t="n">
        <v>81.19799999999999</v>
      </c>
      <c r="AT7" t="n">
        <v>177.2964</v>
      </c>
      <c r="AU7" t="n">
        <v>389.8692</v>
      </c>
      <c r="AV7" t="n">
        <v>0</v>
      </c>
    </row>
    <row r="8">
      <c r="A8" t="n">
        <v>7</v>
      </c>
      <c r="B8" t="n">
        <v>0</v>
      </c>
      <c r="C8" t="n">
        <v>7.531148899</v>
      </c>
      <c r="D8" t="n">
        <v>1.882019494</v>
      </c>
      <c r="E8" t="n">
        <v>0.343342829</v>
      </c>
      <c r="F8" t="n">
        <v>0</v>
      </c>
      <c r="G8" t="n">
        <v>0</v>
      </c>
      <c r="H8" t="n">
        <v>0.686749265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0.412011405</v>
      </c>
      <c r="Q8" t="n">
        <v>0.412011405</v>
      </c>
      <c r="R8" t="n">
        <v>0</v>
      </c>
      <c r="S8" t="n">
        <v>0</v>
      </c>
      <c r="T8" s="15" t="n">
        <v>1.49830059</v>
      </c>
      <c r="U8" t="n">
        <v>26.50554176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0.9</v>
      </c>
      <c r="AB8" t="n">
        <v>99</v>
      </c>
      <c r="AC8" t="n">
        <v>0</v>
      </c>
      <c r="AD8" t="n">
        <v>1.616322092</v>
      </c>
      <c r="AE8" t="n">
        <v>210.8495585</v>
      </c>
      <c r="AF8" t="n">
        <v>210.96758</v>
      </c>
      <c r="AG8" t="n">
        <v>131.0995461</v>
      </c>
      <c r="AH8" t="n">
        <v>96.24944721</v>
      </c>
      <c r="AI8" t="n">
        <v>100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58.7952</v>
      </c>
      <c r="AS8" t="n">
        <v>81.19799999999999</v>
      </c>
      <c r="AT8" t="n">
        <v>177.2964</v>
      </c>
      <c r="AU8" t="n">
        <v>389.8692</v>
      </c>
      <c r="AV8" t="n">
        <v>0</v>
      </c>
    </row>
    <row r="9">
      <c r="A9" t="n">
        <v>8</v>
      </c>
      <c r="B9" t="n">
        <v>1.818294062</v>
      </c>
      <c r="C9" t="n">
        <v>6.992675899</v>
      </c>
      <c r="D9" t="n">
        <v>-2.756605031</v>
      </c>
      <c r="E9" t="n">
        <v>0.153049973</v>
      </c>
      <c r="F9" t="n">
        <v>0</v>
      </c>
      <c r="G9" t="n">
        <v>0</v>
      </c>
      <c r="H9" t="n">
        <v>0.68351954</v>
      </c>
      <c r="I9" t="n">
        <v>0</v>
      </c>
      <c r="J9" t="n">
        <v>1.818294062</v>
      </c>
      <c r="K9" t="n">
        <v>1.818294062</v>
      </c>
      <c r="L9" t="n">
        <v>1.818294062</v>
      </c>
      <c r="M9" t="n">
        <v>0</v>
      </c>
      <c r="N9" t="n">
        <v>0</v>
      </c>
      <c r="O9" t="n">
        <v>1.818294117</v>
      </c>
      <c r="P9" t="n">
        <v>0.183659972</v>
      </c>
      <c r="Q9" t="n">
        <v>0.183659972</v>
      </c>
      <c r="R9" t="n">
        <v>0</v>
      </c>
      <c r="S9" t="n">
        <v>0</v>
      </c>
      <c r="T9" s="15" t="n">
        <v>1.147692638</v>
      </c>
      <c r="U9" t="n">
        <v>26.99248327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0.9</v>
      </c>
      <c r="AB9" t="n">
        <v>99</v>
      </c>
      <c r="AC9" t="n">
        <v>0</v>
      </c>
      <c r="AD9" t="n">
        <v>1.581701082</v>
      </c>
      <c r="AE9" t="n">
        <v>210.4155501</v>
      </c>
      <c r="AF9" t="n">
        <v>210.8495585</v>
      </c>
      <c r="AG9" t="n">
        <v>131.3168061</v>
      </c>
      <c r="AH9" t="n">
        <v>96.40463293000001</v>
      </c>
      <c r="AI9" t="n">
        <v>100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58.7952</v>
      </c>
      <c r="AS9" t="n">
        <v>81.19799999999999</v>
      </c>
      <c r="AT9" t="n">
        <v>177.2964</v>
      </c>
      <c r="AU9" t="n">
        <v>389.8692</v>
      </c>
      <c r="AV9" t="n">
        <v>0</v>
      </c>
    </row>
    <row r="10">
      <c r="A10" t="n">
        <v>9</v>
      </c>
      <c r="B10" s="15" t="n">
        <v>0</v>
      </c>
      <c r="C10" t="n">
        <v>5.107324101</v>
      </c>
      <c r="D10" t="n">
        <v>-2.374543869</v>
      </c>
      <c r="E10" t="n">
        <v>0.326860164</v>
      </c>
      <c r="F10" t="n">
        <v>0</v>
      </c>
      <c r="G10" t="n">
        <v>0</v>
      </c>
      <c r="H10" t="n">
        <v>0.692653597</v>
      </c>
      <c r="I10" t="n">
        <v>0</v>
      </c>
      <c r="J10" s="15" t="n">
        <v>0</v>
      </c>
      <c r="K10" s="15" t="n">
        <v>0</v>
      </c>
      <c r="L10" s="15" t="n">
        <v>0</v>
      </c>
      <c r="M10" t="n">
        <v>0</v>
      </c>
      <c r="N10" t="n">
        <v>0</v>
      </c>
      <c r="O10" s="15" t="n">
        <v>0</v>
      </c>
      <c r="P10" t="n">
        <v>0.392232207</v>
      </c>
      <c r="Q10" t="n">
        <v>0.392232207</v>
      </c>
      <c r="R10" t="n">
        <v>0</v>
      </c>
      <c r="S10" t="n">
        <v>0</v>
      </c>
      <c r="T10" s="15" t="n">
        <v>0.947809989</v>
      </c>
      <c r="U10" t="n">
        <v>25.65244107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0.9</v>
      </c>
      <c r="AB10" t="n">
        <v>99</v>
      </c>
      <c r="AC10" t="n">
        <v>0</v>
      </c>
      <c r="AD10" t="n">
        <v>1.543197891</v>
      </c>
      <c r="AE10" t="n">
        <v>209.8201622</v>
      </c>
      <c r="AF10" t="n">
        <v>210.4155501</v>
      </c>
      <c r="AG10" t="n">
        <v>130.7023683</v>
      </c>
      <c r="AH10" t="n">
        <v>95.9657488</v>
      </c>
      <c r="AI10" t="n">
        <v>100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58.7952</v>
      </c>
      <c r="AS10" t="n">
        <v>81.19799999999999</v>
      </c>
      <c r="AT10" t="n">
        <v>177.2964</v>
      </c>
      <c r="AU10" t="n">
        <v>389.8692</v>
      </c>
      <c r="AV10" t="n">
        <v>0</v>
      </c>
    </row>
    <row r="11">
      <c r="A11" t="n">
        <v>10</v>
      </c>
      <c r="B11" t="n">
        <v>0</v>
      </c>
      <c r="C11" t="n">
        <v>4.792675899</v>
      </c>
      <c r="D11" t="n">
        <v>-3.364055201</v>
      </c>
      <c r="E11" t="n">
        <v>0.38540601</v>
      </c>
      <c r="F11" t="n">
        <v>0</v>
      </c>
      <c r="G11" t="n">
        <v>0</v>
      </c>
      <c r="H11" t="n">
        <v>0.684310708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0.462487223</v>
      </c>
      <c r="Q11" t="n">
        <v>0.462487223</v>
      </c>
      <c r="R11" t="n">
        <v>0</v>
      </c>
      <c r="S11" t="n">
        <v>0</v>
      </c>
      <c r="T11" s="15" t="n">
        <v>0.5708993489999999</v>
      </c>
      <c r="U11" t="n">
        <v>24.6190545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0.9</v>
      </c>
      <c r="AB11" t="n">
        <v>99</v>
      </c>
      <c r="AC11" t="n">
        <v>0</v>
      </c>
      <c r="AD11" t="n">
        <v>1.47863455</v>
      </c>
      <c r="AE11" t="n">
        <v>208.912427</v>
      </c>
      <c r="AF11" t="n">
        <v>209.8201622</v>
      </c>
      <c r="AG11" t="n">
        <v>131.2635851</v>
      </c>
      <c r="AH11" t="n">
        <v>96.36661795000001</v>
      </c>
      <c r="AI11" t="n">
        <v>100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58.7952</v>
      </c>
      <c r="AS11" t="n">
        <v>81.19799999999999</v>
      </c>
      <c r="AT11" t="n">
        <v>177.2964</v>
      </c>
      <c r="AU11" t="n">
        <v>389.8692</v>
      </c>
      <c r="AV11" t="n">
        <v>0</v>
      </c>
    </row>
    <row r="12">
      <c r="A12" t="n">
        <v>11</v>
      </c>
      <c r="B12" s="15" t="n">
        <v>0</v>
      </c>
      <c r="C12" t="n">
        <v>5.4</v>
      </c>
      <c r="D12" t="n">
        <v>-5.384715432</v>
      </c>
      <c r="E12" t="n">
        <v>0.21565158</v>
      </c>
      <c r="F12" t="n">
        <v>0</v>
      </c>
      <c r="G12" t="n">
        <v>0</v>
      </c>
      <c r="H12" t="n">
        <v>0.681500507</v>
      </c>
      <c r="I12" t="n">
        <v>0</v>
      </c>
      <c r="J12" s="15" t="n">
        <v>0</v>
      </c>
      <c r="K12" s="15" t="n">
        <v>0</v>
      </c>
      <c r="L12" s="15" t="n">
        <v>0</v>
      </c>
      <c r="M12" t="n">
        <v>0</v>
      </c>
      <c r="N12" t="n">
        <v>0</v>
      </c>
      <c r="O12" s="15" t="n">
        <v>0</v>
      </c>
      <c r="P12" t="n">
        <v>0.258781902</v>
      </c>
      <c r="Q12" t="n">
        <v>0.258781902</v>
      </c>
      <c r="R12" t="n">
        <v>0</v>
      </c>
      <c r="S12" t="n">
        <v>0</v>
      </c>
      <c r="T12" s="15" t="n">
        <v>0.38888244</v>
      </c>
      <c r="U12" t="n">
        <v>23.97139016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0.9</v>
      </c>
      <c r="AB12" t="n">
        <v>99</v>
      </c>
      <c r="AC12" t="n">
        <v>0</v>
      </c>
      <c r="AD12" t="n">
        <v>1.400735985</v>
      </c>
      <c r="AE12" t="n">
        <v>207.9005734</v>
      </c>
      <c r="AF12" t="n">
        <v>208.912427</v>
      </c>
      <c r="AG12" t="n">
        <v>131.4526242</v>
      </c>
      <c r="AH12" t="n">
        <v>96.50164583999999</v>
      </c>
      <c r="AI12" t="n">
        <v>100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58.7952</v>
      </c>
      <c r="AS12" t="n">
        <v>81.19799999999999</v>
      </c>
      <c r="AT12" t="n">
        <v>177.2964</v>
      </c>
      <c r="AU12" t="n">
        <v>389.8692</v>
      </c>
      <c r="AV12" t="n">
        <v>0</v>
      </c>
    </row>
    <row r="13">
      <c r="A13" t="n">
        <v>12</v>
      </c>
      <c r="B13" t="n">
        <v>0</v>
      </c>
      <c r="C13" t="n">
        <v>5.4</v>
      </c>
      <c r="D13" t="n">
        <v>-5.120660232</v>
      </c>
      <c r="E13" t="n">
        <v>0.318620937</v>
      </c>
      <c r="F13" t="n">
        <v>0</v>
      </c>
      <c r="G13" t="n">
        <v>0</v>
      </c>
      <c r="H13" t="n">
        <v>0.68964872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0.382345134</v>
      </c>
      <c r="Q13" t="n">
        <v>0.382345134</v>
      </c>
      <c r="R13" t="n">
        <v>0</v>
      </c>
      <c r="S13" t="n">
        <v>0</v>
      </c>
      <c r="T13" s="15" t="n">
        <v>0.285507728</v>
      </c>
      <c r="U13" t="n">
        <v>23.30353729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0.9</v>
      </c>
      <c r="AB13" t="n">
        <v>99</v>
      </c>
      <c r="AC13" t="n">
        <v>0</v>
      </c>
      <c r="AD13" t="n">
        <v>1.322582878</v>
      </c>
      <c r="AE13" t="n">
        <v>206.8634983</v>
      </c>
      <c r="AF13" t="n">
        <v>207.9005734</v>
      </c>
      <c r="AG13" t="n">
        <v>130.904503</v>
      </c>
      <c r="AH13" t="n">
        <v>96.11013074</v>
      </c>
      <c r="AI13" t="n">
        <v>100</v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58.7952</v>
      </c>
      <c r="AS13" t="n">
        <v>81.19799999999999</v>
      </c>
      <c r="AT13" t="n">
        <v>177.2964</v>
      </c>
      <c r="AU13" t="n">
        <v>389.8692</v>
      </c>
      <c r="AV13" t="n">
        <v>0</v>
      </c>
      <c r="BU13" s="37" t="n"/>
    </row>
    <row r="14">
      <c r="A14" t="n">
        <v>13</v>
      </c>
      <c r="B14" s="15" t="n">
        <v>0</v>
      </c>
      <c r="C14" t="n">
        <v>12.28666387</v>
      </c>
      <c r="D14" t="n">
        <v>-2.831148899</v>
      </c>
      <c r="E14" t="n">
        <v>0.591775725</v>
      </c>
      <c r="F14" t="n">
        <v>0</v>
      </c>
      <c r="G14" t="n">
        <v>0</v>
      </c>
      <c r="H14" t="n">
        <v>0.684706191</v>
      </c>
      <c r="I14" t="n">
        <v>0</v>
      </c>
      <c r="J14" s="15" t="n">
        <v>0</v>
      </c>
      <c r="K14" s="15" t="n">
        <v>0</v>
      </c>
      <c r="L14" s="15" t="n">
        <v>0</v>
      </c>
      <c r="M14" t="n">
        <v>0</v>
      </c>
      <c r="N14" t="n">
        <v>0</v>
      </c>
      <c r="O14" s="15" t="n">
        <v>0</v>
      </c>
      <c r="P14" t="n">
        <v>0.710130889</v>
      </c>
      <c r="Q14" t="n">
        <v>0.710130889</v>
      </c>
      <c r="R14" t="n">
        <v>0</v>
      </c>
      <c r="S14" t="n">
        <v>0</v>
      </c>
      <c r="T14" s="15" t="n">
        <v>0.195528363</v>
      </c>
      <c r="U14" t="n">
        <v>22.39787804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0.9</v>
      </c>
      <c r="AB14" t="n">
        <v>99</v>
      </c>
      <c r="AC14" t="n">
        <v>0</v>
      </c>
      <c r="AD14" t="n">
        <v>1.2470497</v>
      </c>
      <c r="AE14" t="n">
        <v>205.8119769</v>
      </c>
      <c r="AF14" t="n">
        <v>206.8634983</v>
      </c>
      <c r="AG14" t="n">
        <v>131.2369814</v>
      </c>
      <c r="AH14" t="n">
        <v>96.34761530999999</v>
      </c>
      <c r="AI14" t="n">
        <v>100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58.7952</v>
      </c>
      <c r="AS14" t="n">
        <v>81.19799999999999</v>
      </c>
      <c r="AT14" t="n">
        <v>177.2964</v>
      </c>
      <c r="AU14" t="n">
        <v>389.8692</v>
      </c>
      <c r="AV14" t="n">
        <v>0</v>
      </c>
    </row>
    <row r="15">
      <c r="A15" t="n">
        <v>14</v>
      </c>
      <c r="B15" s="15" t="n">
        <v>0</v>
      </c>
      <c r="C15" t="n">
        <v>8.763323912000001</v>
      </c>
      <c r="D15" t="n">
        <v>-3.11333613</v>
      </c>
      <c r="E15" t="n">
        <v>0.504980932</v>
      </c>
      <c r="F15" t="n">
        <v>0</v>
      </c>
      <c r="G15" t="n">
        <v>0</v>
      </c>
      <c r="H15" t="n">
        <v>0.671594761</v>
      </c>
      <c r="I15" t="n">
        <v>0</v>
      </c>
      <c r="J15" s="15" t="n">
        <v>0</v>
      </c>
      <c r="K15" s="15" t="n">
        <v>0</v>
      </c>
      <c r="L15" s="15" t="n">
        <v>0</v>
      </c>
      <c r="M15" t="n">
        <v>0</v>
      </c>
      <c r="N15" t="n">
        <v>0</v>
      </c>
      <c r="O15" s="15" t="n">
        <v>0</v>
      </c>
      <c r="P15" t="n">
        <v>0.6059771349999999</v>
      </c>
      <c r="Q15" t="n">
        <v>0.6059771349999999</v>
      </c>
      <c r="R15" t="n">
        <v>0</v>
      </c>
      <c r="S15" t="n">
        <v>0</v>
      </c>
      <c r="T15" s="15" t="n">
        <v>0.128255034</v>
      </c>
      <c r="U15" t="n">
        <v>21.66364587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0.9</v>
      </c>
      <c r="AB15" t="n">
        <v>99</v>
      </c>
      <c r="AC15" t="n">
        <v>0</v>
      </c>
      <c r="AD15" t="n">
        <v>1.174696609</v>
      </c>
      <c r="AE15" t="n">
        <v>204.7655353</v>
      </c>
      <c r="AF15" t="n">
        <v>205.8119769</v>
      </c>
      <c r="AG15" t="n">
        <v>132.1189726</v>
      </c>
      <c r="AH15" t="n">
        <v>96.97760903</v>
      </c>
      <c r="AI15" t="n">
        <v>100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58.7952</v>
      </c>
      <c r="AS15" t="n">
        <v>81.19799999999999</v>
      </c>
      <c r="AT15" t="n">
        <v>177.2964</v>
      </c>
      <c r="AU15" t="n">
        <v>389.8692</v>
      </c>
      <c r="AV15" t="n">
        <v>0</v>
      </c>
    </row>
    <row r="16">
      <c r="A16" t="n">
        <v>15</v>
      </c>
      <c r="B16" s="15" t="n">
        <v>0.0196</v>
      </c>
      <c r="C16" t="n">
        <v>6.746074695</v>
      </c>
      <c r="D16" t="n">
        <v>-2.102679726</v>
      </c>
      <c r="E16" t="n">
        <v>0.527062484</v>
      </c>
      <c r="F16" t="n">
        <v>0</v>
      </c>
      <c r="G16" t="n">
        <v>0</v>
      </c>
      <c r="H16" t="n">
        <v>0.675760911</v>
      </c>
      <c r="I16" t="n">
        <v>0</v>
      </c>
      <c r="J16" s="15" t="n">
        <v>0.0196</v>
      </c>
      <c r="K16" s="15" t="n">
        <v>0.0196</v>
      </c>
      <c r="L16" s="15" t="n">
        <v>0.0196</v>
      </c>
      <c r="M16" t="n">
        <v>0</v>
      </c>
      <c r="N16" t="n">
        <v>0</v>
      </c>
      <c r="O16" s="15" t="n">
        <v>0.0196</v>
      </c>
      <c r="P16" t="n">
        <v>0.632474997</v>
      </c>
      <c r="Q16" t="n">
        <v>0.632474997</v>
      </c>
      <c r="R16" t="n">
        <v>0</v>
      </c>
      <c r="S16" t="n">
        <v>0</v>
      </c>
      <c r="T16" s="15" t="n">
        <v>0.0873</v>
      </c>
      <c r="U16" t="n">
        <v>20.96343968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0.9</v>
      </c>
      <c r="AB16" t="n">
        <v>99</v>
      </c>
      <c r="AC16" t="n">
        <v>0</v>
      </c>
      <c r="AD16" t="n">
        <v>1.107221364</v>
      </c>
      <c r="AE16" t="n">
        <v>203.745635</v>
      </c>
      <c r="AF16" t="n">
        <v>204.7655353</v>
      </c>
      <c r="AG16" t="n">
        <v>131.8387204</v>
      </c>
      <c r="AH16" t="n">
        <v>96.77742885000001</v>
      </c>
      <c r="AI16" t="n">
        <v>100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58.7952</v>
      </c>
      <c r="AS16" t="n">
        <v>81.19799999999999</v>
      </c>
      <c r="AT16" t="n">
        <v>177.2964</v>
      </c>
      <c r="AU16" t="n">
        <v>389.8692</v>
      </c>
      <c r="AV16" t="n">
        <v>0</v>
      </c>
    </row>
    <row r="17">
      <c r="A17" t="n">
        <v>16</v>
      </c>
      <c r="B17" t="n">
        <v>0</v>
      </c>
      <c r="C17" t="n">
        <v>7.327984333</v>
      </c>
      <c r="D17" t="n">
        <v>-3.9952041</v>
      </c>
      <c r="E17" t="n">
        <v>0.378838798</v>
      </c>
      <c r="F17" t="n">
        <v>0</v>
      </c>
      <c r="G17" t="n">
        <v>0</v>
      </c>
      <c r="H17" t="n">
        <v>0.674700996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0.45460657</v>
      </c>
      <c r="Q17" t="n">
        <v>0.45460657</v>
      </c>
      <c r="R17" t="n">
        <v>0</v>
      </c>
      <c r="S17" t="n">
        <v>0</v>
      </c>
      <c r="T17" s="15" t="n">
        <v>0.0618</v>
      </c>
      <c r="U17" t="n">
        <v>20.44705087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0.9</v>
      </c>
      <c r="AB17" t="n">
        <v>99</v>
      </c>
      <c r="AC17" t="n">
        <v>0</v>
      </c>
      <c r="AD17" t="n">
        <v>1.04507331</v>
      </c>
      <c r="AE17" t="n">
        <v>202.762344</v>
      </c>
      <c r="AF17" t="n">
        <v>203.745635</v>
      </c>
      <c r="AG17" t="n">
        <v>131.9100196</v>
      </c>
      <c r="AH17" t="n">
        <v>96.82835688999999</v>
      </c>
      <c r="AI17" t="n">
        <v>100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58.7952</v>
      </c>
      <c r="AS17" t="n">
        <v>81.19799999999999</v>
      </c>
      <c r="AT17" t="n">
        <v>177.2964</v>
      </c>
      <c r="AU17" t="n">
        <v>389.8692</v>
      </c>
      <c r="AV17" t="n">
        <v>0</v>
      </c>
    </row>
    <row r="18">
      <c r="A18" t="n">
        <v>17</v>
      </c>
      <c r="B18" t="n">
        <v>0</v>
      </c>
      <c r="C18" t="n">
        <v>4.168851101</v>
      </c>
      <c r="D18" t="n">
        <v>-2.592675899</v>
      </c>
      <c r="E18" t="n">
        <v>0.268688412</v>
      </c>
      <c r="F18" t="n">
        <v>0</v>
      </c>
      <c r="G18" t="n">
        <v>0</v>
      </c>
      <c r="H18" t="n">
        <v>0.681815733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0.322426103</v>
      </c>
      <c r="Q18" t="n">
        <v>0.322426103</v>
      </c>
      <c r="R18" t="n">
        <v>0</v>
      </c>
      <c r="S18" t="n">
        <v>0</v>
      </c>
      <c r="T18" s="15" t="n">
        <v>0.0476</v>
      </c>
      <c r="U18" t="n">
        <v>20.07699504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0.9</v>
      </c>
      <c r="AB18" t="n">
        <v>99</v>
      </c>
      <c r="AC18" t="n">
        <v>0</v>
      </c>
      <c r="AD18" t="n">
        <v>0.988335952</v>
      </c>
      <c r="AE18" t="n">
        <v>201.8216377</v>
      </c>
      <c r="AF18" t="n">
        <v>202.762344</v>
      </c>
      <c r="AG18" t="n">
        <v>131.4314193</v>
      </c>
      <c r="AH18" t="n">
        <v>96.48649948000001</v>
      </c>
      <c r="AI18" t="n">
        <v>100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58.7952</v>
      </c>
      <c r="AS18" t="n">
        <v>81.19799999999999</v>
      </c>
      <c r="AT18" t="n">
        <v>177.2964</v>
      </c>
      <c r="AU18" t="n">
        <v>389.8692</v>
      </c>
      <c r="AV18" t="n">
        <v>0</v>
      </c>
    </row>
    <row r="19">
      <c r="A19" t="n">
        <v>18</v>
      </c>
      <c r="B19" t="n">
        <v>0</v>
      </c>
      <c r="C19" t="n">
        <v>0.8022141229999999</v>
      </c>
      <c r="D19" t="n">
        <v>-4.859410825</v>
      </c>
      <c r="E19" t="n">
        <v>0.185215489</v>
      </c>
      <c r="F19" t="n">
        <v>0</v>
      </c>
      <c r="G19" t="n">
        <v>0</v>
      </c>
      <c r="H19" t="n">
        <v>0.687102952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0.222258593</v>
      </c>
      <c r="Q19" t="n">
        <v>0.222258593</v>
      </c>
      <c r="R19" t="n">
        <v>0</v>
      </c>
      <c r="S19" t="n">
        <v>0</v>
      </c>
      <c r="T19" s="15" t="n">
        <v>0.0394</v>
      </c>
      <c r="U19" t="n">
        <v>19.81533283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0.9</v>
      </c>
      <c r="AB19" t="n">
        <v>99</v>
      </c>
      <c r="AC19" t="n">
        <v>0</v>
      </c>
      <c r="AD19" t="n">
        <v>0.93670332</v>
      </c>
      <c r="AE19" t="n">
        <v>200.924338</v>
      </c>
      <c r="AF19" t="n">
        <v>201.8216377</v>
      </c>
      <c r="AG19" t="n">
        <v>131.075754</v>
      </c>
      <c r="AH19" t="n">
        <v>96.23245285</v>
      </c>
      <c r="AI19" t="n">
        <v>100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58.7952</v>
      </c>
      <c r="AS19" t="n">
        <v>81.19799999999999</v>
      </c>
      <c r="AT19" t="n">
        <v>177.2964</v>
      </c>
      <c r="AU19" t="n">
        <v>389.8692</v>
      </c>
      <c r="AV19" t="n">
        <v>0</v>
      </c>
    </row>
    <row r="20">
      <c r="A20" t="n">
        <v>19</v>
      </c>
      <c r="B20" s="15" t="n">
        <v>1.04334672</v>
      </c>
      <c r="C20" t="n">
        <v>1.433265073</v>
      </c>
      <c r="D20" t="n">
        <v>-3.8</v>
      </c>
      <c r="E20" t="n">
        <v>0.240600614</v>
      </c>
      <c r="F20" t="n">
        <v>0</v>
      </c>
      <c r="G20" t="n">
        <v>0</v>
      </c>
      <c r="H20" t="n">
        <v>0.691109652</v>
      </c>
      <c r="I20" t="n">
        <v>0</v>
      </c>
      <c r="J20" s="15" t="n">
        <v>1.04334672</v>
      </c>
      <c r="K20" s="15" t="n">
        <v>1.04334672</v>
      </c>
      <c r="L20" s="15" t="n">
        <v>1.04334672</v>
      </c>
      <c r="M20" t="n">
        <v>0</v>
      </c>
      <c r="N20" t="n">
        <v>0</v>
      </c>
      <c r="O20" s="15" t="n">
        <v>1.043346751</v>
      </c>
      <c r="P20" t="n">
        <v>0.288720745</v>
      </c>
      <c r="Q20" t="n">
        <v>0.288720745</v>
      </c>
      <c r="R20" t="n">
        <v>0</v>
      </c>
      <c r="S20" t="n">
        <v>0</v>
      </c>
      <c r="T20" s="15" t="n">
        <v>0.0449</v>
      </c>
      <c r="U20" t="n">
        <v>20.52503622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0.9</v>
      </c>
      <c r="AB20" t="n">
        <v>99</v>
      </c>
      <c r="AC20" t="n">
        <v>0</v>
      </c>
      <c r="AD20" t="n">
        <v>0.889881481</v>
      </c>
      <c r="AE20" t="n">
        <v>200.0793792</v>
      </c>
      <c r="AF20" t="n">
        <v>200.924338</v>
      </c>
      <c r="AG20" t="n">
        <v>130.8062278</v>
      </c>
      <c r="AH20" t="n">
        <v>96.03993411</v>
      </c>
      <c r="AI20" t="n">
        <v>100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58.7952</v>
      </c>
      <c r="AS20" t="n">
        <v>81.19799999999999</v>
      </c>
      <c r="AT20" t="n">
        <v>177.2964</v>
      </c>
      <c r="AU20" t="n">
        <v>389.8692</v>
      </c>
      <c r="AV20" t="n">
        <v>0</v>
      </c>
    </row>
    <row r="21">
      <c r="A21" t="n">
        <v>20</v>
      </c>
      <c r="B21" s="15" t="n">
        <v>3.181116719</v>
      </c>
      <c r="C21" t="n">
        <v>2.664055201</v>
      </c>
      <c r="D21" t="n">
        <v>1.053925305</v>
      </c>
      <c r="E21" t="n">
        <v>0.295848186</v>
      </c>
      <c r="F21" t="n">
        <v>0</v>
      </c>
      <c r="G21" t="n">
        <v>0</v>
      </c>
      <c r="H21" t="n">
        <v>0.688451166</v>
      </c>
      <c r="I21" t="n">
        <v>0</v>
      </c>
      <c r="J21" s="15" t="n">
        <v>3.181116719</v>
      </c>
      <c r="K21" s="15" t="n">
        <v>3.181116719</v>
      </c>
      <c r="L21" s="15" t="n">
        <v>3.181116719</v>
      </c>
      <c r="M21" t="n">
        <v>0</v>
      </c>
      <c r="N21" t="n">
        <v>0</v>
      </c>
      <c r="O21" s="15" t="n">
        <v>3.181116813</v>
      </c>
      <c r="P21" t="n">
        <v>0.355017832</v>
      </c>
      <c r="Q21" t="n">
        <v>0.355017832</v>
      </c>
      <c r="R21" t="n">
        <v>0</v>
      </c>
      <c r="S21" t="n">
        <v>0</v>
      </c>
      <c r="T21" t="n">
        <v>0.124570049</v>
      </c>
      <c r="U21" t="n">
        <v>23.22656515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0.9</v>
      </c>
      <c r="AB21" t="n">
        <v>99</v>
      </c>
      <c r="AC21" t="n">
        <v>0</v>
      </c>
      <c r="AD21" t="n">
        <v>0.848911062</v>
      </c>
      <c r="AE21" t="n">
        <v>199.3550381</v>
      </c>
      <c r="AF21" t="n">
        <v>200.0793792</v>
      </c>
      <c r="AG21" t="n">
        <v>130.9850611</v>
      </c>
      <c r="AH21" t="n">
        <v>96.16767222999999</v>
      </c>
      <c r="AI21" t="n">
        <v>100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58.7952</v>
      </c>
      <c r="AS21" t="n">
        <v>81.19799999999999</v>
      </c>
      <c r="AT21" t="n">
        <v>177.2964</v>
      </c>
      <c r="AU21" t="n">
        <v>389.8692</v>
      </c>
      <c r="AV21" t="n">
        <v>0</v>
      </c>
    </row>
    <row r="22">
      <c r="A22" t="n">
        <v>21</v>
      </c>
      <c r="B22" t="n">
        <v>11.35560072</v>
      </c>
      <c r="C22" t="n">
        <v>3.882019494</v>
      </c>
      <c r="D22" t="n">
        <v>2.4</v>
      </c>
      <c r="E22" t="n">
        <v>0.340320404</v>
      </c>
      <c r="F22" t="n">
        <v>0</v>
      </c>
      <c r="G22" t="n">
        <v>0</v>
      </c>
      <c r="H22" t="n">
        <v>0.685799283</v>
      </c>
      <c r="I22" t="n">
        <v>0</v>
      </c>
      <c r="J22" t="n">
        <v>11.35560072</v>
      </c>
      <c r="K22" t="n">
        <v>11.35560072</v>
      </c>
      <c r="L22" t="n">
        <v>9.86877688</v>
      </c>
      <c r="M22" t="n">
        <v>0</v>
      </c>
      <c r="N22" t="n">
        <v>1.486823842</v>
      </c>
      <c r="O22" t="n">
        <v>9.868777174</v>
      </c>
      <c r="P22" t="n">
        <v>0.408384496</v>
      </c>
      <c r="Q22" t="n">
        <v>0.408384496</v>
      </c>
      <c r="R22" t="n">
        <v>0</v>
      </c>
      <c r="S22" t="n">
        <v>0</v>
      </c>
      <c r="T22" t="n">
        <v>1.967536573</v>
      </c>
      <c r="U22" t="n">
        <v>30.71942126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0.9</v>
      </c>
      <c r="AB22" t="n">
        <v>99</v>
      </c>
      <c r="AC22" t="n">
        <v>0</v>
      </c>
      <c r="AD22" t="n">
        <v>0.839016854</v>
      </c>
      <c r="AE22" t="n">
        <v>200.4835579</v>
      </c>
      <c r="AF22" t="n">
        <v>199.3550381</v>
      </c>
      <c r="AG22" t="n">
        <v>131.1634504</v>
      </c>
      <c r="AH22" t="n">
        <v>96.29509311</v>
      </c>
      <c r="AI22" t="n">
        <v>100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58.7952</v>
      </c>
      <c r="AS22" t="n">
        <v>81.19799999999999</v>
      </c>
      <c r="AT22" t="n">
        <v>177.2964</v>
      </c>
      <c r="AU22" t="n">
        <v>389.8692</v>
      </c>
      <c r="AV22" t="n">
        <v>0</v>
      </c>
    </row>
    <row r="23">
      <c r="A23" t="n">
        <v>22</v>
      </c>
      <c r="B23" t="n">
        <v>22.29129709</v>
      </c>
      <c r="C23" t="n">
        <v>4.882019494</v>
      </c>
      <c r="D23" t="n">
        <v>3.164055201</v>
      </c>
      <c r="E23" t="n">
        <v>0.335311485</v>
      </c>
      <c r="F23" t="n">
        <v>0</v>
      </c>
      <c r="G23" t="n">
        <v>0</v>
      </c>
      <c r="H23" t="n">
        <v>0.6836646159999999</v>
      </c>
      <c r="I23" t="n">
        <v>0</v>
      </c>
      <c r="J23" t="n">
        <v>22.29129709</v>
      </c>
      <c r="K23" t="n">
        <v>22.29129709</v>
      </c>
      <c r="L23" t="n">
        <v>14.19241642</v>
      </c>
      <c r="M23" t="n">
        <v>0</v>
      </c>
      <c r="N23" t="n">
        <v>8.098880669</v>
      </c>
      <c r="O23" t="n">
        <v>14.19241684</v>
      </c>
      <c r="P23" t="n">
        <v>0.402373792</v>
      </c>
      <c r="Q23" t="n">
        <v>0.402373792</v>
      </c>
      <c r="R23" t="n">
        <v>0</v>
      </c>
      <c r="S23" t="n">
        <v>0</v>
      </c>
      <c r="T23" t="n">
        <v>10.83818494</v>
      </c>
      <c r="U23" t="n">
        <v>33.67127937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0.9</v>
      </c>
      <c r="AB23" t="n">
        <v>99</v>
      </c>
      <c r="AC23" t="n">
        <v>0</v>
      </c>
      <c r="AD23" t="n">
        <v>1.150466061</v>
      </c>
      <c r="AE23" t="n">
        <v>210.1712767</v>
      </c>
      <c r="AF23" t="n">
        <v>200.4835579</v>
      </c>
      <c r="AG23" t="n">
        <v>131.307047</v>
      </c>
      <c r="AH23" t="n">
        <v>96.39766213</v>
      </c>
      <c r="AI23" t="n">
        <v>100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58.7952</v>
      </c>
      <c r="AS23" t="n">
        <v>81.19799999999999</v>
      </c>
      <c r="AT23" t="n">
        <v>177.2964</v>
      </c>
      <c r="AU23" t="n">
        <v>389.8692</v>
      </c>
      <c r="AV23" t="n">
        <v>0</v>
      </c>
      <c r="BG23" s="39" t="n"/>
    </row>
    <row r="24">
      <c r="A24" t="n">
        <v>23</v>
      </c>
      <c r="B24" s="15" t="n">
        <v>14.61222636</v>
      </c>
      <c r="C24" t="n">
        <v>10.55071907</v>
      </c>
      <c r="D24" t="n">
        <v>1.158679537</v>
      </c>
      <c r="E24" t="n">
        <v>0.531270936</v>
      </c>
      <c r="F24" t="n">
        <v>0</v>
      </c>
      <c r="G24" t="n">
        <v>0</v>
      </c>
      <c r="H24" t="n">
        <v>0.683905044</v>
      </c>
      <c r="I24" t="n">
        <v>0</v>
      </c>
      <c r="J24" s="15" t="n">
        <v>14.61222636</v>
      </c>
      <c r="K24" s="15" t="n">
        <v>14.61222636</v>
      </c>
      <c r="L24" s="15" t="n">
        <v>11.15083458</v>
      </c>
      <c r="M24" t="n">
        <v>0</v>
      </c>
      <c r="N24" t="n">
        <v>3.461391775</v>
      </c>
      <c r="O24" s="15" t="n">
        <v>11.15083491</v>
      </c>
      <c r="P24" t="n">
        <v>0.637525139</v>
      </c>
      <c r="Q24" t="n">
        <v>0.637525139</v>
      </c>
      <c r="R24" t="n">
        <v>0</v>
      </c>
      <c r="S24" t="n">
        <v>0</v>
      </c>
      <c r="T24" t="n">
        <v>11.26151807</v>
      </c>
      <c r="U24" t="n">
        <v>32.92307108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0.9</v>
      </c>
      <c r="AB24" t="n">
        <v>99</v>
      </c>
      <c r="AC24" t="n">
        <v>0</v>
      </c>
      <c r="AD24" t="n">
        <v>2.03571844</v>
      </c>
      <c r="AE24" t="n">
        <v>219.3970764</v>
      </c>
      <c r="AF24" t="n">
        <v>210.1712767</v>
      </c>
      <c r="AG24" t="n">
        <v>131.2908736</v>
      </c>
      <c r="AH24" t="n">
        <v>96.38610975</v>
      </c>
      <c r="AI24" t="n">
        <v>100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58.7952</v>
      </c>
      <c r="AS24" t="n">
        <v>81.19799999999999</v>
      </c>
      <c r="AT24" t="n">
        <v>177.2964</v>
      </c>
      <c r="AU24" t="n">
        <v>389.8692</v>
      </c>
      <c r="AV24" t="n">
        <v>0</v>
      </c>
    </row>
    <row r="25">
      <c r="A25" t="n">
        <v>24</v>
      </c>
      <c r="B25" s="15" t="n">
        <v>0</v>
      </c>
      <c r="C25" t="n">
        <v>10.25071907</v>
      </c>
      <c r="D25" t="n">
        <v>-0.792675899</v>
      </c>
      <c r="E25" t="n">
        <v>0.889016453</v>
      </c>
      <c r="F25" t="n">
        <v>0</v>
      </c>
      <c r="G25" t="n">
        <v>0</v>
      </c>
      <c r="H25" t="n">
        <v>0.674498991</v>
      </c>
      <c r="I25" t="n">
        <v>0</v>
      </c>
      <c r="J25" s="15" t="n">
        <v>0</v>
      </c>
      <c r="K25" s="15" t="n">
        <v>0</v>
      </c>
      <c r="L25" s="15" t="n">
        <v>0</v>
      </c>
      <c r="M25" t="n">
        <v>0</v>
      </c>
      <c r="N25" t="n">
        <v>0</v>
      </c>
      <c r="O25" s="15" t="n">
        <v>0</v>
      </c>
      <c r="P25" t="n">
        <v>1.066819771</v>
      </c>
      <c r="Q25" t="n">
        <v>1.066819771</v>
      </c>
      <c r="R25" t="n">
        <v>0</v>
      </c>
      <c r="S25" t="n">
        <v>0</v>
      </c>
      <c r="T25" t="n">
        <v>4.1080493</v>
      </c>
      <c r="U25" t="n">
        <v>27.748202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0.9</v>
      </c>
      <c r="AB25" t="n">
        <v>99</v>
      </c>
      <c r="AC25" t="n">
        <v>0</v>
      </c>
      <c r="AD25" t="n">
        <v>2.714225468</v>
      </c>
      <c r="AE25" t="n">
        <v>220.7909002</v>
      </c>
      <c r="AF25" t="n">
        <v>219.3970764</v>
      </c>
      <c r="AG25" t="n">
        <v>131.9236083</v>
      </c>
      <c r="AH25" t="n">
        <v>96.8380631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58.7952</v>
      </c>
      <c r="AS25" t="n">
        <v>81.19799999999999</v>
      </c>
      <c r="AT25" t="n">
        <v>177.2964</v>
      </c>
      <c r="AU25" t="n">
        <v>389.8692</v>
      </c>
      <c r="AV25" t="n">
        <v>0</v>
      </c>
    </row>
    <row r="26">
      <c r="A26" t="n">
        <v>25</v>
      </c>
      <c r="B26" s="15" t="n">
        <v>0</v>
      </c>
      <c r="C26" t="n">
        <v>8.133265073</v>
      </c>
      <c r="D26" t="n">
        <v>-1.727984333</v>
      </c>
      <c r="E26" t="n">
        <v>0.795544344</v>
      </c>
      <c r="F26" t="n">
        <v>0</v>
      </c>
      <c r="G26" t="n">
        <v>0</v>
      </c>
      <c r="H26" t="n">
        <v>0.6573272060000001</v>
      </c>
      <c r="I26" t="n">
        <v>0</v>
      </c>
      <c r="J26" s="15" t="n">
        <v>0</v>
      </c>
      <c r="K26" s="15" t="n">
        <v>0</v>
      </c>
      <c r="L26" s="15" t="n">
        <v>0</v>
      </c>
      <c r="M26" t="n">
        <v>0</v>
      </c>
      <c r="N26" t="n">
        <v>0</v>
      </c>
      <c r="O26" s="15" t="n">
        <v>0</v>
      </c>
      <c r="P26" t="n">
        <v>0.954653237</v>
      </c>
      <c r="Q26" t="n">
        <v>0.954653237</v>
      </c>
      <c r="R26" t="n">
        <v>0</v>
      </c>
      <c r="S26" t="n">
        <v>0</v>
      </c>
      <c r="T26" t="n">
        <v>1.12265629</v>
      </c>
      <c r="U26" t="n">
        <v>25.67089248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0.9</v>
      </c>
      <c r="AB26" t="n">
        <v>99</v>
      </c>
      <c r="AC26" t="n">
        <v>0</v>
      </c>
      <c r="AD26" t="n">
        <v>2.626255474</v>
      </c>
      <c r="AE26" t="n">
        <v>219.287301</v>
      </c>
      <c r="AF26" t="n">
        <v>220.7909002</v>
      </c>
      <c r="AG26" t="n">
        <v>133.0787351</v>
      </c>
      <c r="AH26" t="n">
        <v>97.66315363</v>
      </c>
      <c r="AI26" t="n">
        <v>100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58.7952</v>
      </c>
      <c r="AS26" t="n">
        <v>81.19799999999999</v>
      </c>
      <c r="AT26" t="n">
        <v>177.2964</v>
      </c>
      <c r="AU26" t="n">
        <v>389.8692</v>
      </c>
      <c r="AV26" t="n">
        <v>0</v>
      </c>
    </row>
    <row r="27">
      <c r="A27" t="n">
        <v>26</v>
      </c>
      <c r="B27" t="n">
        <v>0</v>
      </c>
      <c r="C27" t="n">
        <v>10.1539253</v>
      </c>
      <c r="D27" t="n">
        <v>-0.487879999</v>
      </c>
      <c r="E27" t="n">
        <v>1.669522237</v>
      </c>
      <c r="F27" t="n">
        <v>0</v>
      </c>
      <c r="G27" t="n">
        <v>0</v>
      </c>
      <c r="H27" t="n">
        <v>0.661813867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2.003426736</v>
      </c>
      <c r="Q27" t="n">
        <v>2.003426736</v>
      </c>
      <c r="R27" t="n">
        <v>0</v>
      </c>
      <c r="S27" t="n">
        <v>0</v>
      </c>
      <c r="T27" t="n">
        <v>0.447981513</v>
      </c>
      <c r="U27" t="n">
        <v>23.21948423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0.9</v>
      </c>
      <c r="AB27" t="n">
        <v>99</v>
      </c>
      <c r="AC27" t="n">
        <v>0</v>
      </c>
      <c r="AD27" t="n">
        <v>2.395215019</v>
      </c>
      <c r="AE27" t="n">
        <v>217.3400675</v>
      </c>
      <c r="AF27" t="n">
        <v>219.287301</v>
      </c>
      <c r="AG27" t="n">
        <v>132.7769224</v>
      </c>
      <c r="AH27" t="n">
        <v>97.44757315</v>
      </c>
      <c r="AI27" t="n">
        <v>100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58.7952</v>
      </c>
      <c r="AS27" t="n">
        <v>81.19799999999999</v>
      </c>
      <c r="AT27" t="n">
        <v>177.2964</v>
      </c>
      <c r="AU27" t="n">
        <v>389.8692</v>
      </c>
      <c r="AV27" t="n">
        <v>0</v>
      </c>
    </row>
    <row r="28">
      <c r="A28" t="n">
        <v>27</v>
      </c>
      <c r="B28" t="n">
        <v>0</v>
      </c>
      <c r="C28" t="n">
        <v>8.772015667</v>
      </c>
      <c r="D28" t="n">
        <v>-4.733996362</v>
      </c>
      <c r="E28" t="n">
        <v>0.698493645</v>
      </c>
      <c r="F28" t="n">
        <v>0</v>
      </c>
      <c r="G28" t="n">
        <v>0</v>
      </c>
      <c r="H28" t="n">
        <v>0.619862928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0.838192396</v>
      </c>
      <c r="Q28" t="n">
        <v>0.838192396</v>
      </c>
      <c r="R28" t="n">
        <v>0</v>
      </c>
      <c r="S28" t="n">
        <v>0</v>
      </c>
      <c r="T28" t="n">
        <v>0.182918224</v>
      </c>
      <c r="U28" t="n">
        <v>22.19837361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0.9</v>
      </c>
      <c r="AB28" t="n">
        <v>99</v>
      </c>
      <c r="AC28" t="n">
        <v>0</v>
      </c>
      <c r="AD28" t="n">
        <v>2.156854938</v>
      </c>
      <c r="AE28" t="n">
        <v>215.3661308</v>
      </c>
      <c r="AF28" t="n">
        <v>217.3400675</v>
      </c>
      <c r="AG28" t="n">
        <v>135.5989151</v>
      </c>
      <c r="AH28" t="n">
        <v>99.46328221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58.7952</v>
      </c>
      <c r="AS28" t="n">
        <v>81.19799999999999</v>
      </c>
      <c r="AT28" t="n">
        <v>177.2964</v>
      </c>
      <c r="AU28" t="n">
        <v>389.8692</v>
      </c>
      <c r="AV28" t="n">
        <v>0</v>
      </c>
    </row>
    <row r="29">
      <c r="A29" t="n">
        <v>28</v>
      </c>
      <c r="B29" t="n">
        <v>0</v>
      </c>
      <c r="C29" t="n">
        <v>8.435944799</v>
      </c>
      <c r="D29" t="n">
        <v>-1.233996362</v>
      </c>
      <c r="E29" t="n">
        <v>0.506878857</v>
      </c>
      <c r="F29" t="n">
        <v>0</v>
      </c>
      <c r="G29" t="n">
        <v>0</v>
      </c>
      <c r="H29" t="n">
        <v>0.6664723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0.608254644</v>
      </c>
      <c r="Q29" t="n">
        <v>0.608254644</v>
      </c>
      <c r="R29" t="n">
        <v>0</v>
      </c>
      <c r="S29" t="n">
        <v>0</v>
      </c>
      <c r="T29" t="n">
        <v>0.115731161</v>
      </c>
      <c r="U29" t="n">
        <v>21.4743878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0.9</v>
      </c>
      <c r="AB29" t="n">
        <v>99</v>
      </c>
      <c r="AC29" t="n">
        <v>0</v>
      </c>
      <c r="AD29" t="n">
        <v>1.94889904</v>
      </c>
      <c r="AE29" t="n">
        <v>213.5329629</v>
      </c>
      <c r="AF29" t="n">
        <v>215.3661308</v>
      </c>
      <c r="AG29" t="n">
        <v>132.4635548</v>
      </c>
      <c r="AH29" t="n">
        <v>97.22373914000001</v>
      </c>
      <c r="AI29" t="n">
        <v>100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58.7952</v>
      </c>
      <c r="AS29" t="n">
        <v>81.19799999999999</v>
      </c>
      <c r="AT29" t="n">
        <v>177.2964</v>
      </c>
      <c r="AU29" t="n">
        <v>389.8692</v>
      </c>
      <c r="AV29" t="n">
        <v>0</v>
      </c>
    </row>
    <row r="30">
      <c r="A30" t="n">
        <v>29</v>
      </c>
      <c r="B30" t="n">
        <v>0</v>
      </c>
      <c r="C30" t="n">
        <v>6.68666387</v>
      </c>
      <c r="D30" t="n">
        <v>-1.141320463</v>
      </c>
      <c r="E30" t="n">
        <v>0.517437481</v>
      </c>
      <c r="F30" t="n">
        <v>0</v>
      </c>
      <c r="G30" t="n">
        <v>0</v>
      </c>
      <c r="H30" t="n">
        <v>0.67566981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0.620924993</v>
      </c>
      <c r="Q30" t="n">
        <v>0.620924993</v>
      </c>
      <c r="R30" t="n">
        <v>0</v>
      </c>
      <c r="S30" t="n">
        <v>0</v>
      </c>
      <c r="T30" s="15" t="n">
        <v>0.07870000000000001</v>
      </c>
      <c r="U30" t="n">
        <v>20.77478715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0.9</v>
      </c>
      <c r="AB30" t="n">
        <v>99</v>
      </c>
      <c r="AC30" t="n">
        <v>0</v>
      </c>
      <c r="AD30" t="n">
        <v>1.772012036</v>
      </c>
      <c r="AE30" t="n">
        <v>211.8396265</v>
      </c>
      <c r="AF30" t="n">
        <v>213.5329629</v>
      </c>
      <c r="AG30" t="n">
        <v>131.8448486</v>
      </c>
      <c r="AH30" t="n">
        <v>96.78180614999999</v>
      </c>
      <c r="AI30" t="n">
        <v>100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58.7952</v>
      </c>
      <c r="AS30" t="n">
        <v>81.19799999999999</v>
      </c>
      <c r="AT30" t="n">
        <v>177.2964</v>
      </c>
      <c r="AU30" t="n">
        <v>389.8692</v>
      </c>
      <c r="AV30" t="n">
        <v>0</v>
      </c>
    </row>
    <row r="31">
      <c r="A31" t="n">
        <v>30</v>
      </c>
      <c r="B31" t="n">
        <v>1.767741484</v>
      </c>
      <c r="C31" t="n">
        <v>10.13005884</v>
      </c>
      <c r="D31" s="15" t="n">
        <v>2.172015667</v>
      </c>
      <c r="E31" t="n">
        <v>0.736460173</v>
      </c>
      <c r="F31" t="n">
        <v>0</v>
      </c>
      <c r="G31" t="n">
        <v>0</v>
      </c>
      <c r="H31" t="n">
        <v>0.675162996</v>
      </c>
      <c r="I31" t="n">
        <v>0</v>
      </c>
      <c r="J31" t="n">
        <v>1.767741484</v>
      </c>
      <c r="K31" t="n">
        <v>1.767741484</v>
      </c>
      <c r="L31" t="n">
        <v>1.767741484</v>
      </c>
      <c r="M31" t="n">
        <v>0</v>
      </c>
      <c r="N31" t="n">
        <v>0</v>
      </c>
      <c r="O31" t="n">
        <v>1.767741536</v>
      </c>
      <c r="P31" t="n">
        <v>0.88375223</v>
      </c>
      <c r="Q31" t="n">
        <v>0.88375223</v>
      </c>
      <c r="R31" t="n">
        <v>0</v>
      </c>
      <c r="S31" t="n">
        <v>0</v>
      </c>
      <c r="T31" s="15" t="n">
        <v>0.0799</v>
      </c>
      <c r="U31" t="n">
        <v>21.57889369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0.9</v>
      </c>
      <c r="AB31" t="n">
        <v>99</v>
      </c>
      <c r="AC31" t="n">
        <v>0</v>
      </c>
      <c r="AD31" t="n">
        <v>1.621964655</v>
      </c>
      <c r="AE31" t="n">
        <v>210.2975447</v>
      </c>
      <c r="AF31" t="n">
        <v>211.8396265</v>
      </c>
      <c r="AG31" t="n">
        <v>131.8789414</v>
      </c>
      <c r="AH31" t="n">
        <v>96.80615815</v>
      </c>
      <c r="AI31" t="n">
        <v>100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58.7952</v>
      </c>
      <c r="AS31" t="n">
        <v>81.19799999999999</v>
      </c>
      <c r="AT31" t="n">
        <v>177.2964</v>
      </c>
      <c r="AU31" t="n">
        <v>389.8692</v>
      </c>
      <c r="AV31" t="n">
        <v>0</v>
      </c>
    </row>
    <row r="32">
      <c r="A32" t="n">
        <v>31</v>
      </c>
      <c r="B32" t="n">
        <v>4.545410555</v>
      </c>
      <c r="C32" t="n">
        <v>12.9460747</v>
      </c>
      <c r="D32" t="n">
        <v>3.168851101</v>
      </c>
      <c r="E32" t="n">
        <v>0.7032195999999999</v>
      </c>
      <c r="F32" t="n">
        <v>0</v>
      </c>
      <c r="G32" t="n">
        <v>0</v>
      </c>
      <c r="H32" t="n">
        <v>0.664649907</v>
      </c>
      <c r="I32" t="n">
        <v>0</v>
      </c>
      <c r="J32" t="n">
        <v>4.545410555</v>
      </c>
      <c r="K32" t="n">
        <v>4.545410555</v>
      </c>
      <c r="L32" t="n">
        <v>4.545410555</v>
      </c>
      <c r="M32" t="n">
        <v>0</v>
      </c>
      <c r="N32" t="n">
        <v>0</v>
      </c>
      <c r="O32" t="n">
        <v>4.54541069</v>
      </c>
      <c r="P32" t="n">
        <v>0.8438635410000001</v>
      </c>
      <c r="Q32" t="n">
        <v>0.8438635410000001</v>
      </c>
      <c r="R32" t="n">
        <v>0</v>
      </c>
      <c r="S32" t="n">
        <v>0</v>
      </c>
      <c r="T32" t="n">
        <v>0.265665678</v>
      </c>
      <c r="U32" t="n">
        <v>25.01477516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0.9</v>
      </c>
      <c r="AB32" t="n">
        <v>99</v>
      </c>
      <c r="AC32" t="n">
        <v>0</v>
      </c>
      <c r="AD32" t="n">
        <v>1.499942576</v>
      </c>
      <c r="AE32" t="n">
        <v>209.0632678</v>
      </c>
      <c r="AF32" t="n">
        <v>210.2975447</v>
      </c>
      <c r="AG32" t="n">
        <v>132.5861452</v>
      </c>
      <c r="AH32" t="n">
        <v>97.31130367999999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58.7952</v>
      </c>
      <c r="AS32" t="n">
        <v>81.19799999999999</v>
      </c>
      <c r="AT32" t="n">
        <v>177.2964</v>
      </c>
      <c r="AU32" t="n">
        <v>389.8692</v>
      </c>
      <c r="AV32" t="n">
        <v>0</v>
      </c>
    </row>
    <row r="33">
      <c r="A33" t="n">
        <v>32</v>
      </c>
      <c r="B33" t="n">
        <v>0</v>
      </c>
      <c r="C33" t="n">
        <v>9</v>
      </c>
      <c r="D33" t="n">
        <v>1.997320274</v>
      </c>
      <c r="E33" t="n">
        <v>0.579926024</v>
      </c>
      <c r="F33" t="n">
        <v>0</v>
      </c>
      <c r="G33" t="n">
        <v>0</v>
      </c>
      <c r="H33" t="n">
        <v>0.666245455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0.695911247</v>
      </c>
      <c r="Q33" t="n">
        <v>0.695911247</v>
      </c>
      <c r="R33" t="n">
        <v>0</v>
      </c>
      <c r="S33" t="n">
        <v>0</v>
      </c>
      <c r="T33" t="n">
        <v>0.421913348</v>
      </c>
      <c r="U33" t="n">
        <v>23.89695056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0.9</v>
      </c>
      <c r="AB33" t="n">
        <v>99</v>
      </c>
      <c r="AC33" t="n">
        <v>0</v>
      </c>
      <c r="AD33" t="n">
        <v>1.414229347</v>
      </c>
      <c r="AE33" t="n">
        <v>208.0709518</v>
      </c>
      <c r="AF33" t="n">
        <v>209.0632678</v>
      </c>
      <c r="AG33" t="n">
        <v>132.4788145</v>
      </c>
      <c r="AH33" t="n">
        <v>97.23463889999999</v>
      </c>
      <c r="AI33" t="n">
        <v>100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58.7952</v>
      </c>
      <c r="AS33" t="n">
        <v>81.19799999999999</v>
      </c>
      <c r="AT33" t="n">
        <v>177.2964</v>
      </c>
      <c r="AU33" t="n">
        <v>389.8692</v>
      </c>
      <c r="AV33" t="n">
        <v>0</v>
      </c>
    </row>
    <row r="34">
      <c r="A34" t="n">
        <v>33</v>
      </c>
      <c r="B34" s="15" t="n">
        <v>0</v>
      </c>
      <c r="C34" t="n">
        <v>6.466003638</v>
      </c>
      <c r="D34" t="n">
        <v>-0.24928093</v>
      </c>
      <c r="E34" t="n">
        <v>0.373841076</v>
      </c>
      <c r="F34" t="n">
        <v>0</v>
      </c>
      <c r="G34" t="n">
        <v>0</v>
      </c>
      <c r="H34" t="n">
        <v>0.6721635459999999</v>
      </c>
      <c r="I34" t="n">
        <v>0</v>
      </c>
      <c r="J34" s="15" t="n">
        <v>0</v>
      </c>
      <c r="K34" s="15" t="n">
        <v>0</v>
      </c>
      <c r="L34" s="15" t="n">
        <v>0</v>
      </c>
      <c r="M34" t="n">
        <v>0</v>
      </c>
      <c r="N34" t="n">
        <v>0</v>
      </c>
      <c r="O34" s="15" t="n">
        <v>0</v>
      </c>
      <c r="P34" t="n">
        <v>0.448609303</v>
      </c>
      <c r="Q34" t="n">
        <v>0.448609303</v>
      </c>
      <c r="R34" t="n">
        <v>0</v>
      </c>
      <c r="S34" t="n">
        <v>0</v>
      </c>
      <c r="T34" s="15" t="n">
        <v>0.27218584</v>
      </c>
      <c r="U34" t="n">
        <v>23.17615542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0.9</v>
      </c>
      <c r="AB34" t="n">
        <v>99</v>
      </c>
      <c r="AC34" t="n">
        <v>0</v>
      </c>
      <c r="AD34" t="n">
        <v>1.334398514</v>
      </c>
      <c r="AE34" t="n">
        <v>207.0087391</v>
      </c>
      <c r="AF34" t="n">
        <v>208.0709518</v>
      </c>
      <c r="AG34" t="n">
        <v>132.0807111</v>
      </c>
      <c r="AH34" t="n">
        <v>96.95027933</v>
      </c>
      <c r="AI34" t="n">
        <v>100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58.7952</v>
      </c>
      <c r="AS34" t="n">
        <v>81.19799999999999</v>
      </c>
      <c r="AT34" t="n">
        <v>177.2964</v>
      </c>
      <c r="AU34" t="n">
        <v>389.8692</v>
      </c>
      <c r="AV34" t="n">
        <v>0</v>
      </c>
    </row>
    <row r="35">
      <c r="A35" t="n">
        <v>34</v>
      </c>
      <c r="B35" s="15" t="n">
        <v>22.31354299</v>
      </c>
      <c r="C35" t="n">
        <v>6.582019494</v>
      </c>
      <c r="D35" t="n">
        <v>4.635944799</v>
      </c>
      <c r="E35" t="n">
        <v>0.395011809</v>
      </c>
      <c r="F35" t="n">
        <v>0</v>
      </c>
      <c r="G35" t="n">
        <v>0</v>
      </c>
      <c r="H35" t="n">
        <v>0.682055624</v>
      </c>
      <c r="I35" t="n">
        <v>0</v>
      </c>
      <c r="J35" s="15" t="n">
        <v>22.31354299</v>
      </c>
      <c r="K35" s="15" t="n">
        <v>22.31354299</v>
      </c>
      <c r="L35" s="15" t="n">
        <v>14.66953299</v>
      </c>
      <c r="M35" t="n">
        <v>0</v>
      </c>
      <c r="N35" t="n">
        <v>7.64401</v>
      </c>
      <c r="O35" s="15" t="n">
        <v>14.66953343</v>
      </c>
      <c r="P35" t="n">
        <v>0.474014182</v>
      </c>
      <c r="Q35" t="n">
        <v>0.474014182</v>
      </c>
      <c r="R35" t="n">
        <v>0</v>
      </c>
      <c r="S35" t="n">
        <v>0</v>
      </c>
      <c r="T35" s="15" t="n">
        <v>4.324625072</v>
      </c>
      <c r="U35" t="n">
        <v>33.04704959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0.9</v>
      </c>
      <c r="AB35" t="n">
        <v>99</v>
      </c>
      <c r="AC35" t="n">
        <v>0</v>
      </c>
      <c r="AD35" t="n">
        <v>1.334833732</v>
      </c>
      <c r="AE35" t="n">
        <v>209.9985304</v>
      </c>
      <c r="AF35" t="n">
        <v>207.0087391</v>
      </c>
      <c r="AG35" t="n">
        <v>131.4152821</v>
      </c>
      <c r="AH35" t="n">
        <v>96.47497292</v>
      </c>
      <c r="AI35" t="n">
        <v>100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58.7952</v>
      </c>
      <c r="AS35" t="n">
        <v>81.19799999999999</v>
      </c>
      <c r="AT35" t="n">
        <v>177.2964</v>
      </c>
      <c r="AU35" t="n">
        <v>389.8692</v>
      </c>
      <c r="AV35" t="n">
        <v>0</v>
      </c>
    </row>
    <row r="36">
      <c r="A36" t="n">
        <v>35</v>
      </c>
      <c r="B36" t="n">
        <v>1.204897362</v>
      </c>
      <c r="C36" t="n">
        <v>10.16124941</v>
      </c>
      <c r="D36" t="n">
        <v>6.007324101</v>
      </c>
      <c r="E36" t="n">
        <v>0.476561577</v>
      </c>
      <c r="F36" t="n">
        <v>0</v>
      </c>
      <c r="G36" t="n">
        <v>0</v>
      </c>
      <c r="H36" t="n">
        <v>0.681039429</v>
      </c>
      <c r="I36" t="n">
        <v>0</v>
      </c>
      <c r="J36" t="n">
        <v>1.204897362</v>
      </c>
      <c r="K36" t="n">
        <v>1.204897362</v>
      </c>
      <c r="L36" t="n">
        <v>1.204897362</v>
      </c>
      <c r="M36" t="n">
        <v>0</v>
      </c>
      <c r="N36" t="n">
        <v>0</v>
      </c>
      <c r="O36" t="n">
        <v>1.204897398</v>
      </c>
      <c r="P36" t="n">
        <v>0.571873907</v>
      </c>
      <c r="Q36" t="n">
        <v>0.571873907</v>
      </c>
      <c r="R36" t="n">
        <v>0</v>
      </c>
      <c r="S36" t="n">
        <v>0</v>
      </c>
      <c r="T36" s="15" t="n">
        <v>4.872370257</v>
      </c>
      <c r="U36" t="n">
        <v>28.80770283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0.9</v>
      </c>
      <c r="AB36" t="n">
        <v>99</v>
      </c>
      <c r="AC36" t="n">
        <v>0</v>
      </c>
      <c r="AD36" t="n">
        <v>1.72612099</v>
      </c>
      <c r="AE36" t="n">
        <v>213.1447797</v>
      </c>
      <c r="AF36" t="n">
        <v>209.9985304</v>
      </c>
      <c r="AG36" t="n">
        <v>131.4836404</v>
      </c>
      <c r="AH36" t="n">
        <v>96.52380028</v>
      </c>
      <c r="AI36" t="n">
        <v>100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58.7952</v>
      </c>
      <c r="AS36" t="n">
        <v>81.19799999999999</v>
      </c>
      <c r="AT36" t="n">
        <v>177.2964</v>
      </c>
      <c r="AU36" t="n">
        <v>389.8692</v>
      </c>
      <c r="AV36" t="n">
        <v>0</v>
      </c>
    </row>
    <row r="37">
      <c r="A37" t="n">
        <v>36</v>
      </c>
      <c r="B37" s="15" t="n">
        <v>0.09089999999999999</v>
      </c>
      <c r="C37" t="n">
        <v>10.81048867</v>
      </c>
      <c r="D37" t="n">
        <v>7.382019494</v>
      </c>
      <c r="E37" t="n">
        <v>0.488268644</v>
      </c>
      <c r="F37" t="n">
        <v>0</v>
      </c>
      <c r="G37" t="n">
        <v>0</v>
      </c>
      <c r="H37" t="n">
        <v>0.67712504</v>
      </c>
      <c r="I37" t="n">
        <v>0</v>
      </c>
      <c r="J37" s="15" t="n">
        <v>0.09089999999999999</v>
      </c>
      <c r="K37" s="15" t="n">
        <v>0.09089999999999999</v>
      </c>
      <c r="L37" s="15" t="n">
        <v>0.09089999999999999</v>
      </c>
      <c r="M37" t="n">
        <v>0</v>
      </c>
      <c r="N37" t="n">
        <v>0</v>
      </c>
      <c r="O37" s="15" t="n">
        <v>0.09089999999999999</v>
      </c>
      <c r="P37" t="n">
        <v>0.585922388</v>
      </c>
      <c r="Q37" t="n">
        <v>0.585922388</v>
      </c>
      <c r="R37" t="n">
        <v>0</v>
      </c>
      <c r="S37" t="n">
        <v>0</v>
      </c>
      <c r="T37" t="n">
        <v>1.663087334</v>
      </c>
      <c r="U37" t="n">
        <v>26.64960781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0.9</v>
      </c>
      <c r="AB37" t="n">
        <v>99</v>
      </c>
      <c r="AC37" t="n">
        <v>0</v>
      </c>
      <c r="AD37" t="n">
        <v>1.820454141</v>
      </c>
      <c r="AE37" t="n">
        <v>212.9874129</v>
      </c>
      <c r="AF37" t="n">
        <v>213.1447797</v>
      </c>
      <c r="AG37" t="n">
        <v>131.746957</v>
      </c>
      <c r="AH37" t="n">
        <v>96.71188354</v>
      </c>
      <c r="AI37" t="n">
        <v>100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58.7952</v>
      </c>
      <c r="AS37" t="n">
        <v>81.19799999999999</v>
      </c>
      <c r="AT37" t="n">
        <v>177.2964</v>
      </c>
      <c r="AU37" t="n">
        <v>389.8692</v>
      </c>
      <c r="AV37" t="n">
        <v>0</v>
      </c>
    </row>
    <row r="38">
      <c r="A38" t="n">
        <v>37</v>
      </c>
      <c r="B38" t="n">
        <v>0</v>
      </c>
      <c r="C38" t="n">
        <v>10.8926759</v>
      </c>
      <c r="D38" t="n">
        <v>8.117980506</v>
      </c>
      <c r="E38" t="n">
        <v>0.485100345</v>
      </c>
      <c r="F38" t="n">
        <v>0</v>
      </c>
      <c r="G38" t="n">
        <v>0</v>
      </c>
      <c r="H38" t="n">
        <v>0.6765631009999999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0.5821204290000001</v>
      </c>
      <c r="Q38" t="n">
        <v>0.5821204290000001</v>
      </c>
      <c r="R38" t="n">
        <v>0</v>
      </c>
      <c r="S38" t="n">
        <v>0</v>
      </c>
      <c r="T38" t="n">
        <v>0.813736833</v>
      </c>
      <c r="U38" t="n">
        <v>25.25375055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0.9</v>
      </c>
      <c r="AB38" t="n">
        <v>99</v>
      </c>
      <c r="AC38" t="n">
        <v>0</v>
      </c>
      <c r="AD38" t="n">
        <v>1.759260403</v>
      </c>
      <c r="AE38" t="n">
        <v>212.0418893</v>
      </c>
      <c r="AF38" t="n">
        <v>212.9874129</v>
      </c>
      <c r="AG38" t="n">
        <v>131.784758</v>
      </c>
      <c r="AH38" t="n">
        <v>96.73888427</v>
      </c>
      <c r="AI38" t="n">
        <v>100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58.7952</v>
      </c>
      <c r="AS38" t="n">
        <v>81.19799999999999</v>
      </c>
      <c r="AT38" t="n">
        <v>177.2964</v>
      </c>
      <c r="AU38" t="n">
        <v>389.8692</v>
      </c>
      <c r="AV38" t="n">
        <v>0</v>
      </c>
    </row>
    <row r="39">
      <c r="A39" t="n">
        <v>38</v>
      </c>
      <c r="B39" t="n">
        <v>33.06222653</v>
      </c>
      <c r="C39" t="n">
        <v>9.064055201</v>
      </c>
      <c r="D39" t="n">
        <v>7.264055201</v>
      </c>
      <c r="E39" t="n">
        <v>0.420440842</v>
      </c>
      <c r="F39" t="n">
        <v>0</v>
      </c>
      <c r="G39" t="n">
        <v>0</v>
      </c>
      <c r="H39" t="n">
        <v>0.676715179</v>
      </c>
      <c r="I39" t="n">
        <v>0</v>
      </c>
      <c r="J39" t="n">
        <v>33.06222653</v>
      </c>
      <c r="K39" t="n">
        <v>33.06222653</v>
      </c>
      <c r="L39" t="n">
        <v>17.15464406</v>
      </c>
      <c r="M39" t="n">
        <v>0</v>
      </c>
      <c r="N39" t="n">
        <v>15.90758247</v>
      </c>
      <c r="O39" t="n">
        <v>17.15464457</v>
      </c>
      <c r="P39" t="n">
        <v>0.504529023</v>
      </c>
      <c r="Q39" t="n">
        <v>0.504529023</v>
      </c>
      <c r="R39" t="n">
        <v>0</v>
      </c>
      <c r="S39" t="n">
        <v>0</v>
      </c>
      <c r="T39" t="n">
        <v>7.804087404</v>
      </c>
      <c r="U39" t="n">
        <v>34.0997787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0.9</v>
      </c>
      <c r="AB39" t="n">
        <v>99</v>
      </c>
      <c r="AC39" t="n">
        <v>0</v>
      </c>
      <c r="AD39" t="n">
        <v>1.871235867</v>
      </c>
      <c r="AE39" t="n">
        <v>217.9747409</v>
      </c>
      <c r="AF39" t="n">
        <v>212.0418893</v>
      </c>
      <c r="AG39" t="n">
        <v>131.7745278</v>
      </c>
      <c r="AH39" t="n">
        <v>96.73157703</v>
      </c>
      <c r="AI39" t="n">
        <v>100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58.7952</v>
      </c>
      <c r="AS39" t="n">
        <v>81.19799999999999</v>
      </c>
      <c r="AT39" t="n">
        <v>177.2964</v>
      </c>
      <c r="AU39" t="n">
        <v>389.8692</v>
      </c>
      <c r="AV39" t="n">
        <v>0</v>
      </c>
    </row>
    <row r="40">
      <c r="A40" t="n">
        <v>39</v>
      </c>
      <c r="B40" s="15" t="n">
        <v>0.29090438</v>
      </c>
      <c r="C40" t="n">
        <v>13.71048867</v>
      </c>
      <c r="D40" t="n">
        <v>4.089511332</v>
      </c>
      <c r="E40" t="n">
        <v>1.225197308</v>
      </c>
      <c r="F40" t="n">
        <v>0</v>
      </c>
      <c r="G40" t="n">
        <v>0</v>
      </c>
      <c r="H40" t="n">
        <v>0.679818835</v>
      </c>
      <c r="I40" t="n">
        <v>0</v>
      </c>
      <c r="J40" s="15" t="n">
        <v>0.29090438</v>
      </c>
      <c r="K40" s="15" t="n">
        <v>0.29090438</v>
      </c>
      <c r="L40" s="15" t="n">
        <v>0.29090438</v>
      </c>
      <c r="M40" t="n">
        <v>0</v>
      </c>
      <c r="N40" t="n">
        <v>0</v>
      </c>
      <c r="O40" s="15" t="n">
        <v>0.290904389</v>
      </c>
      <c r="P40" t="n">
        <v>1.470236806</v>
      </c>
      <c r="Q40" t="n">
        <v>1.470236806</v>
      </c>
      <c r="R40" t="n">
        <v>0</v>
      </c>
      <c r="S40" t="n">
        <v>0</v>
      </c>
      <c r="T40" t="n">
        <v>5.009671941</v>
      </c>
      <c r="U40" t="n">
        <v>27.91077434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0.9</v>
      </c>
      <c r="AB40" t="n">
        <v>99</v>
      </c>
      <c r="AC40" t="n">
        <v>0</v>
      </c>
      <c r="AD40" t="n">
        <v>2.625556336</v>
      </c>
      <c r="AE40" t="n">
        <v>220.3588565</v>
      </c>
      <c r="AF40" t="n">
        <v>217.9747409</v>
      </c>
      <c r="AG40" t="n">
        <v>131.5657484</v>
      </c>
      <c r="AH40" t="n">
        <v>96.58244883</v>
      </c>
      <c r="AI40" t="n">
        <v>100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58.7952</v>
      </c>
      <c r="AS40" t="n">
        <v>81.19799999999999</v>
      </c>
      <c r="AT40" t="n">
        <v>177.2964</v>
      </c>
      <c r="AU40" t="n">
        <v>389.8692</v>
      </c>
      <c r="AV40" t="n">
        <v>0</v>
      </c>
    </row>
    <row r="41">
      <c r="A41" t="n">
        <v>40</v>
      </c>
      <c r="B41" s="15" t="n">
        <v>2.793836587</v>
      </c>
      <c r="C41" t="n">
        <v>11.68201949</v>
      </c>
      <c r="D41" t="n">
        <v>7</v>
      </c>
      <c r="E41" t="n">
        <v>0.663562436</v>
      </c>
      <c r="F41" t="n">
        <v>0</v>
      </c>
      <c r="G41" t="n">
        <v>0</v>
      </c>
      <c r="H41" t="n">
        <v>0.641190525</v>
      </c>
      <c r="I41" t="n">
        <v>0</v>
      </c>
      <c r="J41" s="15" t="n">
        <v>2.793836587</v>
      </c>
      <c r="K41" s="15" t="n">
        <v>2.793836587</v>
      </c>
      <c r="L41" s="15" t="n">
        <v>2.793836587</v>
      </c>
      <c r="M41" t="n">
        <v>0</v>
      </c>
      <c r="N41" t="n">
        <v>0</v>
      </c>
      <c r="O41" s="15" t="n">
        <v>2.793836671</v>
      </c>
      <c r="P41" t="n">
        <v>0.796274944</v>
      </c>
      <c r="Q41" t="n">
        <v>0.796274944</v>
      </c>
      <c r="R41" t="n">
        <v>0</v>
      </c>
      <c r="S41" t="n">
        <v>0</v>
      </c>
      <c r="T41" t="n">
        <v>1.86089412</v>
      </c>
      <c r="U41" t="n">
        <v>28.04744195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0.9</v>
      </c>
      <c r="AB41" t="n">
        <v>99</v>
      </c>
      <c r="AC41" t="n">
        <v>0</v>
      </c>
      <c r="AD41" t="n">
        <v>2.608628421</v>
      </c>
      <c r="AE41" t="n">
        <v>219.6111222</v>
      </c>
      <c r="AF41" t="n">
        <v>220.3588565</v>
      </c>
      <c r="AG41" t="n">
        <v>134.1642315</v>
      </c>
      <c r="AH41" t="n">
        <v>98.43850825</v>
      </c>
      <c r="AI41" t="n">
        <v>100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58.7952</v>
      </c>
      <c r="AS41" t="n">
        <v>81.19799999999999</v>
      </c>
      <c r="AT41" t="n">
        <v>177.2964</v>
      </c>
      <c r="AU41" t="n">
        <v>389.8692</v>
      </c>
      <c r="AV41" t="n">
        <v>0</v>
      </c>
    </row>
    <row r="42">
      <c r="A42" t="n">
        <v>41</v>
      </c>
      <c r="B42" t="n">
        <v>14.38476088</v>
      </c>
      <c r="C42" t="n">
        <v>8.653925305</v>
      </c>
      <c r="D42" t="n">
        <v>4.022734738</v>
      </c>
      <c r="E42" t="n">
        <v>0.431620211</v>
      </c>
      <c r="F42" t="n">
        <v>0</v>
      </c>
      <c r="G42" t="n">
        <v>0</v>
      </c>
      <c r="H42" t="n">
        <v>0.668148999</v>
      </c>
      <c r="I42" t="n">
        <v>0</v>
      </c>
      <c r="J42" t="n">
        <v>14.38476088</v>
      </c>
      <c r="K42" t="n">
        <v>14.38476088</v>
      </c>
      <c r="L42" t="n">
        <v>11.24633089</v>
      </c>
      <c r="M42" t="n">
        <v>0</v>
      </c>
      <c r="N42" t="n">
        <v>3.138429988</v>
      </c>
      <c r="O42" t="n">
        <v>11.24633123</v>
      </c>
      <c r="P42" t="n">
        <v>0.517944267</v>
      </c>
      <c r="Q42" t="n">
        <v>0.517944267</v>
      </c>
      <c r="R42" t="n">
        <v>0</v>
      </c>
      <c r="S42" t="n">
        <v>0</v>
      </c>
      <c r="T42" t="n">
        <v>6.15223758</v>
      </c>
      <c r="U42" t="n">
        <v>32.62359133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0.9</v>
      </c>
      <c r="AB42" t="n">
        <v>99</v>
      </c>
      <c r="AC42" t="n">
        <v>0</v>
      </c>
      <c r="AD42" t="n">
        <v>2.708845926</v>
      </c>
      <c r="AE42" t="n">
        <v>223.0545138</v>
      </c>
      <c r="AF42" t="n">
        <v>219.6111222</v>
      </c>
      <c r="AG42" t="n">
        <v>132.3507652</v>
      </c>
      <c r="AH42" t="n">
        <v>97.14317514</v>
      </c>
      <c r="AI42" t="n">
        <v>100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58.7952</v>
      </c>
      <c r="AS42" t="n">
        <v>81.19799999999999</v>
      </c>
      <c r="AT42" t="n">
        <v>177.2964</v>
      </c>
      <c r="AU42" t="n">
        <v>389.8692</v>
      </c>
      <c r="AV42" t="n">
        <v>0</v>
      </c>
    </row>
    <row r="43">
      <c r="A43" t="n">
        <v>42</v>
      </c>
      <c r="B43" t="n">
        <v>0.352617198</v>
      </c>
      <c r="C43" t="n">
        <v>14.20267973</v>
      </c>
      <c r="D43" t="n">
        <v>0.422734738</v>
      </c>
      <c r="E43" t="n">
        <v>1.042731836</v>
      </c>
      <c r="F43" t="n">
        <v>0</v>
      </c>
      <c r="G43" t="n">
        <v>0</v>
      </c>
      <c r="H43" t="n">
        <v>0.679282225</v>
      </c>
      <c r="I43" t="n">
        <v>0</v>
      </c>
      <c r="J43" t="n">
        <v>0.352617198</v>
      </c>
      <c r="K43" t="n">
        <v>0.352617198</v>
      </c>
      <c r="L43" t="n">
        <v>0.352617198</v>
      </c>
      <c r="M43" t="n">
        <v>0</v>
      </c>
      <c r="N43" t="n">
        <v>0</v>
      </c>
      <c r="O43" t="n">
        <v>0.352617208</v>
      </c>
      <c r="P43" t="n">
        <v>1.251278234</v>
      </c>
      <c r="Q43" t="n">
        <v>1.251278234</v>
      </c>
      <c r="R43" t="n">
        <v>0</v>
      </c>
      <c r="S43" t="n">
        <v>0</v>
      </c>
      <c r="T43" t="n">
        <v>3.94344645</v>
      </c>
      <c r="U43" t="n">
        <v>27.78148385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0.9</v>
      </c>
      <c r="AB43" t="n">
        <v>99</v>
      </c>
      <c r="AC43" t="n">
        <v>0</v>
      </c>
      <c r="AD43" t="n">
        <v>3.207466153</v>
      </c>
      <c r="AE43" t="n">
        <v>223.7904941</v>
      </c>
      <c r="AF43" t="n">
        <v>223.0545138</v>
      </c>
      <c r="AG43" t="n">
        <v>131.6018455</v>
      </c>
      <c r="AH43" t="n">
        <v>96.6082325</v>
      </c>
      <c r="AI43" t="n">
        <v>100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58.7952</v>
      </c>
      <c r="AS43" t="n">
        <v>81.19799999999999</v>
      </c>
      <c r="AT43" t="n">
        <v>177.2964</v>
      </c>
      <c r="AU43" t="n">
        <v>389.8692</v>
      </c>
      <c r="AV43" t="n">
        <v>0</v>
      </c>
    </row>
    <row r="44">
      <c r="A44" t="n">
        <v>43</v>
      </c>
      <c r="B44" s="15" t="n">
        <v>0</v>
      </c>
      <c r="C44" t="n">
        <v>5.664055201</v>
      </c>
      <c r="D44" t="n">
        <v>-0.179339768</v>
      </c>
      <c r="E44" t="n">
        <v>1.076469067</v>
      </c>
      <c r="F44" t="n">
        <v>0</v>
      </c>
      <c r="G44" t="n">
        <v>0</v>
      </c>
      <c r="H44" t="n">
        <v>0.649948867</v>
      </c>
      <c r="I44" t="n">
        <v>0</v>
      </c>
      <c r="J44" s="15" t="n">
        <v>0</v>
      </c>
      <c r="K44" s="15" t="n">
        <v>0</v>
      </c>
      <c r="L44" s="15" t="n">
        <v>0</v>
      </c>
      <c r="M44" t="n">
        <v>0</v>
      </c>
      <c r="N44" t="n">
        <v>0</v>
      </c>
      <c r="O44" s="15" t="n">
        <v>0</v>
      </c>
      <c r="P44" t="n">
        <v>1.291762912</v>
      </c>
      <c r="Q44" t="n">
        <v>1.291762912</v>
      </c>
      <c r="R44" t="n">
        <v>0</v>
      </c>
      <c r="S44" t="n">
        <v>0</v>
      </c>
      <c r="T44" t="n">
        <v>1.083057932</v>
      </c>
      <c r="U44" t="n">
        <v>25.40666301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0.9</v>
      </c>
      <c r="AB44" t="n">
        <v>99</v>
      </c>
      <c r="AC44" t="n">
        <v>0</v>
      </c>
      <c r="AD44" t="n">
        <v>3.028513179</v>
      </c>
      <c r="AE44" t="n">
        <v>221.8450389</v>
      </c>
      <c r="AF44" t="n">
        <v>223.7904941</v>
      </c>
      <c r="AG44" t="n">
        <v>133.5750676</v>
      </c>
      <c r="AH44" t="n">
        <v>98.01767689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58.7952</v>
      </c>
      <c r="AS44" t="n">
        <v>81.19799999999999</v>
      </c>
      <c r="AT44" t="n">
        <v>177.2964</v>
      </c>
      <c r="AU44" t="n">
        <v>389.8692</v>
      </c>
      <c r="AV44" t="n">
        <v>0</v>
      </c>
    </row>
    <row r="45">
      <c r="A45" t="n">
        <v>44</v>
      </c>
      <c r="B45" s="15" t="n">
        <v>0</v>
      </c>
      <c r="C45" t="n">
        <v>2.574543869</v>
      </c>
      <c r="D45" t="n">
        <v>-2.964055201</v>
      </c>
      <c r="E45" t="n">
        <v>0.889454983</v>
      </c>
      <c r="F45" t="n">
        <v>0</v>
      </c>
      <c r="G45" t="n">
        <v>0</v>
      </c>
      <c r="H45" t="n">
        <v>0.64832948</v>
      </c>
      <c r="I45" t="n">
        <v>0</v>
      </c>
      <c r="J45" s="15" t="n">
        <v>0</v>
      </c>
      <c r="K45" s="15" t="n">
        <v>0</v>
      </c>
      <c r="L45" s="15" t="n">
        <v>0</v>
      </c>
      <c r="M45" t="n">
        <v>0</v>
      </c>
      <c r="N45" t="n">
        <v>0</v>
      </c>
      <c r="O45" s="15" t="n">
        <v>0</v>
      </c>
      <c r="P45" t="n">
        <v>1.067346005</v>
      </c>
      <c r="Q45" t="n">
        <v>1.067346005</v>
      </c>
      <c r="R45" t="n">
        <v>0</v>
      </c>
      <c r="S45" t="n">
        <v>0</v>
      </c>
      <c r="T45" s="15" t="n">
        <v>0.464392359</v>
      </c>
      <c r="U45" t="n">
        <v>23.87492465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0.9</v>
      </c>
      <c r="AB45" t="n">
        <v>99</v>
      </c>
      <c r="AC45" t="n">
        <v>0</v>
      </c>
      <c r="AD45" t="n">
        <v>2.710465058</v>
      </c>
      <c r="AE45" t="n">
        <v>219.5989662</v>
      </c>
      <c r="AF45" t="n">
        <v>221.8450389</v>
      </c>
      <c r="AG45" t="n">
        <v>133.684002</v>
      </c>
      <c r="AH45" t="n">
        <v>98.09548714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58.7952</v>
      </c>
      <c r="AS45" t="n">
        <v>81.19799999999999</v>
      </c>
      <c r="AT45" t="n">
        <v>177.2964</v>
      </c>
      <c r="AU45" t="n">
        <v>389.8692</v>
      </c>
      <c r="AV45" t="n">
        <v>0</v>
      </c>
    </row>
    <row r="46">
      <c r="A46" t="n">
        <v>45</v>
      </c>
      <c r="B46" t="n">
        <v>0</v>
      </c>
      <c r="C46" t="n">
        <v>6.789511332</v>
      </c>
      <c r="D46" t="n">
        <v>-5.720660232</v>
      </c>
      <c r="E46" t="n">
        <v>1.003287029</v>
      </c>
      <c r="F46" t="n">
        <v>0</v>
      </c>
      <c r="G46" t="n">
        <v>0</v>
      </c>
      <c r="H46" t="n">
        <v>0.657306156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1.203944464</v>
      </c>
      <c r="Q46" t="n">
        <v>1.203944464</v>
      </c>
      <c r="R46" t="n">
        <v>0</v>
      </c>
      <c r="S46" t="n">
        <v>0</v>
      </c>
      <c r="T46" t="n">
        <v>0.232171386</v>
      </c>
      <c r="U46" t="n">
        <v>22.4388088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0.9</v>
      </c>
      <c r="AB46" t="n">
        <v>99</v>
      </c>
      <c r="AC46" t="n">
        <v>0</v>
      </c>
      <c r="AD46" t="n">
        <v>2.414540398</v>
      </c>
      <c r="AE46" t="n">
        <v>217.4165971</v>
      </c>
      <c r="AF46" t="n">
        <v>219.5989662</v>
      </c>
      <c r="AG46" t="n">
        <v>133.080151</v>
      </c>
      <c r="AH46" t="n">
        <v>97.66416503000001</v>
      </c>
      <c r="AI46" t="n">
        <v>100</v>
      </c>
      <c r="AJ46" t="n">
        <v>0</v>
      </c>
      <c r="AK46" t="n">
        <v>0</v>
      </c>
      <c r="AL46" t="n">
        <v>1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58.7952</v>
      </c>
      <c r="AS46" t="n">
        <v>81.19799999999999</v>
      </c>
      <c r="AT46" t="n">
        <v>177.2964</v>
      </c>
      <c r="AU46" t="n">
        <v>389.8692</v>
      </c>
      <c r="AV46" t="n">
        <v>0</v>
      </c>
    </row>
    <row r="47">
      <c r="A47" t="n">
        <v>46</v>
      </c>
      <c r="B47" t="n">
        <v>0</v>
      </c>
      <c r="C47" t="n">
        <v>8.664055201</v>
      </c>
      <c r="D47" t="n">
        <v>-5.531148899</v>
      </c>
      <c r="E47" t="n">
        <v>0.940631073</v>
      </c>
      <c r="F47" t="n">
        <v>0</v>
      </c>
      <c r="G47" t="n">
        <v>0</v>
      </c>
      <c r="H47" t="n">
        <v>0.651842218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1.128757313</v>
      </c>
      <c r="Q47" t="n">
        <v>1.128757313</v>
      </c>
      <c r="R47" t="n">
        <v>0</v>
      </c>
      <c r="S47" t="n">
        <v>0</v>
      </c>
      <c r="T47" t="n">
        <v>0.116985573</v>
      </c>
      <c r="U47" t="n">
        <v>21.19306591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0.9</v>
      </c>
      <c r="AB47" t="n">
        <v>99</v>
      </c>
      <c r="AC47" t="n">
        <v>0</v>
      </c>
      <c r="AD47" t="n">
        <v>2.160539914</v>
      </c>
      <c r="AE47" t="n">
        <v>215.3730428</v>
      </c>
      <c r="AF47" t="n">
        <v>217.4165971</v>
      </c>
      <c r="AG47" t="n">
        <v>133.4477041</v>
      </c>
      <c r="AH47" t="n">
        <v>97.9267029</v>
      </c>
      <c r="AI47" t="n">
        <v>100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58.7952</v>
      </c>
      <c r="AS47" t="n">
        <v>81.19799999999999</v>
      </c>
      <c r="AT47" t="n">
        <v>177.2964</v>
      </c>
      <c r="AU47" t="n">
        <v>389.8692</v>
      </c>
      <c r="AV47" t="n">
        <v>0</v>
      </c>
    </row>
    <row r="48">
      <c r="A48" t="n">
        <v>47</v>
      </c>
      <c r="B48" t="n">
        <v>0</v>
      </c>
      <c r="C48" t="n">
        <v>11.60267973</v>
      </c>
      <c r="D48" t="n">
        <v>-2.7952041</v>
      </c>
      <c r="E48" t="n">
        <v>0.979773731</v>
      </c>
      <c r="F48" t="n">
        <v>0</v>
      </c>
      <c r="G48" t="n">
        <v>0</v>
      </c>
      <c r="H48" t="n">
        <v>0.654849704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1.175728504</v>
      </c>
      <c r="Q48" t="n">
        <v>1.175728504</v>
      </c>
      <c r="R48" t="n">
        <v>0</v>
      </c>
      <c r="S48" t="n">
        <v>0</v>
      </c>
      <c r="T48" s="15" t="n">
        <v>0.0596</v>
      </c>
      <c r="U48" t="n">
        <v>19.9577532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0.9</v>
      </c>
      <c r="AB48" t="n">
        <v>99</v>
      </c>
      <c r="AC48" t="n">
        <v>0</v>
      </c>
      <c r="AD48" t="n">
        <v>1.946826523</v>
      </c>
      <c r="AE48" t="n">
        <v>213.4858005</v>
      </c>
      <c r="AF48" t="n">
        <v>215.3730428</v>
      </c>
      <c r="AG48" t="n">
        <v>133.2453938</v>
      </c>
      <c r="AH48" t="n">
        <v>97.78219559999999</v>
      </c>
      <c r="AI48" t="n">
        <v>100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58.7952</v>
      </c>
      <c r="AS48" t="n">
        <v>81.19799999999999</v>
      </c>
      <c r="AT48" t="n">
        <v>177.2964</v>
      </c>
      <c r="AU48" t="n">
        <v>389.8692</v>
      </c>
      <c r="AV48" t="n">
        <v>0</v>
      </c>
    </row>
    <row r="49">
      <c r="A49" t="n">
        <v>48</v>
      </c>
      <c r="B49" t="n">
        <v>0</v>
      </c>
      <c r="C49" t="n">
        <v>14.12545613</v>
      </c>
      <c r="D49" t="n">
        <v>4.097320274</v>
      </c>
      <c r="E49" t="n">
        <v>1.069532257</v>
      </c>
      <c r="F49" t="n">
        <v>0</v>
      </c>
      <c r="G49" t="n">
        <v>0</v>
      </c>
      <c r="H49" t="n">
        <v>0.652970856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1.283438737</v>
      </c>
      <c r="Q49" t="n">
        <v>1.283438737</v>
      </c>
      <c r="R49" t="n">
        <v>0</v>
      </c>
      <c r="S49" t="n">
        <v>0</v>
      </c>
      <c r="T49" s="15" t="n">
        <v>0.0282</v>
      </c>
      <c r="U49" t="n">
        <v>18.64607669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0.9</v>
      </c>
      <c r="AB49" t="n">
        <v>99</v>
      </c>
      <c r="AC49" t="n">
        <v>0</v>
      </c>
      <c r="AD49" t="n">
        <v>1.765346451</v>
      </c>
      <c r="AE49" t="n">
        <v>211.7486918</v>
      </c>
      <c r="AF49" t="n">
        <v>213.4858005</v>
      </c>
      <c r="AG49" t="n">
        <v>133.3717818</v>
      </c>
      <c r="AH49" t="n">
        <v>97.87247273</v>
      </c>
      <c r="AI49" t="n">
        <v>100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58.7952</v>
      </c>
      <c r="AS49" t="n">
        <v>81.19799999999999</v>
      </c>
      <c r="AT49" t="n">
        <v>177.2964</v>
      </c>
      <c r="AU49" t="n">
        <v>389.8692</v>
      </c>
      <c r="AV49" t="n">
        <v>0</v>
      </c>
    </row>
    <row r="50">
      <c r="A50" t="n">
        <v>49</v>
      </c>
      <c r="B50" s="15" t="n">
        <v>1.312970235</v>
      </c>
      <c r="C50" t="n">
        <v>11.2460747</v>
      </c>
      <c r="D50" t="n">
        <v>5.3047959</v>
      </c>
      <c r="E50" t="n">
        <v>0.932176628</v>
      </c>
      <c r="F50" t="n">
        <v>0</v>
      </c>
      <c r="G50" t="n">
        <v>0</v>
      </c>
      <c r="H50" t="n">
        <v>0.648662447</v>
      </c>
      <c r="I50" t="n">
        <v>0</v>
      </c>
      <c r="J50" s="15" t="n">
        <v>1.312970235</v>
      </c>
      <c r="K50" s="15" t="n">
        <v>1.312970235</v>
      </c>
      <c r="L50" s="15" t="n">
        <v>1.312970235</v>
      </c>
      <c r="M50" t="n">
        <v>0</v>
      </c>
      <c r="N50" t="n">
        <v>0</v>
      </c>
      <c r="O50" s="15" t="n">
        <v>1.312970274</v>
      </c>
      <c r="P50" t="n">
        <v>1.118611978</v>
      </c>
      <c r="Q50" t="n">
        <v>1.118611978</v>
      </c>
      <c r="R50" t="n">
        <v>0</v>
      </c>
      <c r="S50" t="n">
        <v>0</v>
      </c>
      <c r="T50" s="15" t="n">
        <v>0.0185</v>
      </c>
      <c r="U50" t="n">
        <v>18.82190084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0.9</v>
      </c>
      <c r="AB50" t="n">
        <v>99</v>
      </c>
      <c r="AC50" t="n">
        <v>0</v>
      </c>
      <c r="AD50" t="n">
        <v>1.611839693</v>
      </c>
      <c r="AE50" t="n">
        <v>210.1553863</v>
      </c>
      <c r="AF50" t="n">
        <v>211.7486918</v>
      </c>
      <c r="AG50" t="n">
        <v>133.6616037</v>
      </c>
      <c r="AH50" t="n">
        <v>98.07948834</v>
      </c>
      <c r="AI50" t="n">
        <v>100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58.7952</v>
      </c>
      <c r="AS50" t="n">
        <v>81.19799999999999</v>
      </c>
      <c r="AT50" t="n">
        <v>177.2964</v>
      </c>
      <c r="AU50" t="n">
        <v>389.8692</v>
      </c>
      <c r="AV50" t="n">
        <v>0</v>
      </c>
    </row>
    <row r="51">
      <c r="A51" t="n">
        <v>50</v>
      </c>
      <c r="B51" s="15" t="n">
        <v>0</v>
      </c>
      <c r="C51" t="n">
        <v>11.6640552</v>
      </c>
      <c r="D51" t="n">
        <v>7.225456131</v>
      </c>
      <c r="E51" t="n">
        <v>0.650732333</v>
      </c>
      <c r="F51" t="n">
        <v>0</v>
      </c>
      <c r="G51" t="n">
        <v>0</v>
      </c>
      <c r="H51" t="n">
        <v>0.655255517</v>
      </c>
      <c r="I51" t="n">
        <v>0</v>
      </c>
      <c r="J51" s="15" t="n">
        <v>0</v>
      </c>
      <c r="K51" s="15" t="n">
        <v>0</v>
      </c>
      <c r="L51" s="15" t="n">
        <v>0</v>
      </c>
      <c r="M51" t="n">
        <v>0</v>
      </c>
      <c r="N51" t="n">
        <v>0</v>
      </c>
      <c r="O51" s="15" t="n">
        <v>0</v>
      </c>
      <c r="P51" t="n">
        <v>0.780878815</v>
      </c>
      <c r="Q51" t="n">
        <v>0.780878815</v>
      </c>
      <c r="R51" t="n">
        <v>0</v>
      </c>
      <c r="S51" t="n">
        <v>0</v>
      </c>
      <c r="T51" s="15" t="n">
        <v>0.0155</v>
      </c>
      <c r="U51" t="n">
        <v>18.02556007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0.9</v>
      </c>
      <c r="AB51" t="n">
        <v>99</v>
      </c>
      <c r="AC51" t="n">
        <v>0</v>
      </c>
      <c r="AD51" t="n">
        <v>1.481527836</v>
      </c>
      <c r="AE51" t="n">
        <v>208.6893204</v>
      </c>
      <c r="AF51" t="n">
        <v>210.1553863</v>
      </c>
      <c r="AG51" t="n">
        <v>133.2180952</v>
      </c>
      <c r="AH51" t="n">
        <v>97.76269659</v>
      </c>
      <c r="AI51" t="n">
        <v>100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58.7952</v>
      </c>
      <c r="AS51" t="n">
        <v>81.19799999999999</v>
      </c>
      <c r="AT51" t="n">
        <v>177.2964</v>
      </c>
      <c r="AU51" t="n">
        <v>389.8692</v>
      </c>
      <c r="AV51" t="n">
        <v>0</v>
      </c>
    </row>
    <row r="52">
      <c r="A52" t="n">
        <v>51</v>
      </c>
      <c r="B52" s="15" t="n">
        <v>0</v>
      </c>
      <c r="C52" t="n">
        <v>12.61798051</v>
      </c>
      <c r="D52" t="n">
        <v>7.843394969</v>
      </c>
      <c r="E52" t="n">
        <v>0.720216487</v>
      </c>
      <c r="F52" t="n">
        <v>0</v>
      </c>
      <c r="G52" t="n">
        <v>0</v>
      </c>
      <c r="H52" t="n">
        <v>0.668764844</v>
      </c>
      <c r="I52" t="n">
        <v>0</v>
      </c>
      <c r="J52" s="15" t="n">
        <v>0</v>
      </c>
      <c r="K52" s="15" t="n">
        <v>0</v>
      </c>
      <c r="L52" s="15" t="n">
        <v>0</v>
      </c>
      <c r="M52" t="n">
        <v>0</v>
      </c>
      <c r="N52" t="n">
        <v>0</v>
      </c>
      <c r="O52" s="15" t="n">
        <v>0</v>
      </c>
      <c r="P52" t="n">
        <v>0.864259802</v>
      </c>
      <c r="Q52" t="n">
        <v>0.864259802</v>
      </c>
      <c r="R52" t="n">
        <v>0</v>
      </c>
      <c r="S52" t="n">
        <v>0</v>
      </c>
      <c r="T52" s="15" t="n">
        <v>0.008800000000000001</v>
      </c>
      <c r="U52" t="n">
        <v>17.15250215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0.9</v>
      </c>
      <c r="AB52" t="n">
        <v>99</v>
      </c>
      <c r="AC52" t="n">
        <v>0</v>
      </c>
      <c r="AD52" t="n">
        <v>1.369394778</v>
      </c>
      <c r="AE52" t="n">
        <v>207.3287237</v>
      </c>
      <c r="AF52" t="n">
        <v>208.6893204</v>
      </c>
      <c r="AG52" t="n">
        <v>132.309338</v>
      </c>
      <c r="AH52" t="n">
        <v>97.11358428</v>
      </c>
      <c r="AI52" t="n">
        <v>100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58.7952</v>
      </c>
      <c r="AS52" t="n">
        <v>81.19799999999999</v>
      </c>
      <c r="AT52" t="n">
        <v>177.2964</v>
      </c>
      <c r="AU52" t="n">
        <v>389.8692</v>
      </c>
      <c r="AV52" t="n">
        <v>0</v>
      </c>
    </row>
    <row r="53">
      <c r="A53" t="n">
        <v>52</v>
      </c>
      <c r="B53" t="n">
        <v>0</v>
      </c>
      <c r="C53" t="n">
        <v>14.54339497</v>
      </c>
      <c r="D53" t="n">
        <v>6.0047959</v>
      </c>
      <c r="E53" t="n">
        <v>1.017578819</v>
      </c>
      <c r="F53" t="n">
        <v>0</v>
      </c>
      <c r="G53" t="n">
        <v>0</v>
      </c>
      <c r="H53" t="n">
        <v>0.665429604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1.221094606</v>
      </c>
      <c r="Q53" t="n">
        <v>1.221094606</v>
      </c>
      <c r="R53" t="n">
        <v>0</v>
      </c>
      <c r="S53" t="n">
        <v>0</v>
      </c>
      <c r="T53" s="15" t="n">
        <v>0.00424</v>
      </c>
      <c r="U53" t="n">
        <v>15.92716782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0.9</v>
      </c>
      <c r="AB53" t="n">
        <v>99</v>
      </c>
      <c r="AC53" t="n">
        <v>0</v>
      </c>
      <c r="AD53" t="n">
        <v>1.271911353</v>
      </c>
      <c r="AE53" t="n">
        <v>206.0610521</v>
      </c>
      <c r="AF53" t="n">
        <v>207.3287237</v>
      </c>
      <c r="AG53" t="n">
        <v>132.5336958</v>
      </c>
      <c r="AH53" t="n">
        <v>97.27383986</v>
      </c>
      <c r="AI53" t="n">
        <v>100</v>
      </c>
      <c r="AJ53" t="n">
        <v>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58.7952</v>
      </c>
      <c r="AS53" t="n">
        <v>81.19799999999999</v>
      </c>
      <c r="AT53" t="n">
        <v>177.2964</v>
      </c>
      <c r="AU53" t="n">
        <v>389.8692</v>
      </c>
      <c r="AV53" t="n">
        <v>0</v>
      </c>
    </row>
    <row r="54">
      <c r="A54" t="n">
        <v>53</v>
      </c>
      <c r="B54" t="n">
        <v>0</v>
      </c>
      <c r="C54" t="n">
        <v>13.26124941</v>
      </c>
      <c r="D54" t="n">
        <v>3.445483024</v>
      </c>
      <c r="E54" t="n">
        <v>0.8901560549999999</v>
      </c>
      <c r="F54" t="n">
        <v>0</v>
      </c>
      <c r="G54" t="n">
        <v>0</v>
      </c>
      <c r="H54" t="n">
        <v>0.651156212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1.068187285</v>
      </c>
      <c r="Q54" t="n">
        <v>1.054714639</v>
      </c>
      <c r="R54" t="n">
        <v>0</v>
      </c>
      <c r="S54" t="n">
        <v>0</v>
      </c>
      <c r="T54" s="15" t="n">
        <v>0.00166</v>
      </c>
      <c r="U54" t="n">
        <v>14.87079527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0.9</v>
      </c>
      <c r="AB54" t="n">
        <v>99</v>
      </c>
      <c r="AC54" t="n">
        <v>0</v>
      </c>
      <c r="AD54" t="n">
        <v>1.186500724</v>
      </c>
      <c r="AE54" t="n">
        <v>204.8762093</v>
      </c>
      <c r="AF54" t="n">
        <v>206.0610521</v>
      </c>
      <c r="AG54" t="n">
        <v>133.4938509</v>
      </c>
      <c r="AH54" t="n">
        <v>97.95966491999999</v>
      </c>
      <c r="AI54" t="n">
        <v>100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58.7952</v>
      </c>
      <c r="AS54" t="n">
        <v>81.19799999999999</v>
      </c>
      <c r="AT54" t="n">
        <v>177.2964</v>
      </c>
      <c r="AU54" t="n">
        <v>389.8692</v>
      </c>
      <c r="AV54" t="n">
        <v>0</v>
      </c>
    </row>
    <row r="55">
      <c r="A55" t="n">
        <v>54</v>
      </c>
      <c r="B55" t="n">
        <v>0</v>
      </c>
      <c r="C55" t="n">
        <v>17.92798433</v>
      </c>
      <c r="D55" t="n">
        <v>2.609538224</v>
      </c>
      <c r="E55" t="n">
        <v>1.202521115</v>
      </c>
      <c r="F55" t="n">
        <v>0</v>
      </c>
      <c r="G55" t="n">
        <v>0</v>
      </c>
      <c r="H55" t="n">
        <v>0.657272505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1.443025361</v>
      </c>
      <c r="Q55" t="n">
        <v>1.289001994</v>
      </c>
      <c r="R55" t="n">
        <v>0</v>
      </c>
      <c r="S55" t="n">
        <v>0</v>
      </c>
      <c r="T55" s="15" t="n">
        <v>0.000602</v>
      </c>
      <c r="U55" t="n">
        <v>13.58119109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0.9</v>
      </c>
      <c r="AB55" t="n">
        <v>99</v>
      </c>
      <c r="AC55" t="n">
        <v>0</v>
      </c>
      <c r="AD55" t="n">
        <v>1.111186803</v>
      </c>
      <c r="AE55" t="n">
        <v>203.7656247</v>
      </c>
      <c r="AF55" t="n">
        <v>204.8762093</v>
      </c>
      <c r="AG55" t="n">
        <v>133.0824147</v>
      </c>
      <c r="AH55" t="n">
        <v>97.66578195</v>
      </c>
      <c r="AI55" t="n">
        <v>100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58.7952</v>
      </c>
      <c r="AS55" t="n">
        <v>81.19799999999999</v>
      </c>
      <c r="AT55" t="n">
        <v>177.2964</v>
      </c>
      <c r="AU55" t="n">
        <v>389.8692</v>
      </c>
      <c r="AV55" t="n">
        <v>0</v>
      </c>
    </row>
    <row r="56">
      <c r="A56" t="n">
        <v>55</v>
      </c>
      <c r="B56" t="n">
        <v>0</v>
      </c>
      <c r="C56" t="n">
        <v>21.11798051</v>
      </c>
      <c r="D56" t="n">
        <v>1.781553892</v>
      </c>
      <c r="E56" t="n">
        <v>1.620161429</v>
      </c>
      <c r="F56" t="n">
        <v>0</v>
      </c>
      <c r="G56" t="n">
        <v>0</v>
      </c>
      <c r="H56" t="n">
        <v>0.642278982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1.944193742</v>
      </c>
      <c r="Q56" t="n">
        <v>1.494826347</v>
      </c>
      <c r="R56" t="n">
        <v>0</v>
      </c>
      <c r="S56" t="n">
        <v>0</v>
      </c>
      <c r="T56" s="15" t="n">
        <v>0.000156</v>
      </c>
      <c r="U56" t="n">
        <v>12.08620901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0.9</v>
      </c>
      <c r="AB56" t="n">
        <v>99</v>
      </c>
      <c r="AC56" t="n">
        <v>0</v>
      </c>
      <c r="AD56" t="n">
        <v>1.044351149</v>
      </c>
      <c r="AE56" t="n">
        <v>202.7214292</v>
      </c>
      <c r="AF56" t="n">
        <v>203.7656247</v>
      </c>
      <c r="AG56" t="n">
        <v>134.0910122</v>
      </c>
      <c r="AH56" t="n">
        <v>98.38620872</v>
      </c>
      <c r="AI56" t="n">
        <v>100</v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58.7952</v>
      </c>
      <c r="AS56" t="n">
        <v>81.19799999999999</v>
      </c>
      <c r="AT56" t="n">
        <v>177.2964</v>
      </c>
      <c r="AU56" t="n">
        <v>389.8692</v>
      </c>
      <c r="AV56" t="n">
        <v>0</v>
      </c>
    </row>
    <row r="57">
      <c r="A57" t="n">
        <v>56</v>
      </c>
      <c r="B57" t="n">
        <v>0</v>
      </c>
      <c r="C57" t="n">
        <v>21.3460747</v>
      </c>
      <c r="D57" t="n">
        <v>2.430058839</v>
      </c>
      <c r="E57" t="n">
        <v>1.660791895</v>
      </c>
      <c r="F57" t="n">
        <v>0</v>
      </c>
      <c r="G57" t="n">
        <v>0</v>
      </c>
      <c r="H57" t="n">
        <v>0.622232248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1.992950298</v>
      </c>
      <c r="Q57" t="n">
        <v>1.286575265</v>
      </c>
      <c r="R57" t="n">
        <v>0</v>
      </c>
      <c r="S57" t="n">
        <v>0</v>
      </c>
      <c r="T57" s="15" t="n">
        <v>2.82e-05</v>
      </c>
      <c r="U57" t="n">
        <v>10.79960555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0.9</v>
      </c>
      <c r="AB57" t="n">
        <v>99</v>
      </c>
      <c r="AC57" t="n">
        <v>0</v>
      </c>
      <c r="AD57" t="n">
        <v>0.984683784</v>
      </c>
      <c r="AE57" t="n">
        <v>201.7367737</v>
      </c>
      <c r="AF57" t="n">
        <v>202.7214292</v>
      </c>
      <c r="AG57" t="n">
        <v>135.4395336</v>
      </c>
      <c r="AH57" t="n">
        <v>99.34943828999999</v>
      </c>
      <c r="AI57" t="n">
        <v>100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58.7952</v>
      </c>
      <c r="AS57" t="n">
        <v>81.19799999999999</v>
      </c>
      <c r="AT57" t="n">
        <v>177.2964</v>
      </c>
      <c r="AU57" t="n">
        <v>389.8692</v>
      </c>
      <c r="AV57" t="n">
        <v>0</v>
      </c>
    </row>
    <row r="58">
      <c r="A58" t="n">
        <v>57</v>
      </c>
      <c r="B58" t="n">
        <v>0</v>
      </c>
      <c r="C58" t="n">
        <v>20.8640552</v>
      </c>
      <c r="D58" t="n">
        <v>2.966003638</v>
      </c>
      <c r="E58" t="n">
        <v>1.744303832</v>
      </c>
      <c r="F58" t="n">
        <v>0</v>
      </c>
      <c r="G58" t="n">
        <v>0</v>
      </c>
      <c r="H58" t="n">
        <v>0.620281985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2.093164619</v>
      </c>
      <c r="Q58" t="n">
        <v>1.127172324</v>
      </c>
      <c r="R58" t="n">
        <v>0</v>
      </c>
      <c r="S58" t="n">
        <v>0</v>
      </c>
      <c r="T58" s="15" t="n">
        <v>4.71e-06</v>
      </c>
      <c r="U58" t="n">
        <v>9.672428507999999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0.9</v>
      </c>
      <c r="AB58" t="n">
        <v>99</v>
      </c>
      <c r="AC58" t="n">
        <v>0</v>
      </c>
      <c r="AD58" t="n">
        <v>0.931118695</v>
      </c>
      <c r="AE58" t="n">
        <v>200.8056597</v>
      </c>
      <c r="AF58" t="n">
        <v>201.7367737</v>
      </c>
      <c r="AG58" t="n">
        <v>135.5707256</v>
      </c>
      <c r="AH58" t="n">
        <v>99.44314683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58.7952</v>
      </c>
      <c r="AS58" t="n">
        <v>81.19799999999999</v>
      </c>
      <c r="AT58" t="n">
        <v>177.2964</v>
      </c>
      <c r="AU58" t="n">
        <v>389.8692</v>
      </c>
      <c r="AV58" t="n">
        <v>0</v>
      </c>
    </row>
    <row r="59">
      <c r="A59" t="n">
        <v>58</v>
      </c>
      <c r="B59" t="n">
        <v>0</v>
      </c>
      <c r="C59" t="n">
        <v>19.43875059</v>
      </c>
      <c r="D59" t="n">
        <v>4.502214123</v>
      </c>
      <c r="E59" t="n">
        <v>1.968011569</v>
      </c>
      <c r="F59" t="n">
        <v>0</v>
      </c>
      <c r="G59" t="n">
        <v>0</v>
      </c>
      <c r="H59" t="n">
        <v>0.616273413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2.361613898</v>
      </c>
      <c r="Q59" t="n">
        <v>1.043874372</v>
      </c>
      <c r="R59" t="n">
        <v>0</v>
      </c>
      <c r="S59" t="n">
        <v>0</v>
      </c>
      <c r="T59" s="15" t="n">
        <v>6.76e-07</v>
      </c>
      <c r="U59" t="n">
        <v>8.628553459999999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0.9</v>
      </c>
      <c r="AB59" t="n">
        <v>99</v>
      </c>
      <c r="AC59" t="n">
        <v>0</v>
      </c>
      <c r="AD59" t="n">
        <v>0.882783362</v>
      </c>
      <c r="AE59" t="n">
        <v>199.922877</v>
      </c>
      <c r="AF59" t="n">
        <v>200.8056597</v>
      </c>
      <c r="AG59" t="n">
        <v>135.8403778</v>
      </c>
      <c r="AH59" t="n">
        <v>99.63575554000001</v>
      </c>
      <c r="AI59" t="n">
        <v>100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58.7952</v>
      </c>
      <c r="AS59" t="n">
        <v>81.19799999999999</v>
      </c>
      <c r="AT59" t="n">
        <v>177.2964</v>
      </c>
      <c r="AU59" t="n">
        <v>389.8692</v>
      </c>
      <c r="AV59" t="n">
        <v>0</v>
      </c>
    </row>
    <row r="60">
      <c r="A60" t="n">
        <v>59</v>
      </c>
      <c r="B60" t="n">
        <v>0</v>
      </c>
      <c r="C60" t="n">
        <v>14.27454387</v>
      </c>
      <c r="D60" t="n">
        <v>2.755999811</v>
      </c>
      <c r="E60" t="n">
        <v>1.818195028</v>
      </c>
      <c r="F60" t="n">
        <v>0</v>
      </c>
      <c r="G60" t="n">
        <v>0</v>
      </c>
      <c r="H60" t="n">
        <v>0.605535442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2.181834041</v>
      </c>
      <c r="Q60" t="n">
        <v>0.788054089</v>
      </c>
      <c r="R60" t="n">
        <v>0</v>
      </c>
      <c r="S60" t="n">
        <v>0</v>
      </c>
      <c r="T60" s="15" t="n">
        <v>7.689999999999999e-08</v>
      </c>
      <c r="U60" t="n">
        <v>7.840499293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0.9</v>
      </c>
      <c r="AB60" t="n">
        <v>99</v>
      </c>
      <c r="AC60" t="n">
        <v>0</v>
      </c>
      <c r="AD60" t="n">
        <v>0.83896109</v>
      </c>
      <c r="AE60" t="n">
        <v>199.083916</v>
      </c>
      <c r="AF60" t="n">
        <v>199.922877</v>
      </c>
      <c r="AG60" t="n">
        <v>136.562709</v>
      </c>
      <c r="AH60" t="n">
        <v>100.1517065</v>
      </c>
      <c r="AI60" t="n">
        <v>100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58.7952</v>
      </c>
      <c r="AS60" t="n">
        <v>81.19799999999999</v>
      </c>
      <c r="AT60" t="n">
        <v>177.2964</v>
      </c>
      <c r="AU60" t="n">
        <v>389.8692</v>
      </c>
      <c r="AV60" t="n">
        <v>0</v>
      </c>
    </row>
    <row r="61">
      <c r="A61" t="n">
        <v>60</v>
      </c>
      <c r="B61" t="n">
        <v>0</v>
      </c>
      <c r="C61" t="n">
        <v>17.17454387</v>
      </c>
      <c r="D61" t="n">
        <v>0.166003638</v>
      </c>
      <c r="E61" t="n">
        <v>1.794461757</v>
      </c>
      <c r="F61" t="n">
        <v>0</v>
      </c>
      <c r="G61" t="n">
        <v>0</v>
      </c>
      <c r="H61" t="n">
        <v>0.612726636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2.153354107</v>
      </c>
      <c r="Q61" t="n">
        <v>0.641583983</v>
      </c>
      <c r="R61" t="n">
        <v>0</v>
      </c>
      <c r="S61" t="n">
        <v>0</v>
      </c>
      <c r="T61" s="15" t="n">
        <v>9.4e-09</v>
      </c>
      <c r="U61" t="n">
        <v>7.198915301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0.9</v>
      </c>
      <c r="AB61" t="n">
        <v>99</v>
      </c>
      <c r="AC61" t="n">
        <v>0</v>
      </c>
      <c r="AD61" t="n">
        <v>0.799059039</v>
      </c>
      <c r="AE61" t="n">
        <v>198.284857</v>
      </c>
      <c r="AF61" t="n">
        <v>199.083916</v>
      </c>
      <c r="AG61" t="n">
        <v>136.0789655</v>
      </c>
      <c r="AH61" t="n">
        <v>99.80617533</v>
      </c>
      <c r="AI61" t="n">
        <v>100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58.7952</v>
      </c>
      <c r="AS61" t="n">
        <v>81.19799999999999</v>
      </c>
      <c r="AT61" t="n">
        <v>177.2964</v>
      </c>
      <c r="AU61" t="n">
        <v>389.8692</v>
      </c>
      <c r="AV61" t="n">
        <v>0</v>
      </c>
    </row>
    <row r="62">
      <c r="A62" t="n">
        <v>61</v>
      </c>
      <c r="B62" t="n">
        <v>0</v>
      </c>
      <c r="C62" t="n">
        <v>17.17454387</v>
      </c>
      <c r="D62" t="n">
        <v>-0.151809131</v>
      </c>
      <c r="E62" t="n">
        <v>1.761349082</v>
      </c>
      <c r="F62" t="n">
        <v>0</v>
      </c>
      <c r="G62" t="n">
        <v>0</v>
      </c>
      <c r="H62" t="n">
        <v>0.613865833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2.113618888</v>
      </c>
      <c r="Q62" t="n">
        <v>0.520978096</v>
      </c>
      <c r="R62" t="n">
        <v>0</v>
      </c>
      <c r="S62" t="n">
        <v>0</v>
      </c>
      <c r="T62" s="15" t="n">
        <v>1.08e-09</v>
      </c>
      <c r="U62" t="n">
        <v>6.677937204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0.9</v>
      </c>
      <c r="AB62" t="n">
        <v>99</v>
      </c>
      <c r="AC62" t="n">
        <v>0</v>
      </c>
      <c r="AD62" t="n">
        <v>0.762582923</v>
      </c>
      <c r="AE62" t="n">
        <v>197.522274</v>
      </c>
      <c r="AF62" t="n">
        <v>198.284857</v>
      </c>
      <c r="AG62" t="n">
        <v>136.0023329</v>
      </c>
      <c r="AH62" t="n">
        <v>99.75143781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58.7952</v>
      </c>
      <c r="AS62" t="n">
        <v>81.19799999999999</v>
      </c>
      <c r="AT62" t="n">
        <v>177.2964</v>
      </c>
      <c r="AU62" t="n">
        <v>389.8692</v>
      </c>
      <c r="AV62" t="n">
        <v>0</v>
      </c>
    </row>
    <row r="63">
      <c r="A63" t="n">
        <v>62</v>
      </c>
      <c r="B63" s="15" t="n">
        <v>0</v>
      </c>
      <c r="C63" t="n">
        <v>15.2460747</v>
      </c>
      <c r="D63" t="n">
        <v>2.466003638</v>
      </c>
      <c r="E63" t="n">
        <v>1.391869333</v>
      </c>
      <c r="F63" t="n">
        <v>0</v>
      </c>
      <c r="G63" t="n">
        <v>0</v>
      </c>
      <c r="H63" t="n">
        <v>0.615455242</v>
      </c>
      <c r="I63" t="n">
        <v>0</v>
      </c>
      <c r="J63" s="15" t="n">
        <v>0</v>
      </c>
      <c r="K63" s="15" t="n">
        <v>0</v>
      </c>
      <c r="L63" s="15" t="n">
        <v>0</v>
      </c>
      <c r="M63" t="n">
        <v>0</v>
      </c>
      <c r="N63" t="n">
        <v>0</v>
      </c>
      <c r="O63" s="15" t="n">
        <v>0</v>
      </c>
      <c r="P63" t="n">
        <v>1.670243182</v>
      </c>
      <c r="Q63" t="n">
        <v>0.347782153</v>
      </c>
      <c r="R63" t="n">
        <v>0</v>
      </c>
      <c r="S63" t="n">
        <v>0</v>
      </c>
      <c r="T63" s="15" t="n">
        <v>1.24e-10</v>
      </c>
      <c r="U63" t="n">
        <v>6.330155051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0.9</v>
      </c>
      <c r="AB63" t="n">
        <v>99</v>
      </c>
      <c r="AC63" t="n">
        <v>0</v>
      </c>
      <c r="AD63" t="n">
        <v>0.72911748</v>
      </c>
      <c r="AE63" t="n">
        <v>196.7931566</v>
      </c>
      <c r="AF63" t="n">
        <v>197.522274</v>
      </c>
      <c r="AG63" t="n">
        <v>135.8954152</v>
      </c>
      <c r="AH63" t="n">
        <v>99.67506799</v>
      </c>
      <c r="AI63" t="n">
        <v>100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58.7952</v>
      </c>
      <c r="AS63" t="n">
        <v>81.19799999999999</v>
      </c>
      <c r="AT63" t="n">
        <v>177.2964</v>
      </c>
      <c r="AU63" t="n">
        <v>389.8692</v>
      </c>
      <c r="AV63" t="n">
        <v>0</v>
      </c>
    </row>
    <row r="64">
      <c r="A64" t="n">
        <v>63</v>
      </c>
      <c r="B64" t="n">
        <v>0</v>
      </c>
      <c r="C64" t="n">
        <v>15.22798433</v>
      </c>
      <c r="D64" t="n">
        <v>0.527530637</v>
      </c>
      <c r="E64" t="n">
        <v>1.461036009</v>
      </c>
      <c r="F64" t="n">
        <v>0</v>
      </c>
      <c r="G64" t="n">
        <v>0</v>
      </c>
      <c r="H64" t="n">
        <v>0.6331902700000001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1.753243182</v>
      </c>
      <c r="Q64" t="n">
        <v>0.31359824</v>
      </c>
      <c r="R64" t="n">
        <v>0</v>
      </c>
      <c r="S64" t="n">
        <v>0</v>
      </c>
      <c r="T64" s="15" t="n">
        <v>1.85e-11</v>
      </c>
      <c r="U64" t="n">
        <v>6.016556811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0.9</v>
      </c>
      <c r="AB64" t="n">
        <v>99</v>
      </c>
      <c r="AC64" t="n">
        <v>0</v>
      </c>
      <c r="AD64" t="n">
        <v>0.698311378</v>
      </c>
      <c r="AE64" t="n">
        <v>196.0948452</v>
      </c>
      <c r="AF64" t="n">
        <v>196.7931566</v>
      </c>
      <c r="AG64" t="n">
        <v>134.7023997</v>
      </c>
      <c r="AH64" t="n">
        <v>98.82291409</v>
      </c>
      <c r="AI64" t="n">
        <v>100</v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0</v>
      </c>
      <c r="AR64" t="n">
        <v>58.7952</v>
      </c>
      <c r="AS64" t="n">
        <v>81.19799999999999</v>
      </c>
      <c r="AT64" t="n">
        <v>177.2964</v>
      </c>
      <c r="AU64" t="n">
        <v>389.8692</v>
      </c>
      <c r="AV64" t="n">
        <v>0</v>
      </c>
    </row>
    <row r="65">
      <c r="A65" t="n">
        <v>64</v>
      </c>
      <c r="B65" s="15" t="n">
        <v>0</v>
      </c>
      <c r="C65" t="n">
        <v>17.5640552</v>
      </c>
      <c r="D65" t="n">
        <v>5.872015667</v>
      </c>
      <c r="E65" t="n">
        <v>1.908526965</v>
      </c>
      <c r="F65" t="n">
        <v>0</v>
      </c>
      <c r="G65" t="n">
        <v>0</v>
      </c>
      <c r="H65" t="n">
        <v>0.62987027</v>
      </c>
      <c r="I65" t="n">
        <v>0</v>
      </c>
      <c r="J65" s="15" t="n">
        <v>0</v>
      </c>
      <c r="K65" s="15" t="n">
        <v>0</v>
      </c>
      <c r="L65" s="15" t="n">
        <v>0</v>
      </c>
      <c r="M65" t="n">
        <v>0</v>
      </c>
      <c r="N65" t="n">
        <v>0</v>
      </c>
      <c r="O65" s="15" t="n">
        <v>0</v>
      </c>
      <c r="P65" t="n">
        <v>2.290232305</v>
      </c>
      <c r="Q65" t="n">
        <v>0.342571347</v>
      </c>
      <c r="R65" t="n">
        <v>0</v>
      </c>
      <c r="S65" t="n">
        <v>0</v>
      </c>
      <c r="T65" s="15" t="n">
        <v>2.04e-12</v>
      </c>
      <c r="U65" t="n">
        <v>5.673985463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0.9</v>
      </c>
      <c r="AB65" t="n">
        <v>99</v>
      </c>
      <c r="AC65" t="n">
        <v>0</v>
      </c>
      <c r="AD65" t="n">
        <v>0.669865424</v>
      </c>
      <c r="AE65" t="n">
        <v>195.4249797</v>
      </c>
      <c r="AF65" t="n">
        <v>196.0948452</v>
      </c>
      <c r="AG65" t="n">
        <v>134.9257324</v>
      </c>
      <c r="AH65" t="n">
        <v>98.98243743</v>
      </c>
      <c r="AI65" t="n">
        <v>100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58.7952</v>
      </c>
      <c r="AS65" t="n">
        <v>81.19799999999999</v>
      </c>
      <c r="AT65" t="n">
        <v>177.2964</v>
      </c>
      <c r="AU65" t="n">
        <v>389.8692</v>
      </c>
      <c r="AV65" t="n">
        <v>0</v>
      </c>
    </row>
    <row r="66">
      <c r="A66" t="n">
        <v>65</v>
      </c>
      <c r="B66" t="n">
        <v>0</v>
      </c>
      <c r="C66" t="n">
        <v>10.1460747</v>
      </c>
      <c r="D66" s="15" t="n">
        <v>3.3047959</v>
      </c>
      <c r="E66" t="n">
        <v>1.408604662</v>
      </c>
      <c r="F66" t="n">
        <v>0</v>
      </c>
      <c r="G66" t="n">
        <v>0</v>
      </c>
      <c r="H66" t="n">
        <v>0.608390705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1.690325542</v>
      </c>
      <c r="Q66" t="n">
        <v>0.211807579</v>
      </c>
      <c r="R66" t="n">
        <v>0</v>
      </c>
      <c r="S66" t="n">
        <v>0</v>
      </c>
      <c r="T66" s="15" t="n">
        <v>1.06e-13</v>
      </c>
      <c r="U66" t="n">
        <v>5.462177884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0.9</v>
      </c>
      <c r="AB66" t="n">
        <v>99</v>
      </c>
      <c r="AC66" t="n">
        <v>0</v>
      </c>
      <c r="AD66" t="n">
        <v>0.64352329</v>
      </c>
      <c r="AE66" t="n">
        <v>194.7814565</v>
      </c>
      <c r="AF66" t="n">
        <v>195.4249797</v>
      </c>
      <c r="AG66" t="n">
        <v>136.3706386</v>
      </c>
      <c r="AH66" t="n">
        <v>100.0145133</v>
      </c>
      <c r="AI66" t="n">
        <v>100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58.7952</v>
      </c>
      <c r="AS66" t="n">
        <v>81.19799999999999</v>
      </c>
      <c r="AT66" t="n">
        <v>177.2964</v>
      </c>
      <c r="AU66" t="n">
        <v>389.8692</v>
      </c>
      <c r="AV66" t="n">
        <v>0</v>
      </c>
    </row>
    <row r="67">
      <c r="A67" t="n">
        <v>66</v>
      </c>
      <c r="B67" t="n">
        <v>0</v>
      </c>
      <c r="C67" t="n">
        <v>13.05660503</v>
      </c>
      <c r="D67" t="n">
        <v>-1.523339958</v>
      </c>
      <c r="E67" t="n">
        <v>1.60509577</v>
      </c>
      <c r="F67" t="n">
        <v>0</v>
      </c>
      <c r="G67" t="n">
        <v>0</v>
      </c>
      <c r="H67" t="n">
        <v>0.632386975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1.926114847</v>
      </c>
      <c r="Q67" t="n">
        <v>0.205596823</v>
      </c>
      <c r="R67" t="n">
        <v>0</v>
      </c>
      <c r="S67" t="n">
        <v>0</v>
      </c>
      <c r="T67" s="15" t="n">
        <v>7.790000000000001e-15</v>
      </c>
      <c r="U67" t="n">
        <v>5.256581061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0.9</v>
      </c>
      <c r="AB67" t="n">
        <v>99</v>
      </c>
      <c r="AC67" t="n">
        <v>0</v>
      </c>
      <c r="AD67" t="n">
        <v>0.619064143</v>
      </c>
      <c r="AE67" t="n">
        <v>194.1623923</v>
      </c>
      <c r="AF67" t="n">
        <v>194.7814565</v>
      </c>
      <c r="AG67" t="n">
        <v>134.7564364</v>
      </c>
      <c r="AH67" t="n">
        <v>98.86151174</v>
      </c>
      <c r="AI67" t="n">
        <v>100</v>
      </c>
      <c r="AJ67" t="n">
        <v>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58.7952</v>
      </c>
      <c r="AS67" t="n">
        <v>81.19799999999999</v>
      </c>
      <c r="AT67" t="n">
        <v>177.2964</v>
      </c>
      <c r="AU67" t="n">
        <v>389.8692</v>
      </c>
      <c r="AV67" t="n">
        <v>0</v>
      </c>
    </row>
    <row r="68">
      <c r="A68" t="n">
        <v>67</v>
      </c>
      <c r="B68" t="n">
        <v>0</v>
      </c>
      <c r="C68" t="n">
        <v>13.73875059</v>
      </c>
      <c r="D68" t="n">
        <v>-0.961841078</v>
      </c>
      <c r="E68" t="n">
        <v>1.6814233</v>
      </c>
      <c r="F68" t="n">
        <v>0</v>
      </c>
      <c r="G68" t="n">
        <v>0</v>
      </c>
      <c r="H68" t="n">
        <v>0.622955403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2.017707858</v>
      </c>
      <c r="Q68" t="n">
        <v>0.180768241</v>
      </c>
      <c r="R68" t="n">
        <v>0</v>
      </c>
      <c r="S68" t="n">
        <v>0</v>
      </c>
      <c r="T68" s="15" t="n">
        <v>2.44e-16</v>
      </c>
      <c r="U68" t="n">
        <v>5.07581282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0.9</v>
      </c>
      <c r="AB68" t="n">
        <v>99</v>
      </c>
      <c r="AC68" t="n">
        <v>0</v>
      </c>
      <c r="AD68" t="n">
        <v>0.596296733</v>
      </c>
      <c r="AE68" t="n">
        <v>193.5660956</v>
      </c>
      <c r="AF68" t="n">
        <v>194.1623923</v>
      </c>
      <c r="AG68" t="n">
        <v>135.3908877</v>
      </c>
      <c r="AH68" t="n">
        <v>99.31469122999999</v>
      </c>
      <c r="AI68" t="n">
        <v>100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58.7952</v>
      </c>
      <c r="AS68" t="n">
        <v>81.19799999999999</v>
      </c>
      <c r="AT68" t="n">
        <v>177.2964</v>
      </c>
      <c r="AU68" t="n">
        <v>389.8692</v>
      </c>
      <c r="AV68" t="n">
        <v>0</v>
      </c>
    </row>
    <row r="69">
      <c r="A69" t="n">
        <v>68</v>
      </c>
      <c r="B69" t="n">
        <v>0</v>
      </c>
      <c r="C69" t="n">
        <v>14.80267973</v>
      </c>
      <c r="D69" s="15" t="n">
        <v>0.0735</v>
      </c>
      <c r="E69" t="n">
        <v>1.842191089</v>
      </c>
      <c r="F69" t="n">
        <v>0</v>
      </c>
      <c r="G69" t="n">
        <v>0</v>
      </c>
      <c r="H69" t="n">
        <v>0.619291683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2.210629169</v>
      </c>
      <c r="Q69" t="n">
        <v>0.16417212</v>
      </c>
      <c r="R69" t="n">
        <v>0</v>
      </c>
      <c r="S69" t="n">
        <v>0</v>
      </c>
      <c r="T69" s="15" t="n">
        <v>2.22e-18</v>
      </c>
      <c r="U69" t="n">
        <v>4.911640699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0.9</v>
      </c>
      <c r="AB69" t="n">
        <v>99</v>
      </c>
      <c r="AC69" t="n">
        <v>0</v>
      </c>
      <c r="AD69" t="n">
        <v>0.575054631</v>
      </c>
      <c r="AE69" t="n">
        <v>192.991041</v>
      </c>
      <c r="AF69" t="n">
        <v>193.5660956</v>
      </c>
      <c r="AG69" t="n">
        <v>135.6373421</v>
      </c>
      <c r="AH69" t="n">
        <v>99.49073006</v>
      </c>
      <c r="AI69" t="n">
        <v>100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58.7952</v>
      </c>
      <c r="AS69" t="n">
        <v>81.19799999999999</v>
      </c>
      <c r="AT69" t="n">
        <v>177.2964</v>
      </c>
      <c r="AU69" t="n">
        <v>389.8692</v>
      </c>
      <c r="AV69" t="n">
        <v>0</v>
      </c>
    </row>
    <row r="70">
      <c r="A70" t="n">
        <v>69</v>
      </c>
      <c r="B70" t="n">
        <v>0</v>
      </c>
      <c r="C70" t="n">
        <v>15.55660503</v>
      </c>
      <c r="D70" t="n">
        <v>1.158679537</v>
      </c>
      <c r="E70" t="n">
        <v>1.93704818</v>
      </c>
      <c r="F70" t="n">
        <v>0</v>
      </c>
      <c r="G70" t="n">
        <v>0</v>
      </c>
      <c r="H70" t="n">
        <v>0.611574831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2.32445764</v>
      </c>
      <c r="Q70" t="n">
        <v>0.141133745</v>
      </c>
      <c r="R70" t="n">
        <v>0</v>
      </c>
      <c r="S70" t="n">
        <v>0</v>
      </c>
      <c r="T70" s="15" t="n">
        <v>4.54e-22</v>
      </c>
      <c r="U70" t="n">
        <v>4.770506954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0.9</v>
      </c>
      <c r="AB70" t="n">
        <v>99</v>
      </c>
      <c r="AC70" t="n">
        <v>0</v>
      </c>
      <c r="AD70" t="n">
        <v>0.5551923479999999</v>
      </c>
      <c r="AE70" t="n">
        <v>192.4358486</v>
      </c>
      <c r="AF70" t="n">
        <v>192.991041</v>
      </c>
      <c r="AG70" t="n">
        <v>136.1564461</v>
      </c>
      <c r="AH70" t="n">
        <v>99.86151864</v>
      </c>
      <c r="AI70" t="n">
        <v>100</v>
      </c>
      <c r="AJ70" t="n">
        <v>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58.7952</v>
      </c>
      <c r="AS70" t="n">
        <v>81.19799999999999</v>
      </c>
      <c r="AT70" t="n">
        <v>177.2964</v>
      </c>
      <c r="AU70" t="n">
        <v>389.8692</v>
      </c>
      <c r="AV70" t="n">
        <v>0</v>
      </c>
    </row>
    <row r="71">
      <c r="A71" t="n">
        <v>70</v>
      </c>
      <c r="B71" t="n">
        <v>0</v>
      </c>
      <c r="C71" t="n">
        <v>12.11798051</v>
      </c>
      <c r="D71" t="n">
        <v>1.738158922</v>
      </c>
      <c r="E71" t="n">
        <v>1.152892668</v>
      </c>
      <c r="F71" t="n">
        <v>0</v>
      </c>
      <c r="G71" t="n">
        <v>0</v>
      </c>
      <c r="H71" t="n">
        <v>0.607021692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1.383471076</v>
      </c>
      <c r="Q71" s="15" t="n">
        <v>0.0713</v>
      </c>
      <c r="R71" t="n">
        <v>0</v>
      </c>
      <c r="S71" t="n">
        <v>0</v>
      </c>
      <c r="T71" s="15" t="n">
        <v>0</v>
      </c>
      <c r="U71" t="n">
        <v>4.699192129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0.9</v>
      </c>
      <c r="AB71" t="n">
        <v>99</v>
      </c>
      <c r="AC71" t="n">
        <v>0</v>
      </c>
      <c r="AD71" t="n">
        <v>0.536582158</v>
      </c>
      <c r="AE71" t="n">
        <v>191.8992664</v>
      </c>
      <c r="AF71" t="n">
        <v>192.4358486</v>
      </c>
      <c r="AG71" t="n">
        <v>136.4627306</v>
      </c>
      <c r="AH71" t="n">
        <v>100.0802933</v>
      </c>
      <c r="AI71" t="n">
        <v>100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58.7952</v>
      </c>
      <c r="AS71" t="n">
        <v>81.19799999999999</v>
      </c>
      <c r="AT71" t="n">
        <v>177.2964</v>
      </c>
      <c r="AU71" t="n">
        <v>389.8692</v>
      </c>
      <c r="AV71" t="n">
        <v>0</v>
      </c>
    </row>
    <row r="72">
      <c r="A72" t="n">
        <v>71</v>
      </c>
      <c r="B72" t="n">
        <v>0</v>
      </c>
      <c r="C72" t="n">
        <v>17.57201567</v>
      </c>
      <c r="D72" t="n">
        <v>4.28666387</v>
      </c>
      <c r="E72" t="n">
        <v>1.889396206</v>
      </c>
      <c r="F72" t="n">
        <v>0</v>
      </c>
      <c r="G72" t="n">
        <v>0</v>
      </c>
      <c r="H72" t="n">
        <v>0.644661154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2.2672752</v>
      </c>
      <c r="Q72" s="15" t="n">
        <v>0.0993</v>
      </c>
      <c r="R72" t="n">
        <v>0</v>
      </c>
      <c r="S72" t="n">
        <v>0</v>
      </c>
      <c r="T72" s="15" t="n">
        <v>0</v>
      </c>
      <c r="U72" t="n">
        <v>4.599900245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0.9</v>
      </c>
      <c r="AB72" t="n">
        <v>99</v>
      </c>
      <c r="AC72" t="n">
        <v>0</v>
      </c>
      <c r="AD72" t="n">
        <v>0.519111484</v>
      </c>
      <c r="AE72" t="n">
        <v>191.380155</v>
      </c>
      <c r="AF72" t="n">
        <v>191.8992664</v>
      </c>
      <c r="AG72" t="n">
        <v>133.9307662</v>
      </c>
      <c r="AH72" t="n">
        <v>98.27174728999999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58.7952</v>
      </c>
      <c r="AS72" t="n">
        <v>81.19799999999999</v>
      </c>
      <c r="AT72" t="n">
        <v>177.2964</v>
      </c>
      <c r="AU72" t="n">
        <v>389.8692</v>
      </c>
      <c r="AV72" t="n">
        <v>0</v>
      </c>
    </row>
    <row r="73">
      <c r="A73" t="n">
        <v>72</v>
      </c>
      <c r="B73" t="n">
        <v>0</v>
      </c>
      <c r="C73" t="n">
        <v>17.30267973</v>
      </c>
      <c r="D73" t="n">
        <v>1.29145977</v>
      </c>
      <c r="E73" t="n">
        <v>2.100624206</v>
      </c>
      <c r="F73" t="n">
        <v>0</v>
      </c>
      <c r="G73" t="n">
        <v>0</v>
      </c>
      <c r="H73" t="n">
        <v>0.6093089900000001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2.520748723</v>
      </c>
      <c r="Q73" s="15" t="n">
        <v>0.0893</v>
      </c>
      <c r="R73" t="n">
        <v>0</v>
      </c>
      <c r="S73" t="n">
        <v>0</v>
      </c>
      <c r="T73" s="15" t="n">
        <v>0</v>
      </c>
      <c r="U73" t="n">
        <v>4.510640334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0.9</v>
      </c>
      <c r="AB73" t="n">
        <v>99</v>
      </c>
      <c r="AC73" t="n">
        <v>0</v>
      </c>
      <c r="AD73" t="n">
        <v>0.502680729</v>
      </c>
      <c r="AE73" t="n">
        <v>190.8774742</v>
      </c>
      <c r="AF73" t="n">
        <v>191.380155</v>
      </c>
      <c r="AG73" t="n">
        <v>136.3088667</v>
      </c>
      <c r="AH73" t="n">
        <v>99.97039049999999</v>
      </c>
      <c r="AI73" t="n">
        <v>100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58.7952</v>
      </c>
      <c r="AS73" t="n">
        <v>81.19799999999999</v>
      </c>
      <c r="AT73" t="n">
        <v>177.2964</v>
      </c>
      <c r="AU73" t="n">
        <v>389.8692</v>
      </c>
      <c r="AV73" t="n">
        <v>0</v>
      </c>
    </row>
    <row r="74">
      <c r="A74" t="n">
        <v>73</v>
      </c>
      <c r="B74" t="n">
        <v>0</v>
      </c>
      <c r="C74" t="n">
        <v>16.24928093</v>
      </c>
      <c r="D74" t="n">
        <v>1.845483024</v>
      </c>
      <c r="E74" t="n">
        <v>3.410065264</v>
      </c>
      <c r="F74" t="n">
        <v>0</v>
      </c>
      <c r="G74" t="n">
        <v>0</v>
      </c>
      <c r="H74" t="n">
        <v>0.599170049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4.0920777</v>
      </c>
      <c r="Q74" t="n">
        <v>0.10822684</v>
      </c>
      <c r="R74" t="n">
        <v>0</v>
      </c>
      <c r="S74" t="n">
        <v>0</v>
      </c>
      <c r="T74" s="15" t="n">
        <v>0</v>
      </c>
      <c r="U74" t="n">
        <v>4.402413494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0.9</v>
      </c>
      <c r="AB74" t="n">
        <v>99</v>
      </c>
      <c r="AC74" t="n">
        <v>0</v>
      </c>
      <c r="AD74" t="n">
        <v>0.487201465</v>
      </c>
      <c r="AE74" t="n">
        <v>190.3902728</v>
      </c>
      <c r="AF74" t="n">
        <v>190.8774742</v>
      </c>
      <c r="AG74" t="n">
        <v>136.9909019</v>
      </c>
      <c r="AH74" t="n">
        <v>100.4575585</v>
      </c>
      <c r="AI74" t="n">
        <v>100</v>
      </c>
      <c r="AJ74" t="n">
        <v>0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58.7952</v>
      </c>
      <c r="AS74" t="n">
        <v>81.19799999999999</v>
      </c>
      <c r="AT74" t="n">
        <v>177.2964</v>
      </c>
      <c r="AU74" t="n">
        <v>389.8692</v>
      </c>
      <c r="AV74" t="n">
        <v>0</v>
      </c>
    </row>
    <row r="75">
      <c r="A75" t="n">
        <v>74</v>
      </c>
      <c r="B75" t="n">
        <v>0</v>
      </c>
      <c r="C75" t="n">
        <v>17.23875059</v>
      </c>
      <c r="D75" t="n">
        <v>-1.254516976</v>
      </c>
      <c r="E75" t="n">
        <v>3.265928215</v>
      </c>
      <c r="F75" t="n">
        <v>0</v>
      </c>
      <c r="G75" t="n">
        <v>0</v>
      </c>
      <c r="H75" t="n">
        <v>0.536316891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3.919113167</v>
      </c>
      <c r="Q75" s="15" t="n">
        <v>0.0726</v>
      </c>
      <c r="R75" t="n">
        <v>0</v>
      </c>
      <c r="S75" t="n">
        <v>0</v>
      </c>
      <c r="T75" s="15" t="n">
        <v>0</v>
      </c>
      <c r="U75" t="n">
        <v>4.329819865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0.9</v>
      </c>
      <c r="AB75" t="n">
        <v>99</v>
      </c>
      <c r="AC75" t="n">
        <v>0</v>
      </c>
      <c r="AD75" t="n">
        <v>0.472594923</v>
      </c>
      <c r="AE75" t="n">
        <v>189.9176778</v>
      </c>
      <c r="AF75" t="n">
        <v>190.3902728</v>
      </c>
      <c r="AG75" t="n">
        <v>141.2189634</v>
      </c>
      <c r="AH75" t="n">
        <v>103.4776024</v>
      </c>
      <c r="AI75" t="n">
        <v>100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n">
        <v>58.7952</v>
      </c>
      <c r="AS75" t="n">
        <v>81.19799999999999</v>
      </c>
      <c r="AT75" t="n">
        <v>177.2964</v>
      </c>
      <c r="AU75" t="n">
        <v>389.8692</v>
      </c>
      <c r="AV75" t="n">
        <v>0</v>
      </c>
    </row>
    <row r="76">
      <c r="A76" t="n">
        <v>75</v>
      </c>
      <c r="B76" t="n">
        <v>0</v>
      </c>
      <c r="C76" t="n">
        <v>16.84132046</v>
      </c>
      <c r="D76" t="n">
        <v>7.197320274</v>
      </c>
      <c r="E76" t="n">
        <v>4.968725229</v>
      </c>
      <c r="F76" t="n">
        <v>0</v>
      </c>
      <c r="G76" t="n">
        <v>0</v>
      </c>
      <c r="H76" t="n">
        <v>0.543235472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5.962469054</v>
      </c>
      <c r="Q76" s="15" t="n">
        <v>0.0716</v>
      </c>
      <c r="R76" t="n">
        <v>0</v>
      </c>
      <c r="S76" t="n">
        <v>0</v>
      </c>
      <c r="T76" s="15" t="n">
        <v>0</v>
      </c>
      <c r="U76" t="n">
        <v>4.258203588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0.9</v>
      </c>
      <c r="AB76" t="n">
        <v>99</v>
      </c>
      <c r="AC76" t="n">
        <v>0</v>
      </c>
      <c r="AD76" t="n">
        <v>0.458790711</v>
      </c>
      <c r="AE76" t="n">
        <v>189.4588871</v>
      </c>
      <c r="AF76" t="n">
        <v>189.9176778</v>
      </c>
      <c r="AG76" t="n">
        <v>140.7535582</v>
      </c>
      <c r="AH76" t="n">
        <v>103.1451701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0</v>
      </c>
      <c r="AR76" t="n">
        <v>58.7952</v>
      </c>
      <c r="AS76" t="n">
        <v>81.19799999999999</v>
      </c>
      <c r="AT76" t="n">
        <v>177.2964</v>
      </c>
      <c r="AU76" t="n">
        <v>389.8692</v>
      </c>
      <c r="AV76" t="n">
        <v>0</v>
      </c>
    </row>
    <row r="77">
      <c r="A77" t="n">
        <v>76</v>
      </c>
      <c r="B77" t="n">
        <v>0</v>
      </c>
      <c r="C77" t="n">
        <v>16.91333613</v>
      </c>
      <c r="D77" t="n">
        <v>2.976660042</v>
      </c>
      <c r="E77" t="n">
        <v>3.421191861</v>
      </c>
      <c r="F77" t="n">
        <v>0</v>
      </c>
      <c r="G77" t="n">
        <v>0</v>
      </c>
      <c r="H77" t="n">
        <v>0.461501239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4.105429261</v>
      </c>
      <c r="Q77" s="15" t="n">
        <v>0.0315</v>
      </c>
      <c r="R77" t="n">
        <v>0</v>
      </c>
      <c r="S77" t="n">
        <v>0</v>
      </c>
      <c r="T77" s="15" t="n">
        <v>0</v>
      </c>
      <c r="U77" t="n">
        <v>4.22667201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0.9</v>
      </c>
      <c r="AB77" t="n">
        <v>99</v>
      </c>
      <c r="AC77" t="n">
        <v>0</v>
      </c>
      <c r="AD77" t="n">
        <v>0.44572574</v>
      </c>
      <c r="AE77" t="n">
        <v>189.0131614</v>
      </c>
      <c r="AF77" t="n">
        <v>189.4588871</v>
      </c>
      <c r="AG77" t="n">
        <v>146.2517286</v>
      </c>
      <c r="AH77" t="n">
        <v>107.0724347</v>
      </c>
      <c r="AI77" t="n">
        <v>100</v>
      </c>
      <c r="AJ77" t="n">
        <v>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0</v>
      </c>
      <c r="AR77" t="n">
        <v>58.7952</v>
      </c>
      <c r="AS77" t="n">
        <v>81.19799999999999</v>
      </c>
      <c r="AT77" t="n">
        <v>177.2964</v>
      </c>
      <c r="AU77" t="n">
        <v>389.8692</v>
      </c>
      <c r="AV77" t="n">
        <v>0</v>
      </c>
    </row>
    <row r="78">
      <c r="A78" t="n">
        <v>77</v>
      </c>
      <c r="B78" t="n">
        <v>1.163617519</v>
      </c>
      <c r="C78" t="n">
        <v>12.26673493</v>
      </c>
      <c r="D78" t="n">
        <v>0.445483024</v>
      </c>
      <c r="E78" t="n">
        <v>2.036762647</v>
      </c>
      <c r="F78" t="n">
        <v>0</v>
      </c>
      <c r="G78" t="n">
        <v>0</v>
      </c>
      <c r="H78" t="n">
        <v>0.535782829</v>
      </c>
      <c r="I78" t="n">
        <v>0</v>
      </c>
      <c r="J78" t="n">
        <v>1.163617519</v>
      </c>
      <c r="K78" t="n">
        <v>1.163617519</v>
      </c>
      <c r="L78" t="n">
        <v>1.163617519</v>
      </c>
      <c r="M78" t="n">
        <v>0</v>
      </c>
      <c r="N78" t="n">
        <v>0</v>
      </c>
      <c r="O78" t="n">
        <v>1.163617554</v>
      </c>
      <c r="P78" t="n">
        <v>2.444114509</v>
      </c>
      <c r="Q78" t="n">
        <v>0.128508035</v>
      </c>
      <c r="R78" t="n">
        <v>0</v>
      </c>
      <c r="S78" t="n">
        <v>0</v>
      </c>
      <c r="T78" s="15" t="n">
        <v>1.83e-17</v>
      </c>
      <c r="U78" t="n">
        <v>5.261781529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0.9</v>
      </c>
      <c r="AB78" t="n">
        <v>99</v>
      </c>
      <c r="AC78" t="n">
        <v>0</v>
      </c>
      <c r="AD78" t="n">
        <v>0.433343304</v>
      </c>
      <c r="AE78" t="n">
        <v>188.5798181</v>
      </c>
      <c r="AF78" t="n">
        <v>189.0131614</v>
      </c>
      <c r="AG78" t="n">
        <v>141.2548892</v>
      </c>
      <c r="AH78" t="n">
        <v>103.5032637</v>
      </c>
      <c r="AI78" t="n">
        <v>100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58.7952</v>
      </c>
      <c r="AS78" t="n">
        <v>81.19799999999999</v>
      </c>
      <c r="AT78" t="n">
        <v>177.2964</v>
      </c>
      <c r="AU78" t="n">
        <v>389.8692</v>
      </c>
      <c r="AV78" t="n">
        <v>0</v>
      </c>
    </row>
    <row r="79">
      <c r="A79" t="n">
        <v>78</v>
      </c>
      <c r="B79" t="n">
        <v>0</v>
      </c>
      <c r="C79" t="n">
        <v>11.44339497</v>
      </c>
      <c r="D79" t="n">
        <v>0.868851101</v>
      </c>
      <c r="E79" t="n">
        <v>2.050978495</v>
      </c>
      <c r="F79" t="n">
        <v>0</v>
      </c>
      <c r="G79" t="n">
        <v>0</v>
      </c>
      <c r="H79" t="n">
        <v>0.6022354170000001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2.461173423</v>
      </c>
      <c r="Q79" t="n">
        <v>0.217225718</v>
      </c>
      <c r="R79" t="n">
        <v>0</v>
      </c>
      <c r="S79" t="n">
        <v>0</v>
      </c>
      <c r="T79" s="15" t="n">
        <v>2.56e-16</v>
      </c>
      <c r="U79" t="n">
        <v>5.044555812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0.9</v>
      </c>
      <c r="AB79" t="n">
        <v>99</v>
      </c>
      <c r="AC79" t="n">
        <v>0</v>
      </c>
      <c r="AD79" t="n">
        <v>0.421592297</v>
      </c>
      <c r="AE79" t="n">
        <v>188.1582258</v>
      </c>
      <c r="AF79" t="n">
        <v>188.5798181</v>
      </c>
      <c r="AG79" t="n">
        <v>136.784698</v>
      </c>
      <c r="AH79" t="n">
        <v>100.31027</v>
      </c>
      <c r="AI79" t="n">
        <v>100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58.7952</v>
      </c>
      <c r="AS79" t="n">
        <v>81.19799999999999</v>
      </c>
      <c r="AT79" t="n">
        <v>177.2964</v>
      </c>
      <c r="AU79" t="n">
        <v>389.8692</v>
      </c>
      <c r="AV79" t="n">
        <v>0</v>
      </c>
    </row>
    <row r="80">
      <c r="A80" t="n">
        <v>79</v>
      </c>
      <c r="B80" t="n">
        <v>0</v>
      </c>
      <c r="C80" t="n">
        <v>12.95660503</v>
      </c>
      <c r="D80" t="n">
        <v>-2.21333613</v>
      </c>
      <c r="E80" t="n">
        <v>2.205691504</v>
      </c>
      <c r="F80" t="n">
        <v>0</v>
      </c>
      <c r="G80" t="n">
        <v>0</v>
      </c>
      <c r="H80" t="n">
        <v>0.6015530609999999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2.646828855</v>
      </c>
      <c r="Q80" t="n">
        <v>0.18633612</v>
      </c>
      <c r="R80" t="n">
        <v>0</v>
      </c>
      <c r="S80" t="n">
        <v>0</v>
      </c>
      <c r="T80" s="15" t="n">
        <v>6.88e-19</v>
      </c>
      <c r="U80" t="n">
        <v>4.858219691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0.9</v>
      </c>
      <c r="AB80" t="n">
        <v>99</v>
      </c>
      <c r="AC80" t="n">
        <v>0</v>
      </c>
      <c r="AD80" t="n">
        <v>0.410426543</v>
      </c>
      <c r="AE80" t="n">
        <v>187.7477993</v>
      </c>
      <c r="AF80" t="n">
        <v>188.1582258</v>
      </c>
      <c r="AG80" t="n">
        <v>136.8305993</v>
      </c>
      <c r="AH80" t="n">
        <v>100.3430567</v>
      </c>
      <c r="AI80" t="n">
        <v>100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58.7952</v>
      </c>
      <c r="AS80" t="n">
        <v>81.19799999999999</v>
      </c>
      <c r="AT80" t="n">
        <v>177.2964</v>
      </c>
      <c r="AU80" t="n">
        <v>389.8692</v>
      </c>
      <c r="AV80" t="n">
        <v>0</v>
      </c>
    </row>
    <row r="81">
      <c r="A81" t="n">
        <v>80</v>
      </c>
      <c r="B81" t="n">
        <v>0</v>
      </c>
      <c r="C81" t="n">
        <v>11.54928093</v>
      </c>
      <c r="D81" t="n">
        <v>-2.833996362</v>
      </c>
      <c r="E81" t="n">
        <v>2.017905402</v>
      </c>
      <c r="F81" t="n">
        <v>0</v>
      </c>
      <c r="G81" t="n">
        <v>0</v>
      </c>
      <c r="H81" t="n">
        <v>0.594126844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2.421485491</v>
      </c>
      <c r="Q81" t="n">
        <v>0.13608115</v>
      </c>
      <c r="R81" t="n">
        <v>0</v>
      </c>
      <c r="S81" t="n">
        <v>0</v>
      </c>
      <c r="T81" s="15" t="n">
        <v>8.28e-25</v>
      </c>
      <c r="U81" t="n">
        <v>4.722138541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0.9</v>
      </c>
      <c r="AB81" t="n">
        <v>99</v>
      </c>
      <c r="AC81" t="n">
        <v>0</v>
      </c>
      <c r="AD81" t="n">
        <v>0.399804219</v>
      </c>
      <c r="AE81" t="n">
        <v>187.347995</v>
      </c>
      <c r="AF81" t="n">
        <v>187.7477993</v>
      </c>
      <c r="AG81" t="n">
        <v>137.3301526</v>
      </c>
      <c r="AH81" t="n">
        <v>100.6998805</v>
      </c>
      <c r="AI81" t="n">
        <v>100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58.7952</v>
      </c>
      <c r="AS81" t="n">
        <v>81.19799999999999</v>
      </c>
      <c r="AT81" t="n">
        <v>177.2964</v>
      </c>
      <c r="AU81" t="n">
        <v>389.8692</v>
      </c>
      <c r="AV81" t="n">
        <v>0</v>
      </c>
    </row>
    <row r="82">
      <c r="A82" t="n">
        <v>81</v>
      </c>
      <c r="B82" t="n">
        <v>0</v>
      </c>
      <c r="C82" t="n">
        <v>16.97454387</v>
      </c>
      <c r="D82" t="n">
        <v>-2.926532643</v>
      </c>
      <c r="E82" t="n">
        <v>2.538185168</v>
      </c>
      <c r="F82" t="n">
        <v>0</v>
      </c>
      <c r="G82" t="n">
        <v>0</v>
      </c>
      <c r="H82" t="n">
        <v>0.603140578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3.045820783</v>
      </c>
      <c r="Q82" t="n">
        <v>0.134417935</v>
      </c>
      <c r="R82" t="n">
        <v>0</v>
      </c>
      <c r="S82" t="n">
        <v>0</v>
      </c>
      <c r="T82" s="15" t="n">
        <v>0</v>
      </c>
      <c r="U82" t="n">
        <v>4.587720606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0.9</v>
      </c>
      <c r="AB82" t="n">
        <v>99</v>
      </c>
      <c r="AC82" t="n">
        <v>0</v>
      </c>
      <c r="AD82" t="n">
        <v>0.389687355</v>
      </c>
      <c r="AE82" t="n">
        <v>186.9583077</v>
      </c>
      <c r="AF82" t="n">
        <v>187.347995</v>
      </c>
      <c r="AG82" t="n">
        <v>136.7238088</v>
      </c>
      <c r="AH82" t="n">
        <v>100.2667777</v>
      </c>
      <c r="AI82" t="n">
        <v>100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58.7952</v>
      </c>
      <c r="AS82" t="n">
        <v>81.19799999999999</v>
      </c>
      <c r="AT82" t="n">
        <v>177.2964</v>
      </c>
      <c r="AU82" t="n">
        <v>389.8692</v>
      </c>
      <c r="AV82" t="n">
        <v>0</v>
      </c>
    </row>
    <row r="83">
      <c r="A83" t="n">
        <v>82</v>
      </c>
      <c r="B83" t="n">
        <v>0</v>
      </c>
      <c r="C83" t="n">
        <v>15.57454387</v>
      </c>
      <c r="D83" t="n">
        <v>1.481553892</v>
      </c>
      <c r="E83" t="n">
        <v>2.755536892</v>
      </c>
      <c r="F83" t="n">
        <v>0</v>
      </c>
      <c r="G83" t="n">
        <v>0</v>
      </c>
      <c r="H83" t="n">
        <v>0.578167167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3.306642522</v>
      </c>
      <c r="Q83" t="n">
        <v>0.11007642</v>
      </c>
      <c r="R83" t="n">
        <v>0</v>
      </c>
      <c r="S83" t="n">
        <v>0</v>
      </c>
      <c r="T83" s="15" t="n">
        <v>0</v>
      </c>
      <c r="U83" t="n">
        <v>4.477644186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0.9</v>
      </c>
      <c r="AB83" t="n">
        <v>99</v>
      </c>
      <c r="AC83" t="n">
        <v>0</v>
      </c>
      <c r="AD83" t="n">
        <v>0.380041405</v>
      </c>
      <c r="AE83" t="n">
        <v>186.5782663</v>
      </c>
      <c r="AF83" t="n">
        <v>186.9583077</v>
      </c>
      <c r="AG83" t="n">
        <v>138.4037422</v>
      </c>
      <c r="AH83" t="n">
        <v>101.4667302</v>
      </c>
      <c r="AI83" t="n">
        <v>100</v>
      </c>
      <c r="AJ83" t="n">
        <v>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58.7952</v>
      </c>
      <c r="AS83" t="n">
        <v>81.19799999999999</v>
      </c>
      <c r="AT83" t="n">
        <v>177.2964</v>
      </c>
      <c r="AU83" t="n">
        <v>389.8692</v>
      </c>
      <c r="AV83" t="n">
        <v>0</v>
      </c>
    </row>
    <row r="84">
      <c r="A84" t="n">
        <v>83</v>
      </c>
      <c r="B84" t="n">
        <v>0</v>
      </c>
      <c r="C84" t="n">
        <v>18.8460747</v>
      </c>
      <c r="D84" t="n">
        <v>0.376660042</v>
      </c>
      <c r="E84" t="n">
        <v>2.620645124</v>
      </c>
      <c r="F84" t="n">
        <v>0</v>
      </c>
      <c r="G84" t="n">
        <v>0</v>
      </c>
      <c r="H84" t="n">
        <v>0.567734298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3.144772266</v>
      </c>
      <c r="Q84" s="15" t="n">
        <v>0.0786</v>
      </c>
      <c r="R84" t="n">
        <v>0</v>
      </c>
      <c r="S84" t="n">
        <v>0</v>
      </c>
      <c r="T84" s="15" t="n">
        <v>0</v>
      </c>
      <c r="U84" t="n">
        <v>4.399026818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0.9</v>
      </c>
      <c r="AB84" t="n">
        <v>99</v>
      </c>
      <c r="AC84" t="n">
        <v>0</v>
      </c>
      <c r="AD84" t="n">
        <v>0.370834871</v>
      </c>
      <c r="AE84" t="n">
        <v>186.2074314</v>
      </c>
      <c r="AF84" t="n">
        <v>186.5782663</v>
      </c>
      <c r="AG84" t="n">
        <v>139.1055497</v>
      </c>
      <c r="AH84" t="n">
        <v>101.9680212</v>
      </c>
      <c r="AI84" t="n">
        <v>100</v>
      </c>
      <c r="AJ84" t="n">
        <v>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58.7952</v>
      </c>
      <c r="AS84" t="n">
        <v>81.19799999999999</v>
      </c>
      <c r="AT84" t="n">
        <v>177.2964</v>
      </c>
      <c r="AU84" t="n">
        <v>389.8692</v>
      </c>
      <c r="AV84" t="n">
        <v>0</v>
      </c>
    </row>
    <row r="85">
      <c r="A85" t="n">
        <v>84</v>
      </c>
      <c r="B85" t="n">
        <v>0</v>
      </c>
      <c r="C85" t="n">
        <v>19.87454387</v>
      </c>
      <c r="D85" t="n">
        <v>1.938158922</v>
      </c>
      <c r="E85" t="n">
        <v>2.714963074</v>
      </c>
      <c r="F85" t="n">
        <v>0</v>
      </c>
      <c r="G85" t="n">
        <v>0</v>
      </c>
      <c r="H85" t="n">
        <v>0.574209108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3.257953486</v>
      </c>
      <c r="Q85" s="15" t="n">
        <v>0.0613</v>
      </c>
      <c r="R85" t="n">
        <v>0</v>
      </c>
      <c r="S85" t="n">
        <v>0</v>
      </c>
      <c r="T85" s="15" t="n">
        <v>0</v>
      </c>
      <c r="U85" t="n">
        <v>4.337702393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0.9</v>
      </c>
      <c r="AB85" t="n">
        <v>99</v>
      </c>
      <c r="AC85" t="n">
        <v>0</v>
      </c>
      <c r="AD85" t="n">
        <v>0.362038974</v>
      </c>
      <c r="AE85" t="n">
        <v>185.8453924</v>
      </c>
      <c r="AF85" t="n">
        <v>186.2074314</v>
      </c>
      <c r="AG85" t="n">
        <v>138.6699964</v>
      </c>
      <c r="AH85" t="n">
        <v>101.6569117</v>
      </c>
      <c r="AI85" t="n">
        <v>100</v>
      </c>
      <c r="AJ85" t="n">
        <v>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58.7952</v>
      </c>
      <c r="AS85" t="n">
        <v>81.19799999999999</v>
      </c>
      <c r="AT85" t="n">
        <v>177.2964</v>
      </c>
      <c r="AU85" t="n">
        <v>389.8692</v>
      </c>
      <c r="AV85" t="n">
        <v>0</v>
      </c>
    </row>
    <row r="86">
      <c r="A86" t="n">
        <v>85</v>
      </c>
      <c r="B86" t="n">
        <v>0</v>
      </c>
      <c r="C86" t="n">
        <v>19.98471543</v>
      </c>
      <c r="D86" t="n">
        <v>3.09145977</v>
      </c>
      <c r="E86" t="n">
        <v>2.623158281</v>
      </c>
      <c r="F86" t="n">
        <v>0</v>
      </c>
      <c r="G86" t="n">
        <v>0</v>
      </c>
      <c r="H86" t="n">
        <v>0.569681859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3.147787539</v>
      </c>
      <c r="Q86" s="15" t="n">
        <v>0.0446</v>
      </c>
      <c r="R86" t="n">
        <v>0</v>
      </c>
      <c r="S86" t="n">
        <v>0</v>
      </c>
      <c r="T86" s="15" t="n">
        <v>0</v>
      </c>
      <c r="U86" t="n">
        <v>4.29305996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0.9</v>
      </c>
      <c r="AB86" t="n">
        <v>99</v>
      </c>
      <c r="AC86" t="n">
        <v>0</v>
      </c>
      <c r="AD86" t="n">
        <v>0.353627374</v>
      </c>
      <c r="AE86" t="n">
        <v>185.4917651</v>
      </c>
      <c r="AF86" t="n">
        <v>185.8453924</v>
      </c>
      <c r="AG86" t="n">
        <v>138.9745394</v>
      </c>
      <c r="AH86" t="n">
        <v>101.8744424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58.7952</v>
      </c>
      <c r="AS86" t="n">
        <v>81.19799999999999</v>
      </c>
      <c r="AT86" t="n">
        <v>177.2964</v>
      </c>
      <c r="AU86" t="n">
        <v>389.8692</v>
      </c>
      <c r="AV86" t="n">
        <v>0</v>
      </c>
    </row>
    <row r="87">
      <c r="A87" t="n">
        <v>86</v>
      </c>
      <c r="B87" s="15" t="n">
        <v>0</v>
      </c>
      <c r="C87" t="n">
        <v>17.0926759</v>
      </c>
      <c r="D87" t="n">
        <v>7.406718881</v>
      </c>
      <c r="E87" t="n">
        <v>1.679757446</v>
      </c>
      <c r="F87" t="n">
        <v>0</v>
      </c>
      <c r="G87" t="n">
        <v>0</v>
      </c>
      <c r="H87" t="n">
        <v>0.574088497</v>
      </c>
      <c r="I87" t="n">
        <v>0</v>
      </c>
      <c r="J87" s="15" t="n">
        <v>0</v>
      </c>
      <c r="K87" s="15" t="n">
        <v>0</v>
      </c>
      <c r="L87" s="15" t="n">
        <v>0</v>
      </c>
      <c r="M87" t="n">
        <v>0</v>
      </c>
      <c r="N87" t="n">
        <v>0</v>
      </c>
      <c r="O87" s="15" t="n">
        <v>0</v>
      </c>
      <c r="P87" t="n">
        <v>2.015707207</v>
      </c>
      <c r="Q87" s="15" t="n">
        <v>0.0226</v>
      </c>
      <c r="R87" t="n">
        <v>0</v>
      </c>
      <c r="S87" t="n">
        <v>0</v>
      </c>
      <c r="T87" s="15" t="n">
        <v>0</v>
      </c>
      <c r="U87" t="n">
        <v>4.270478626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0.9</v>
      </c>
      <c r="AB87" t="n">
        <v>99</v>
      </c>
      <c r="AC87" t="n">
        <v>0</v>
      </c>
      <c r="AD87" t="n">
        <v>0.34557591</v>
      </c>
      <c r="AE87" t="n">
        <v>185.1461891</v>
      </c>
      <c r="AF87" t="n">
        <v>185.4917651</v>
      </c>
      <c r="AG87" t="n">
        <v>138.6781098</v>
      </c>
      <c r="AH87" t="n">
        <v>101.662707</v>
      </c>
      <c r="AI87" t="n">
        <v>100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58.7952</v>
      </c>
      <c r="AS87" t="n">
        <v>81.19799999999999</v>
      </c>
      <c r="AT87" t="n">
        <v>177.2964</v>
      </c>
      <c r="AU87" t="n">
        <v>389.8692</v>
      </c>
      <c r="AV87" t="n">
        <v>0</v>
      </c>
    </row>
    <row r="88">
      <c r="A88" t="n">
        <v>87</v>
      </c>
      <c r="B88" t="n">
        <v>0</v>
      </c>
      <c r="C88" t="n">
        <v>20.91048867</v>
      </c>
      <c r="D88" t="n">
        <v>5.489511332</v>
      </c>
      <c r="E88" t="n">
        <v>2.640461561</v>
      </c>
      <c r="F88" t="n">
        <v>0</v>
      </c>
      <c r="G88" t="n">
        <v>0</v>
      </c>
      <c r="H88" t="n">
        <v>0.619371709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3.168550826</v>
      </c>
      <c r="Q88" s="15" t="n">
        <v>0.0283</v>
      </c>
      <c r="R88" t="n">
        <v>0</v>
      </c>
      <c r="S88" t="n">
        <v>0</v>
      </c>
      <c r="T88" s="15" t="n">
        <v>0</v>
      </c>
      <c r="U88" t="n">
        <v>4.242187828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0.9</v>
      </c>
      <c r="AB88" t="n">
        <v>99</v>
      </c>
      <c r="AC88" t="n">
        <v>0</v>
      </c>
      <c r="AD88" t="n">
        <v>0.337862389</v>
      </c>
      <c r="AE88" t="n">
        <v>184.8083268</v>
      </c>
      <c r="AF88" t="n">
        <v>185.1461891</v>
      </c>
      <c r="AG88" t="n">
        <v>135.6319588</v>
      </c>
      <c r="AH88" t="n">
        <v>99.48688488000001</v>
      </c>
      <c r="AI88" t="n">
        <v>100</v>
      </c>
      <c r="AJ88" t="n">
        <v>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n">
        <v>58.7952</v>
      </c>
      <c r="AS88" t="n">
        <v>81.19799999999999</v>
      </c>
      <c r="AT88" t="n">
        <v>177.2964</v>
      </c>
      <c r="AU88" t="n">
        <v>389.8692</v>
      </c>
      <c r="AV88" t="n">
        <v>0</v>
      </c>
    </row>
    <row r="89">
      <c r="A89" t="n">
        <v>88</v>
      </c>
      <c r="B89" t="n">
        <v>0</v>
      </c>
      <c r="C89" t="n">
        <v>23.55660503</v>
      </c>
      <c r="D89" t="n">
        <v>4.527530637</v>
      </c>
      <c r="E89" t="n">
        <v>3.020700554</v>
      </c>
      <c r="F89" t="n">
        <v>0</v>
      </c>
      <c r="G89" t="n">
        <v>0</v>
      </c>
      <c r="H89" t="n">
        <v>0.573257965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3.624836759</v>
      </c>
      <c r="Q89" s="15" t="n">
        <v>0.0239</v>
      </c>
      <c r="R89" t="n">
        <v>0</v>
      </c>
      <c r="S89" t="n">
        <v>0</v>
      </c>
      <c r="T89" s="15" t="n">
        <v>0</v>
      </c>
      <c r="U89" t="n">
        <v>4.218262816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0.9</v>
      </c>
      <c r="AB89" t="n">
        <v>99</v>
      </c>
      <c r="AC89" t="n">
        <v>0</v>
      </c>
      <c r="AD89" t="n">
        <v>0.330466385</v>
      </c>
      <c r="AE89" t="n">
        <v>184.4778604</v>
      </c>
      <c r="AF89" t="n">
        <v>184.8083268</v>
      </c>
      <c r="AG89" t="n">
        <v>138.7339787</v>
      </c>
      <c r="AH89" t="n">
        <v>101.7026134</v>
      </c>
      <c r="AI89" t="n">
        <v>100</v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58.7952</v>
      </c>
      <c r="AS89" t="n">
        <v>81.19799999999999</v>
      </c>
      <c r="AT89" t="n">
        <v>177.2964</v>
      </c>
      <c r="AU89" t="n">
        <v>389.8692</v>
      </c>
      <c r="AV89" t="n">
        <v>0</v>
      </c>
    </row>
    <row r="90">
      <c r="A90" t="n">
        <v>89</v>
      </c>
      <c r="B90" t="n">
        <v>0</v>
      </c>
      <c r="C90" t="n">
        <v>25.0926759</v>
      </c>
      <c r="D90" t="n">
        <v>7.581553892</v>
      </c>
      <c r="E90" t="n">
        <v>3.360929318</v>
      </c>
      <c r="F90" t="n">
        <v>0</v>
      </c>
      <c r="G90" t="n">
        <v>0</v>
      </c>
      <c r="H90" t="n">
        <v>0.5550065280000001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4.033110321</v>
      </c>
      <c r="Q90" s="15" t="n">
        <v>0.0189</v>
      </c>
      <c r="R90" t="n">
        <v>0</v>
      </c>
      <c r="S90" t="n">
        <v>0</v>
      </c>
      <c r="T90" s="15" t="n">
        <v>0</v>
      </c>
      <c r="U90" t="n">
        <v>4.199341395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0.9</v>
      </c>
      <c r="AB90" t="n">
        <v>99</v>
      </c>
      <c r="AC90" t="n">
        <v>0</v>
      </c>
      <c r="AD90" t="n">
        <v>0.32336907</v>
      </c>
      <c r="AE90" t="n">
        <v>184.1544913</v>
      </c>
      <c r="AF90" t="n">
        <v>184.4778604</v>
      </c>
      <c r="AG90" t="n">
        <v>139.9617324</v>
      </c>
      <c r="AH90" t="n">
        <v>102.5795803</v>
      </c>
      <c r="AI90" t="n">
        <v>100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0</v>
      </c>
      <c r="AR90" t="n">
        <v>58.7952</v>
      </c>
      <c r="AS90" t="n">
        <v>81.19799999999999</v>
      </c>
      <c r="AT90" t="n">
        <v>177.2964</v>
      </c>
      <c r="AU90" t="n">
        <v>389.8692</v>
      </c>
      <c r="AV90" t="n">
        <v>0</v>
      </c>
    </row>
    <row r="91">
      <c r="A91" t="n">
        <v>90</v>
      </c>
      <c r="B91" t="n">
        <v>0</v>
      </c>
      <c r="C91" t="n">
        <v>26.45660503</v>
      </c>
      <c r="D91" t="n">
        <v>8.183984144</v>
      </c>
      <c r="E91" t="n">
        <v>3.516176626</v>
      </c>
      <c r="F91" t="n">
        <v>0</v>
      </c>
      <c r="G91" t="n">
        <v>0</v>
      </c>
      <c r="H91" t="n">
        <v>0.538675586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4.219406277</v>
      </c>
      <c r="Q91" s="15" t="n">
        <v>0.0137</v>
      </c>
      <c r="R91" t="n">
        <v>0</v>
      </c>
      <c r="S91" t="n">
        <v>0</v>
      </c>
      <c r="T91" s="15" t="n">
        <v>0</v>
      </c>
      <c r="U91" t="n">
        <v>4.185659698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0.9</v>
      </c>
      <c r="AB91" t="n">
        <v>99</v>
      </c>
      <c r="AC91" t="n">
        <v>0</v>
      </c>
      <c r="AD91" t="n">
        <v>0.316553063</v>
      </c>
      <c r="AE91" t="n">
        <v>183.8379382</v>
      </c>
      <c r="AF91" t="n">
        <v>184.1544913</v>
      </c>
      <c r="AG91" t="n">
        <v>141.0602966</v>
      </c>
      <c r="AH91" t="n">
        <v>103.364269</v>
      </c>
      <c r="AI91" t="n">
        <v>100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58.7952</v>
      </c>
      <c r="AS91" t="n">
        <v>81.19799999999999</v>
      </c>
      <c r="AT91" t="n">
        <v>177.2964</v>
      </c>
      <c r="AU91" t="n">
        <v>389.8692</v>
      </c>
      <c r="AV91" t="n">
        <v>0</v>
      </c>
    </row>
    <row r="92">
      <c r="A92" t="n">
        <v>91</v>
      </c>
      <c r="B92" t="n">
        <v>0</v>
      </c>
      <c r="C92" t="n">
        <v>27.6926759</v>
      </c>
      <c r="D92" t="n">
        <v>8.430058839000001</v>
      </c>
      <c r="E92" t="n">
        <v>4.000641355</v>
      </c>
      <c r="F92" t="n">
        <v>0</v>
      </c>
      <c r="G92" t="n">
        <v>0</v>
      </c>
      <c r="H92" t="n">
        <v>0.5312237480000001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4.800762434</v>
      </c>
      <c r="Q92" s="15" t="n">
        <v>0.0104</v>
      </c>
      <c r="R92" t="n">
        <v>0</v>
      </c>
      <c r="S92" t="n">
        <v>0</v>
      </c>
      <c r="T92" s="15" t="n">
        <v>0</v>
      </c>
      <c r="U92" t="n">
        <v>4.175245567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0.9</v>
      </c>
      <c r="AB92" t="n">
        <v>99</v>
      </c>
      <c r="AC92" t="n">
        <v>0</v>
      </c>
      <c r="AD92" t="n">
        <v>0.310002289</v>
      </c>
      <c r="AE92" t="n">
        <v>183.527936</v>
      </c>
      <c r="AF92" t="n">
        <v>183.8379382</v>
      </c>
      <c r="AG92" t="n">
        <v>141.5615734</v>
      </c>
      <c r="AH92" t="n">
        <v>103.7223239</v>
      </c>
      <c r="AI92" t="n">
        <v>100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58.7952</v>
      </c>
      <c r="AS92" t="n">
        <v>81.19799999999999</v>
      </c>
      <c r="AT92" t="n">
        <v>177.2964</v>
      </c>
      <c r="AU92" t="n">
        <v>389.8692</v>
      </c>
      <c r="AV92" t="n">
        <v>0</v>
      </c>
    </row>
    <row r="93">
      <c r="A93" t="n">
        <v>92</v>
      </c>
      <c r="B93" t="n">
        <v>0</v>
      </c>
      <c r="C93" t="n">
        <v>27.9926759</v>
      </c>
      <c r="D93" t="n">
        <v>8.099268712000001</v>
      </c>
      <c r="E93" t="n">
        <v>4.524076113</v>
      </c>
      <c r="F93" t="n">
        <v>0</v>
      </c>
      <c r="G93" t="n">
        <v>0</v>
      </c>
      <c r="H93" t="n">
        <v>0.507969502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5.428882291</v>
      </c>
      <c r="Q93" s="15" t="n">
        <v>0.00746</v>
      </c>
      <c r="R93" t="n">
        <v>0</v>
      </c>
      <c r="S93" t="n">
        <v>0</v>
      </c>
      <c r="T93" s="15" t="n">
        <v>0</v>
      </c>
      <c r="U93" t="n">
        <v>4.167784725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0.9</v>
      </c>
      <c r="AB93" t="n">
        <v>99</v>
      </c>
      <c r="AC93" t="n">
        <v>0</v>
      </c>
      <c r="AD93" t="n">
        <v>0.303701867</v>
      </c>
      <c r="AE93" t="n">
        <v>183.2242341</v>
      </c>
      <c r="AF93" t="n">
        <v>183.527936</v>
      </c>
      <c r="AG93" t="n">
        <v>143.1258605</v>
      </c>
      <c r="AH93" t="n">
        <v>104.8396718</v>
      </c>
      <c r="AI93" t="n">
        <v>100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58.7952</v>
      </c>
      <c r="AS93" t="n">
        <v>81.19799999999999</v>
      </c>
      <c r="AT93" t="n">
        <v>177.2964</v>
      </c>
      <c r="AU93" t="n">
        <v>389.8692</v>
      </c>
      <c r="AV93" t="n">
        <v>0</v>
      </c>
    </row>
    <row r="94">
      <c r="A94" t="n">
        <v>93</v>
      </c>
      <c r="B94" t="n">
        <v>0</v>
      </c>
      <c r="C94" t="n">
        <v>21.04928093</v>
      </c>
      <c r="D94" t="n">
        <v>11.4640552</v>
      </c>
      <c r="E94" t="n">
        <v>3.695703655</v>
      </c>
      <c r="F94" s="15" t="n">
        <v>0.075</v>
      </c>
      <c r="G94" s="15" t="n">
        <v>0.025</v>
      </c>
      <c r="H94" t="n">
        <v>0.482844709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4.16744154</v>
      </c>
      <c r="Q94" s="15" t="n">
        <v>0.00369</v>
      </c>
      <c r="R94" t="n">
        <v>0</v>
      </c>
      <c r="S94" t="n">
        <v>0</v>
      </c>
      <c r="T94" t="n">
        <v>0</v>
      </c>
      <c r="U94" t="n">
        <v>4.164091714</v>
      </c>
      <c r="V94" t="n">
        <v>0</v>
      </c>
      <c r="W94" t="n">
        <v>0</v>
      </c>
      <c r="X94" t="n">
        <v>0.27717725</v>
      </c>
      <c r="Y94" t="n">
        <v>0.27717725</v>
      </c>
      <c r="Z94" t="n">
        <v>1</v>
      </c>
      <c r="AA94" t="n">
        <v>0.2</v>
      </c>
      <c r="AB94" t="n">
        <v>99.7</v>
      </c>
      <c r="AC94" t="n">
        <v>0</v>
      </c>
      <c r="AD94" t="n">
        <v>0.276875023</v>
      </c>
      <c r="AE94" t="n">
        <v>40.16244419</v>
      </c>
      <c r="AF94" t="n">
        <v>40.71649646</v>
      </c>
      <c r="AG94" t="n">
        <v>32.18132827</v>
      </c>
      <c r="AH94" t="n">
        <v>23.56597734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13.0656</v>
      </c>
      <c r="AS94" t="n">
        <v>18.044</v>
      </c>
      <c r="AT94" t="n">
        <v>39.3992</v>
      </c>
      <c r="AU94" t="n">
        <v>86.63760000000001</v>
      </c>
      <c r="AV94" t="n">
        <v>0</v>
      </c>
    </row>
    <row r="95">
      <c r="A95" t="n">
        <v>94</v>
      </c>
      <c r="B95" t="n">
        <v>0</v>
      </c>
      <c r="C95" t="n">
        <v>17.13875059</v>
      </c>
      <c r="D95" t="n">
        <v>6.212120001</v>
      </c>
      <c r="E95" t="n">
        <v>3.271180945</v>
      </c>
      <c r="F95" t="n">
        <v>0.15</v>
      </c>
      <c r="G95" s="15" t="n">
        <v>0.05</v>
      </c>
      <c r="H95" t="n">
        <v>0.522215248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3.469119058</v>
      </c>
      <c r="Q95" s="15" t="n">
        <v>0.00218</v>
      </c>
      <c r="R95" t="n">
        <v>0</v>
      </c>
      <c r="S95" t="n">
        <v>0</v>
      </c>
      <c r="T95" t="n">
        <v>0</v>
      </c>
      <c r="U95" t="n">
        <v>4.161916433</v>
      </c>
      <c r="V95" t="n">
        <v>0</v>
      </c>
      <c r="W95" t="n">
        <v>0</v>
      </c>
      <c r="X95" t="n">
        <v>0.490676116</v>
      </c>
      <c r="Y95" t="n">
        <v>0.490676116</v>
      </c>
      <c r="Z95" t="n">
        <v>1</v>
      </c>
      <c r="AA95" t="n">
        <v>0.2</v>
      </c>
      <c r="AB95" t="n">
        <v>99.7</v>
      </c>
      <c r="AC95" t="n">
        <v>0</v>
      </c>
      <c r="AD95" t="n">
        <v>0.227978643</v>
      </c>
      <c r="AE95" t="n">
        <v>39.44378943</v>
      </c>
      <c r="AF95" t="n">
        <v>40.16244419</v>
      </c>
      <c r="AG95" t="n">
        <v>31.59279226</v>
      </c>
      <c r="AH95" t="n">
        <v>23.14559447</v>
      </c>
      <c r="AI95" t="n">
        <v>100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13.0656</v>
      </c>
      <c r="AS95" t="n">
        <v>18.044</v>
      </c>
      <c r="AT95" t="n">
        <v>39.3992</v>
      </c>
      <c r="AU95" t="n">
        <v>86.63760000000001</v>
      </c>
      <c r="AV95" t="n">
        <v>0</v>
      </c>
    </row>
    <row r="96">
      <c r="A96" t="n">
        <v>95</v>
      </c>
      <c r="B96" t="n">
        <v>0</v>
      </c>
      <c r="C96" t="n">
        <v>17.8640552</v>
      </c>
      <c r="D96" t="n">
        <v>4.430058839</v>
      </c>
      <c r="E96" t="n">
        <v>3.25456685</v>
      </c>
      <c r="F96" t="n">
        <v>0.15</v>
      </c>
      <c r="G96" s="15" t="n">
        <v>0.066</v>
      </c>
      <c r="H96" t="n">
        <v>0.541608192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3.463753759</v>
      </c>
      <c r="Q96" s="15" t="n">
        <v>0.00159</v>
      </c>
      <c r="R96" t="n">
        <v>0</v>
      </c>
      <c r="S96" t="n">
        <v>0</v>
      </c>
      <c r="T96" s="15" t="n">
        <v>0</v>
      </c>
      <c r="U96" t="n">
        <v>4.160324109</v>
      </c>
      <c r="V96" t="n">
        <v>0</v>
      </c>
      <c r="W96" t="n">
        <v>0</v>
      </c>
      <c r="X96" t="n">
        <v>0.4881839</v>
      </c>
      <c r="Y96" t="n">
        <v>0.4881839</v>
      </c>
      <c r="Z96" t="n">
        <v>1</v>
      </c>
      <c r="AA96" t="n">
        <v>0.207</v>
      </c>
      <c r="AB96" t="n">
        <v>99.693</v>
      </c>
      <c r="AC96" t="n">
        <v>0</v>
      </c>
      <c r="AD96" t="n">
        <v>0.183542274</v>
      </c>
      <c r="AE96" t="n">
        <v>40.15103526</v>
      </c>
      <c r="AF96" t="n">
        <v>40.82276143</v>
      </c>
      <c r="AG96" t="n">
        <v>32.39849541</v>
      </c>
      <c r="AH96" t="n">
        <v>23.74137272</v>
      </c>
      <c r="AI96" t="n">
        <v>100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13.522896</v>
      </c>
      <c r="AS96" t="n">
        <v>18.67554</v>
      </c>
      <c r="AT96" t="n">
        <v>40.778172</v>
      </c>
      <c r="AU96" t="n">
        <v>89.669916</v>
      </c>
      <c r="AV96" t="n">
        <v>0</v>
      </c>
    </row>
    <row r="97">
      <c r="A97" t="n">
        <v>96</v>
      </c>
      <c r="B97" t="n">
        <v>0</v>
      </c>
      <c r="C97" t="n">
        <v>16.56184108</v>
      </c>
      <c r="D97" t="n">
        <v>0.519928943</v>
      </c>
      <c r="E97" t="n">
        <v>3.327481202</v>
      </c>
      <c r="F97" t="n">
        <v>0.15</v>
      </c>
      <c r="G97" s="15" t="n">
        <v>0.082</v>
      </c>
      <c r="H97" t="n">
        <v>0.5419224929999999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3.617409941</v>
      </c>
      <c r="Q97" s="15" t="n">
        <v>0.00121</v>
      </c>
      <c r="R97" t="n">
        <v>0</v>
      </c>
      <c r="S97" t="n">
        <v>0</v>
      </c>
      <c r="T97" s="15" t="n">
        <v>0</v>
      </c>
      <c r="U97" t="n">
        <v>4.159112187</v>
      </c>
      <c r="V97" t="n">
        <v>0</v>
      </c>
      <c r="W97" t="n">
        <v>0</v>
      </c>
      <c r="X97" t="n">
        <v>0.499120909</v>
      </c>
      <c r="Y97" t="n">
        <v>0.499120909</v>
      </c>
      <c r="Z97" t="n">
        <v>1</v>
      </c>
      <c r="AA97" t="n">
        <v>0.214</v>
      </c>
      <c r="AB97" t="n">
        <v>99.68600000000001</v>
      </c>
      <c r="AC97" t="n">
        <v>0</v>
      </c>
      <c r="AD97" t="n">
        <v>0.150699747</v>
      </c>
      <c r="AE97" t="n">
        <v>40.8801866</v>
      </c>
      <c r="AF97" t="n">
        <v>41.53000726</v>
      </c>
      <c r="AG97" t="n">
        <v>33.48906945</v>
      </c>
      <c r="AH97" t="n">
        <v>24.54063018</v>
      </c>
      <c r="AI97" t="n">
        <v>100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13.980192</v>
      </c>
      <c r="AS97" t="n">
        <v>19.30708</v>
      </c>
      <c r="AT97" t="n">
        <v>42.157144</v>
      </c>
      <c r="AU97" t="n">
        <v>92.702232</v>
      </c>
      <c r="AV97" t="n">
        <v>0</v>
      </c>
    </row>
    <row r="98">
      <c r="A98" t="n">
        <v>97</v>
      </c>
      <c r="B98" t="n">
        <v>0</v>
      </c>
      <c r="C98" t="n">
        <v>12.6952041</v>
      </c>
      <c r="D98" t="n">
        <v>0.397320274</v>
      </c>
      <c r="E98" t="n">
        <v>3.625501045</v>
      </c>
      <c r="F98" t="n">
        <v>0.15</v>
      </c>
      <c r="G98" s="15" t="n">
        <v>0.098</v>
      </c>
      <c r="H98" t="n">
        <v>0.535338765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4.036100997</v>
      </c>
      <c r="Q98" s="15" t="n">
        <v>0.000962</v>
      </c>
      <c r="R98" t="n">
        <v>0</v>
      </c>
      <c r="S98" t="n">
        <v>0</v>
      </c>
      <c r="T98" s="15" t="n">
        <v>0</v>
      </c>
      <c r="U98" t="n">
        <v>4.158150228</v>
      </c>
      <c r="V98" t="n">
        <v>0</v>
      </c>
      <c r="W98" t="n">
        <v>0</v>
      </c>
      <c r="X98" t="n">
        <v>0.543823631</v>
      </c>
      <c r="Y98" t="n">
        <v>0.543823631</v>
      </c>
      <c r="Z98" t="n">
        <v>1</v>
      </c>
      <c r="AA98" t="n">
        <v>0.221</v>
      </c>
      <c r="AB98" t="n">
        <v>99.679</v>
      </c>
      <c r="AC98" t="n">
        <v>0</v>
      </c>
      <c r="AD98" t="n">
        <v>0.124853079</v>
      </c>
      <c r="AE98" t="n">
        <v>41.59048189</v>
      </c>
      <c r="AF98" t="n">
        <v>42.2591586</v>
      </c>
      <c r="AG98" t="n">
        <v>34.69325794</v>
      </c>
      <c r="AH98" t="n">
        <v>25.42104081</v>
      </c>
      <c r="AI98" t="n">
        <v>100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14.437488</v>
      </c>
      <c r="AS98" t="n">
        <v>19.93862</v>
      </c>
      <c r="AT98" t="n">
        <v>43.536116</v>
      </c>
      <c r="AU98" t="n">
        <v>95.734548</v>
      </c>
      <c r="AV98" t="n">
        <v>0</v>
      </c>
    </row>
    <row r="99">
      <c r="A99" t="n">
        <v>98</v>
      </c>
      <c r="B99" t="n">
        <v>0</v>
      </c>
      <c r="C99" t="n">
        <v>17.45660503</v>
      </c>
      <c r="D99" t="n">
        <v>-2.572469363</v>
      </c>
      <c r="E99" t="n">
        <v>3.451891541</v>
      </c>
      <c r="F99" t="n">
        <v>0.15</v>
      </c>
      <c r="G99" t="n">
        <v>0.114</v>
      </c>
      <c r="H99" t="n">
        <v>0.5168030139999999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3.723636178</v>
      </c>
      <c r="Q99" s="15" t="n">
        <v>0.000629</v>
      </c>
      <c r="R99" t="n">
        <v>0</v>
      </c>
      <c r="S99" t="n">
        <v>0</v>
      </c>
      <c r="T99" s="15" t="n">
        <v>0</v>
      </c>
      <c r="U99" t="n">
        <v>4.157520983</v>
      </c>
      <c r="V99" t="n">
        <v>0</v>
      </c>
      <c r="W99" t="n">
        <v>0</v>
      </c>
      <c r="X99" t="n">
        <v>0.5177821339999999</v>
      </c>
      <c r="Y99" t="n">
        <v>0.5177821339999999</v>
      </c>
      <c r="Z99" t="n">
        <v>1</v>
      </c>
      <c r="AA99" t="n">
        <v>0.229</v>
      </c>
      <c r="AB99" t="n">
        <v>99.67100000000001</v>
      </c>
      <c r="AC99" t="n">
        <v>0</v>
      </c>
      <c r="AD99" t="n">
        <v>0.104882341</v>
      </c>
      <c r="AE99" t="n">
        <v>42.54378542</v>
      </c>
      <c r="AF99" t="n">
        <v>43.16644989</v>
      </c>
      <c r="AG99" t="n">
        <v>36.26638396</v>
      </c>
      <c r="AH99" t="n">
        <v>26.56787483</v>
      </c>
      <c r="AI99" t="n">
        <v>100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14.960112</v>
      </c>
      <c r="AS99" t="n">
        <v>20.66038</v>
      </c>
      <c r="AT99" t="n">
        <v>45.112084</v>
      </c>
      <c r="AU99" t="n">
        <v>99.200052</v>
      </c>
      <c r="AV99" t="n">
        <v>0</v>
      </c>
    </row>
    <row r="100">
      <c r="A100" t="n">
        <v>99</v>
      </c>
      <c r="B100" t="n">
        <v>0</v>
      </c>
      <c r="C100" t="n">
        <v>16.30267973</v>
      </c>
      <c r="D100" t="n">
        <v>2.532146893</v>
      </c>
      <c r="E100" t="n">
        <v>2.301452519</v>
      </c>
      <c r="F100" t="n">
        <v>0.15</v>
      </c>
      <c r="G100" s="15" t="n">
        <v>0.13</v>
      </c>
      <c r="H100" t="n">
        <v>0.530343267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2.406430053</v>
      </c>
      <c r="Q100" s="15" t="n">
        <v>0.000306</v>
      </c>
      <c r="R100" t="n">
        <v>0</v>
      </c>
      <c r="S100" t="n">
        <v>0</v>
      </c>
      <c r="T100" s="15" t="n">
        <v>0</v>
      </c>
      <c r="U100" t="n">
        <v>4.157215468</v>
      </c>
      <c r="V100" t="n">
        <v>0</v>
      </c>
      <c r="W100" t="n">
        <v>0</v>
      </c>
      <c r="X100" t="n">
        <v>0.345216708</v>
      </c>
      <c r="Y100" t="n">
        <v>0.345216708</v>
      </c>
      <c r="Z100" t="n">
        <v>1</v>
      </c>
      <c r="AA100" t="n">
        <v>0.236</v>
      </c>
      <c r="AB100" t="n">
        <v>99.664</v>
      </c>
      <c r="AC100" t="n">
        <v>0</v>
      </c>
      <c r="AD100" s="15" t="n">
        <v>0.0915</v>
      </c>
      <c r="AE100" t="n">
        <v>43.48604153</v>
      </c>
      <c r="AF100" t="n">
        <v>43.92275742</v>
      </c>
      <c r="AG100" t="n">
        <v>37.13612152</v>
      </c>
      <c r="AH100" t="n">
        <v>27.20939195</v>
      </c>
      <c r="AI100" t="n">
        <v>100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15.417408</v>
      </c>
      <c r="AS100" t="n">
        <v>21.29192</v>
      </c>
      <c r="AT100" t="n">
        <v>46.491056</v>
      </c>
      <c r="AU100" t="n">
        <v>102.232368</v>
      </c>
      <c r="AV100" t="n">
        <v>0</v>
      </c>
    </row>
    <row r="101">
      <c r="A101" t="n">
        <v>100</v>
      </c>
      <c r="B101" t="n">
        <v>1.97963828</v>
      </c>
      <c r="C101" t="n">
        <v>15.91333613</v>
      </c>
      <c r="D101" t="n">
        <v>7.2047959</v>
      </c>
      <c r="E101" t="n">
        <v>1.948008734</v>
      </c>
      <c r="F101" t="n">
        <v>0.15</v>
      </c>
      <c r="G101" s="15" t="n">
        <v>0.146</v>
      </c>
      <c r="H101" t="n">
        <v>0.589934128</v>
      </c>
      <c r="I101" t="n">
        <v>0</v>
      </c>
      <c r="J101" t="n">
        <v>1.933756558</v>
      </c>
      <c r="K101" t="n">
        <v>1.97963828</v>
      </c>
      <c r="L101" t="n">
        <v>1.933756558</v>
      </c>
      <c r="M101" s="15" t="n">
        <v>0.0459</v>
      </c>
      <c r="N101" t="n">
        <v>0</v>
      </c>
      <c r="O101" t="n">
        <v>1.933756616</v>
      </c>
      <c r="P101" t="n">
        <v>2.028132163</v>
      </c>
      <c r="Q101" t="n">
        <v>0.161182837</v>
      </c>
      <c r="R101" t="n">
        <v>0</v>
      </c>
      <c r="S101" t="n">
        <v>0</v>
      </c>
      <c r="T101" s="15" t="n">
        <v>1.06e-13</v>
      </c>
      <c r="U101" t="n">
        <v>5.929789247</v>
      </c>
      <c r="V101" t="n">
        <v>0</v>
      </c>
      <c r="W101" t="n">
        <v>0</v>
      </c>
      <c r="X101" t="n">
        <v>0.292200224</v>
      </c>
      <c r="Y101" t="n">
        <v>0.292200224</v>
      </c>
      <c r="Z101" t="n">
        <v>1</v>
      </c>
      <c r="AA101" t="n">
        <v>0.243</v>
      </c>
      <c r="AB101" t="n">
        <v>99.657</v>
      </c>
      <c r="AC101" t="n">
        <v>0</v>
      </c>
      <c r="AD101" s="15" t="n">
        <v>0.0833</v>
      </c>
      <c r="AE101" t="n">
        <v>44.48949461</v>
      </c>
      <c r="AF101" t="n">
        <v>44.86501353</v>
      </c>
      <c r="AG101" t="n">
        <v>37.15529183</v>
      </c>
      <c r="AH101" t="n">
        <v>27.24336102</v>
      </c>
      <c r="AI101" t="n">
        <v>100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15.874704</v>
      </c>
      <c r="AS101" t="n">
        <v>21.92346</v>
      </c>
      <c r="AT101" t="n">
        <v>47.870028</v>
      </c>
      <c r="AU101" t="n">
        <v>105.264684</v>
      </c>
      <c r="AV101" t="n">
        <v>0</v>
      </c>
    </row>
    <row r="102">
      <c r="A102" t="n">
        <v>101</v>
      </c>
      <c r="B102" t="n">
        <v>7.378620707</v>
      </c>
      <c r="C102" t="n">
        <v>12.1359448</v>
      </c>
      <c r="D102" t="n">
        <v>8.710488668</v>
      </c>
      <c r="E102" t="n">
        <v>1.079877679</v>
      </c>
      <c r="F102" t="n">
        <v>0.15</v>
      </c>
      <c r="G102" s="15" t="n">
        <v>0.163</v>
      </c>
      <c r="H102" t="n">
        <v>0.607186702</v>
      </c>
      <c r="I102" t="n">
        <v>0</v>
      </c>
      <c r="J102" t="n">
        <v>7.300000059</v>
      </c>
      <c r="K102" t="n">
        <v>7.378620707</v>
      </c>
      <c r="L102" t="n">
        <v>7.300000059</v>
      </c>
      <c r="M102" s="15" t="n">
        <v>0.0786</v>
      </c>
      <c r="N102" t="n">
        <v>0</v>
      </c>
      <c r="O102" t="n">
        <v>7.300000277</v>
      </c>
      <c r="P102" t="n">
        <v>1.066725712</v>
      </c>
      <c r="Q102" t="n">
        <v>0.492073403</v>
      </c>
      <c r="R102" t="n">
        <v>0</v>
      </c>
      <c r="S102" t="n">
        <v>0</v>
      </c>
      <c r="T102" s="15" t="n">
        <v>1.11e-05</v>
      </c>
      <c r="U102" t="n">
        <v>12.73770506</v>
      </c>
      <c r="V102" t="n">
        <v>0</v>
      </c>
      <c r="W102" t="n">
        <v>0</v>
      </c>
      <c r="X102" t="n">
        <v>0.161980992</v>
      </c>
      <c r="Y102" t="n">
        <v>0.161980992</v>
      </c>
      <c r="Z102" t="n">
        <v>1</v>
      </c>
      <c r="AA102" t="n">
        <v>0.25</v>
      </c>
      <c r="AB102" t="n">
        <v>99.65000000000001</v>
      </c>
      <c r="AC102" t="n">
        <v>0</v>
      </c>
      <c r="AD102" s="15" t="n">
        <v>0.07829999999999999</v>
      </c>
      <c r="AE102" t="n">
        <v>45.62817591</v>
      </c>
      <c r="AF102" t="n">
        <v>45.86846661</v>
      </c>
      <c r="AG102" t="n">
        <v>37.90323072</v>
      </c>
      <c r="AH102" t="n">
        <v>27.79787909</v>
      </c>
      <c r="AI102" t="n">
        <v>100</v>
      </c>
      <c r="AJ102" t="n">
        <v>0</v>
      </c>
      <c r="AK102" t="n">
        <v>0</v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16.332</v>
      </c>
      <c r="AS102" t="n">
        <v>22.555</v>
      </c>
      <c r="AT102" t="n">
        <v>49.249</v>
      </c>
      <c r="AU102" t="n">
        <v>108.297</v>
      </c>
      <c r="AV102" t="n">
        <v>0</v>
      </c>
    </row>
    <row r="103">
      <c r="A103" t="n">
        <v>102</v>
      </c>
      <c r="B103" t="n">
        <v>7.043577812</v>
      </c>
      <c r="C103" t="n">
        <v>12.2</v>
      </c>
      <c r="D103" t="n">
        <v>9.374543869</v>
      </c>
      <c r="E103" t="n">
        <v>1.052353168</v>
      </c>
      <c r="F103" t="n">
        <v>0.15</v>
      </c>
      <c r="G103" t="n">
        <v>0.179</v>
      </c>
      <c r="H103" t="n">
        <v>0.650851728</v>
      </c>
      <c r="I103" t="n">
        <v>0</v>
      </c>
      <c r="J103" t="n">
        <v>6.958037743</v>
      </c>
      <c r="K103" t="n">
        <v>7.043577812</v>
      </c>
      <c r="L103" t="n">
        <v>6.958037743</v>
      </c>
      <c r="M103" s="15" t="n">
        <v>0.08550000000000001</v>
      </c>
      <c r="N103" t="n">
        <v>0</v>
      </c>
      <c r="O103" t="n">
        <v>6.95803795</v>
      </c>
      <c r="P103" t="n">
        <v>1.023221433</v>
      </c>
      <c r="Q103" t="n">
        <v>1.016383943</v>
      </c>
      <c r="R103" t="n">
        <v>0</v>
      </c>
      <c r="S103" t="n">
        <v>0</v>
      </c>
      <c r="T103" s="15" t="n">
        <v>0.00364</v>
      </c>
      <c r="U103" t="n">
        <v>18.6757185</v>
      </c>
      <c r="V103" t="n">
        <v>0</v>
      </c>
      <c r="W103" t="n">
        <v>0</v>
      </c>
      <c r="X103" t="n">
        <v>0.157852272</v>
      </c>
      <c r="Y103" t="n">
        <v>0.157852272</v>
      </c>
      <c r="Z103" t="n">
        <v>1</v>
      </c>
      <c r="AA103" t="n">
        <v>0.257</v>
      </c>
      <c r="AB103" t="n">
        <v>99.643</v>
      </c>
      <c r="AC103" t="n">
        <v>0</v>
      </c>
      <c r="AD103" s="15" t="n">
        <v>0.07539999999999999</v>
      </c>
      <c r="AE103" t="n">
        <v>46.77755253</v>
      </c>
      <c r="AF103" t="n">
        <v>47.00714791</v>
      </c>
      <c r="AG103" t="n">
        <v>38.12575959</v>
      </c>
      <c r="AH103" t="n">
        <v>27.97710428</v>
      </c>
      <c r="AI103" t="n">
        <v>100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16.789296</v>
      </c>
      <c r="AS103" t="n">
        <v>23.18654</v>
      </c>
      <c r="AT103" t="n">
        <v>50.627972</v>
      </c>
      <c r="AU103" t="n">
        <v>111.329316</v>
      </c>
      <c r="AV103" t="n">
        <v>0</v>
      </c>
    </row>
    <row r="104">
      <c r="A104" t="n">
        <v>103</v>
      </c>
      <c r="B104" t="n">
        <v>1.878903865</v>
      </c>
      <c r="C104" t="n">
        <v>15.41048867</v>
      </c>
      <c r="D104" t="n">
        <v>5.782019494</v>
      </c>
      <c r="E104" t="n">
        <v>2.666519864</v>
      </c>
      <c r="F104" t="n">
        <v>0.15</v>
      </c>
      <c r="G104" t="n">
        <v>0.195</v>
      </c>
      <c r="H104" t="n">
        <v>0.652757048</v>
      </c>
      <c r="I104" t="n">
        <v>0</v>
      </c>
      <c r="J104" t="n">
        <v>1.819149177</v>
      </c>
      <c r="K104" t="n">
        <v>1.878903865</v>
      </c>
      <c r="L104" t="n">
        <v>1.819149177</v>
      </c>
      <c r="M104" s="15" t="n">
        <v>0.0598</v>
      </c>
      <c r="N104" t="n">
        <v>0</v>
      </c>
      <c r="O104" t="n">
        <v>1.819149231</v>
      </c>
      <c r="P104" t="n">
        <v>2.767901626</v>
      </c>
      <c r="Q104" t="n">
        <v>2.767901626</v>
      </c>
      <c r="R104" t="n">
        <v>0</v>
      </c>
      <c r="S104" t="n">
        <v>0</v>
      </c>
      <c r="T104" s="15" t="n">
        <v>0.0143</v>
      </c>
      <c r="U104" t="n">
        <v>17.71263798</v>
      </c>
      <c r="V104" t="n">
        <v>0</v>
      </c>
      <c r="W104" t="n">
        <v>0</v>
      </c>
      <c r="X104" t="n">
        <v>0.399976033</v>
      </c>
      <c r="Y104" t="n">
        <v>0.399976033</v>
      </c>
      <c r="Z104" t="n">
        <v>1</v>
      </c>
      <c r="AA104" t="n">
        <v>0.264</v>
      </c>
      <c r="AB104" t="n">
        <v>99.636</v>
      </c>
      <c r="AC104" t="n">
        <v>0</v>
      </c>
      <c r="AD104" s="15" t="n">
        <v>0.0708</v>
      </c>
      <c r="AE104" t="n">
        <v>47.70011329</v>
      </c>
      <c r="AF104" t="n">
        <v>48.15652453</v>
      </c>
      <c r="AG104" t="n">
        <v>39.12660824</v>
      </c>
      <c r="AH104" t="n">
        <v>28.71227217</v>
      </c>
      <c r="AI104" t="n">
        <v>100</v>
      </c>
      <c r="AJ104" t="n">
        <v>0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17.246592</v>
      </c>
      <c r="AS104" t="n">
        <v>23.81808</v>
      </c>
      <c r="AT104" t="n">
        <v>52.006944</v>
      </c>
      <c r="AU104" t="n">
        <v>114.361632</v>
      </c>
      <c r="AV104" t="n">
        <v>0</v>
      </c>
    </row>
    <row r="105">
      <c r="A105" t="n">
        <v>104</v>
      </c>
      <c r="B105" t="n">
        <v>0</v>
      </c>
      <c r="C105" t="n">
        <v>15.58471543</v>
      </c>
      <c r="D105" t="n">
        <v>2.597320274</v>
      </c>
      <c r="E105" t="n">
        <v>3.107012527</v>
      </c>
      <c r="F105" t="n">
        <v>0.15</v>
      </c>
      <c r="G105" t="n">
        <v>0.211</v>
      </c>
      <c r="H105" t="n">
        <v>0.573284892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3.343210841</v>
      </c>
      <c r="Q105" t="n">
        <v>3.299587001</v>
      </c>
      <c r="R105" t="n">
        <v>0</v>
      </c>
      <c r="S105" t="n">
        <v>0</v>
      </c>
      <c r="T105" s="15" t="n">
        <v>0.00442</v>
      </c>
      <c r="U105" t="n">
        <v>14.40863589</v>
      </c>
      <c r="V105" t="n">
        <v>0</v>
      </c>
      <c r="W105" t="n">
        <v>0</v>
      </c>
      <c r="X105" t="n">
        <v>0.466049405</v>
      </c>
      <c r="Y105" t="n">
        <v>0.466049405</v>
      </c>
      <c r="Z105" t="n">
        <v>1</v>
      </c>
      <c r="AA105" t="n">
        <v>0.271</v>
      </c>
      <c r="AB105" t="n">
        <v>99.629</v>
      </c>
      <c r="AC105" t="n">
        <v>0</v>
      </c>
      <c r="AD105" s="15" t="n">
        <v>0.0639</v>
      </c>
      <c r="AE105" t="n">
        <v>48.55353084</v>
      </c>
      <c r="AF105" t="n">
        <v>49.07908529</v>
      </c>
      <c r="AG105" t="n">
        <v>41.77379707</v>
      </c>
      <c r="AH105" t="n">
        <v>30.62339734</v>
      </c>
      <c r="AI105" t="n">
        <v>100</v>
      </c>
      <c r="AJ105" t="n">
        <v>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17.703888</v>
      </c>
      <c r="AS105" t="n">
        <v>24.44962</v>
      </c>
      <c r="AT105" t="n">
        <v>53.385916</v>
      </c>
      <c r="AU105" t="n">
        <v>117.393948</v>
      </c>
      <c r="AV105" t="n">
        <v>0</v>
      </c>
    </row>
    <row r="106">
      <c r="A106" t="n">
        <v>105</v>
      </c>
      <c r="B106" t="n">
        <v>0</v>
      </c>
      <c r="C106" t="n">
        <v>11.85660503</v>
      </c>
      <c r="D106" t="n">
        <v>3.3047959</v>
      </c>
      <c r="E106" t="n">
        <v>2.49192891</v>
      </c>
      <c r="F106" t="n">
        <v>0.15</v>
      </c>
      <c r="G106" t="n">
        <v>0.227</v>
      </c>
      <c r="H106" t="n">
        <v>0.547629589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2.615510102</v>
      </c>
      <c r="Q106" s="15" t="n">
        <v>2.12539296</v>
      </c>
      <c r="R106" t="n">
        <v>0</v>
      </c>
      <c r="S106" t="n">
        <v>0</v>
      </c>
      <c r="T106" s="15" t="n">
        <v>0.000311</v>
      </c>
      <c r="U106" t="n">
        <v>12.28293197</v>
      </c>
      <c r="V106" t="n">
        <v>0</v>
      </c>
      <c r="W106" t="n">
        <v>0</v>
      </c>
      <c r="X106" t="n">
        <v>0.373787174</v>
      </c>
      <c r="Y106" t="n">
        <v>0.373787174</v>
      </c>
      <c r="Z106" t="n">
        <v>1</v>
      </c>
      <c r="AA106" t="n">
        <v>0.279</v>
      </c>
      <c r="AB106" t="n">
        <v>99.621</v>
      </c>
      <c r="AC106" t="n">
        <v>0</v>
      </c>
      <c r="AD106" s="15" t="n">
        <v>0.0584</v>
      </c>
      <c r="AE106" t="n">
        <v>49.69766592</v>
      </c>
      <c r="AF106" t="n">
        <v>50.12949884</v>
      </c>
      <c r="AG106" t="n">
        <v>43.54197097</v>
      </c>
      <c r="AH106" t="n">
        <v>31.90955127</v>
      </c>
      <c r="AI106" t="n">
        <v>100</v>
      </c>
      <c r="AJ106" t="n">
        <v>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18.226512</v>
      </c>
      <c r="AS106" t="n">
        <v>25.17138</v>
      </c>
      <c r="AT106" t="n">
        <v>54.961884</v>
      </c>
      <c r="AU106" t="n">
        <v>120.859452</v>
      </c>
      <c r="AV106" t="n">
        <v>0</v>
      </c>
    </row>
    <row r="107">
      <c r="A107" t="n">
        <v>106</v>
      </c>
      <c r="B107" t="n">
        <v>0.727317625</v>
      </c>
      <c r="C107" t="n">
        <v>15.37454387</v>
      </c>
      <c r="D107" t="n">
        <v>2.161249406</v>
      </c>
      <c r="E107" t="n">
        <v>2.892746467</v>
      </c>
      <c r="F107" t="n">
        <v>0.15</v>
      </c>
      <c r="G107" t="n">
        <v>0.243</v>
      </c>
      <c r="H107" t="n">
        <v>0.580428107</v>
      </c>
      <c r="I107" t="n">
        <v>0</v>
      </c>
      <c r="J107" t="n">
        <v>0.685358946</v>
      </c>
      <c r="K107" t="n">
        <v>0.727317625</v>
      </c>
      <c r="L107" t="n">
        <v>0.685358946</v>
      </c>
      <c r="M107" s="15" t="n">
        <v>0.042</v>
      </c>
      <c r="N107" t="n">
        <v>0</v>
      </c>
      <c r="O107" t="n">
        <v>0.685358966</v>
      </c>
      <c r="P107" t="n">
        <v>3.074974491</v>
      </c>
      <c r="Q107" s="15" t="n">
        <v>2.025714085</v>
      </c>
      <c r="R107" t="n">
        <v>0</v>
      </c>
      <c r="S107" t="n">
        <v>0</v>
      </c>
      <c r="T107" s="15" t="n">
        <v>3.79e-05</v>
      </c>
      <c r="U107" t="n">
        <v>10.94253892</v>
      </c>
      <c r="V107" t="n">
        <v>0</v>
      </c>
      <c r="W107" t="n">
        <v>0</v>
      </c>
      <c r="X107" t="n">
        <v>0.433909239</v>
      </c>
      <c r="Y107" t="n">
        <v>0.433909239</v>
      </c>
      <c r="Z107" t="n">
        <v>1</v>
      </c>
      <c r="AA107" t="n">
        <v>0.286</v>
      </c>
      <c r="AB107" t="n">
        <v>99.614</v>
      </c>
      <c r="AC107" t="n">
        <v>0</v>
      </c>
      <c r="AD107" s="15" t="n">
        <v>0.0536</v>
      </c>
      <c r="AE107" t="n">
        <v>50.58919881</v>
      </c>
      <c r="AF107" t="n">
        <v>51.07663792</v>
      </c>
      <c r="AG107" t="n">
        <v>43.93330253</v>
      </c>
      <c r="AH107" t="n">
        <v>32.20934981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18.683808</v>
      </c>
      <c r="AS107" t="n">
        <v>25.80292</v>
      </c>
      <c r="AT107" t="n">
        <v>56.340856</v>
      </c>
      <c r="AU107" t="n">
        <v>123.891768</v>
      </c>
      <c r="AV107" t="n">
        <v>0</v>
      </c>
    </row>
    <row r="108">
      <c r="A108" t="n">
        <v>107</v>
      </c>
      <c r="B108" t="n">
        <v>0</v>
      </c>
      <c r="C108" t="n">
        <v>16.5926759</v>
      </c>
      <c r="D108" t="n">
        <v>1.817980506</v>
      </c>
      <c r="E108" t="n">
        <v>3.112554331</v>
      </c>
      <c r="F108" t="n">
        <v>0.15</v>
      </c>
      <c r="G108" t="n">
        <v>0.259</v>
      </c>
      <c r="H108" t="n">
        <v>0.559644649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3.264889006</v>
      </c>
      <c r="Q108" t="n">
        <v>1.708456711</v>
      </c>
      <c r="R108" s="15" t="n">
        <v>0</v>
      </c>
      <c r="S108" s="15" t="n">
        <v>0</v>
      </c>
      <c r="T108" s="15" t="n">
        <v>4.86e-06</v>
      </c>
      <c r="U108" t="n">
        <v>9.234077348</v>
      </c>
      <c r="V108" t="n">
        <v>0</v>
      </c>
      <c r="W108" t="n">
        <v>0</v>
      </c>
      <c r="X108" t="n">
        <v>0.466879957</v>
      </c>
      <c r="Y108" t="n">
        <v>0.466879957</v>
      </c>
      <c r="Z108" t="n">
        <v>1</v>
      </c>
      <c r="AA108" t="n">
        <v>0.293</v>
      </c>
      <c r="AB108" t="n">
        <v>99.607</v>
      </c>
      <c r="AC108" t="n">
        <v>0</v>
      </c>
      <c r="AD108" s="15" t="n">
        <v>0.0488</v>
      </c>
      <c r="AE108" t="n">
        <v>51.45249763</v>
      </c>
      <c r="AF108" t="n">
        <v>51.96817081</v>
      </c>
      <c r="AG108" t="n">
        <v>45.46374584</v>
      </c>
      <c r="AH108" t="n">
        <v>33.3227996</v>
      </c>
      <c r="AI108" t="n">
        <v>100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19.141104</v>
      </c>
      <c r="AS108" t="n">
        <v>26.43446</v>
      </c>
      <c r="AT108" t="n">
        <v>57.719828</v>
      </c>
      <c r="AU108" t="n">
        <v>126.924084</v>
      </c>
      <c r="AV108" t="n">
        <v>0</v>
      </c>
    </row>
    <row r="109">
      <c r="A109" t="n">
        <v>108</v>
      </c>
      <c r="B109" t="n">
        <v>0</v>
      </c>
      <c r="C109" t="n">
        <v>16.53875059</v>
      </c>
      <c r="D109" t="n">
        <v>7.6</v>
      </c>
      <c r="E109" t="n">
        <v>2.991483622</v>
      </c>
      <c r="F109" t="n">
        <v>0.15</v>
      </c>
      <c r="G109" t="n">
        <v>0.275</v>
      </c>
      <c r="H109" t="n">
        <v>0.55072924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3.141677294</v>
      </c>
      <c r="Q109" t="n">
        <v>1.236552041</v>
      </c>
      <c r="R109" t="n">
        <v>0</v>
      </c>
      <c r="S109" t="n">
        <v>0</v>
      </c>
      <c r="T109" s="15" t="n">
        <v>2.52e-07</v>
      </c>
      <c r="U109" t="n">
        <v>7.997525055</v>
      </c>
      <c r="V109" t="n">
        <v>0</v>
      </c>
      <c r="W109" t="n">
        <v>0</v>
      </c>
      <c r="X109" t="n">
        <v>0.448719214</v>
      </c>
      <c r="Y109" t="n">
        <v>0.448719214</v>
      </c>
      <c r="Z109" t="n">
        <v>1</v>
      </c>
      <c r="AA109" t="n">
        <v>0.3</v>
      </c>
      <c r="AB109" t="n">
        <v>99.59999999999999</v>
      </c>
      <c r="AC109" t="n">
        <v>0</v>
      </c>
      <c r="AD109" s="15" t="n">
        <v>0.0446</v>
      </c>
      <c r="AE109" t="n">
        <v>52.33819716</v>
      </c>
      <c r="AF109" t="n">
        <v>52.83146963</v>
      </c>
      <c r="AG109" t="n">
        <v>46.74982027</v>
      </c>
      <c r="AH109" t="n">
        <v>34.2617002</v>
      </c>
      <c r="AI109" t="n">
        <v>100</v>
      </c>
      <c r="AJ109" t="n">
        <v>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19.5984</v>
      </c>
      <c r="AS109" t="n">
        <v>27.066</v>
      </c>
      <c r="AT109" t="n">
        <v>59.0988</v>
      </c>
      <c r="AU109" t="n">
        <v>129.9564</v>
      </c>
      <c r="AV109" t="n">
        <v>0</v>
      </c>
    </row>
    <row r="110">
      <c r="A110" t="n">
        <v>109</v>
      </c>
      <c r="B110" t="n">
        <v>0</v>
      </c>
      <c r="C110" t="n">
        <v>19.10267973</v>
      </c>
      <c r="D110" t="n">
        <v>5.717980506</v>
      </c>
      <c r="E110" t="n">
        <v>3.251160407</v>
      </c>
      <c r="F110" t="n">
        <v>0.15</v>
      </c>
      <c r="G110" t="n">
        <v>0.291</v>
      </c>
      <c r="H110" t="n">
        <v>0.556384138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3.441987498</v>
      </c>
      <c r="Q110" t="n">
        <v>1.012041775</v>
      </c>
      <c r="R110" t="n">
        <v>0</v>
      </c>
      <c r="S110" t="n">
        <v>0</v>
      </c>
      <c r="T110" s="15" t="n">
        <v>1.23e-08</v>
      </c>
      <c r="U110" t="n">
        <v>6.985483268</v>
      </c>
      <c r="V110" t="n">
        <v>0</v>
      </c>
      <c r="W110" t="n">
        <v>0</v>
      </c>
      <c r="X110" t="n">
        <v>0.487670139</v>
      </c>
      <c r="Y110" t="n">
        <v>0.487670139</v>
      </c>
      <c r="Z110" t="n">
        <v>1</v>
      </c>
      <c r="AA110" t="n">
        <v>0.307</v>
      </c>
      <c r="AB110" t="n">
        <v>99.593</v>
      </c>
      <c r="AC110" t="n">
        <v>0</v>
      </c>
      <c r="AD110" s="15" t="n">
        <v>0.0408</v>
      </c>
      <c r="AE110" t="n">
        <v>53.18873774</v>
      </c>
      <c r="AF110" t="n">
        <v>53.71716916</v>
      </c>
      <c r="AG110" t="n">
        <v>47.7108912</v>
      </c>
      <c r="AH110" t="n">
        <v>34.96845543</v>
      </c>
      <c r="AI110" t="n">
        <v>100</v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20.055696</v>
      </c>
      <c r="AS110" t="n">
        <v>27.69754</v>
      </c>
      <c r="AT110" t="n">
        <v>60.477772</v>
      </c>
      <c r="AU110" t="n">
        <v>132.988716</v>
      </c>
      <c r="AV110" t="n">
        <v>0</v>
      </c>
    </row>
    <row r="111">
      <c r="A111" t="n">
        <v>110</v>
      </c>
      <c r="B111" t="n">
        <v>0</v>
      </c>
      <c r="C111" t="n">
        <v>21.56673493</v>
      </c>
      <c r="D111" t="n">
        <v>3.85071907</v>
      </c>
      <c r="E111" t="n">
        <v>3.803917242</v>
      </c>
      <c r="F111" t="n">
        <v>0.15</v>
      </c>
      <c r="G111" t="n">
        <v>0.307</v>
      </c>
      <c r="H111" t="n">
        <v>0.542813694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4.094710228</v>
      </c>
      <c r="Q111" t="n">
        <v>0.862868826</v>
      </c>
      <c r="R111" t="n">
        <v>0</v>
      </c>
      <c r="S111" s="15" t="n">
        <v>0</v>
      </c>
      <c r="T111" s="15" t="n">
        <v>3.59e-10</v>
      </c>
      <c r="U111" t="n">
        <v>6.122614441</v>
      </c>
      <c r="V111" t="n">
        <v>0</v>
      </c>
      <c r="W111" t="n">
        <v>0</v>
      </c>
      <c r="X111" t="n">
        <v>0.57058262</v>
      </c>
      <c r="Y111" t="n">
        <v>0.57058262</v>
      </c>
      <c r="Z111" t="n">
        <v>1</v>
      </c>
      <c r="AA111" t="n">
        <v>0.314</v>
      </c>
      <c r="AB111" t="n">
        <v>99.586</v>
      </c>
      <c r="AC111" t="n">
        <v>0</v>
      </c>
      <c r="AD111" s="15" t="n">
        <v>0.0369</v>
      </c>
      <c r="AE111" t="n">
        <v>53.96023094</v>
      </c>
      <c r="AF111" t="n">
        <v>54.56770974</v>
      </c>
      <c r="AG111" t="n">
        <v>49.11725141</v>
      </c>
      <c r="AH111" t="n">
        <v>35.99327443</v>
      </c>
      <c r="AI111" t="n">
        <v>100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20.512992</v>
      </c>
      <c r="AS111" t="n">
        <v>28.32908</v>
      </c>
      <c r="AT111" t="n">
        <v>61.856744</v>
      </c>
      <c r="AU111" t="n">
        <v>136.021032</v>
      </c>
      <c r="AV111" t="n">
        <v>0</v>
      </c>
    </row>
    <row r="112">
      <c r="A112" t="n">
        <v>111</v>
      </c>
      <c r="B112" t="n">
        <v>0</v>
      </c>
      <c r="C112" t="n">
        <v>20.77726526</v>
      </c>
      <c r="D112" t="n">
        <v>6.270799538</v>
      </c>
      <c r="E112" t="n">
        <v>3.69034357</v>
      </c>
      <c r="F112" t="n">
        <v>0.15</v>
      </c>
      <c r="G112" t="n">
        <v>0.323</v>
      </c>
      <c r="H112" t="n">
        <v>0.513388286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3.934662898</v>
      </c>
      <c r="Q112" t="n">
        <v>0.58021724</v>
      </c>
      <c r="R112" t="n">
        <v>0</v>
      </c>
      <c r="S112" t="n">
        <v>0</v>
      </c>
      <c r="T112" s="15" t="n">
        <v>3.64e-12</v>
      </c>
      <c r="U112" t="n">
        <v>5.542397201</v>
      </c>
      <c r="V112" t="n">
        <v>0</v>
      </c>
      <c r="W112" t="n">
        <v>0</v>
      </c>
      <c r="X112" t="n">
        <v>0.553546328</v>
      </c>
      <c r="Y112" t="n">
        <v>0.553546328</v>
      </c>
      <c r="Z112" t="n">
        <v>1</v>
      </c>
      <c r="AA112" t="n">
        <v>0.321</v>
      </c>
      <c r="AB112" t="n">
        <v>99.57899999999999</v>
      </c>
      <c r="AC112" t="n">
        <v>0</v>
      </c>
      <c r="AD112" s="15" t="n">
        <v>0.0332</v>
      </c>
      <c r="AE112" t="n">
        <v>54.7524157</v>
      </c>
      <c r="AF112" t="n">
        <v>55.33920294</v>
      </c>
      <c r="AG112" t="n">
        <v>50.91821305</v>
      </c>
      <c r="AH112" t="n">
        <v>37.29995161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20.970288</v>
      </c>
      <c r="AS112" t="n">
        <v>28.96062</v>
      </c>
      <c r="AT112" t="n">
        <v>63.235716</v>
      </c>
      <c r="AU112" t="n">
        <v>139.053348</v>
      </c>
      <c r="AV112" t="n">
        <v>0</v>
      </c>
    </row>
    <row r="113">
      <c r="A113" t="n">
        <v>112</v>
      </c>
      <c r="B113" t="n">
        <v>0</v>
      </c>
      <c r="C113" t="n">
        <v>20.82066023</v>
      </c>
      <c r="D113" t="n">
        <v>7.553925305</v>
      </c>
      <c r="E113" t="n">
        <v>3.533060925</v>
      </c>
      <c r="F113" t="n">
        <v>0.15</v>
      </c>
      <c r="G113" t="n">
        <v>0.339</v>
      </c>
      <c r="H113" t="n">
        <v>0.520471631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3.68454383</v>
      </c>
      <c r="Q113" t="n">
        <v>0.38706717</v>
      </c>
      <c r="R113" t="n">
        <v>0</v>
      </c>
      <c r="S113" t="n">
        <v>0</v>
      </c>
      <c r="T113" s="15" t="n">
        <v>1.81e-14</v>
      </c>
      <c r="U113" t="n">
        <v>5.155330031</v>
      </c>
      <c r="V113" t="n">
        <v>0</v>
      </c>
      <c r="W113" t="n">
        <v>0</v>
      </c>
      <c r="X113" t="n">
        <v>0.5299537560000001</v>
      </c>
      <c r="Y113" t="n">
        <v>0.5299537560000001</v>
      </c>
      <c r="Z113" t="n">
        <v>1</v>
      </c>
      <c r="AA113" t="n">
        <v>0.329</v>
      </c>
      <c r="AB113" t="n">
        <v>99.571</v>
      </c>
      <c r="AC113" t="n">
        <v>0</v>
      </c>
      <c r="AD113" s="15" t="n">
        <v>0.0304</v>
      </c>
      <c r="AE113" t="n">
        <v>55.76801975</v>
      </c>
      <c r="AF113" t="n">
        <v>56.3283837</v>
      </c>
      <c r="AG113" t="n">
        <v>52.01301971</v>
      </c>
      <c r="AH113" t="n">
        <v>38.10512893</v>
      </c>
      <c r="AI113" t="n">
        <v>100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21.492912</v>
      </c>
      <c r="AS113" t="n">
        <v>29.68238</v>
      </c>
      <c r="AT113" t="n">
        <v>64.811684</v>
      </c>
      <c r="AU113" t="n">
        <v>142.518852</v>
      </c>
      <c r="AV113" t="n">
        <v>0</v>
      </c>
    </row>
    <row r="114">
      <c r="A114" t="n">
        <v>113</v>
      </c>
      <c r="B114" t="n">
        <v>0</v>
      </c>
      <c r="C114" t="n">
        <v>22.54928093</v>
      </c>
      <c r="D114" t="n">
        <v>7.340589175</v>
      </c>
      <c r="E114" t="n">
        <v>3.813307549</v>
      </c>
      <c r="F114" t="n">
        <v>0.15</v>
      </c>
      <c r="G114" t="n">
        <v>0.355</v>
      </c>
      <c r="H114" t="n">
        <v>0.531420096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4.01163178</v>
      </c>
      <c r="Q114" t="n">
        <v>0.299741999</v>
      </c>
      <c r="R114" t="n">
        <v>0</v>
      </c>
      <c r="S114" t="n">
        <v>0</v>
      </c>
      <c r="T114" s="15" t="n">
        <v>1.95e-17</v>
      </c>
      <c r="U114" t="n">
        <v>4.855588032</v>
      </c>
      <c r="V114" t="n">
        <v>0</v>
      </c>
      <c r="W114" t="n">
        <v>0</v>
      </c>
      <c r="X114" t="n">
        <v>0.571989869</v>
      </c>
      <c r="Y114" t="n">
        <v>0.571989869</v>
      </c>
      <c r="Z114" t="n">
        <v>1</v>
      </c>
      <c r="AA114" t="n">
        <v>0.336</v>
      </c>
      <c r="AB114" t="n">
        <v>99.56399999999999</v>
      </c>
      <c r="AC114" t="n">
        <v>0</v>
      </c>
      <c r="AD114" s="15" t="n">
        <v>0.0277</v>
      </c>
      <c r="AE114" t="n">
        <v>56.54730119</v>
      </c>
      <c r="AF114" t="n">
        <v>57.14699175</v>
      </c>
      <c r="AG114" t="n">
        <v>52.84472306</v>
      </c>
      <c r="AH114" t="n">
        <v>38.71947876</v>
      </c>
      <c r="AI114" t="n">
        <v>100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21.950208</v>
      </c>
      <c r="AS114" t="n">
        <v>30.31392</v>
      </c>
      <c r="AT114" t="n">
        <v>66.190656</v>
      </c>
      <c r="AU114" t="n">
        <v>145.551168</v>
      </c>
      <c r="AV114" t="n">
        <v>0</v>
      </c>
    </row>
    <row r="115">
      <c r="A115" t="n">
        <v>114</v>
      </c>
      <c r="B115" t="n">
        <v>0</v>
      </c>
      <c r="C115" t="n">
        <v>24.08471543</v>
      </c>
      <c r="D115" t="n">
        <v>8.55071907</v>
      </c>
      <c r="E115" t="n">
        <v>4.192516034</v>
      </c>
      <c r="F115" t="n">
        <v>0.15</v>
      </c>
      <c r="G115" t="n">
        <v>0.371</v>
      </c>
      <c r="H115" t="n">
        <v>0.516655134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4.478070144</v>
      </c>
      <c r="Q115" t="n">
        <v>0.229751054</v>
      </c>
      <c r="R115" t="n">
        <v>0</v>
      </c>
      <c r="S115" t="n">
        <v>0</v>
      </c>
      <c r="T115" s="15" t="n">
        <v>4.25e-25</v>
      </c>
      <c r="U115" t="n">
        <v>4.625836978</v>
      </c>
      <c r="V115" t="n">
        <v>0</v>
      </c>
      <c r="W115" t="n">
        <v>0</v>
      </c>
      <c r="X115" t="n">
        <v>0.628869991</v>
      </c>
      <c r="Y115" t="n">
        <v>0.628869991</v>
      </c>
      <c r="Z115" t="n">
        <v>1</v>
      </c>
      <c r="AA115" t="n">
        <v>0.343</v>
      </c>
      <c r="AB115" t="n">
        <v>99.557</v>
      </c>
      <c r="AC115" t="n">
        <v>0</v>
      </c>
      <c r="AD115" s="15" t="n">
        <v>0.025</v>
      </c>
      <c r="AE115" t="n">
        <v>57.27237482</v>
      </c>
      <c r="AF115" t="n">
        <v>57.92627319</v>
      </c>
      <c r="AG115" t="n">
        <v>54.32418291</v>
      </c>
      <c r="AH115" t="n">
        <v>39.79651179</v>
      </c>
      <c r="AI115" t="n">
        <v>100</v>
      </c>
      <c r="AJ115" t="n">
        <v>0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0</v>
      </c>
      <c r="AR115" t="n">
        <v>22.407504</v>
      </c>
      <c r="AS115" t="n">
        <v>30.94546</v>
      </c>
      <c r="AT115" t="n">
        <v>67.56962799999999</v>
      </c>
      <c r="AU115" t="n">
        <v>148.583484</v>
      </c>
      <c r="AV115" t="n">
        <v>0</v>
      </c>
    </row>
    <row r="116">
      <c r="A116" t="n">
        <v>115</v>
      </c>
      <c r="B116" t="n">
        <v>0</v>
      </c>
      <c r="C116" t="n">
        <v>25.92066023</v>
      </c>
      <c r="D116" t="n">
        <v>8.558679537</v>
      </c>
      <c r="E116" t="n">
        <v>4.391699183</v>
      </c>
      <c r="F116" t="n">
        <v>0.15</v>
      </c>
      <c r="G116" t="n">
        <v>0.388</v>
      </c>
      <c r="H116" t="n">
        <v>0.495722395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4.70122283</v>
      </c>
      <c r="Q116" t="n">
        <v>0.16056629</v>
      </c>
      <c r="R116" s="15" t="n">
        <v>0</v>
      </c>
      <c r="S116" s="15" t="n">
        <v>0</v>
      </c>
      <c r="T116" t="n">
        <v>0</v>
      </c>
      <c r="U116" t="n">
        <v>4.465270688</v>
      </c>
      <c r="V116" t="n">
        <v>0</v>
      </c>
      <c r="W116" t="n">
        <v>0</v>
      </c>
      <c r="X116" t="n">
        <v>0.6587465260000001</v>
      </c>
      <c r="Y116" t="n">
        <v>0.6587465260000001</v>
      </c>
      <c r="Z116" t="n">
        <v>1</v>
      </c>
      <c r="AA116" t="n">
        <v>0.35</v>
      </c>
      <c r="AB116" t="n">
        <v>99.55</v>
      </c>
      <c r="AC116" t="n">
        <v>0</v>
      </c>
      <c r="AD116" s="15" t="n">
        <v>0.0225</v>
      </c>
      <c r="AE116" t="n">
        <v>57.97014201</v>
      </c>
      <c r="AF116" t="n">
        <v>58.65134682</v>
      </c>
      <c r="AG116" t="n">
        <v>55.98044267</v>
      </c>
      <c r="AH116" t="n">
        <v>40.99983048</v>
      </c>
      <c r="AI116" t="n">
        <v>100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22.8648</v>
      </c>
      <c r="AS116" t="n">
        <v>31.577</v>
      </c>
      <c r="AT116" t="n">
        <v>68.9486</v>
      </c>
      <c r="AU116" t="n">
        <v>151.6158</v>
      </c>
      <c r="AV116" t="n">
        <v>0</v>
      </c>
    </row>
    <row r="117">
      <c r="A117" t="n">
        <v>116</v>
      </c>
      <c r="B117" t="n">
        <v>0</v>
      </c>
      <c r="C117" t="n">
        <v>17.3460747</v>
      </c>
      <c r="D117" t="n">
        <v>11.7460747</v>
      </c>
      <c r="E117" t="n">
        <v>1.796859177</v>
      </c>
      <c r="F117" t="n">
        <v>0.15</v>
      </c>
      <c r="G117" t="n">
        <v>0.404</v>
      </c>
      <c r="H117" t="n">
        <v>0.485601226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1.8162941</v>
      </c>
      <c r="Q117" s="15" t="n">
        <v>0.0463</v>
      </c>
      <c r="R117" s="15" t="n">
        <v>0</v>
      </c>
      <c r="S117" s="15" t="n">
        <v>0</v>
      </c>
      <c r="T117" t="n">
        <v>0</v>
      </c>
      <c r="U117" t="n">
        <v>4.419012801</v>
      </c>
      <c r="V117" t="n">
        <v>0</v>
      </c>
      <c r="W117" t="n">
        <v>0</v>
      </c>
      <c r="X117" t="n">
        <v>0.269525207</v>
      </c>
      <c r="Y117" t="n">
        <v>0.269525207</v>
      </c>
      <c r="Z117" t="n">
        <v>1</v>
      </c>
      <c r="AA117" t="n">
        <v>0.357</v>
      </c>
      <c r="AB117" t="n">
        <v>99.54300000000001</v>
      </c>
      <c r="AC117" t="n">
        <v>0</v>
      </c>
      <c r="AD117" s="15" t="n">
        <v>0.021</v>
      </c>
      <c r="AE117" t="n">
        <v>59.05856224</v>
      </c>
      <c r="AF117" t="n">
        <v>59.34911401</v>
      </c>
      <c r="AG117" t="n">
        <v>57.37011793</v>
      </c>
      <c r="AH117" t="n">
        <v>42.01273166</v>
      </c>
      <c r="AI117" t="n">
        <v>100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23.322096</v>
      </c>
      <c r="AS117" t="n">
        <v>32.20854</v>
      </c>
      <c r="AT117" t="n">
        <v>70.327572</v>
      </c>
      <c r="AU117" t="n">
        <v>154.648116</v>
      </c>
      <c r="AV117" t="n">
        <v>0</v>
      </c>
    </row>
    <row r="118">
      <c r="A118" t="n">
        <v>117</v>
      </c>
      <c r="B118" t="n">
        <v>0.258348514</v>
      </c>
      <c r="C118" t="n">
        <v>16.28201949</v>
      </c>
      <c r="D118" t="n">
        <v>10.2926759</v>
      </c>
      <c r="E118" t="n">
        <v>1.857145293</v>
      </c>
      <c r="F118" t="n">
        <v>0.15</v>
      </c>
      <c r="G118" t="n">
        <v>0.42</v>
      </c>
      <c r="H118" t="n">
        <v>0.6165672250000001</v>
      </c>
      <c r="I118" t="n">
        <v>0</v>
      </c>
      <c r="J118" t="n">
        <v>0.226719359</v>
      </c>
      <c r="K118" t="n">
        <v>0.258348514</v>
      </c>
      <c r="L118" t="n">
        <v>0.226719359</v>
      </c>
      <c r="M118" s="15" t="n">
        <v>0.0316</v>
      </c>
      <c r="N118" t="n">
        <v>0</v>
      </c>
      <c r="O118" t="n">
        <v>0.226719366</v>
      </c>
      <c r="P118" t="n">
        <v>1.830761509</v>
      </c>
      <c r="Q118" s="15" t="n">
        <v>0.0565</v>
      </c>
      <c r="R118" s="15" t="n">
        <v>0</v>
      </c>
      <c r="S118" s="15" t="n">
        <v>0</v>
      </c>
      <c r="T118" t="n">
        <v>0</v>
      </c>
      <c r="U118" t="n">
        <v>4.589198841</v>
      </c>
      <c r="V118" t="n">
        <v>0</v>
      </c>
      <c r="W118" t="n">
        <v>0</v>
      </c>
      <c r="X118" s="15" t="n">
        <v>0.278567726</v>
      </c>
      <c r="Y118" s="15" t="n">
        <v>0.278567726</v>
      </c>
      <c r="Z118" t="n">
        <v>1</v>
      </c>
      <c r="AA118" t="n">
        <v>0.364</v>
      </c>
      <c r="AB118" t="n">
        <v>99.536</v>
      </c>
      <c r="AC118" t="n">
        <v>0</v>
      </c>
      <c r="AD118" s="15" t="n">
        <v>0.0207</v>
      </c>
      <c r="AE118" t="n">
        <v>60.13830498</v>
      </c>
      <c r="AF118" t="n">
        <v>60.43753424</v>
      </c>
      <c r="AG118" t="n">
        <v>54.9318925</v>
      </c>
      <c r="AH118" t="n">
        <v>40.29141807</v>
      </c>
      <c r="AI118" t="n">
        <v>100</v>
      </c>
      <c r="AJ118" t="n">
        <v>0</v>
      </c>
      <c r="AK118" t="n">
        <v>0</v>
      </c>
      <c r="AL118" t="n">
        <v>1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23.779392</v>
      </c>
      <c r="AS118" t="n">
        <v>32.84008</v>
      </c>
      <c r="AT118" t="n">
        <v>71.70654399999999</v>
      </c>
      <c r="AU118" t="n">
        <v>157.680432</v>
      </c>
      <c r="AV118" t="n">
        <v>0</v>
      </c>
    </row>
    <row r="119">
      <c r="A119" t="n">
        <v>118</v>
      </c>
      <c r="B119" t="n">
        <v>0.5151833179999999</v>
      </c>
      <c r="C119" t="n">
        <v>20.0926759</v>
      </c>
      <c r="D119" t="n">
        <v>11.37201567</v>
      </c>
      <c r="E119" t="n">
        <v>2.871870399</v>
      </c>
      <c r="F119" t="n">
        <v>0.15</v>
      </c>
      <c r="G119" t="n">
        <v>0.436</v>
      </c>
      <c r="H119" t="n">
        <v>0.615626828</v>
      </c>
      <c r="I119" t="n">
        <v>0</v>
      </c>
      <c r="J119" t="n">
        <v>0.4569711</v>
      </c>
      <c r="K119" t="n">
        <v>0.5151833179999999</v>
      </c>
      <c r="L119" t="n">
        <v>0.4569711</v>
      </c>
      <c r="M119" s="15" t="n">
        <v>0.0582</v>
      </c>
      <c r="N119" t="n">
        <v>0</v>
      </c>
      <c r="O119" t="n">
        <v>0.456971113</v>
      </c>
      <c r="P119" t="n">
        <v>2.930490676</v>
      </c>
      <c r="Q119" t="n">
        <v>0.152334861</v>
      </c>
      <c r="R119" t="n">
        <v>0</v>
      </c>
      <c r="S119" t="n">
        <v>0</v>
      </c>
      <c r="T119" s="15" t="n">
        <v>2.38e-24</v>
      </c>
      <c r="U119" t="n">
        <v>4.893835093</v>
      </c>
      <c r="V119" t="n">
        <v>0</v>
      </c>
      <c r="W119" t="n">
        <v>0</v>
      </c>
      <c r="X119" t="n">
        <v>0.43077382</v>
      </c>
      <c r="Y119" t="n">
        <v>0.43077382</v>
      </c>
      <c r="Z119" t="n">
        <v>1</v>
      </c>
      <c r="AA119" t="n">
        <v>0.371</v>
      </c>
      <c r="AB119" t="n">
        <v>99.529</v>
      </c>
      <c r="AC119" t="n">
        <v>0</v>
      </c>
      <c r="AD119" s="15" t="n">
        <v>0.02</v>
      </c>
      <c r="AE119" t="n">
        <v>61.06653529</v>
      </c>
      <c r="AF119" t="n">
        <v>61.51727698</v>
      </c>
      <c r="AG119" t="n">
        <v>56.014352</v>
      </c>
      <c r="AH119" t="n">
        <v>41.08487943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  <c r="AR119" t="n">
        <v>24.236688</v>
      </c>
      <c r="AS119" t="n">
        <v>33.47162</v>
      </c>
      <c r="AT119" t="n">
        <v>73.085516</v>
      </c>
      <c r="AU119" t="n">
        <v>160.712748</v>
      </c>
      <c r="AV119" t="n">
        <v>0</v>
      </c>
    </row>
    <row r="120">
      <c r="A120" t="n">
        <v>119</v>
      </c>
      <c r="B120" t="n">
        <v>6.84972576</v>
      </c>
      <c r="C120" t="n">
        <v>16.10267973</v>
      </c>
      <c r="D120" t="n">
        <v>13.2460747</v>
      </c>
      <c r="E120" t="n">
        <v>1.299801292</v>
      </c>
      <c r="F120" t="n">
        <v>0.15</v>
      </c>
      <c r="G120" t="n">
        <v>0.452</v>
      </c>
      <c r="H120" t="n">
        <v>0.565549419</v>
      </c>
      <c r="I120" t="n">
        <v>0</v>
      </c>
      <c r="J120" t="n">
        <v>6.634962231</v>
      </c>
      <c r="K120" t="n">
        <v>6.84972576</v>
      </c>
      <c r="L120" t="n">
        <v>6.634962231</v>
      </c>
      <c r="M120" t="n">
        <v>0.214763529</v>
      </c>
      <c r="N120" t="n">
        <v>0</v>
      </c>
      <c r="O120" t="n">
        <v>6.634962429</v>
      </c>
      <c r="P120" t="n">
        <v>1.228372469</v>
      </c>
      <c r="Q120" t="n">
        <v>0.421415373</v>
      </c>
      <c r="R120" t="n">
        <v>0</v>
      </c>
      <c r="S120" t="n">
        <v>0</v>
      </c>
      <c r="T120" s="15" t="n">
        <v>1.17e-06</v>
      </c>
      <c r="U120" t="n">
        <v>11.10738098</v>
      </c>
      <c r="V120" t="n">
        <v>0</v>
      </c>
      <c r="W120" t="n">
        <v>0</v>
      </c>
      <c r="X120" t="n">
        <v>0.19496693</v>
      </c>
      <c r="Y120" t="n">
        <v>0.19496693</v>
      </c>
      <c r="Z120" t="n">
        <v>1</v>
      </c>
      <c r="AA120" t="n">
        <v>0.379</v>
      </c>
      <c r="AB120" t="n">
        <v>99.521</v>
      </c>
      <c r="AC120" t="n">
        <v>0</v>
      </c>
      <c r="AD120" s="15" t="n">
        <v>0.0196</v>
      </c>
      <c r="AE120" t="n">
        <v>62.42793491</v>
      </c>
      <c r="AF120" t="n">
        <v>62.64250329</v>
      </c>
      <c r="AG120" t="n">
        <v>58.64078511</v>
      </c>
      <c r="AH120" t="n">
        <v>42.98407565</v>
      </c>
      <c r="AI120" t="n">
        <v>100</v>
      </c>
      <c r="AJ120" t="n">
        <v>0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24.759312</v>
      </c>
      <c r="AS120" t="n">
        <v>34.19338</v>
      </c>
      <c r="AT120" t="n">
        <v>74.661484</v>
      </c>
      <c r="AU120" t="n">
        <v>164.178252</v>
      </c>
      <c r="AV120" t="n">
        <v>0</v>
      </c>
    </row>
    <row r="121">
      <c r="A121" t="n">
        <v>120</v>
      </c>
      <c r="B121" t="n">
        <v>3.210243875</v>
      </c>
      <c r="C121" t="n">
        <v>20.03875059</v>
      </c>
      <c r="D121" t="n">
        <v>12.82066023</v>
      </c>
      <c r="E121" t="n">
        <v>2.188112266</v>
      </c>
      <c r="F121" t="n">
        <v>0.15</v>
      </c>
      <c r="G121" t="n">
        <v>0.468</v>
      </c>
      <c r="H121" t="n">
        <v>0.643066421</v>
      </c>
      <c r="I121" t="n">
        <v>0</v>
      </c>
      <c r="J121" t="n">
        <v>3.030325192</v>
      </c>
      <c r="K121" t="n">
        <v>3.210243875</v>
      </c>
      <c r="L121" t="n">
        <v>3.030325192</v>
      </c>
      <c r="M121" t="n">
        <v>0.179918683</v>
      </c>
      <c r="N121" t="n">
        <v>0</v>
      </c>
      <c r="O121" t="n">
        <v>3.030325282</v>
      </c>
      <c r="P121" t="n">
        <v>2.137086769</v>
      </c>
      <c r="Q121" t="n">
        <v>1.466660051</v>
      </c>
      <c r="R121" t="n">
        <v>0</v>
      </c>
      <c r="S121" t="n">
        <v>0</v>
      </c>
      <c r="T121" s="15" t="n">
        <v>4.21e-05</v>
      </c>
      <c r="U121" t="n">
        <v>12.67100407</v>
      </c>
      <c r="V121" t="n">
        <v>0</v>
      </c>
      <c r="W121" t="n">
        <v>0</v>
      </c>
      <c r="X121" t="n">
        <v>0.328210969</v>
      </c>
      <c r="Y121" t="n">
        <v>0.328210969</v>
      </c>
      <c r="Z121" t="n">
        <v>1</v>
      </c>
      <c r="AA121" t="n">
        <v>0.386</v>
      </c>
      <c r="AB121" t="n">
        <v>99.514</v>
      </c>
      <c r="AC121" t="n">
        <v>0</v>
      </c>
      <c r="AD121" s="15" t="n">
        <v>0.0194</v>
      </c>
      <c r="AE121" t="n">
        <v>63.45936621</v>
      </c>
      <c r="AF121" t="n">
        <v>63.80690691</v>
      </c>
      <c r="AG121" t="n">
        <v>57.48742695</v>
      </c>
      <c r="AH121" t="n">
        <v>42.18052439</v>
      </c>
      <c r="AI121" t="n">
        <v>100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25.216608</v>
      </c>
      <c r="AS121" t="n">
        <v>34.82492</v>
      </c>
      <c r="AT121" t="n">
        <v>76.04045600000001</v>
      </c>
      <c r="AU121" t="n">
        <v>167.210568</v>
      </c>
      <c r="AV121" t="n">
        <v>0</v>
      </c>
    </row>
    <row r="122">
      <c r="A122" t="n">
        <v>121</v>
      </c>
      <c r="B122" t="n">
        <v>14.58369928</v>
      </c>
      <c r="C122" t="n">
        <v>18.90537566</v>
      </c>
      <c r="D122" t="n">
        <v>11.42545613</v>
      </c>
      <c r="E122" t="n">
        <v>1.669758514</v>
      </c>
      <c r="F122" t="n">
        <v>0.15</v>
      </c>
      <c r="G122" t="n">
        <v>0.484</v>
      </c>
      <c r="H122" t="n">
        <v>0.601388088</v>
      </c>
      <c r="I122" t="n">
        <v>0</v>
      </c>
      <c r="J122" t="n">
        <v>14.32520416</v>
      </c>
      <c r="K122" t="n">
        <v>14.58369928</v>
      </c>
      <c r="L122" t="n">
        <v>14.32520416</v>
      </c>
      <c r="M122" t="n">
        <v>0.258495118</v>
      </c>
      <c r="N122" t="n">
        <v>0</v>
      </c>
      <c r="O122" t="n">
        <v>14.32520459</v>
      </c>
      <c r="P122" t="n">
        <v>1.610219338</v>
      </c>
      <c r="Q122" t="n">
        <v>1.609769537</v>
      </c>
      <c r="R122" s="15" t="n">
        <v>0</v>
      </c>
      <c r="S122" s="15" t="n">
        <v>0</v>
      </c>
      <c r="T122" s="15" t="n">
        <v>0.0915</v>
      </c>
      <c r="U122" t="n">
        <v>25.29498115</v>
      </c>
      <c r="V122" t="n">
        <v>0</v>
      </c>
      <c r="W122" t="n">
        <v>0</v>
      </c>
      <c r="X122" t="n">
        <v>0.250458996</v>
      </c>
      <c r="Y122" t="n">
        <v>0.250458996</v>
      </c>
      <c r="Z122" t="n">
        <v>1</v>
      </c>
      <c r="AA122" t="n">
        <v>0.393</v>
      </c>
      <c r="AB122" t="n">
        <v>99.50700000000001</v>
      </c>
      <c r="AC122" t="n">
        <v>0</v>
      </c>
      <c r="AD122" s="15" t="n">
        <v>0.0191</v>
      </c>
      <c r="AE122" t="n">
        <v>64.66026607000001</v>
      </c>
      <c r="AF122" t="n">
        <v>64.83833821</v>
      </c>
      <c r="AG122" t="n">
        <v>59.75420763</v>
      </c>
      <c r="AH122" t="n">
        <v>43.81992945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25.673904</v>
      </c>
      <c r="AS122" t="n">
        <v>35.45646</v>
      </c>
      <c r="AT122" t="n">
        <v>77.419428</v>
      </c>
      <c r="AU122" t="n">
        <v>170.242884</v>
      </c>
      <c r="AV122" t="n">
        <v>0</v>
      </c>
    </row>
    <row r="123">
      <c r="A123" t="n">
        <v>122</v>
      </c>
      <c r="B123" t="n">
        <v>0.424268615</v>
      </c>
      <c r="C123" t="n">
        <v>22.68471543</v>
      </c>
      <c r="D123" t="n">
        <v>10.65660503</v>
      </c>
      <c r="E123" t="n">
        <v>4.184740037</v>
      </c>
      <c r="F123" t="n">
        <v>0.15</v>
      </c>
      <c r="G123" t="n">
        <v>0.5</v>
      </c>
      <c r="H123" t="n">
        <v>0.625572864</v>
      </c>
      <c r="I123" t="n">
        <v>0</v>
      </c>
      <c r="J123" t="n">
        <v>0.367045047</v>
      </c>
      <c r="K123" t="n">
        <v>0.424268615</v>
      </c>
      <c r="L123" t="n">
        <v>0.367045047</v>
      </c>
      <c r="M123" s="15" t="n">
        <v>0.0572</v>
      </c>
      <c r="N123" t="n">
        <v>0</v>
      </c>
      <c r="O123" t="n">
        <v>0.367045058</v>
      </c>
      <c r="P123" t="n">
        <v>4.452708778</v>
      </c>
      <c r="Q123" t="n">
        <v>4.452708778</v>
      </c>
      <c r="R123" t="n">
        <v>0</v>
      </c>
      <c r="S123" t="n">
        <v>0</v>
      </c>
      <c r="T123" t="n">
        <v>0.299451908</v>
      </c>
      <c r="U123" t="n">
        <v>20.90986553</v>
      </c>
      <c r="V123" t="n">
        <v>0</v>
      </c>
      <c r="W123" t="n">
        <v>0</v>
      </c>
      <c r="X123" t="n">
        <v>0.627698234</v>
      </c>
      <c r="Y123" t="n">
        <v>0.627698234</v>
      </c>
      <c r="Z123" t="n">
        <v>1</v>
      </c>
      <c r="AA123" t="n">
        <v>0.4</v>
      </c>
      <c r="AB123" t="n">
        <v>99.5</v>
      </c>
      <c r="AC123" t="n">
        <v>0</v>
      </c>
      <c r="AD123" s="15" t="n">
        <v>0.0193</v>
      </c>
      <c r="AE123" t="n">
        <v>65.69166711</v>
      </c>
      <c r="AF123" t="n">
        <v>66.03923807</v>
      </c>
      <c r="AG123" t="n">
        <v>60.09547293</v>
      </c>
      <c r="AH123" t="n">
        <v>44.08396638</v>
      </c>
      <c r="AI123" t="n">
        <v>100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26.1312</v>
      </c>
      <c r="AS123" t="n">
        <v>36.088</v>
      </c>
      <c r="AT123" t="n">
        <v>78.7984</v>
      </c>
      <c r="AU123" t="n">
        <v>173.2752</v>
      </c>
      <c r="AV123" t="n">
        <v>0</v>
      </c>
    </row>
    <row r="124">
      <c r="A124" t="n">
        <v>123</v>
      </c>
      <c r="B124" s="15" t="n">
        <v>0</v>
      </c>
      <c r="C124" t="n">
        <v>20.9952041</v>
      </c>
      <c r="D124" t="n">
        <v>9.589511332000001</v>
      </c>
      <c r="E124" t="n">
        <v>4.069723265</v>
      </c>
      <c r="F124" t="n">
        <v>0.171</v>
      </c>
      <c r="G124" t="n">
        <v>0.609</v>
      </c>
      <c r="H124" t="n">
        <v>0.49678372</v>
      </c>
      <c r="I124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t="n">
        <v>0</v>
      </c>
      <c r="O124" s="15" t="n">
        <v>0</v>
      </c>
      <c r="P124" t="n">
        <v>4.224988344</v>
      </c>
      <c r="Q124" t="n">
        <v>4.224988344</v>
      </c>
      <c r="R124" t="n">
        <v>0</v>
      </c>
      <c r="S124" t="n">
        <v>0</v>
      </c>
      <c r="T124" s="15" t="n">
        <v>0.0319</v>
      </c>
      <c r="U124" t="n">
        <v>16.65294979</v>
      </c>
      <c r="V124" t="n">
        <v>0</v>
      </c>
      <c r="W124" t="n">
        <v>0</v>
      </c>
      <c r="X124" t="n">
        <v>0.695907604</v>
      </c>
      <c r="Y124" t="n">
        <v>0.695907604</v>
      </c>
      <c r="Z124" t="n">
        <v>1</v>
      </c>
      <c r="AA124" t="n">
        <v>0.408</v>
      </c>
      <c r="AB124" t="n">
        <v>99.492</v>
      </c>
      <c r="AC124" t="n">
        <v>0</v>
      </c>
      <c r="AD124" s="15" t="n">
        <v>0.0181</v>
      </c>
      <c r="AE124" t="n">
        <v>66.58550912</v>
      </c>
      <c r="AF124" t="n">
        <v>67.26763511</v>
      </c>
      <c r="AG124" t="n">
        <v>65.2248364</v>
      </c>
      <c r="AH124" t="n">
        <v>47.77097</v>
      </c>
      <c r="AI124" t="n">
        <v>100</v>
      </c>
      <c r="AJ124" t="n">
        <v>0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26.653824</v>
      </c>
      <c r="AS124" t="n">
        <v>36.80976</v>
      </c>
      <c r="AT124" t="n">
        <v>80.374368</v>
      </c>
      <c r="AU124" t="n">
        <v>176.740704</v>
      </c>
      <c r="AV124" t="n">
        <v>0</v>
      </c>
    </row>
    <row r="125">
      <c r="A125" t="n">
        <v>124</v>
      </c>
      <c r="B125" s="15" t="n">
        <v>0</v>
      </c>
      <c r="C125" t="n">
        <v>22.52066023</v>
      </c>
      <c r="D125" t="n">
        <v>6.897320274</v>
      </c>
      <c r="E125" t="n">
        <v>4.260680027</v>
      </c>
      <c r="F125" t="n">
        <v>0.192</v>
      </c>
      <c r="G125" t="n">
        <v>0.719</v>
      </c>
      <c r="H125" t="n">
        <v>0.503164162</v>
      </c>
      <c r="I125" t="n">
        <v>0</v>
      </c>
      <c r="J125" s="15" t="n">
        <v>0</v>
      </c>
      <c r="K125" s="15" t="n">
        <v>0</v>
      </c>
      <c r="L125" s="15" t="n">
        <v>0</v>
      </c>
      <c r="M125" s="15" t="n">
        <v>0</v>
      </c>
      <c r="N125" t="n">
        <v>0</v>
      </c>
      <c r="O125" s="15" t="n">
        <v>0</v>
      </c>
      <c r="P125" t="n">
        <v>4.346673214</v>
      </c>
      <c r="Q125" t="n">
        <v>3.95829199</v>
      </c>
      <c r="R125" t="n">
        <v>0</v>
      </c>
      <c r="S125" t="n">
        <v>0</v>
      </c>
      <c r="T125" s="15" t="n">
        <v>0.00179</v>
      </c>
      <c r="U125" t="n">
        <v>12.69287042</v>
      </c>
      <c r="V125" t="n">
        <v>0</v>
      </c>
      <c r="W125" t="n">
        <v>0</v>
      </c>
      <c r="X125" t="n">
        <v>0.818031726</v>
      </c>
      <c r="Y125" t="n">
        <v>0.818031726</v>
      </c>
      <c r="Z125" t="n">
        <v>1</v>
      </c>
      <c r="AA125" t="n">
        <v>0.416</v>
      </c>
      <c r="AB125" t="n">
        <v>99.48399999999999</v>
      </c>
      <c r="AC125" t="n">
        <v>0</v>
      </c>
      <c r="AD125" s="15" t="n">
        <v>0.0164</v>
      </c>
      <c r="AE125" t="n">
        <v>67.3288368</v>
      </c>
      <c r="AF125" t="n">
        <v>68.16147712</v>
      </c>
      <c r="AG125" t="n">
        <v>66.30536657</v>
      </c>
      <c r="AH125" t="n">
        <v>48.56594984</v>
      </c>
      <c r="AI125" t="n">
        <v>100</v>
      </c>
      <c r="AJ125" t="n">
        <v>0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27.176448</v>
      </c>
      <c r="AS125" t="n">
        <v>37.53152</v>
      </c>
      <c r="AT125" t="n">
        <v>81.95033599999999</v>
      </c>
      <c r="AU125" t="n">
        <v>180.206208</v>
      </c>
      <c r="AV125" t="n">
        <v>0</v>
      </c>
    </row>
    <row r="126">
      <c r="A126" t="n">
        <v>125</v>
      </c>
      <c r="B126" t="n">
        <v>0</v>
      </c>
      <c r="C126" t="n">
        <v>21.6640552</v>
      </c>
      <c r="D126" t="n">
        <v>9.412120001</v>
      </c>
      <c r="E126" t="n">
        <v>3.482993473</v>
      </c>
      <c r="F126" t="n">
        <v>0.213</v>
      </c>
      <c r="G126" t="n">
        <v>0.828</v>
      </c>
      <c r="H126" t="n">
        <v>0.493411803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3.292732223</v>
      </c>
      <c r="Q126" t="n">
        <v>2.164908648</v>
      </c>
      <c r="R126" t="n">
        <v>0</v>
      </c>
      <c r="S126" t="n">
        <v>0</v>
      </c>
      <c r="T126" s="15" t="n">
        <v>4.71e-05</v>
      </c>
      <c r="U126" t="n">
        <v>10.52791463</v>
      </c>
      <c r="V126" t="n">
        <v>0</v>
      </c>
      <c r="W126" t="n">
        <v>0</v>
      </c>
      <c r="X126" t="n">
        <v>0.7418594670000001</v>
      </c>
      <c r="Y126" t="n">
        <v>0.7418594670000001</v>
      </c>
      <c r="Z126" t="n">
        <v>1</v>
      </c>
      <c r="AA126" t="n">
        <v>0.424</v>
      </c>
      <c r="AB126" t="n">
        <v>99.476</v>
      </c>
      <c r="AC126" t="n">
        <v>0</v>
      </c>
      <c r="AD126" s="15" t="n">
        <v>0.0147</v>
      </c>
      <c r="AE126" t="n">
        <v>68.14825432000001</v>
      </c>
      <c r="AF126" t="n">
        <v>68.90480479999999</v>
      </c>
      <c r="AG126" t="n">
        <v>67.88953293</v>
      </c>
      <c r="AH126" t="n">
        <v>49.72066981</v>
      </c>
      <c r="AI126" t="n">
        <v>100</v>
      </c>
      <c r="AJ126" t="n">
        <v>0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1</v>
      </c>
      <c r="AQ126" t="n">
        <v>0</v>
      </c>
      <c r="AR126" t="n">
        <v>27.699072</v>
      </c>
      <c r="AS126" t="n">
        <v>38.25328</v>
      </c>
      <c r="AT126" t="n">
        <v>83.526304</v>
      </c>
      <c r="AU126" t="n">
        <v>183.671712</v>
      </c>
      <c r="AV126" t="n">
        <v>0</v>
      </c>
    </row>
    <row r="127">
      <c r="A127" t="n">
        <v>126</v>
      </c>
      <c r="B127" t="n">
        <v>0</v>
      </c>
      <c r="C127" t="n">
        <v>21.12066023</v>
      </c>
      <c r="D127" t="n">
        <v>6.807324101</v>
      </c>
      <c r="E127" t="n">
        <v>3.770651456</v>
      </c>
      <c r="F127" t="n">
        <v>0.233</v>
      </c>
      <c r="G127" t="n">
        <v>0.9370000000000001</v>
      </c>
      <c r="H127" t="n">
        <v>0.538616332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3.552634417</v>
      </c>
      <c r="Q127" t="n">
        <v>1.72445889</v>
      </c>
      <c r="R127" t="n">
        <v>0</v>
      </c>
      <c r="S127" t="n">
        <v>0</v>
      </c>
      <c r="T127" s="15" t="n">
        <v>2.47e-06</v>
      </c>
      <c r="U127" t="n">
        <v>8.803453268</v>
      </c>
      <c r="V127" t="n">
        <v>0</v>
      </c>
      <c r="W127" t="n">
        <v>0</v>
      </c>
      <c r="X127" t="n">
        <v>0.878539001</v>
      </c>
      <c r="Y127" t="n">
        <v>0.878539001</v>
      </c>
      <c r="Z127" t="n">
        <v>1</v>
      </c>
      <c r="AA127" t="n">
        <v>0.433</v>
      </c>
      <c r="AB127" t="n">
        <v>99.467</v>
      </c>
      <c r="AC127" t="n">
        <v>0</v>
      </c>
      <c r="AD127" s="15" t="n">
        <v>0.0133</v>
      </c>
      <c r="AE127" t="n">
        <v>69.02935816</v>
      </c>
      <c r="AF127" t="n">
        <v>69.92121831999999</v>
      </c>
      <c r="AG127" t="n">
        <v>67.86759375</v>
      </c>
      <c r="AH127" t="n">
        <v>49.73106811</v>
      </c>
      <c r="AI127" t="n">
        <v>100</v>
      </c>
      <c r="AJ127" t="n">
        <v>0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1</v>
      </c>
      <c r="AQ127" t="n">
        <v>0</v>
      </c>
      <c r="AR127" t="n">
        <v>28.287024</v>
      </c>
      <c r="AS127" t="n">
        <v>39.06526</v>
      </c>
      <c r="AT127" t="n">
        <v>85.299268</v>
      </c>
      <c r="AU127" t="n">
        <v>187.570404</v>
      </c>
      <c r="AV127" t="n">
        <v>0</v>
      </c>
    </row>
    <row r="128">
      <c r="A128" t="n">
        <v>127</v>
      </c>
      <c r="B128" t="n">
        <v>0</v>
      </c>
      <c r="C128" t="n">
        <v>25.38471543</v>
      </c>
      <c r="D128" t="n">
        <v>10.7539253</v>
      </c>
      <c r="E128" t="n">
        <v>5.079814836</v>
      </c>
      <c r="F128" t="n">
        <v>0.254</v>
      </c>
      <c r="G128" t="n">
        <v>1.047</v>
      </c>
      <c r="H128" t="n">
        <v>0.522753063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5.008294625</v>
      </c>
      <c r="Q128" t="n">
        <v>1.669023305</v>
      </c>
      <c r="R128" t="n">
        <v>0</v>
      </c>
      <c r="S128" t="n">
        <v>0</v>
      </c>
      <c r="T128" s="15" t="n">
        <v>8.44e-08</v>
      </c>
      <c r="U128" t="n">
        <v>7.134429878</v>
      </c>
      <c r="V128" t="n">
        <v>0</v>
      </c>
      <c r="W128" t="n">
        <v>0</v>
      </c>
      <c r="X128" t="n">
        <v>1.290237518</v>
      </c>
      <c r="Y128" t="n">
        <v>1.290237518</v>
      </c>
      <c r="Z128" t="n">
        <v>1</v>
      </c>
      <c r="AA128" t="n">
        <v>0.441</v>
      </c>
      <c r="AB128" t="n">
        <v>99.459</v>
      </c>
      <c r="AC128" t="n">
        <v>0</v>
      </c>
      <c r="AD128" s="15" t="n">
        <v>0.0114</v>
      </c>
      <c r="AE128" t="n">
        <v>69.30370988999999</v>
      </c>
      <c r="AF128" t="n">
        <v>70.60532616</v>
      </c>
      <c r="AG128" t="n">
        <v>69.64437961</v>
      </c>
      <c r="AH128" t="n">
        <v>51.02337343</v>
      </c>
      <c r="AI128" t="n">
        <v>100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28.809648</v>
      </c>
      <c r="AS128" t="n">
        <v>39.78702</v>
      </c>
      <c r="AT128" t="n">
        <v>86.875236</v>
      </c>
      <c r="AU128" t="n">
        <v>191.035908</v>
      </c>
      <c r="AV128" t="n">
        <v>0</v>
      </c>
    </row>
    <row r="129">
      <c r="A129" t="n">
        <v>128</v>
      </c>
      <c r="B129" t="n">
        <v>0</v>
      </c>
      <c r="C129" t="n">
        <v>22.27454387</v>
      </c>
      <c r="D129" t="n">
        <v>10.7640552</v>
      </c>
      <c r="E129" t="n">
        <v>4.165839993</v>
      </c>
      <c r="F129" t="n">
        <v>0.275</v>
      </c>
      <c r="G129" t="n">
        <v>1.156</v>
      </c>
      <c r="H129" t="n">
        <v>0.448058715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3.717479537</v>
      </c>
      <c r="Q129" t="n">
        <v>0.837659312</v>
      </c>
      <c r="R129" t="n">
        <v>0</v>
      </c>
      <c r="S129" t="n">
        <v>0</v>
      </c>
      <c r="T129" s="15" t="n">
        <v>6.65e-10</v>
      </c>
      <c r="U129" t="n">
        <v>6.296770566</v>
      </c>
      <c r="V129" t="n">
        <v>0</v>
      </c>
      <c r="W129" t="n">
        <v>0</v>
      </c>
      <c r="X129" t="n">
        <v>1.145572698</v>
      </c>
      <c r="Y129" t="n">
        <v>1.145572698</v>
      </c>
      <c r="Z129" t="n">
        <v>1</v>
      </c>
      <c r="AA129" t="n">
        <v>0.449</v>
      </c>
      <c r="AB129" t="n">
        <v>99.45099999999999</v>
      </c>
      <c r="AC129" t="n">
        <v>0</v>
      </c>
      <c r="AD129" s="15" t="n">
        <v>0.00944</v>
      </c>
      <c r="AE129" t="n">
        <v>69.72466724</v>
      </c>
      <c r="AF129" t="n">
        <v>70.87967789</v>
      </c>
      <c r="AG129" t="n">
        <v>73.41448936</v>
      </c>
      <c r="AH129" t="n">
        <v>53.73948154</v>
      </c>
      <c r="AI129" t="n">
        <v>100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1</v>
      </c>
      <c r="AQ129" t="n">
        <v>0</v>
      </c>
      <c r="AR129" t="n">
        <v>29.332272</v>
      </c>
      <c r="AS129" t="n">
        <v>40.50878</v>
      </c>
      <c r="AT129" t="n">
        <v>88.451204</v>
      </c>
      <c r="AU129" t="n">
        <v>194.501412</v>
      </c>
      <c r="AV129" t="n">
        <v>0</v>
      </c>
    </row>
    <row r="130">
      <c r="A130" t="n">
        <v>129</v>
      </c>
      <c r="B130" s="15" t="n">
        <v>0</v>
      </c>
      <c r="C130" t="n">
        <v>24.8311489</v>
      </c>
      <c r="D130" t="n">
        <v>8.853925305000001</v>
      </c>
      <c r="E130" t="n">
        <v>4.130952169</v>
      </c>
      <c r="F130" t="n">
        <v>0.296</v>
      </c>
      <c r="G130" t="n">
        <v>1.265</v>
      </c>
      <c r="H130" t="n">
        <v>0.50547791</v>
      </c>
      <c r="I130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t="n">
        <v>0</v>
      </c>
      <c r="O130" s="15" t="n">
        <v>0</v>
      </c>
      <c r="P130" t="n">
        <v>3.544333743</v>
      </c>
      <c r="Q130" t="n">
        <v>0.578357262</v>
      </c>
      <c r="R130" t="n">
        <v>0</v>
      </c>
      <c r="S130" t="n">
        <v>0</v>
      </c>
      <c r="T130" s="15" t="n">
        <v>1.15e-11</v>
      </c>
      <c r="U130" t="n">
        <v>5.718413304</v>
      </c>
      <c r="V130" t="n">
        <v>0</v>
      </c>
      <c r="W130" t="n">
        <v>0</v>
      </c>
      <c r="X130" t="n">
        <v>1.222724285</v>
      </c>
      <c r="Y130" t="n">
        <v>1.222724285</v>
      </c>
      <c r="Z130" t="n">
        <v>1</v>
      </c>
      <c r="AA130" t="n">
        <v>0.457</v>
      </c>
      <c r="AB130" t="n">
        <v>99.443</v>
      </c>
      <c r="AC130" t="n">
        <v>0</v>
      </c>
      <c r="AD130" s="15" t="n">
        <v>0.00792</v>
      </c>
      <c r="AE130" t="n">
        <v>70.06998855000001</v>
      </c>
      <c r="AF130" t="n">
        <v>71.30063524000001</v>
      </c>
      <c r="AG130" t="n">
        <v>72.76123828999999</v>
      </c>
      <c r="AH130" t="n">
        <v>53.29604621</v>
      </c>
      <c r="AI130" t="n">
        <v>100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1</v>
      </c>
      <c r="AQ130" t="n">
        <v>0</v>
      </c>
      <c r="AR130" t="n">
        <v>29.854896</v>
      </c>
      <c r="AS130" t="n">
        <v>41.23054</v>
      </c>
      <c r="AT130" t="n">
        <v>90.02717199999999</v>
      </c>
      <c r="AU130" t="n">
        <v>197.966916</v>
      </c>
      <c r="AV130" t="n">
        <v>0</v>
      </c>
    </row>
    <row r="131">
      <c r="A131" t="n">
        <v>130</v>
      </c>
      <c r="B131" t="n">
        <v>0.9746179109999999</v>
      </c>
      <c r="C131" t="n">
        <v>24.9311489</v>
      </c>
      <c r="D131" t="n">
        <v>13.07933977</v>
      </c>
      <c r="E131" t="n">
        <v>3.85331013</v>
      </c>
      <c r="F131" t="n">
        <v>0.317</v>
      </c>
      <c r="G131" t="n">
        <v>1.374</v>
      </c>
      <c r="H131" t="n">
        <v>0.509317679</v>
      </c>
      <c r="I131" t="n">
        <v>0</v>
      </c>
      <c r="J131" t="n">
        <v>0.685037496</v>
      </c>
      <c r="K131" t="n">
        <v>0.9746179109999999</v>
      </c>
      <c r="L131" t="n">
        <v>0.685037496</v>
      </c>
      <c r="M131" t="n">
        <v>0.289580415</v>
      </c>
      <c r="N131" t="n">
        <v>0</v>
      </c>
      <c r="O131" t="n">
        <v>0.685037517</v>
      </c>
      <c r="P131" t="n">
        <v>3.276777445</v>
      </c>
      <c r="Q131" t="n">
        <v>0.482631062</v>
      </c>
      <c r="R131" t="n">
        <v>0</v>
      </c>
      <c r="S131" s="15" t="n">
        <v>0</v>
      </c>
      <c r="T131" s="15" t="n">
        <v>9.5e-13</v>
      </c>
      <c r="U131" t="n">
        <v>5.920819759</v>
      </c>
      <c r="V131" t="n">
        <v>0</v>
      </c>
      <c r="W131" t="n">
        <v>0</v>
      </c>
      <c r="X131" t="n">
        <v>1.221459716</v>
      </c>
      <c r="Y131" t="n">
        <v>1.221459716</v>
      </c>
      <c r="Z131" t="n">
        <v>1</v>
      </c>
      <c r="AA131" t="n">
        <v>0.465</v>
      </c>
      <c r="AB131" t="n">
        <v>99.435</v>
      </c>
      <c r="AC131" t="n">
        <v>0</v>
      </c>
      <c r="AD131" s="15" t="n">
        <v>0.00661</v>
      </c>
      <c r="AE131" t="n">
        <v>70.41788507</v>
      </c>
      <c r="AF131" t="n">
        <v>71.64595654999999</v>
      </c>
      <c r="AG131" t="n">
        <v>73.9015046</v>
      </c>
      <c r="AH131" t="n">
        <v>54.13369471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1</v>
      </c>
      <c r="AQ131" t="n">
        <v>0</v>
      </c>
      <c r="AR131" t="n">
        <v>30.37752</v>
      </c>
      <c r="AS131" t="n">
        <v>41.9523</v>
      </c>
      <c r="AT131" t="n">
        <v>91.60314</v>
      </c>
      <c r="AU131" t="n">
        <v>201.43242</v>
      </c>
      <c r="AV131" t="n">
        <v>0</v>
      </c>
    </row>
    <row r="132">
      <c r="A132" t="n">
        <v>131</v>
      </c>
      <c r="B132" t="n">
        <v>5.964405779</v>
      </c>
      <c r="C132" t="n">
        <v>17.11798051</v>
      </c>
      <c r="D132" t="n">
        <v>13.32066023</v>
      </c>
      <c r="E132" t="n">
        <v>1.738820445</v>
      </c>
      <c r="F132" t="n">
        <v>0.338</v>
      </c>
      <c r="G132" t="n">
        <v>1.484</v>
      </c>
      <c r="H132" t="n">
        <v>0.520070513</v>
      </c>
      <c r="I132" t="n">
        <v>0</v>
      </c>
      <c r="J132" t="n">
        <v>5.280424666</v>
      </c>
      <c r="K132" t="n">
        <v>5.964405779</v>
      </c>
      <c r="L132" t="n">
        <v>5.280424666</v>
      </c>
      <c r="M132" t="n">
        <v>0.683981113</v>
      </c>
      <c r="N132" t="n">
        <v>0</v>
      </c>
      <c r="O132" t="n">
        <v>5.280424824</v>
      </c>
      <c r="P132" t="n">
        <v>1.318128059</v>
      </c>
      <c r="Q132" t="n">
        <v>0.48878855</v>
      </c>
      <c r="R132" t="n">
        <v>0</v>
      </c>
      <c r="S132" t="n">
        <v>0</v>
      </c>
      <c r="T132" s="15" t="n">
        <v>7.95e-07</v>
      </c>
      <c r="U132" t="n">
        <v>10.71245524</v>
      </c>
      <c r="V132" t="n">
        <v>0</v>
      </c>
      <c r="W132" t="n">
        <v>0</v>
      </c>
      <c r="X132" t="n">
        <v>0.58770123</v>
      </c>
      <c r="Y132" t="n">
        <v>0.58770123</v>
      </c>
      <c r="Z132" t="n">
        <v>1</v>
      </c>
      <c r="AA132" t="n">
        <v>0.473</v>
      </c>
      <c r="AB132" t="n">
        <v>99.42700000000001</v>
      </c>
      <c r="AC132" t="n">
        <v>0</v>
      </c>
      <c r="AD132" s="15" t="n">
        <v>0.00587</v>
      </c>
      <c r="AE132" t="n">
        <v>71.40027888</v>
      </c>
      <c r="AF132" t="n">
        <v>71.99385307</v>
      </c>
      <c r="AG132" t="n">
        <v>74.79277764</v>
      </c>
      <c r="AH132" t="n">
        <v>54.79349089</v>
      </c>
      <c r="AI132" t="n">
        <v>100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1</v>
      </c>
      <c r="AQ132" t="n">
        <v>0</v>
      </c>
      <c r="AR132" t="n">
        <v>30.900144</v>
      </c>
      <c r="AS132" t="n">
        <v>42.67406</v>
      </c>
      <c r="AT132" t="n">
        <v>93.179108</v>
      </c>
      <c r="AU132" t="n">
        <v>204.897924</v>
      </c>
      <c r="AV132" t="n">
        <v>0</v>
      </c>
    </row>
    <row r="133">
      <c r="A133" t="n">
        <v>132</v>
      </c>
      <c r="B133" t="n">
        <v>5.411489529</v>
      </c>
      <c r="C133" t="n">
        <v>24.08201949</v>
      </c>
      <c r="D133" t="n">
        <v>11.02066023</v>
      </c>
      <c r="E133" t="n">
        <v>4.377864949</v>
      </c>
      <c r="F133" t="n">
        <v>0.358</v>
      </c>
      <c r="G133" t="n">
        <v>1.593</v>
      </c>
      <c r="H133" t="n">
        <v>0.623766826</v>
      </c>
      <c r="I133" t="n">
        <v>0</v>
      </c>
      <c r="J133" s="15" t="n">
        <v>4.694258827</v>
      </c>
      <c r="K133" t="n">
        <v>5.411489529</v>
      </c>
      <c r="L133" s="15" t="n">
        <v>4.694258827</v>
      </c>
      <c r="M133" s="15" t="n">
        <v>0.717230701</v>
      </c>
      <c r="N133" t="n">
        <v>0</v>
      </c>
      <c r="O133" s="15" t="n">
        <v>4.694258967</v>
      </c>
      <c r="P133" t="n">
        <v>3.416598309</v>
      </c>
      <c r="Q133" t="n">
        <v>2.343056939</v>
      </c>
      <c r="R133" t="n">
        <v>0</v>
      </c>
      <c r="S133" t="n">
        <v>0</v>
      </c>
      <c r="T133" s="15" t="n">
        <v>4.58e-05</v>
      </c>
      <c r="U133" t="n">
        <v>13.06361145</v>
      </c>
      <c r="V133" t="n">
        <v>0</v>
      </c>
      <c r="W133" t="n">
        <v>0</v>
      </c>
      <c r="X133" t="n">
        <v>1.567219278</v>
      </c>
      <c r="Y133" t="n">
        <v>1.567219278</v>
      </c>
      <c r="Z133" t="n">
        <v>1</v>
      </c>
      <c r="AA133" t="n">
        <v>0.481</v>
      </c>
      <c r="AB133" t="n">
        <v>99.419</v>
      </c>
      <c r="AC133" t="n">
        <v>0</v>
      </c>
      <c r="AD133" s="15" t="n">
        <v>0.00512</v>
      </c>
      <c r="AE133" t="n">
        <v>71.40395137</v>
      </c>
      <c r="AF133" t="n">
        <v>72.97624688000001</v>
      </c>
      <c r="AG133" t="n">
        <v>72.32973594000001</v>
      </c>
      <c r="AH133" t="n">
        <v>53.05734796</v>
      </c>
      <c r="AI133" t="n">
        <v>100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1</v>
      </c>
      <c r="AQ133" t="n">
        <v>0</v>
      </c>
      <c r="AR133" t="n">
        <v>31.422768</v>
      </c>
      <c r="AS133" t="n">
        <v>43.39582</v>
      </c>
      <c r="AT133" t="n">
        <v>94.755076</v>
      </c>
      <c r="AU133" t="n">
        <v>208.363428</v>
      </c>
      <c r="AV133" t="n">
        <v>0</v>
      </c>
    </row>
    <row r="134">
      <c r="A134" t="n">
        <v>133</v>
      </c>
      <c r="B134" t="n">
        <v>0</v>
      </c>
      <c r="C134" t="n">
        <v>23.88201949</v>
      </c>
      <c r="D134" t="n">
        <v>12.12545613</v>
      </c>
      <c r="E134" t="n">
        <v>4.304997451</v>
      </c>
      <c r="F134" t="n">
        <v>0.379</v>
      </c>
      <c r="G134" t="n">
        <v>1.702</v>
      </c>
      <c r="H134" t="n">
        <v>0.500647297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3.265482797</v>
      </c>
      <c r="Q134" t="n">
        <v>2.242754632</v>
      </c>
      <c r="R134" t="n">
        <v>0</v>
      </c>
      <c r="S134" t="n">
        <v>0</v>
      </c>
      <c r="T134" s="15" t="n">
        <v>7.14e-05</v>
      </c>
      <c r="U134" t="n">
        <v>10.82078538</v>
      </c>
      <c r="V134" t="n">
        <v>0</v>
      </c>
      <c r="W134" t="n">
        <v>0</v>
      </c>
      <c r="X134" t="n">
        <v>1.631532327</v>
      </c>
      <c r="Y134" t="n">
        <v>1.631532327</v>
      </c>
      <c r="Z134" t="n">
        <v>1</v>
      </c>
      <c r="AA134" t="n">
        <v>0.49</v>
      </c>
      <c r="AB134" t="n">
        <v>99.41</v>
      </c>
      <c r="AC134" t="n">
        <v>0</v>
      </c>
      <c r="AD134" s="15" t="n">
        <v>0.00403</v>
      </c>
      <c r="AE134" t="n">
        <v>71.54142481</v>
      </c>
      <c r="AF134" t="n">
        <v>73.17691537</v>
      </c>
      <c r="AG134" t="n">
        <v>78.1922493</v>
      </c>
      <c r="AH134" t="n">
        <v>57.27092665</v>
      </c>
      <c r="AI134" t="n">
        <v>100</v>
      </c>
      <c r="AJ134" t="n">
        <v>0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32.01072</v>
      </c>
      <c r="AS134" t="n">
        <v>44.2078</v>
      </c>
      <c r="AT134" t="n">
        <v>96.52804</v>
      </c>
      <c r="AU134" t="n">
        <v>212.26212</v>
      </c>
      <c r="AV134" t="n">
        <v>0</v>
      </c>
    </row>
    <row r="135">
      <c r="A135" t="n">
        <v>134</v>
      </c>
      <c r="B135" t="n">
        <v>3.373414887</v>
      </c>
      <c r="C135" t="n">
        <v>22.0952041</v>
      </c>
      <c r="D135" t="n">
        <v>9.017980506000001</v>
      </c>
      <c r="E135" t="n">
        <v>3.519296666</v>
      </c>
      <c r="F135" t="n">
        <v>0.4</v>
      </c>
      <c r="G135" t="n">
        <v>1.812</v>
      </c>
      <c r="H135" t="n">
        <v>0.504119395</v>
      </c>
      <c r="I135" t="n">
        <v>0</v>
      </c>
      <c r="J135" t="n">
        <v>2.664487274</v>
      </c>
      <c r="K135" t="n">
        <v>3.373414887</v>
      </c>
      <c r="L135" t="n">
        <v>2.664487274</v>
      </c>
      <c r="M135" t="n">
        <v>0.708927613</v>
      </c>
      <c r="N135" t="n">
        <v>0</v>
      </c>
      <c r="O135" t="n">
        <v>2.664487353</v>
      </c>
      <c r="P135" t="n">
        <v>2.524135098</v>
      </c>
      <c r="Q135" t="n">
        <v>1.609783795</v>
      </c>
      <c r="R135" t="n">
        <v>0</v>
      </c>
      <c r="S135" t="n">
        <v>0</v>
      </c>
      <c r="T135" s="15" t="n">
        <v>1.98e-05</v>
      </c>
      <c r="U135" t="n">
        <v>11.87546918</v>
      </c>
      <c r="V135" t="n">
        <v>0</v>
      </c>
      <c r="W135" t="n">
        <v>0</v>
      </c>
      <c r="X135" t="n">
        <v>1.407662757</v>
      </c>
      <c r="Y135" t="n">
        <v>1.407662757</v>
      </c>
      <c r="Z135" t="n">
        <v>1</v>
      </c>
      <c r="AA135" t="n">
        <v>0.498</v>
      </c>
      <c r="AB135" t="n">
        <v>99.402</v>
      </c>
      <c r="AC135" t="n">
        <v>0</v>
      </c>
      <c r="AD135" s="15" t="n">
        <v>0.00318</v>
      </c>
      <c r="AE135" t="n">
        <v>71.70656561</v>
      </c>
      <c r="AF135" t="n">
        <v>73.11739281</v>
      </c>
      <c r="AG135" t="n">
        <v>79.33961861</v>
      </c>
      <c r="AH135" t="n">
        <v>58.11364872</v>
      </c>
      <c r="AI135" t="n">
        <v>100</v>
      </c>
      <c r="AJ135" t="n">
        <v>0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32.533344</v>
      </c>
      <c r="AS135" t="n">
        <v>44.92956</v>
      </c>
      <c r="AT135" t="n">
        <v>98.10400799999999</v>
      </c>
      <c r="AU135" t="n">
        <v>215.727624</v>
      </c>
      <c r="AV135" t="n">
        <v>0</v>
      </c>
    </row>
    <row r="136">
      <c r="A136" t="n">
        <v>135</v>
      </c>
      <c r="B136" t="n">
        <v>0</v>
      </c>
      <c r="C136" t="n">
        <v>20.3640552</v>
      </c>
      <c r="D136" t="n">
        <v>9.31333613</v>
      </c>
      <c r="E136" t="n">
        <v>3.038349585</v>
      </c>
      <c r="F136" t="n">
        <v>0.421</v>
      </c>
      <c r="G136" t="n">
        <v>1.921</v>
      </c>
      <c r="H136" t="n">
        <v>0.542728085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2.010157535</v>
      </c>
      <c r="Q136" t="n">
        <v>1.262375563</v>
      </c>
      <c r="R136" t="n">
        <v>0</v>
      </c>
      <c r="S136" t="n">
        <v>0</v>
      </c>
      <c r="T136" s="15" t="n">
        <v>2.1e-05</v>
      </c>
      <c r="U136" t="n">
        <v>10.6130726</v>
      </c>
      <c r="V136" t="n">
        <v>0</v>
      </c>
      <c r="W136" t="n">
        <v>0</v>
      </c>
      <c r="X136" t="n">
        <v>1.27909189</v>
      </c>
      <c r="Y136" t="n">
        <v>1.27909189</v>
      </c>
      <c r="Z136" t="n">
        <v>1</v>
      </c>
      <c r="AA136" t="n">
        <v>0.506</v>
      </c>
      <c r="AB136" t="n">
        <v>99.39400000000001</v>
      </c>
      <c r="AC136" t="n">
        <v>0</v>
      </c>
      <c r="AD136" s="15" t="n">
        <v>0.00262</v>
      </c>
      <c r="AE136" t="n">
        <v>72.00084501000001</v>
      </c>
      <c r="AF136" t="n">
        <v>73.28253361</v>
      </c>
      <c r="AG136" t="n">
        <v>79.1539677</v>
      </c>
      <c r="AH136" t="n">
        <v>58.0042135</v>
      </c>
      <c r="AI136" t="n">
        <v>100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33.055968</v>
      </c>
      <c r="AS136" t="n">
        <v>45.65132</v>
      </c>
      <c r="AT136" t="n">
        <v>99.679976</v>
      </c>
      <c r="AU136" t="n">
        <v>219.193128</v>
      </c>
      <c r="AV136" t="n">
        <v>0</v>
      </c>
    </row>
    <row r="137">
      <c r="A137" t="n">
        <v>136</v>
      </c>
      <c r="B137" t="n">
        <v>5.084854339</v>
      </c>
      <c r="C137" t="n">
        <v>19.37454387</v>
      </c>
      <c r="D137" t="n">
        <v>11.2311489</v>
      </c>
      <c r="E137" t="n">
        <v>1.911200159</v>
      </c>
      <c r="F137" t="n">
        <v>0.442</v>
      </c>
      <c r="G137" t="n">
        <v>2.03</v>
      </c>
      <c r="H137" t="n">
        <v>0.568430021</v>
      </c>
      <c r="I137" t="n">
        <v>198</v>
      </c>
      <c r="J137" t="n">
        <v>4.185292448</v>
      </c>
      <c r="K137" t="n">
        <v>203.0848543</v>
      </c>
      <c r="L137" t="n">
        <v>4.185292448</v>
      </c>
      <c r="M137" t="n">
        <v>0.89956189</v>
      </c>
      <c r="N137" t="n">
        <v>0</v>
      </c>
      <c r="O137" t="n">
        <v>4.185292573</v>
      </c>
      <c r="P137" t="n">
        <v>1.126474766</v>
      </c>
      <c r="Q137" t="n">
        <v>1.002210944</v>
      </c>
      <c r="R137" t="n">
        <v>0</v>
      </c>
      <c r="S137" t="n">
        <v>0</v>
      </c>
      <c r="T137" t="n">
        <v>184.0046311</v>
      </c>
      <c r="U137" t="n">
        <v>27.79152316</v>
      </c>
      <c r="V137" t="n">
        <v>0</v>
      </c>
      <c r="W137" t="n">
        <v>0</v>
      </c>
      <c r="X137" t="n">
        <v>0.844713607</v>
      </c>
      <c r="Y137" t="n">
        <v>0.844713607</v>
      </c>
      <c r="Z137" t="n">
        <v>1</v>
      </c>
      <c r="AA137" t="n">
        <v>0.514</v>
      </c>
      <c r="AB137" t="n">
        <v>99.386</v>
      </c>
      <c r="AC137" t="n">
        <v>0</v>
      </c>
      <c r="AD137" t="n">
        <v>116.6249422</v>
      </c>
      <c r="AE137" t="n">
        <v>140.1117883</v>
      </c>
      <c r="AF137" t="n">
        <v>73.57681301</v>
      </c>
      <c r="AG137" t="n">
        <v>79.41799671</v>
      </c>
      <c r="AH137" t="n">
        <v>58.21597822</v>
      </c>
      <c r="AI137" t="n">
        <v>100</v>
      </c>
      <c r="AJ137" t="n">
        <v>0</v>
      </c>
      <c r="AK137" t="n">
        <v>0</v>
      </c>
      <c r="AL137" t="n">
        <v>7.876241162</v>
      </c>
      <c r="AM137" t="n">
        <v>7.91098613</v>
      </c>
      <c r="AN137" t="n">
        <v>22</v>
      </c>
      <c r="AO137" t="n">
        <v>0</v>
      </c>
      <c r="AP137" t="n">
        <v>1</v>
      </c>
      <c r="AQ137" t="n">
        <v>0</v>
      </c>
      <c r="AR137" t="n">
        <v>33.578592</v>
      </c>
      <c r="AS137" t="n">
        <v>46.37308</v>
      </c>
      <c r="AT137" t="n">
        <v>101.255944</v>
      </c>
      <c r="AU137" t="n">
        <v>222.658632</v>
      </c>
      <c r="AV137" t="n">
        <v>0</v>
      </c>
    </row>
    <row r="138">
      <c r="A138" t="n">
        <v>137</v>
      </c>
      <c r="B138" t="n">
        <v>1.390551032</v>
      </c>
      <c r="C138" t="n">
        <v>24.93875059</v>
      </c>
      <c r="D138" t="n">
        <v>11.67454387</v>
      </c>
      <c r="E138" t="n">
        <v>5.392447164</v>
      </c>
      <c r="F138" t="n">
        <v>0.463</v>
      </c>
      <c r="G138" t="n">
        <v>2.14</v>
      </c>
      <c r="H138" t="n">
        <v>0.621152462</v>
      </c>
      <c r="I138" t="n">
        <v>0</v>
      </c>
      <c r="J138" t="n">
        <v>0.83094001</v>
      </c>
      <c r="K138" t="n">
        <v>1.390551032</v>
      </c>
      <c r="L138" t="n">
        <v>0.83094001</v>
      </c>
      <c r="M138" t="n">
        <v>0.559611022</v>
      </c>
      <c r="N138" t="n">
        <v>0</v>
      </c>
      <c r="O138" t="n">
        <v>0.830940034</v>
      </c>
      <c r="P138" t="n">
        <v>3.903050118</v>
      </c>
      <c r="Q138" t="n">
        <v>3.903050118</v>
      </c>
      <c r="R138" t="n">
        <v>0</v>
      </c>
      <c r="S138" t="n">
        <v>0</v>
      </c>
      <c r="T138" t="n">
        <v>2.584276774</v>
      </c>
      <c r="U138" t="n">
        <v>22.1351363</v>
      </c>
      <c r="V138" t="n">
        <v>0</v>
      </c>
      <c r="W138" t="n">
        <v>0</v>
      </c>
      <c r="X138" t="n">
        <v>2.496589046</v>
      </c>
      <c r="Y138" t="n">
        <v>2.496589046</v>
      </c>
      <c r="Z138" t="n">
        <v>1</v>
      </c>
      <c r="AA138" t="n">
        <v>0.522</v>
      </c>
      <c r="AB138" t="n">
        <v>99.378</v>
      </c>
      <c r="AC138" t="n">
        <v>0</v>
      </c>
      <c r="AD138" s="15" t="n">
        <v>17.65544902</v>
      </c>
      <c r="AE138" t="n">
        <v>124.119995</v>
      </c>
      <c r="AF138" t="n">
        <v>141.6877563</v>
      </c>
      <c r="AG138" t="n">
        <v>78.59705834</v>
      </c>
      <c r="AH138" t="n">
        <v>57.65276624</v>
      </c>
      <c r="AI138" t="n">
        <v>100</v>
      </c>
      <c r="AJ138" t="n">
        <v>0</v>
      </c>
      <c r="AK138" t="n">
        <v>0</v>
      </c>
      <c r="AL138" t="n">
        <v>4.437541607</v>
      </c>
      <c r="AM138" t="n">
        <v>4.497181938</v>
      </c>
      <c r="AN138" t="n">
        <v>0</v>
      </c>
      <c r="AO138" t="n">
        <v>0</v>
      </c>
      <c r="AP138" t="n">
        <v>1</v>
      </c>
      <c r="AQ138" t="n">
        <v>0</v>
      </c>
      <c r="AR138" t="n">
        <v>34.101216</v>
      </c>
      <c r="AS138" t="n">
        <v>47.09484</v>
      </c>
      <c r="AT138" t="n">
        <v>102.831912</v>
      </c>
      <c r="AU138" t="n">
        <v>226.124136</v>
      </c>
      <c r="AV138" t="n">
        <v>0</v>
      </c>
    </row>
    <row r="139">
      <c r="A139" t="n">
        <v>138</v>
      </c>
      <c r="B139" t="n">
        <v>2.63676875</v>
      </c>
      <c r="C139" t="n">
        <v>25.65660503</v>
      </c>
      <c r="D139" t="n">
        <v>7.379339768</v>
      </c>
      <c r="E139" t="n">
        <v>4.694565232</v>
      </c>
      <c r="F139" t="n">
        <v>0.484</v>
      </c>
      <c r="G139" t="n">
        <v>2.249</v>
      </c>
      <c r="H139" t="n">
        <v>0.444014435</v>
      </c>
      <c r="I139" t="n">
        <v>0</v>
      </c>
      <c r="J139" t="n">
        <v>1.834821218</v>
      </c>
      <c r="K139" t="n">
        <v>2.63676875</v>
      </c>
      <c r="L139" t="n">
        <v>1.834821218</v>
      </c>
      <c r="M139" t="n">
        <v>0.801947533</v>
      </c>
      <c r="N139" t="n">
        <v>0</v>
      </c>
      <c r="O139" t="n">
        <v>1.834821273</v>
      </c>
      <c r="P139" t="n">
        <v>3.183139522</v>
      </c>
      <c r="Q139" t="n">
        <v>3.183139522</v>
      </c>
      <c r="R139" t="n">
        <v>0</v>
      </c>
      <c r="S139" t="n">
        <v>0</v>
      </c>
      <c r="T139" s="15" t="n">
        <v>0.2588023</v>
      </c>
      <c r="U139" t="n">
        <v>20.52801576</v>
      </c>
      <c r="V139" t="n">
        <v>0</v>
      </c>
      <c r="W139" t="n">
        <v>0</v>
      </c>
      <c r="X139" t="n">
        <v>2.272061168</v>
      </c>
      <c r="Y139" t="n">
        <v>2.272061168</v>
      </c>
      <c r="Z139" t="n">
        <v>1</v>
      </c>
      <c r="AA139" t="n">
        <v>0.53</v>
      </c>
      <c r="AB139" t="n">
        <v>99.37</v>
      </c>
      <c r="AC139" t="n">
        <v>0</v>
      </c>
      <c r="AD139" s="15" t="n">
        <v>3.879334016</v>
      </c>
      <c r="AE139" t="n">
        <v>119.8033701</v>
      </c>
      <c r="AF139" t="n">
        <v>125.695963</v>
      </c>
      <c r="AG139" t="n">
        <v>86.81873836</v>
      </c>
      <c r="AH139" t="n">
        <v>63.5485674</v>
      </c>
      <c r="AI139" t="n">
        <v>100</v>
      </c>
      <c r="AJ139" t="n">
        <v>0</v>
      </c>
      <c r="AK139" t="n">
        <v>0</v>
      </c>
      <c r="AL139" t="n">
        <v>2.718481365</v>
      </c>
      <c r="AM139" t="n">
        <v>2.769686884</v>
      </c>
      <c r="AN139" t="n">
        <v>0</v>
      </c>
      <c r="AO139" t="n">
        <v>0</v>
      </c>
      <c r="AP139" t="n">
        <v>1</v>
      </c>
      <c r="AQ139" t="n">
        <v>0</v>
      </c>
      <c r="AR139" t="n">
        <v>34.62384</v>
      </c>
      <c r="AS139" t="n">
        <v>47.8166</v>
      </c>
      <c r="AT139" t="n">
        <v>104.40788</v>
      </c>
      <c r="AU139" t="n">
        <v>229.58964</v>
      </c>
      <c r="AV139" t="n">
        <v>0</v>
      </c>
    </row>
    <row r="140">
      <c r="A140" t="n">
        <v>139</v>
      </c>
      <c r="B140" t="n">
        <v>0</v>
      </c>
      <c r="C140" t="n">
        <v>24.82066023</v>
      </c>
      <c r="D140" t="n">
        <v>9.238750594000001</v>
      </c>
      <c r="E140" t="n">
        <v>4.919268105</v>
      </c>
      <c r="F140" t="n">
        <v>0.504</v>
      </c>
      <c r="G140" t="n">
        <v>2.358</v>
      </c>
      <c r="H140" t="n">
        <v>0.481791973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3.241725334</v>
      </c>
      <c r="Q140" t="n">
        <v>3.241725334</v>
      </c>
      <c r="R140" t="n">
        <v>0</v>
      </c>
      <c r="S140" t="n">
        <v>0</v>
      </c>
      <c r="T140" s="15" t="n">
        <v>0.0517</v>
      </c>
      <c r="U140" t="n">
        <v>17.2345952</v>
      </c>
      <c r="V140" t="n">
        <v>0</v>
      </c>
      <c r="W140" t="n">
        <v>0</v>
      </c>
      <c r="X140" t="n">
        <v>2.479187672</v>
      </c>
      <c r="Y140" t="n">
        <v>2.479187672</v>
      </c>
      <c r="Z140" t="n">
        <v>1</v>
      </c>
      <c r="AA140" t="n">
        <v>0.538</v>
      </c>
      <c r="AB140" t="n">
        <v>99.36199999999999</v>
      </c>
      <c r="AC140" t="n">
        <v>0</v>
      </c>
      <c r="AD140" s="15" t="n">
        <v>1.612367292</v>
      </c>
      <c r="AE140" t="n">
        <v>117.3394784</v>
      </c>
      <c r="AF140" t="n">
        <v>121.3793381</v>
      </c>
      <c r="AG140" t="n">
        <v>86.61010551</v>
      </c>
      <c r="AH140" t="n">
        <v>63.4227165</v>
      </c>
      <c r="AI140" t="n">
        <v>100</v>
      </c>
      <c r="AJ140" t="n">
        <v>0</v>
      </c>
      <c r="AK140" t="n">
        <v>0</v>
      </c>
      <c r="AL140" t="n">
        <v>1.859095988</v>
      </c>
      <c r="AM140" t="n">
        <v>1.895518655</v>
      </c>
      <c r="AN140" t="n">
        <v>0</v>
      </c>
      <c r="AO140" t="n">
        <v>0</v>
      </c>
      <c r="AP140" t="n">
        <v>1</v>
      </c>
      <c r="AQ140" t="n">
        <v>0</v>
      </c>
      <c r="AR140" t="n">
        <v>35.146464</v>
      </c>
      <c r="AS140" t="n">
        <v>48.53836</v>
      </c>
      <c r="AT140" t="n">
        <v>105.983848</v>
      </c>
      <c r="AU140" t="n">
        <v>233.055144</v>
      </c>
      <c r="AV140" t="n">
        <v>0</v>
      </c>
    </row>
    <row r="141">
      <c r="A141" t="n">
        <v>140</v>
      </c>
      <c r="B141" t="n">
        <v>0</v>
      </c>
      <c r="C141" t="n">
        <v>25.66673493</v>
      </c>
      <c r="D141" t="n">
        <v>7.561249406</v>
      </c>
      <c r="E141" t="n">
        <v>5.038450415</v>
      </c>
      <c r="F141" t="n">
        <v>0.525</v>
      </c>
      <c r="G141" t="n">
        <v>2.467</v>
      </c>
      <c r="H141" t="n">
        <v>0.47116348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3.268082876</v>
      </c>
      <c r="Q141" t="n">
        <v>3.180821856</v>
      </c>
      <c r="R141" t="n">
        <v>0</v>
      </c>
      <c r="S141" t="n">
        <v>0</v>
      </c>
      <c r="T141" s="15" t="n">
        <v>0.00439</v>
      </c>
      <c r="U141" t="n">
        <v>14.04938681</v>
      </c>
      <c r="V141" t="n">
        <v>0</v>
      </c>
      <c r="W141" t="n">
        <v>0</v>
      </c>
      <c r="X141" t="n">
        <v>2.645049174</v>
      </c>
      <c r="Y141" t="n">
        <v>2.645049174</v>
      </c>
      <c r="Z141" t="n">
        <v>1</v>
      </c>
      <c r="AA141" t="n">
        <v>0.547</v>
      </c>
      <c r="AB141" t="n">
        <v>99.35299999999999</v>
      </c>
      <c r="AC141" t="n">
        <v>0</v>
      </c>
      <c r="AD141" s="15" t="n">
        <v>0.832223025</v>
      </c>
      <c r="AE141" t="n">
        <v>115.6395567</v>
      </c>
      <c r="AF141" t="n">
        <v>119.1124424</v>
      </c>
      <c r="AG141" t="n">
        <v>88.49351436000001</v>
      </c>
      <c r="AH141" t="n">
        <v>64.79407768999999</v>
      </c>
      <c r="AI141" t="n">
        <v>100</v>
      </c>
      <c r="AJ141" t="n">
        <v>0</v>
      </c>
      <c r="AK141" t="n">
        <v>0</v>
      </c>
      <c r="AL141" t="n">
        <v>1.429475659</v>
      </c>
      <c r="AM141" t="n">
        <v>1.45316133</v>
      </c>
      <c r="AN141" t="n">
        <v>0</v>
      </c>
      <c r="AO141" t="n">
        <v>0</v>
      </c>
      <c r="AP141" t="n">
        <v>1</v>
      </c>
      <c r="AQ141" t="n">
        <v>0</v>
      </c>
      <c r="AR141" t="n">
        <v>35.734416</v>
      </c>
      <c r="AS141" t="n">
        <v>49.35034</v>
      </c>
      <c r="AT141" t="n">
        <v>107.756812</v>
      </c>
      <c r="AU141" t="n">
        <v>236.953836</v>
      </c>
      <c r="AV141" t="n">
        <v>0</v>
      </c>
    </row>
    <row r="142">
      <c r="A142" t="n">
        <v>141</v>
      </c>
      <c r="B142" s="15" t="n">
        <v>0.0756</v>
      </c>
      <c r="C142" t="n">
        <v>24.23875059</v>
      </c>
      <c r="D142" t="n">
        <v>11.18951133</v>
      </c>
      <c r="E142" t="n">
        <v>4.536350348</v>
      </c>
      <c r="F142" t="n">
        <v>0.546</v>
      </c>
      <c r="G142" t="n">
        <v>2.577</v>
      </c>
      <c r="H142" t="n">
        <v>0.463474719</v>
      </c>
      <c r="I142" t="n">
        <v>0</v>
      </c>
      <c r="J142" s="15" t="n">
        <v>0.0133</v>
      </c>
      <c r="K142" s="15" t="n">
        <v>0.0756</v>
      </c>
      <c r="L142" s="15" t="n">
        <v>0.0133</v>
      </c>
      <c r="M142" s="15" t="n">
        <v>0.0624</v>
      </c>
      <c r="N142" t="n">
        <v>0</v>
      </c>
      <c r="O142" s="15" t="n">
        <v>0.0133</v>
      </c>
      <c r="P142" t="n">
        <v>2.664484887</v>
      </c>
      <c r="Q142" t="n">
        <v>2.086475456</v>
      </c>
      <c r="R142" t="n">
        <v>0</v>
      </c>
      <c r="S142" t="n">
        <v>0</v>
      </c>
      <c r="T142" s="15" t="n">
        <v>0.000262</v>
      </c>
      <c r="U142" t="n">
        <v>11.9759347</v>
      </c>
      <c r="V142" t="n">
        <v>0</v>
      </c>
      <c r="W142" t="n">
        <v>0</v>
      </c>
      <c r="X142" t="n">
        <v>2.476713452</v>
      </c>
      <c r="Y142" t="n">
        <v>2.476713452</v>
      </c>
      <c r="Z142" t="n">
        <v>1</v>
      </c>
      <c r="AA142" t="n">
        <v>0.555</v>
      </c>
      <c r="AB142" t="n">
        <v>99.345</v>
      </c>
      <c r="AC142" t="n">
        <v>0</v>
      </c>
      <c r="AD142" s="15" t="n">
        <v>0.498189554</v>
      </c>
      <c r="AE142" t="n">
        <v>114.2408841</v>
      </c>
      <c r="AF142" t="n">
        <v>117.2155247</v>
      </c>
      <c r="AG142" t="n">
        <v>90.1067011</v>
      </c>
      <c r="AH142" t="n">
        <v>65.9695265</v>
      </c>
      <c r="AI142" t="n">
        <v>100</v>
      </c>
      <c r="AJ142" t="n">
        <v>0</v>
      </c>
      <c r="AK142" t="n">
        <v>0</v>
      </c>
      <c r="AL142" t="n">
        <v>1.214701668</v>
      </c>
      <c r="AM142" t="n">
        <v>1.229314253</v>
      </c>
      <c r="AN142" t="n">
        <v>0</v>
      </c>
      <c r="AO142" t="n">
        <v>0</v>
      </c>
      <c r="AP142" t="n">
        <v>1</v>
      </c>
      <c r="AQ142" t="n">
        <v>0</v>
      </c>
      <c r="AR142" t="n">
        <v>36.25704</v>
      </c>
      <c r="AS142" t="n">
        <v>50.0721</v>
      </c>
      <c r="AT142" t="n">
        <v>109.33278</v>
      </c>
      <c r="AU142" t="n">
        <v>240.41934</v>
      </c>
      <c r="AV142" t="n">
        <v>0</v>
      </c>
    </row>
    <row r="143">
      <c r="A143" t="n">
        <v>142</v>
      </c>
      <c r="B143" s="15" t="n">
        <v>1.681445315</v>
      </c>
      <c r="C143" t="n">
        <v>21.08201949</v>
      </c>
      <c r="D143" t="n">
        <v>13.31333613</v>
      </c>
      <c r="E143" t="n">
        <v>3.088979626</v>
      </c>
      <c r="F143" t="n">
        <v>0.5669999999999999</v>
      </c>
      <c r="G143" t="n">
        <v>2.686</v>
      </c>
      <c r="H143" t="n">
        <v>0.494352067</v>
      </c>
      <c r="I143" t="n">
        <v>0</v>
      </c>
      <c r="J143" s="15" t="n">
        <v>0.90308546</v>
      </c>
      <c r="K143" s="15" t="n">
        <v>1.681445315</v>
      </c>
      <c r="L143" s="15" t="n">
        <v>0.90308546</v>
      </c>
      <c r="M143" s="15" t="n">
        <v>0.778359855</v>
      </c>
      <c r="N143" t="n">
        <v>0</v>
      </c>
      <c r="O143" s="15" t="n">
        <v>0.903085487</v>
      </c>
      <c r="P143" t="n">
        <v>1.514878101</v>
      </c>
      <c r="Q143" t="n">
        <v>1.041937467</v>
      </c>
      <c r="R143" t="n">
        <v>0</v>
      </c>
      <c r="S143" t="n">
        <v>0</v>
      </c>
      <c r="T143" s="15" t="n">
        <v>4.62e-05</v>
      </c>
      <c r="U143" t="n">
        <v>11.83703655</v>
      </c>
      <c r="V143" t="n">
        <v>0</v>
      </c>
      <c r="W143" t="n">
        <v>0</v>
      </c>
      <c r="X143" t="n">
        <v>1.751353042</v>
      </c>
      <c r="Y143" t="n">
        <v>1.751353042</v>
      </c>
      <c r="Z143" t="n">
        <v>1</v>
      </c>
      <c r="AA143" t="n">
        <v>0.5629999999999999</v>
      </c>
      <c r="AB143" t="n">
        <v>99.337</v>
      </c>
      <c r="AC143" t="n">
        <v>0</v>
      </c>
      <c r="AD143" s="15" t="n">
        <v>0.342674822</v>
      </c>
      <c r="AE143" t="n">
        <v>113.7228704</v>
      </c>
      <c r="AF143" t="n">
        <v>115.8168521</v>
      </c>
      <c r="AG143" t="n">
        <v>90.10620462</v>
      </c>
      <c r="AH143" t="n">
        <v>65.99234444</v>
      </c>
      <c r="AI143" t="n">
        <v>100</v>
      </c>
      <c r="AJ143" t="n">
        <v>0</v>
      </c>
      <c r="AK143" t="n">
        <v>0</v>
      </c>
      <c r="AL143" t="n">
        <v>1.107332756</v>
      </c>
      <c r="AM143" t="n">
        <v>1.11604041</v>
      </c>
      <c r="AN143" t="n">
        <v>0</v>
      </c>
      <c r="AO143" t="n">
        <v>0</v>
      </c>
      <c r="AP143" t="n">
        <v>1</v>
      </c>
      <c r="AQ143" t="n">
        <v>0</v>
      </c>
      <c r="AR143" t="n">
        <v>36.779664</v>
      </c>
      <c r="AS143" t="n">
        <v>50.79386</v>
      </c>
      <c r="AT143" t="n">
        <v>110.908748</v>
      </c>
      <c r="AU143" t="n">
        <v>243.884844</v>
      </c>
      <c r="AV143" t="n">
        <v>0</v>
      </c>
    </row>
    <row r="144">
      <c r="A144" t="n">
        <v>143</v>
      </c>
      <c r="B144" t="n">
        <v>0</v>
      </c>
      <c r="C144" t="n">
        <v>26.1640552</v>
      </c>
      <c r="D144" t="n">
        <v>13.73326507</v>
      </c>
      <c r="E144" t="n">
        <v>4.945277645</v>
      </c>
      <c r="F144" t="n">
        <v>0.588</v>
      </c>
      <c r="G144" t="n">
        <v>2.795</v>
      </c>
      <c r="H144" t="n">
        <v>0.569350753</v>
      </c>
      <c r="I144" t="n">
        <v>0</v>
      </c>
      <c r="J144" s="15" t="n">
        <v>0</v>
      </c>
      <c r="K144" t="n">
        <v>0</v>
      </c>
      <c r="L144" s="15" t="n">
        <v>0</v>
      </c>
      <c r="M144" t="n">
        <v>0</v>
      </c>
      <c r="N144" t="n">
        <v>0</v>
      </c>
      <c r="O144" s="15" t="n">
        <v>0</v>
      </c>
      <c r="P144" t="n">
        <v>2.697723276</v>
      </c>
      <c r="Q144" t="n">
        <v>1.636709362</v>
      </c>
      <c r="R144" t="n">
        <v>0</v>
      </c>
      <c r="S144" t="n">
        <v>0</v>
      </c>
      <c r="T144" s="15" t="n">
        <v>1.87e-05</v>
      </c>
      <c r="U144" t="n">
        <v>10.2003085</v>
      </c>
      <c r="V144" t="n">
        <v>0</v>
      </c>
      <c r="W144" t="n">
        <v>0</v>
      </c>
      <c r="X144" t="n">
        <v>2.90765359</v>
      </c>
      <c r="Y144" t="n">
        <v>2.90765359</v>
      </c>
      <c r="Z144" t="n">
        <v>1</v>
      </c>
      <c r="AA144" t="n">
        <v>0.571</v>
      </c>
      <c r="AB144" t="n">
        <v>99.32899999999999</v>
      </c>
      <c r="AC144" t="n">
        <v>0</v>
      </c>
      <c r="AD144" s="15" t="n">
        <v>0.245105116</v>
      </c>
      <c r="AE144" t="n">
        <v>112.1460984</v>
      </c>
      <c r="AF144" t="n">
        <v>115.2988384</v>
      </c>
      <c r="AG144" t="n">
        <v>88.18575551000001</v>
      </c>
      <c r="AH144" t="n">
        <v>64.64376765</v>
      </c>
      <c r="AI144" t="n">
        <v>100</v>
      </c>
      <c r="AJ144" t="n">
        <v>0</v>
      </c>
      <c r="AK144" t="n">
        <v>0</v>
      </c>
      <c r="AL144" t="n">
        <v>1.053657341</v>
      </c>
      <c r="AM144" t="n">
        <v>1.058720191</v>
      </c>
      <c r="AN144" t="n">
        <v>0</v>
      </c>
      <c r="AO144" t="n">
        <v>0</v>
      </c>
      <c r="AP144" t="n">
        <v>1</v>
      </c>
      <c r="AQ144" t="n">
        <v>0</v>
      </c>
      <c r="AR144" t="n">
        <v>37.302288</v>
      </c>
      <c r="AS144" t="n">
        <v>51.51562</v>
      </c>
      <c r="AT144" t="n">
        <v>112.484716</v>
      </c>
      <c r="AU144" t="n">
        <v>247.350348</v>
      </c>
      <c r="AV144" t="n">
        <v>0</v>
      </c>
    </row>
    <row r="145">
      <c r="A145" t="n">
        <v>144</v>
      </c>
      <c r="B145" s="15" t="n">
        <v>29.83870499</v>
      </c>
      <c r="C145" t="n">
        <v>15.91048867</v>
      </c>
      <c r="D145" t="n">
        <v>13.22798433</v>
      </c>
      <c r="E145" t="n">
        <v>1.298410793</v>
      </c>
      <c r="F145" t="n">
        <v>0.609</v>
      </c>
      <c r="G145" t="n">
        <v>2.905</v>
      </c>
      <c r="H145" t="n">
        <v>0.475784926</v>
      </c>
      <c r="I145" t="n">
        <v>0</v>
      </c>
      <c r="J145" s="15" t="n">
        <v>28.19486835</v>
      </c>
      <c r="K145" s="15" t="n">
        <v>29.83870499</v>
      </c>
      <c r="L145" s="15" t="n">
        <v>28.11381553</v>
      </c>
      <c r="M145" s="15" t="n">
        <v>1.643836649</v>
      </c>
      <c r="N145" s="15" t="n">
        <v>0.08110000000000001</v>
      </c>
      <c r="O145" s="15" t="n">
        <v>28.11381637</v>
      </c>
      <c r="P145" t="n">
        <v>0.471380099</v>
      </c>
      <c r="Q145" t="n">
        <v>0.471015923</v>
      </c>
      <c r="R145" t="n">
        <v>0</v>
      </c>
      <c r="S145" t="n">
        <v>0</v>
      </c>
      <c r="T145" t="n">
        <v>3.271689399</v>
      </c>
      <c r="U145" t="n">
        <v>34.57141955</v>
      </c>
      <c r="V145" t="n">
        <v>0</v>
      </c>
      <c r="W145" t="n">
        <v>0</v>
      </c>
      <c r="X145" t="n">
        <v>0.790684319</v>
      </c>
      <c r="Y145" t="n">
        <v>0.790684319</v>
      </c>
      <c r="Z145" t="n">
        <v>1</v>
      </c>
      <c r="AA145" t="n">
        <v>0.579</v>
      </c>
      <c r="AB145" t="n">
        <v>99.321</v>
      </c>
      <c r="AC145" t="n">
        <v>0</v>
      </c>
      <c r="AD145" s="15" t="n">
        <v>0.197499995</v>
      </c>
      <c r="AE145" t="n">
        <v>116.0055715</v>
      </c>
      <c r="AF145" t="n">
        <v>113.7220664</v>
      </c>
      <c r="AG145" t="n">
        <v>93.47046672</v>
      </c>
      <c r="AH145" t="n">
        <v>68.44173394000001</v>
      </c>
      <c r="AI145" t="n">
        <v>100</v>
      </c>
      <c r="AJ145" t="n">
        <v>0</v>
      </c>
      <c r="AK145" t="n">
        <v>0</v>
      </c>
      <c r="AL145" t="n">
        <v>1.026824152</v>
      </c>
      <c r="AM145" t="n">
        <v>1.029714311</v>
      </c>
      <c r="AN145" t="n">
        <v>0</v>
      </c>
      <c r="AO145" t="n">
        <v>0</v>
      </c>
      <c r="AP145" t="n">
        <v>1</v>
      </c>
      <c r="AQ145" t="n">
        <v>0</v>
      </c>
      <c r="AR145" t="n">
        <v>37.824912</v>
      </c>
      <c r="AS145" t="n">
        <v>52.23738</v>
      </c>
      <c r="AT145" t="n">
        <v>114.060684</v>
      </c>
      <c r="AU145" t="n">
        <v>250.815852</v>
      </c>
      <c r="AV145" t="n">
        <v>0</v>
      </c>
    </row>
    <row r="146">
      <c r="A146" t="n">
        <v>145</v>
      </c>
      <c r="B146" t="n">
        <v>0</v>
      </c>
      <c r="C146" t="n">
        <v>24.22798433</v>
      </c>
      <c r="D146" t="n">
        <v>10.42545613</v>
      </c>
      <c r="E146" t="n">
        <v>5.265223436</v>
      </c>
      <c r="F146" t="n">
        <v>0.629</v>
      </c>
      <c r="G146" t="n">
        <v>3.014</v>
      </c>
      <c r="H146" t="n">
        <v>0.64951742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2.740931677</v>
      </c>
      <c r="Q146" t="n">
        <v>2.740931677</v>
      </c>
      <c r="R146" t="n">
        <v>0</v>
      </c>
      <c r="S146" t="n">
        <v>0</v>
      </c>
      <c r="T146" t="n">
        <v>4.897218779</v>
      </c>
      <c r="U146" t="n">
        <v>26.93326909</v>
      </c>
      <c r="V146" t="n">
        <v>0</v>
      </c>
      <c r="W146" t="n">
        <v>0</v>
      </c>
      <c r="X146" t="n">
        <v>3.311617921</v>
      </c>
      <c r="Y146" t="n">
        <v>3.311617921</v>
      </c>
      <c r="Z146" t="n">
        <v>1</v>
      </c>
      <c r="AA146" t="n">
        <v>0.587</v>
      </c>
      <c r="AB146" t="n">
        <v>99.313</v>
      </c>
      <c r="AC146" t="n">
        <v>0</v>
      </c>
      <c r="AD146" s="15" t="n">
        <v>0.300764741</v>
      </c>
      <c r="AE146" t="n">
        <v>118.8663756</v>
      </c>
      <c r="AF146" t="n">
        <v>117.5815395</v>
      </c>
      <c r="AG146" t="n">
        <v>87.13955688</v>
      </c>
      <c r="AH146" t="n">
        <v>63.94282806</v>
      </c>
      <c r="AI146" t="n">
        <v>100</v>
      </c>
      <c r="AJ146" t="n">
        <v>0</v>
      </c>
      <c r="AK146" t="n">
        <v>0</v>
      </c>
      <c r="AL146" t="n">
        <v>1.013409818</v>
      </c>
      <c r="AM146" t="n">
        <v>1.0150364</v>
      </c>
      <c r="AN146" t="n">
        <v>0</v>
      </c>
      <c r="AO146" t="n">
        <v>0</v>
      </c>
      <c r="AP146" t="n">
        <v>1</v>
      </c>
      <c r="AQ146" t="n">
        <v>0</v>
      </c>
      <c r="AR146" t="n">
        <v>38.347536</v>
      </c>
      <c r="AS146" t="n">
        <v>52.95914</v>
      </c>
      <c r="AT146" t="n">
        <v>115.636652</v>
      </c>
      <c r="AU146" t="n">
        <v>254.281356</v>
      </c>
      <c r="AV146" t="n">
        <v>0</v>
      </c>
    </row>
    <row r="147">
      <c r="A147" t="n">
        <v>146</v>
      </c>
      <c r="B147" t="n">
        <v>0</v>
      </c>
      <c r="C147" t="n">
        <v>24.20267973</v>
      </c>
      <c r="D147" t="n">
        <v>9.033265073000001</v>
      </c>
      <c r="E147" t="n">
        <v>4.750618275</v>
      </c>
      <c r="F147" t="n">
        <v>0.65</v>
      </c>
      <c r="G147" t="n">
        <v>3.123</v>
      </c>
      <c r="H147" t="n">
        <v>0.457898017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2.013343227</v>
      </c>
      <c r="Q147" t="n">
        <v>2.013343227</v>
      </c>
      <c r="R147" t="n">
        <v>0</v>
      </c>
      <c r="S147" t="n">
        <v>0</v>
      </c>
      <c r="T147" t="n">
        <v>0.729641295</v>
      </c>
      <c r="U147" t="n">
        <v>24.19028457</v>
      </c>
      <c r="V147" t="n">
        <v>0</v>
      </c>
      <c r="W147" t="n">
        <v>0</v>
      </c>
      <c r="X147" t="n">
        <v>3.087701599</v>
      </c>
      <c r="Y147" t="n">
        <v>3.087701599</v>
      </c>
      <c r="Z147" t="n">
        <v>1</v>
      </c>
      <c r="AA147" t="n">
        <v>0.595</v>
      </c>
      <c r="AB147" t="n">
        <v>99.30500000000001</v>
      </c>
      <c r="AC147" t="n">
        <v>0</v>
      </c>
      <c r="AD147" s="15" t="n">
        <v>0.251019115</v>
      </c>
      <c r="AE147" t="n">
        <v>117.8332642</v>
      </c>
      <c r="AF147" t="n">
        <v>120.4423436</v>
      </c>
      <c r="AG147" t="n">
        <v>96.84888598000001</v>
      </c>
      <c r="AH147" t="n">
        <v>70.9012357</v>
      </c>
      <c r="AI147" t="n">
        <v>100</v>
      </c>
      <c r="AJ147" t="n">
        <v>0</v>
      </c>
      <c r="AK147" t="n">
        <v>0</v>
      </c>
      <c r="AL147" t="n">
        <v>1.00670378</v>
      </c>
      <c r="AM147" t="n">
        <v>1.007608903</v>
      </c>
      <c r="AN147" t="n">
        <v>0</v>
      </c>
      <c r="AO147" t="n">
        <v>0</v>
      </c>
      <c r="AP147" t="n">
        <v>1</v>
      </c>
      <c r="AQ147" t="n">
        <v>0</v>
      </c>
      <c r="AR147" t="n">
        <v>38.87016</v>
      </c>
      <c r="AS147" t="n">
        <v>53.6809</v>
      </c>
      <c r="AT147" t="n">
        <v>117.21262</v>
      </c>
      <c r="AU147" t="n">
        <v>257.74686</v>
      </c>
      <c r="AV147" t="n">
        <v>0</v>
      </c>
    </row>
    <row r="148">
      <c r="A148" t="n">
        <v>147</v>
      </c>
      <c r="B148" s="15" t="n">
        <v>0</v>
      </c>
      <c r="C148" t="n">
        <v>26.91048867</v>
      </c>
      <c r="D148" t="n">
        <v>10.15867954</v>
      </c>
      <c r="E148" t="n">
        <v>5.066197231</v>
      </c>
      <c r="F148" t="n">
        <v>0.671</v>
      </c>
      <c r="G148" t="n">
        <v>3.233</v>
      </c>
      <c r="H148" t="n">
        <v>0.495958207</v>
      </c>
      <c r="I148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t="n">
        <v>0</v>
      </c>
      <c r="O148" s="15" t="n">
        <v>0</v>
      </c>
      <c r="P148" t="n">
        <v>2.111782084</v>
      </c>
      <c r="Q148" t="n">
        <v>2.111782084</v>
      </c>
      <c r="R148" t="n">
        <v>0</v>
      </c>
      <c r="S148" t="n">
        <v>0</v>
      </c>
      <c r="T148" t="n">
        <v>0.229486012</v>
      </c>
      <c r="U148" t="n">
        <v>21.84901648</v>
      </c>
      <c r="V148" t="n">
        <v>0</v>
      </c>
      <c r="W148" t="n">
        <v>0</v>
      </c>
      <c r="X148" t="n">
        <v>3.399190515</v>
      </c>
      <c r="Y148" t="n">
        <v>3.399190515</v>
      </c>
      <c r="Z148" t="n">
        <v>1</v>
      </c>
      <c r="AA148" t="n">
        <v>0.603</v>
      </c>
      <c r="AB148" t="n">
        <v>99.297</v>
      </c>
      <c r="AC148" t="n">
        <v>0</v>
      </c>
      <c r="AD148" s="15" t="n">
        <v>0.182454004</v>
      </c>
      <c r="AE148" t="n">
        <v>116.0570737</v>
      </c>
      <c r="AF148" t="n">
        <v>119.4092322</v>
      </c>
      <c r="AG148" t="n">
        <v>96.43567741</v>
      </c>
      <c r="AH148" t="n">
        <v>70.62925928999999</v>
      </c>
      <c r="AI148" t="n">
        <v>100</v>
      </c>
      <c r="AJ148" t="n">
        <v>0</v>
      </c>
      <c r="AK148" t="n">
        <v>0</v>
      </c>
      <c r="AL148" t="n">
        <v>1.003351325</v>
      </c>
      <c r="AM148" t="n">
        <v>1.003850351</v>
      </c>
      <c r="AN148" t="n">
        <v>0</v>
      </c>
      <c r="AO148" t="n">
        <v>0</v>
      </c>
      <c r="AP148" t="n">
        <v>1</v>
      </c>
      <c r="AQ148" t="n">
        <v>0</v>
      </c>
      <c r="AR148" t="n">
        <v>39.392784</v>
      </c>
      <c r="AS148" t="n">
        <v>54.40266</v>
      </c>
      <c r="AT148" t="n">
        <v>118.788588</v>
      </c>
      <c r="AU148" t="n">
        <v>261.212364</v>
      </c>
      <c r="AV148" t="n">
        <v>0</v>
      </c>
    </row>
    <row r="149">
      <c r="A149" t="n">
        <v>148</v>
      </c>
      <c r="B149" t="n">
        <v>0</v>
      </c>
      <c r="C149" t="n">
        <v>27.05941083</v>
      </c>
      <c r="D149" t="n">
        <v>11.45867954</v>
      </c>
      <c r="E149" t="n">
        <v>5.097823666</v>
      </c>
      <c r="F149" t="n">
        <v>0.6919999999999999</v>
      </c>
      <c r="G149" t="n">
        <v>3.342</v>
      </c>
      <c r="H149" t="n">
        <v>0.479561097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1.889457289</v>
      </c>
      <c r="Q149" t="n">
        <v>1.889457289</v>
      </c>
      <c r="R149" t="n">
        <v>0</v>
      </c>
      <c r="S149" t="n">
        <v>0</v>
      </c>
      <c r="T149" s="15" t="n">
        <v>0.07389999999999999</v>
      </c>
      <c r="U149" t="n">
        <v>19.88561981</v>
      </c>
      <c r="V149" t="n">
        <v>0</v>
      </c>
      <c r="W149" t="n">
        <v>0</v>
      </c>
      <c r="X149" t="n">
        <v>3.527449986</v>
      </c>
      <c r="Y149" t="n">
        <v>3.527449986</v>
      </c>
      <c r="Z149" t="n">
        <v>1</v>
      </c>
      <c r="AA149" t="n">
        <v>0.612</v>
      </c>
      <c r="AB149" t="n">
        <v>99.288</v>
      </c>
      <c r="AC149" t="n">
        <v>0</v>
      </c>
      <c r="AD149" s="15" t="n">
        <v>0.125803147</v>
      </c>
      <c r="AE149" t="n">
        <v>114.2507239</v>
      </c>
      <c r="AF149" t="n">
        <v>117.8300377</v>
      </c>
      <c r="AG149" t="n">
        <v>98.62506626</v>
      </c>
      <c r="AH149" t="n">
        <v>72.21917761</v>
      </c>
      <c r="AI149" t="n">
        <v>100</v>
      </c>
      <c r="AJ149" t="n">
        <v>0</v>
      </c>
      <c r="AK149" t="n">
        <v>0</v>
      </c>
      <c r="AL149" t="n">
        <v>1.001675381</v>
      </c>
      <c r="AM149" t="n">
        <v>1.001948402</v>
      </c>
      <c r="AN149" t="n">
        <v>0</v>
      </c>
      <c r="AO149" t="n">
        <v>0</v>
      </c>
      <c r="AP149" t="n">
        <v>1</v>
      </c>
      <c r="AQ149" t="n">
        <v>0</v>
      </c>
      <c r="AR149" t="n">
        <v>39.980736</v>
      </c>
      <c r="AS149" t="n">
        <v>55.21464</v>
      </c>
      <c r="AT149" t="n">
        <v>120.561552</v>
      </c>
      <c r="AU149" t="n">
        <v>265.111056</v>
      </c>
      <c r="AV149" t="n">
        <v>0</v>
      </c>
    </row>
    <row r="150">
      <c r="A150" t="n">
        <v>149</v>
      </c>
      <c r="B150" t="n">
        <v>0</v>
      </c>
      <c r="C150" t="n">
        <v>27.97726526</v>
      </c>
      <c r="D150" t="n">
        <v>13.25599981</v>
      </c>
      <c r="E150" t="n">
        <v>5.134111147</v>
      </c>
      <c r="F150" t="n">
        <v>0.713</v>
      </c>
      <c r="G150" t="n">
        <v>3.451</v>
      </c>
      <c r="H150" t="n">
        <v>0.483323709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1.972987705</v>
      </c>
      <c r="Q150" t="n">
        <v>1.972987705</v>
      </c>
      <c r="R150" t="n">
        <v>0</v>
      </c>
      <c r="S150" t="n">
        <v>0</v>
      </c>
      <c r="T150" s="15" t="n">
        <v>0.0233</v>
      </c>
      <c r="U150" t="n">
        <v>17.88933552</v>
      </c>
      <c r="V150" t="n">
        <v>0</v>
      </c>
      <c r="W150" t="n">
        <v>0</v>
      </c>
      <c r="X150" t="n">
        <v>3.66036029</v>
      </c>
      <c r="Y150" t="n">
        <v>3.66036029</v>
      </c>
      <c r="Z150" t="n">
        <v>1</v>
      </c>
      <c r="AA150" t="n">
        <v>0.62</v>
      </c>
      <c r="AB150" t="n">
        <v>99.28</v>
      </c>
      <c r="AC150" t="n">
        <v>0</v>
      </c>
      <c r="AD150" s="15" t="n">
        <v>0.08450000000000001</v>
      </c>
      <c r="AE150" t="n">
        <v>112.105095</v>
      </c>
      <c r="AF150" t="n">
        <v>115.8266919</v>
      </c>
      <c r="AG150" t="n">
        <v>99.73992038</v>
      </c>
      <c r="AH150" t="n">
        <v>73.03867456</v>
      </c>
      <c r="AI150" t="n">
        <v>100</v>
      </c>
      <c r="AJ150" t="n">
        <v>0</v>
      </c>
      <c r="AK150" t="n">
        <v>0</v>
      </c>
      <c r="AL150" t="n">
        <v>1.000837549</v>
      </c>
      <c r="AM150" t="n">
        <v>1.000985954</v>
      </c>
      <c r="AN150" t="n">
        <v>0</v>
      </c>
      <c r="AO150" t="n">
        <v>0</v>
      </c>
      <c r="AP150" t="n">
        <v>1</v>
      </c>
      <c r="AQ150" t="n">
        <v>0</v>
      </c>
      <c r="AR150" t="n">
        <v>40.50336</v>
      </c>
      <c r="AS150" t="n">
        <v>55.9364</v>
      </c>
      <c r="AT150" t="n">
        <v>122.13752</v>
      </c>
      <c r="AU150" t="n">
        <v>268.57656</v>
      </c>
      <c r="AV150" t="n">
        <v>0</v>
      </c>
    </row>
    <row r="151">
      <c r="A151" t="n">
        <v>150</v>
      </c>
      <c r="B151" t="n">
        <v>0</v>
      </c>
      <c r="C151" t="n">
        <v>25.7311489</v>
      </c>
      <c r="D151" t="n">
        <v>13.85071907</v>
      </c>
      <c r="E151" t="n">
        <v>5.487297522</v>
      </c>
      <c r="F151" t="n">
        <v>0.734</v>
      </c>
      <c r="G151" t="n">
        <v>3.56</v>
      </c>
      <c r="H151" t="n">
        <v>0.474666081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2.006547593</v>
      </c>
      <c r="Q151" t="n">
        <v>2.006547593</v>
      </c>
      <c r="R151" t="n">
        <v>0</v>
      </c>
      <c r="S151" t="n">
        <v>0</v>
      </c>
      <c r="T151" s="15" t="n">
        <v>0.00607</v>
      </c>
      <c r="U151" t="n">
        <v>15.87671967</v>
      </c>
      <c r="V151" t="n">
        <v>0</v>
      </c>
      <c r="W151" t="n">
        <v>0</v>
      </c>
      <c r="X151" t="n">
        <v>4.027380815</v>
      </c>
      <c r="Y151" t="n">
        <v>4.027380815</v>
      </c>
      <c r="Z151" t="n">
        <v>1</v>
      </c>
      <c r="AA151" t="n">
        <v>0.628</v>
      </c>
      <c r="AB151" t="n">
        <v>99.27200000000001</v>
      </c>
      <c r="AC151" t="n">
        <v>0</v>
      </c>
      <c r="AD151" s="15" t="n">
        <v>0.0548</v>
      </c>
      <c r="AE151" t="n">
        <v>109.6049027</v>
      </c>
      <c r="AF151" t="n">
        <v>113.681063</v>
      </c>
      <c r="AG151" t="n">
        <v>101.4332652</v>
      </c>
      <c r="AH151" t="n">
        <v>74.27137913</v>
      </c>
      <c r="AI151" t="n">
        <v>100</v>
      </c>
      <c r="AJ151" t="n">
        <v>0</v>
      </c>
      <c r="AK151" t="n">
        <v>0</v>
      </c>
      <c r="AL151" t="n">
        <v>1.000418704</v>
      </c>
      <c r="AM151" t="n">
        <v>1.000498925</v>
      </c>
      <c r="AN151" t="n">
        <v>0</v>
      </c>
      <c r="AO151" t="n">
        <v>0</v>
      </c>
      <c r="AP151" t="n">
        <v>1</v>
      </c>
      <c r="AQ151" t="n">
        <v>0</v>
      </c>
      <c r="AR151" t="n">
        <v>41.025984</v>
      </c>
      <c r="AS151" t="n">
        <v>56.65816</v>
      </c>
      <c r="AT151" t="n">
        <v>123.713488</v>
      </c>
      <c r="AU151" t="n">
        <v>272.042064</v>
      </c>
      <c r="AV151" t="n">
        <v>0</v>
      </c>
    </row>
    <row r="152">
      <c r="A152" t="n">
        <v>151</v>
      </c>
      <c r="B152" t="n">
        <v>0</v>
      </c>
      <c r="C152" t="n">
        <v>25.40267973</v>
      </c>
      <c r="D152" t="n">
        <v>14.3539253</v>
      </c>
      <c r="E152" t="n">
        <v>4.823847959</v>
      </c>
      <c r="F152" t="n">
        <v>0.755</v>
      </c>
      <c r="G152" t="n">
        <v>3.67</v>
      </c>
      <c r="H152" t="n">
        <v>0.458642865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1.603393727</v>
      </c>
      <c r="Q152" t="n">
        <v>1.548093581</v>
      </c>
      <c r="R152" t="n">
        <v>0</v>
      </c>
      <c r="S152" t="n">
        <v>0</v>
      </c>
      <c r="T152" s="15" t="n">
        <v>0.00137</v>
      </c>
      <c r="U152" t="n">
        <v>14.32725656</v>
      </c>
      <c r="V152" t="n">
        <v>0</v>
      </c>
      <c r="W152" t="n">
        <v>0</v>
      </c>
      <c r="X152" t="n">
        <v>3.641730435</v>
      </c>
      <c r="Y152" t="n">
        <v>3.641730435</v>
      </c>
      <c r="Z152" t="n">
        <v>1</v>
      </c>
      <c r="AA152" t="n">
        <v>0.636</v>
      </c>
      <c r="AB152" t="n">
        <v>99.264</v>
      </c>
      <c r="AC152" t="n">
        <v>0</v>
      </c>
      <c r="AD152" s="15" t="n">
        <v>0.035</v>
      </c>
      <c r="AE152" t="n">
        <v>107.5054887</v>
      </c>
      <c r="AF152" t="n">
        <v>111.1808707</v>
      </c>
      <c r="AG152" t="n">
        <v>103.4870991</v>
      </c>
      <c r="AH152" t="n">
        <v>75.76157594</v>
      </c>
      <c r="AI152" t="n">
        <v>100</v>
      </c>
      <c r="AJ152" t="n">
        <v>0</v>
      </c>
      <c r="AK152" t="n">
        <v>0</v>
      </c>
      <c r="AL152" t="n">
        <v>1.000209317</v>
      </c>
      <c r="AM152" t="n">
        <v>1.000252472</v>
      </c>
      <c r="AN152" t="n">
        <v>0</v>
      </c>
      <c r="AO152" t="n">
        <v>0</v>
      </c>
      <c r="AP152" t="n">
        <v>1</v>
      </c>
      <c r="AQ152" t="n">
        <v>0</v>
      </c>
      <c r="AR152" t="n">
        <v>41.548608</v>
      </c>
      <c r="AS152" t="n">
        <v>57.37992</v>
      </c>
      <c r="AT152" t="n">
        <v>125.289456</v>
      </c>
      <c r="AU152" t="n">
        <v>275.507568</v>
      </c>
      <c r="AV152" t="n">
        <v>0</v>
      </c>
    </row>
    <row r="153">
      <c r="A153" t="n">
        <v>152</v>
      </c>
      <c r="B153" t="n">
        <v>0</v>
      </c>
      <c r="C153" t="n">
        <v>27.52333996</v>
      </c>
      <c r="D153" t="n">
        <v>14.9460747</v>
      </c>
      <c r="E153" t="n">
        <v>5.381272149</v>
      </c>
      <c r="F153" t="n">
        <v>0.775</v>
      </c>
      <c r="G153" t="n">
        <v>3.779</v>
      </c>
      <c r="H153" t="n">
        <v>0.490195034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1.652716068</v>
      </c>
      <c r="Q153" t="n">
        <v>1.388792324</v>
      </c>
      <c r="R153" t="n">
        <v>0</v>
      </c>
      <c r="S153" t="n">
        <v>0</v>
      </c>
      <c r="T153" s="15" t="n">
        <v>0.00034</v>
      </c>
      <c r="U153" t="n">
        <v>12.93812384</v>
      </c>
      <c r="V153" t="n">
        <v>0</v>
      </c>
      <c r="W153" t="n">
        <v>0</v>
      </c>
      <c r="X153" t="n">
        <v>4.170162838</v>
      </c>
      <c r="Y153" t="n">
        <v>4.170162838</v>
      </c>
      <c r="Z153" t="n">
        <v>1</v>
      </c>
      <c r="AA153" t="n">
        <v>0.644</v>
      </c>
      <c r="AB153" t="n">
        <v>99.256</v>
      </c>
      <c r="AC153" t="n">
        <v>0</v>
      </c>
      <c r="AD153" s="15" t="n">
        <v>0.0221</v>
      </c>
      <c r="AE153" t="n">
        <v>104.8895091</v>
      </c>
      <c r="AF153" t="n">
        <v>109.0814567</v>
      </c>
      <c r="AG153" t="n">
        <v>103.2700719</v>
      </c>
      <c r="AH153" t="n">
        <v>75.62972910000001</v>
      </c>
      <c r="AI153" t="n">
        <v>100</v>
      </c>
      <c r="AJ153" t="n">
        <v>0</v>
      </c>
      <c r="AK153" t="n">
        <v>0</v>
      </c>
      <c r="AL153" t="n">
        <v>1.000104641</v>
      </c>
      <c r="AM153" t="n">
        <v>1.000127759</v>
      </c>
      <c r="AN153" t="n">
        <v>0</v>
      </c>
      <c r="AO153" t="n">
        <v>0</v>
      </c>
      <c r="AP153" t="n">
        <v>1</v>
      </c>
      <c r="AQ153" t="n">
        <v>0</v>
      </c>
      <c r="AR153" t="n">
        <v>42.071232</v>
      </c>
      <c r="AS153" t="n">
        <v>58.10168</v>
      </c>
      <c r="AT153" t="n">
        <v>126.865424</v>
      </c>
      <c r="AU153" t="n">
        <v>278.973072</v>
      </c>
      <c r="AV153" t="n">
        <v>0</v>
      </c>
    </row>
    <row r="154">
      <c r="A154" t="n">
        <v>153</v>
      </c>
      <c r="B154" t="n">
        <v>0</v>
      </c>
      <c r="C154" t="n">
        <v>26.74928093</v>
      </c>
      <c r="D154" t="n">
        <v>13.79926871</v>
      </c>
      <c r="E154" t="n">
        <v>4.66841868</v>
      </c>
      <c r="F154" t="n">
        <v>0.796</v>
      </c>
      <c r="G154" t="n">
        <v>3.888</v>
      </c>
      <c r="H154" t="n">
        <v>0.467084844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1.342341684</v>
      </c>
      <c r="Q154" t="n">
        <v>0.9871931350000001</v>
      </c>
      <c r="R154" t="n">
        <v>0</v>
      </c>
      <c r="S154" t="n">
        <v>0</v>
      </c>
      <c r="T154" s="15" t="n">
        <v>8.76e-05</v>
      </c>
      <c r="U154" t="n">
        <v>11.95084306</v>
      </c>
      <c r="V154" t="n">
        <v>0</v>
      </c>
      <c r="W154" t="n">
        <v>0</v>
      </c>
      <c r="X154" t="n">
        <v>3.715766055</v>
      </c>
      <c r="Y154" t="n">
        <v>3.715766055</v>
      </c>
      <c r="Z154" t="n">
        <v>1</v>
      </c>
      <c r="AA154" t="n">
        <v>0.652</v>
      </c>
      <c r="AB154" t="n">
        <v>99.248</v>
      </c>
      <c r="AC154" t="n">
        <v>0</v>
      </c>
      <c r="AD154" s="15" t="n">
        <v>0.0136</v>
      </c>
      <c r="AE154" t="n">
        <v>102.736227</v>
      </c>
      <c r="AF154" t="n">
        <v>106.4654771</v>
      </c>
      <c r="AG154" t="n">
        <v>105.6791488</v>
      </c>
      <c r="AH154" t="n">
        <v>77.37367086</v>
      </c>
      <c r="AI154" t="n">
        <v>100</v>
      </c>
      <c r="AJ154" t="n">
        <v>0</v>
      </c>
      <c r="AK154" t="n">
        <v>0</v>
      </c>
      <c r="AL154" t="n">
        <v>1.000052312</v>
      </c>
      <c r="AM154" t="n">
        <v>1.00006465</v>
      </c>
      <c r="AN154" t="n">
        <v>0</v>
      </c>
      <c r="AO154" t="n">
        <v>0</v>
      </c>
      <c r="AP154" t="n">
        <v>1</v>
      </c>
      <c r="AQ154" t="n">
        <v>0</v>
      </c>
      <c r="AR154" t="n">
        <v>42.593856</v>
      </c>
      <c r="AS154" t="n">
        <v>58.82344</v>
      </c>
      <c r="AT154" t="n">
        <v>128.441392</v>
      </c>
      <c r="AU154" t="n">
        <v>282.438576</v>
      </c>
      <c r="AV154" t="n">
        <v>0</v>
      </c>
    </row>
    <row r="155">
      <c r="A155" t="n">
        <v>154</v>
      </c>
      <c r="B155" t="n">
        <v>0</v>
      </c>
      <c r="C155" t="n">
        <v>29.80267973</v>
      </c>
      <c r="D155" t="n">
        <v>15.75071907</v>
      </c>
      <c r="E155" t="n">
        <v>5.5948489</v>
      </c>
      <c r="F155" t="n">
        <v>0.8169999999999999</v>
      </c>
      <c r="G155" t="n">
        <v>3.998</v>
      </c>
      <c r="H155" t="n">
        <v>0.49767569</v>
      </c>
      <c r="I155" t="n">
        <v>198</v>
      </c>
      <c r="J155" t="n">
        <v>0</v>
      </c>
      <c r="K155" t="n">
        <v>198</v>
      </c>
      <c r="L155" t="n">
        <v>0</v>
      </c>
      <c r="M155" t="n">
        <v>0</v>
      </c>
      <c r="N155" t="n">
        <v>0</v>
      </c>
      <c r="O155" t="n">
        <v>0</v>
      </c>
      <c r="P155" t="n">
        <v>1.531566816</v>
      </c>
      <c r="Q155" t="n">
        <v>1.34691868</v>
      </c>
      <c r="R155" t="n">
        <v>0</v>
      </c>
      <c r="S155" t="n">
        <v>0</v>
      </c>
      <c r="T155" s="15" t="n">
        <v>181.2800208</v>
      </c>
      <c r="U155" t="n">
        <v>27.32390355</v>
      </c>
      <c r="V155" t="n">
        <v>0</v>
      </c>
      <c r="W155" t="n">
        <v>0</v>
      </c>
      <c r="X155" t="n">
        <v>4.570619636</v>
      </c>
      <c r="Y155" t="n">
        <v>4.570619636</v>
      </c>
      <c r="Z155" t="n">
        <v>1</v>
      </c>
      <c r="AA155" t="n">
        <v>0.66</v>
      </c>
      <c r="AB155" t="n">
        <v>99.23999999999999</v>
      </c>
      <c r="AC155" t="n">
        <v>0</v>
      </c>
      <c r="AD155" t="n">
        <v>98.19850871</v>
      </c>
      <c r="AE155" t="n">
        <v>182.8230875</v>
      </c>
      <c r="AF155" t="n">
        <v>104.312195</v>
      </c>
      <c r="AG155" t="n">
        <v>105.4667634</v>
      </c>
      <c r="AH155" t="n">
        <v>77.24513956</v>
      </c>
      <c r="AI155" t="n">
        <v>100</v>
      </c>
      <c r="AJ155" t="n">
        <v>0</v>
      </c>
      <c r="AK155" t="n">
        <v>0</v>
      </c>
      <c r="AL155" t="n">
        <v>7.876241162</v>
      </c>
      <c r="AM155" t="n">
        <v>7.91098613</v>
      </c>
      <c r="AN155" t="n">
        <v>22</v>
      </c>
      <c r="AO155" t="n">
        <v>0</v>
      </c>
      <c r="AP155" t="n">
        <v>1</v>
      </c>
      <c r="AQ155" t="n">
        <v>0</v>
      </c>
      <c r="AR155" t="n">
        <v>43.11648</v>
      </c>
      <c r="AS155" t="n">
        <v>59.5452</v>
      </c>
      <c r="AT155" t="n">
        <v>130.01736</v>
      </c>
      <c r="AU155" t="n">
        <v>285.90408</v>
      </c>
      <c r="AV155" t="n">
        <v>0</v>
      </c>
    </row>
    <row r="156">
      <c r="A156" t="n">
        <v>155</v>
      </c>
      <c r="B156" t="n">
        <v>0</v>
      </c>
      <c r="C156" t="n">
        <v>31.37454387</v>
      </c>
      <c r="D156" t="n">
        <v>13.75867954</v>
      </c>
      <c r="E156" t="n">
        <v>5.561822807</v>
      </c>
      <c r="F156" t="n">
        <v>0.838</v>
      </c>
      <c r="G156" t="n">
        <v>4.107</v>
      </c>
      <c r="H156" t="n">
        <v>0.455912543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1.409771154</v>
      </c>
      <c r="Q156" t="n">
        <v>1.409771154</v>
      </c>
      <c r="R156" t="n">
        <v>0</v>
      </c>
      <c r="S156" t="n">
        <v>0</v>
      </c>
      <c r="T156" s="15" t="n">
        <v>2.623251292</v>
      </c>
      <c r="U156" t="n">
        <v>23.29088111</v>
      </c>
      <c r="V156" t="n">
        <v>0</v>
      </c>
      <c r="W156" t="n">
        <v>0</v>
      </c>
      <c r="X156" t="n">
        <v>4.660419611</v>
      </c>
      <c r="Y156" t="n">
        <v>4.660419611</v>
      </c>
      <c r="Z156" t="n">
        <v>1</v>
      </c>
      <c r="AA156" t="n">
        <v>0.669</v>
      </c>
      <c r="AB156" t="n">
        <v>99.23099999999999</v>
      </c>
      <c r="AC156" t="n">
        <v>0</v>
      </c>
      <c r="AD156" t="n">
        <v>21.00079689</v>
      </c>
      <c r="AE156" t="n">
        <v>161.5580863</v>
      </c>
      <c r="AF156" t="n">
        <v>184.5960515</v>
      </c>
      <c r="AG156" t="n">
        <v>108.9932376</v>
      </c>
      <c r="AH156" t="n">
        <v>79.79011884000001</v>
      </c>
      <c r="AI156" t="n">
        <v>100</v>
      </c>
      <c r="AJ156" t="n">
        <v>0</v>
      </c>
      <c r="AK156" t="n">
        <v>0</v>
      </c>
      <c r="AL156" t="n">
        <v>4.437541607</v>
      </c>
      <c r="AM156" t="n">
        <v>4.497181938</v>
      </c>
      <c r="AN156" t="n">
        <v>0</v>
      </c>
      <c r="AO156" t="n">
        <v>0</v>
      </c>
      <c r="AP156" t="n">
        <v>1</v>
      </c>
      <c r="AQ156" t="n">
        <v>0</v>
      </c>
      <c r="AR156" t="n">
        <v>43.704432</v>
      </c>
      <c r="AS156" t="n">
        <v>60.35718</v>
      </c>
      <c r="AT156" t="n">
        <v>131.790324</v>
      </c>
      <c r="AU156" t="n">
        <v>289.802772</v>
      </c>
      <c r="AV156" t="n">
        <v>0</v>
      </c>
    </row>
    <row r="157">
      <c r="A157" t="n">
        <v>156</v>
      </c>
      <c r="B157" s="15" t="n">
        <v>0.0588</v>
      </c>
      <c r="C157" t="n">
        <v>28.47454387</v>
      </c>
      <c r="D157" t="n">
        <v>17.1359448</v>
      </c>
      <c r="E157" t="n">
        <v>4.144038917</v>
      </c>
      <c r="F157" t="n">
        <v>0.859</v>
      </c>
      <c r="G157" t="n">
        <v>4.216</v>
      </c>
      <c r="H157" t="n">
        <v>0.45719237</v>
      </c>
      <c r="I157" t="n">
        <v>0</v>
      </c>
      <c r="J157" s="15" t="n">
        <v>0.00133</v>
      </c>
      <c r="K157" s="15" t="n">
        <v>0.0588</v>
      </c>
      <c r="L157" s="15" t="n">
        <v>0.00133</v>
      </c>
      <c r="M157" s="15" t="n">
        <v>0.0574</v>
      </c>
      <c r="N157" t="n">
        <v>0</v>
      </c>
      <c r="O157" s="15" t="n">
        <v>0.00133</v>
      </c>
      <c r="P157" t="n">
        <v>0.797116792</v>
      </c>
      <c r="Q157" t="n">
        <v>0.797116792</v>
      </c>
      <c r="R157" t="n">
        <v>0</v>
      </c>
      <c r="S157" t="n">
        <v>0</v>
      </c>
      <c r="T157" s="15" t="n">
        <v>0.479909585</v>
      </c>
      <c r="U157" t="n">
        <v>22.01518911</v>
      </c>
      <c r="V157" t="n">
        <v>0</v>
      </c>
      <c r="W157" t="n">
        <v>0</v>
      </c>
      <c r="X157" t="n">
        <v>3.559426775</v>
      </c>
      <c r="Y157" t="n">
        <v>3.559426775</v>
      </c>
      <c r="Z157" t="n">
        <v>1</v>
      </c>
      <c r="AA157" t="n">
        <v>0.677</v>
      </c>
      <c r="AB157" t="n">
        <v>99.223</v>
      </c>
      <c r="AC157" t="n">
        <v>0</v>
      </c>
      <c r="AD157" t="n">
        <v>4.656275445</v>
      </c>
      <c r="AE157" t="n">
        <v>155.3982617</v>
      </c>
      <c r="AF157" t="n">
        <v>163.1340543</v>
      </c>
      <c r="AG157" t="n">
        <v>110.2318339</v>
      </c>
      <c r="AH157" t="n">
        <v>80.69800309999999</v>
      </c>
      <c r="AI157" t="n">
        <v>100</v>
      </c>
      <c r="AJ157" t="n">
        <v>0</v>
      </c>
      <c r="AK157" t="n">
        <v>0</v>
      </c>
      <c r="AL157" t="n">
        <v>2.718481365</v>
      </c>
      <c r="AM157" t="n">
        <v>2.769686884</v>
      </c>
      <c r="AN157" t="n">
        <v>0</v>
      </c>
      <c r="AO157" t="n">
        <v>0</v>
      </c>
      <c r="AP157" t="n">
        <v>1</v>
      </c>
      <c r="AQ157" t="n">
        <v>0</v>
      </c>
      <c r="AR157" t="n">
        <v>44.227056</v>
      </c>
      <c r="AS157" t="n">
        <v>61.07894</v>
      </c>
      <c r="AT157" t="n">
        <v>133.366292</v>
      </c>
      <c r="AU157" t="n">
        <v>293.268276</v>
      </c>
      <c r="AV157" t="n">
        <v>0</v>
      </c>
    </row>
    <row r="158">
      <c r="A158" t="n">
        <v>157</v>
      </c>
      <c r="B158" t="n">
        <v>7.300746949</v>
      </c>
      <c r="C158" t="n">
        <v>29.93875059</v>
      </c>
      <c r="D158" t="n">
        <v>15.91333613</v>
      </c>
      <c r="E158" t="n">
        <v>5.509418635</v>
      </c>
      <c r="F158" t="n">
        <v>0.88</v>
      </c>
      <c r="G158" t="n">
        <v>4.326</v>
      </c>
      <c r="H158" t="n">
        <v>0.525738257</v>
      </c>
      <c r="I158" t="n">
        <v>0</v>
      </c>
      <c r="J158" t="n">
        <v>5.385917277</v>
      </c>
      <c r="K158" t="n">
        <v>7.300746949</v>
      </c>
      <c r="L158" t="n">
        <v>5.385917277</v>
      </c>
      <c r="M158" t="n">
        <v>1.914829672</v>
      </c>
      <c r="N158" t="n">
        <v>0</v>
      </c>
      <c r="O158" t="n">
        <v>5.385917438</v>
      </c>
      <c r="P158" t="n">
        <v>1.0541405</v>
      </c>
      <c r="Q158" t="n">
        <v>1.0541405</v>
      </c>
      <c r="R158" t="n">
        <v>0</v>
      </c>
      <c r="S158" t="n">
        <v>0</v>
      </c>
      <c r="T158" s="15" t="n">
        <v>0.663601148</v>
      </c>
      <c r="U158" t="n">
        <v>25.6833649</v>
      </c>
      <c r="V158" t="n">
        <v>0</v>
      </c>
      <c r="W158" t="n">
        <v>0</v>
      </c>
      <c r="X158" t="n">
        <v>4.847867833</v>
      </c>
      <c r="Y158" t="n">
        <v>4.847867833</v>
      </c>
      <c r="Z158" t="n">
        <v>1</v>
      </c>
      <c r="AA158" t="n">
        <v>0.6850000000000001</v>
      </c>
      <c r="AB158" t="n">
        <v>99.215</v>
      </c>
      <c r="AC158" t="n">
        <v>0</v>
      </c>
      <c r="AD158" t="n">
        <v>1.871800366</v>
      </c>
      <c r="AE158" t="n">
        <v>150.9181626</v>
      </c>
      <c r="AF158" t="n">
        <v>156.9742297</v>
      </c>
      <c r="AG158" t="n">
        <v>108.0249386</v>
      </c>
      <c r="AH158" t="n">
        <v>79.14482187</v>
      </c>
      <c r="AI158" t="n">
        <v>100</v>
      </c>
      <c r="AJ158" t="n">
        <v>0</v>
      </c>
      <c r="AK158" t="n">
        <v>0</v>
      </c>
      <c r="AL158" t="n">
        <v>1.859095988</v>
      </c>
      <c r="AM158" t="n">
        <v>1.895518655</v>
      </c>
      <c r="AN158" t="n">
        <v>0</v>
      </c>
      <c r="AO158" t="n">
        <v>0</v>
      </c>
      <c r="AP158" t="n">
        <v>1</v>
      </c>
      <c r="AQ158" t="n">
        <v>0</v>
      </c>
      <c r="AR158" t="n">
        <v>44.74968</v>
      </c>
      <c r="AS158" t="n">
        <v>61.8007</v>
      </c>
      <c r="AT158" t="n">
        <v>134.94226</v>
      </c>
      <c r="AU158" t="n">
        <v>296.73378</v>
      </c>
      <c r="AV158" t="n">
        <v>0</v>
      </c>
    </row>
    <row r="159">
      <c r="A159" t="n">
        <v>158</v>
      </c>
      <c r="B159" s="15" t="n">
        <v>0.0252</v>
      </c>
      <c r="C159" t="n">
        <v>27.58788</v>
      </c>
      <c r="D159" t="n">
        <v>17.0539253</v>
      </c>
      <c r="E159" t="n">
        <v>3.960689824</v>
      </c>
      <c r="F159" t="n">
        <v>0.9</v>
      </c>
      <c r="G159" t="n">
        <v>4.435</v>
      </c>
      <c r="H159" t="n">
        <v>0.463919667</v>
      </c>
      <c r="I159" t="n">
        <v>0</v>
      </c>
      <c r="J159" s="15" t="n">
        <v>0.000237</v>
      </c>
      <c r="K159" s="15" t="n">
        <v>0.0252</v>
      </c>
      <c r="L159" s="15" t="n">
        <v>0.000237</v>
      </c>
      <c r="M159" s="15" t="n">
        <v>0.025</v>
      </c>
      <c r="N159" t="n">
        <v>0</v>
      </c>
      <c r="O159" s="15" t="n">
        <v>0.000237</v>
      </c>
      <c r="P159" t="n">
        <v>0.479734863</v>
      </c>
      <c r="Q159" t="n">
        <v>0.479734863</v>
      </c>
      <c r="R159" t="n">
        <v>0</v>
      </c>
      <c r="S159" t="n">
        <v>0</v>
      </c>
      <c r="T159" s="15" t="n">
        <v>0.782538883</v>
      </c>
      <c r="U159" t="n">
        <v>24.42132781</v>
      </c>
      <c r="V159" t="n">
        <v>0</v>
      </c>
      <c r="W159" t="n">
        <v>0</v>
      </c>
      <c r="X159" t="n">
        <v>3.564305765</v>
      </c>
      <c r="Y159" t="n">
        <v>3.564305765</v>
      </c>
      <c r="Z159" t="n">
        <v>1</v>
      </c>
      <c r="AA159" t="n">
        <v>0.6929999999999999</v>
      </c>
      <c r="AB159" t="n">
        <v>99.20699999999999</v>
      </c>
      <c r="AC159" t="n">
        <v>0</v>
      </c>
      <c r="AD159" t="n">
        <v>0.971558122</v>
      </c>
      <c r="AE159" t="n">
        <v>148.7408056</v>
      </c>
      <c r="AF159" t="n">
        <v>152.4941306</v>
      </c>
      <c r="AG159" t="n">
        <v>112.4885635</v>
      </c>
      <c r="AH159" t="n">
        <v>82.35629796000001</v>
      </c>
      <c r="AI159" t="n">
        <v>100</v>
      </c>
      <c r="AJ159" t="n">
        <v>0</v>
      </c>
      <c r="AK159" t="n">
        <v>0</v>
      </c>
      <c r="AL159" t="n">
        <v>1.429475659</v>
      </c>
      <c r="AM159" t="n">
        <v>1.45316133</v>
      </c>
      <c r="AN159" t="n">
        <v>0</v>
      </c>
      <c r="AO159" t="n">
        <v>0</v>
      </c>
      <c r="AP159" t="n">
        <v>1</v>
      </c>
      <c r="AQ159" t="n">
        <v>0</v>
      </c>
      <c r="AR159" t="n">
        <v>45.272304</v>
      </c>
      <c r="AS159" t="n">
        <v>62.52246</v>
      </c>
      <c r="AT159" t="n">
        <v>136.518228</v>
      </c>
      <c r="AU159" t="n">
        <v>300.199284</v>
      </c>
      <c r="AV159" t="n">
        <v>0</v>
      </c>
    </row>
    <row r="160">
      <c r="A160" t="n">
        <v>159</v>
      </c>
      <c r="B160" t="n">
        <v>0</v>
      </c>
      <c r="C160" t="n">
        <v>28.56673493</v>
      </c>
      <c r="D160" t="n">
        <v>17.38951133</v>
      </c>
      <c r="E160" t="n">
        <v>4.235594228</v>
      </c>
      <c r="F160" t="n">
        <v>0.921</v>
      </c>
      <c r="G160" t="n">
        <v>4.544</v>
      </c>
      <c r="H160" t="n">
        <v>0.538238374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0.437929836</v>
      </c>
      <c r="Q160" t="n">
        <v>0.437929836</v>
      </c>
      <c r="R160" t="n">
        <v>0</v>
      </c>
      <c r="S160" t="n">
        <v>0</v>
      </c>
      <c r="T160" t="n">
        <v>0.411329712</v>
      </c>
      <c r="U160" t="n">
        <v>23.57206827</v>
      </c>
      <c r="V160" t="n">
        <v>0</v>
      </c>
      <c r="W160" t="n">
        <v>0</v>
      </c>
      <c r="X160" t="n">
        <v>3.900631389</v>
      </c>
      <c r="Y160" t="n">
        <v>3.900631389</v>
      </c>
      <c r="Z160" t="n">
        <v>1</v>
      </c>
      <c r="AA160" t="n">
        <v>0.701</v>
      </c>
      <c r="AB160" t="n">
        <v>99.199</v>
      </c>
      <c r="AC160" t="n">
        <v>0</v>
      </c>
      <c r="AD160" t="n">
        <v>0.59371114</v>
      </c>
      <c r="AE160" t="n">
        <v>146.2337608</v>
      </c>
      <c r="AF160" t="n">
        <v>150.3167736</v>
      </c>
      <c r="AG160" t="n">
        <v>109.8932054</v>
      </c>
      <c r="AH160" t="n">
        <v>80.52564331000001</v>
      </c>
      <c r="AI160" t="n">
        <v>100</v>
      </c>
      <c r="AJ160" t="n">
        <v>0</v>
      </c>
      <c r="AK160" t="n">
        <v>0</v>
      </c>
      <c r="AL160" t="n">
        <v>1.214701668</v>
      </c>
      <c r="AM160" t="n">
        <v>1.229314253</v>
      </c>
      <c r="AN160" t="n">
        <v>0</v>
      </c>
      <c r="AO160" t="n">
        <v>0</v>
      </c>
      <c r="AP160" t="n">
        <v>1</v>
      </c>
      <c r="AQ160" t="n">
        <v>0</v>
      </c>
      <c r="AR160" t="n">
        <v>45.794928</v>
      </c>
      <c r="AS160" t="n">
        <v>63.24422</v>
      </c>
      <c r="AT160" t="n">
        <v>138.094196</v>
      </c>
      <c r="AU160" t="n">
        <v>303.664788</v>
      </c>
      <c r="AV160" t="n">
        <v>0</v>
      </c>
    </row>
    <row r="161">
      <c r="A161" t="n">
        <v>160</v>
      </c>
      <c r="B161" t="n">
        <v>0</v>
      </c>
      <c r="C161" t="n">
        <v>31.01048867</v>
      </c>
      <c r="D161" t="n">
        <v>14.73326507</v>
      </c>
      <c r="E161" t="n">
        <v>5.472257867</v>
      </c>
      <c r="F161" t="n">
        <v>0.9419999999999999</v>
      </c>
      <c r="G161" t="n">
        <v>4.653</v>
      </c>
      <c r="H161" t="n">
        <v>0.5264575500000001</v>
      </c>
      <c r="I161" t="n">
        <v>0</v>
      </c>
      <c r="J161" s="15" t="n">
        <v>0</v>
      </c>
      <c r="K161" t="n">
        <v>0</v>
      </c>
      <c r="L161" s="15" t="n">
        <v>0</v>
      </c>
      <c r="M161" t="n">
        <v>0</v>
      </c>
      <c r="N161" t="n">
        <v>0</v>
      </c>
      <c r="O161" s="15" t="n">
        <v>0</v>
      </c>
      <c r="P161" t="n">
        <v>0.737064081</v>
      </c>
      <c r="Q161" t="n">
        <v>0.737064081</v>
      </c>
      <c r="R161" t="n">
        <v>0</v>
      </c>
      <c r="S161" t="n">
        <v>0</v>
      </c>
      <c r="T161" t="n">
        <v>0.242868791</v>
      </c>
      <c r="U161" t="n">
        <v>22.59213539</v>
      </c>
      <c r="V161" t="n">
        <v>0</v>
      </c>
      <c r="W161" t="n">
        <v>0</v>
      </c>
      <c r="X161" t="n">
        <v>5.15439565</v>
      </c>
      <c r="Y161" t="n">
        <v>5.15439565</v>
      </c>
      <c r="Z161" t="n">
        <v>1</v>
      </c>
      <c r="AA161" t="n">
        <v>0.709</v>
      </c>
      <c r="AB161" t="n">
        <v>99.191</v>
      </c>
      <c r="AC161" t="n">
        <v>0</v>
      </c>
      <c r="AD161" t="n">
        <v>0.365681054</v>
      </c>
      <c r="AE161" t="n">
        <v>142.5325209</v>
      </c>
      <c r="AF161" t="n">
        <v>147.8097288</v>
      </c>
      <c r="AG161" t="n">
        <v>111.7716365</v>
      </c>
      <c r="AH161" t="n">
        <v>81.89055236999999</v>
      </c>
      <c r="AI161" t="n">
        <v>100</v>
      </c>
      <c r="AJ161" t="n">
        <v>0</v>
      </c>
      <c r="AK161" t="n">
        <v>0</v>
      </c>
      <c r="AL161" t="n">
        <v>1.107332756</v>
      </c>
      <c r="AM161" t="n">
        <v>1.11604041</v>
      </c>
      <c r="AN161" t="n">
        <v>0</v>
      </c>
      <c r="AO161" t="n">
        <v>0</v>
      </c>
      <c r="AP161" t="n">
        <v>1</v>
      </c>
      <c r="AQ161" t="n">
        <v>0</v>
      </c>
      <c r="AR161" t="n">
        <v>46.317552</v>
      </c>
      <c r="AS161" t="n">
        <v>63.96598</v>
      </c>
      <c r="AT161" t="n">
        <v>139.670164</v>
      </c>
      <c r="AU161" t="n">
        <v>307.130292</v>
      </c>
      <c r="AV161" t="n">
        <v>0</v>
      </c>
    </row>
    <row r="162">
      <c r="A162" t="n">
        <v>161</v>
      </c>
      <c r="B162" t="n">
        <v>0</v>
      </c>
      <c r="C162" t="n">
        <v>30.51333613</v>
      </c>
      <c r="D162" t="n">
        <v>15.41798051</v>
      </c>
      <c r="E162" t="n">
        <v>5.5678926</v>
      </c>
      <c r="F162" t="n">
        <v>0.963</v>
      </c>
      <c r="G162" t="n">
        <v>4.763</v>
      </c>
      <c r="H162" t="n">
        <v>0.464341612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0.602443684</v>
      </c>
      <c r="Q162" t="n">
        <v>0.602443684</v>
      </c>
      <c r="R162" t="n">
        <v>0</v>
      </c>
      <c r="S162" t="n">
        <v>0</v>
      </c>
      <c r="T162" t="n">
        <v>0.14870599</v>
      </c>
      <c r="U162" t="n">
        <v>21.84098572</v>
      </c>
      <c r="V162" t="n">
        <v>0</v>
      </c>
      <c r="W162" t="n">
        <v>0</v>
      </c>
      <c r="X162" t="n">
        <v>5.361383018</v>
      </c>
      <c r="Y162" t="n">
        <v>5.361383018</v>
      </c>
      <c r="Z162" t="n">
        <v>1</v>
      </c>
      <c r="AA162" t="n">
        <v>0.717</v>
      </c>
      <c r="AB162" t="n">
        <v>99.18300000000001</v>
      </c>
      <c r="AC162" t="n">
        <v>0</v>
      </c>
      <c r="AD162" s="15" t="n">
        <v>0.218660491</v>
      </c>
      <c r="AE162" t="n">
        <v>138.6771514</v>
      </c>
      <c r="AF162" t="n">
        <v>144.1084889</v>
      </c>
      <c r="AG162" t="n">
        <v>116.361659</v>
      </c>
      <c r="AH162" t="n">
        <v>85.19231243999999</v>
      </c>
      <c r="AI162" t="n">
        <v>100</v>
      </c>
      <c r="AJ162" t="n">
        <v>0</v>
      </c>
      <c r="AK162" t="n">
        <v>0</v>
      </c>
      <c r="AL162" t="n">
        <v>1.053657341</v>
      </c>
      <c r="AM162" t="n">
        <v>1.058720191</v>
      </c>
      <c r="AN162" t="n">
        <v>0</v>
      </c>
      <c r="AO162" t="n">
        <v>0</v>
      </c>
      <c r="AP162" t="n">
        <v>1</v>
      </c>
      <c r="AQ162" t="n">
        <v>0</v>
      </c>
      <c r="AR162" t="n">
        <v>46.840176</v>
      </c>
      <c r="AS162" t="n">
        <v>64.68774000000001</v>
      </c>
      <c r="AT162" t="n">
        <v>141.246132</v>
      </c>
      <c r="AU162" t="n">
        <v>310.595796</v>
      </c>
      <c r="AV162" t="n">
        <v>0</v>
      </c>
    </row>
    <row r="163">
      <c r="A163" t="n">
        <v>162</v>
      </c>
      <c r="B163" t="n">
        <v>3.798615199</v>
      </c>
      <c r="C163" t="n">
        <v>31.1311489</v>
      </c>
      <c r="D163" t="n">
        <v>18</v>
      </c>
      <c r="E163" t="n">
        <v>5.565297563</v>
      </c>
      <c r="F163" t="n">
        <v>0.984</v>
      </c>
      <c r="G163" t="n">
        <v>4.872</v>
      </c>
      <c r="H163" t="n">
        <v>0.461446933</v>
      </c>
      <c r="I163" t="n">
        <v>0</v>
      </c>
      <c r="J163" t="n">
        <v>2.146663811</v>
      </c>
      <c r="K163" t="n">
        <v>3.798615199</v>
      </c>
      <c r="L163" t="n">
        <v>2.146663811</v>
      </c>
      <c r="M163" t="n">
        <v>1.651951388</v>
      </c>
      <c r="N163" t="n">
        <v>0</v>
      </c>
      <c r="O163" t="n">
        <v>2.146663875</v>
      </c>
      <c r="P163" t="n">
        <v>0.564019665</v>
      </c>
      <c r="Q163" t="n">
        <v>0.564019665</v>
      </c>
      <c r="R163" t="n">
        <v>0</v>
      </c>
      <c r="S163" t="n">
        <v>0</v>
      </c>
      <c r="T163" t="n">
        <v>0.171775172</v>
      </c>
      <c r="U163" t="n">
        <v>23.25185476</v>
      </c>
      <c r="V163" t="n">
        <v>0</v>
      </c>
      <c r="W163" t="n">
        <v>0</v>
      </c>
      <c r="X163" t="n">
        <v>5.475737658</v>
      </c>
      <c r="Y163" t="n">
        <v>5.475737658</v>
      </c>
      <c r="Z163" t="n">
        <v>1</v>
      </c>
      <c r="AA163" t="n">
        <v>0.726</v>
      </c>
      <c r="AB163" t="n">
        <v>99.17400000000001</v>
      </c>
      <c r="AC163" t="n">
        <v>0</v>
      </c>
      <c r="AD163" s="15" t="n">
        <v>0.131119775</v>
      </c>
      <c r="AE163" t="n">
        <v>135.0150331</v>
      </c>
      <c r="AF163" t="n">
        <v>140.4501154</v>
      </c>
      <c r="AG163" t="n">
        <v>117.9793412</v>
      </c>
      <c r="AH163" t="n">
        <v>86.37386886</v>
      </c>
      <c r="AI163" t="n">
        <v>100</v>
      </c>
      <c r="AJ163" t="n">
        <v>0</v>
      </c>
      <c r="AK163" t="n">
        <v>0</v>
      </c>
      <c r="AL163" t="n">
        <v>1.026824152</v>
      </c>
      <c r="AM163" t="n">
        <v>1.029714311</v>
      </c>
      <c r="AN163" t="n">
        <v>0</v>
      </c>
      <c r="AO163" t="n">
        <v>0</v>
      </c>
      <c r="AP163" t="n">
        <v>1</v>
      </c>
      <c r="AQ163" t="n">
        <v>0</v>
      </c>
      <c r="AR163" t="n">
        <v>47.428128</v>
      </c>
      <c r="AS163" t="n">
        <v>65.49972</v>
      </c>
      <c r="AT163" t="n">
        <v>143.019096</v>
      </c>
      <c r="AU163" t="n">
        <v>314.494488</v>
      </c>
      <c r="AV163" t="n">
        <v>0</v>
      </c>
    </row>
    <row r="164">
      <c r="A164" t="n">
        <v>163</v>
      </c>
      <c r="B164" t="n">
        <v>0</v>
      </c>
      <c r="C164" t="n">
        <v>32.44928093</v>
      </c>
      <c r="D164" t="n">
        <v>15.76124941</v>
      </c>
      <c r="E164" t="n">
        <v>5.865911381</v>
      </c>
      <c r="F164" t="n">
        <v>1.005</v>
      </c>
      <c r="G164" t="n">
        <v>4.981</v>
      </c>
      <c r="H164" t="n">
        <v>0.458409708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0.482013528</v>
      </c>
      <c r="Q164" t="n">
        <v>0.482013528</v>
      </c>
      <c r="R164" t="n">
        <v>0</v>
      </c>
      <c r="S164" t="n">
        <v>0</v>
      </c>
      <c r="T164" t="n">
        <v>0.203003436</v>
      </c>
      <c r="U164" t="n">
        <v>22.56683779</v>
      </c>
      <c r="V164" t="n">
        <v>0</v>
      </c>
      <c r="W164" t="n">
        <v>0</v>
      </c>
      <c r="X164" t="n">
        <v>5.894679496</v>
      </c>
      <c r="Y164" t="n">
        <v>5.894679496</v>
      </c>
      <c r="Z164" t="n">
        <v>1</v>
      </c>
      <c r="AA164" t="n">
        <v>0.734</v>
      </c>
      <c r="AB164" t="n">
        <v>99.166</v>
      </c>
      <c r="AC164" t="n">
        <v>0</v>
      </c>
      <c r="AD164" s="15" t="n">
        <v>0.0772</v>
      </c>
      <c r="AE164" t="n">
        <v>130.822129</v>
      </c>
      <c r="AF164" t="n">
        <v>136.5910011</v>
      </c>
      <c r="AG164" t="n">
        <v>119.4460158</v>
      </c>
      <c r="AH164" t="n">
        <v>87.44466611999999</v>
      </c>
      <c r="AI164" t="n">
        <v>100</v>
      </c>
      <c r="AJ164" t="n">
        <v>0</v>
      </c>
      <c r="AK164" t="n">
        <v>0</v>
      </c>
      <c r="AL164" t="n">
        <v>1.013409818</v>
      </c>
      <c r="AM164" t="n">
        <v>1.0150364</v>
      </c>
      <c r="AN164" t="n">
        <v>0</v>
      </c>
      <c r="AO164" t="n">
        <v>0</v>
      </c>
      <c r="AP164" t="n">
        <v>1</v>
      </c>
      <c r="AQ164" t="n">
        <v>0</v>
      </c>
      <c r="AR164" t="n">
        <v>47.950752</v>
      </c>
      <c r="AS164" t="n">
        <v>66.22148</v>
      </c>
      <c r="AT164" t="n">
        <v>144.595064</v>
      </c>
      <c r="AU164" t="n">
        <v>317.959992</v>
      </c>
      <c r="AV164" t="n">
        <v>0</v>
      </c>
    </row>
    <row r="165">
      <c r="A165" t="n">
        <v>164</v>
      </c>
      <c r="B165" t="n">
        <v>0</v>
      </c>
      <c r="C165" t="n">
        <v>35.90267973</v>
      </c>
      <c r="D165" t="n">
        <v>18.71798051</v>
      </c>
      <c r="E165" t="n">
        <v>6.847663058</v>
      </c>
      <c r="F165" t="n">
        <v>1.025</v>
      </c>
      <c r="G165" t="n">
        <v>5.091</v>
      </c>
      <c r="H165" t="n">
        <v>0.44493228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s="15" t="n">
        <v>0.6434058</v>
      </c>
      <c r="Q165" s="15" t="n">
        <v>0.6434058</v>
      </c>
      <c r="R165" t="n">
        <v>0</v>
      </c>
      <c r="S165" t="n">
        <v>0</v>
      </c>
      <c r="T165" t="n">
        <v>0.139253243</v>
      </c>
      <c r="U165" t="n">
        <v>21.78417875</v>
      </c>
      <c r="V165" t="n">
        <v>0</v>
      </c>
      <c r="W165" t="n">
        <v>0</v>
      </c>
      <c r="X165" t="n">
        <v>7.01817876</v>
      </c>
      <c r="Y165" t="n">
        <v>7.01817876</v>
      </c>
      <c r="Z165" t="n">
        <v>1</v>
      </c>
      <c r="AA165" t="n">
        <v>0.742</v>
      </c>
      <c r="AB165" t="n">
        <v>99.158</v>
      </c>
      <c r="AC165" t="n">
        <v>0</v>
      </c>
      <c r="AD165" s="15" t="n">
        <v>0.0418</v>
      </c>
      <c r="AE165" t="n">
        <v>125.4773331</v>
      </c>
      <c r="AF165" t="n">
        <v>132.398097</v>
      </c>
      <c r="AG165" t="n">
        <v>121.4953305</v>
      </c>
      <c r="AH165" t="n">
        <v>88.93163491999999</v>
      </c>
      <c r="AI165" t="n">
        <v>100</v>
      </c>
      <c r="AJ165" t="n">
        <v>0</v>
      </c>
      <c r="AK165" t="n">
        <v>0</v>
      </c>
      <c r="AL165" t="n">
        <v>1.00670378</v>
      </c>
      <c r="AM165" t="n">
        <v>1.007608903</v>
      </c>
      <c r="AN165" t="n">
        <v>0</v>
      </c>
      <c r="AO165" t="n">
        <v>0</v>
      </c>
      <c r="AP165" t="n">
        <v>1</v>
      </c>
      <c r="AQ165" t="n">
        <v>0</v>
      </c>
      <c r="AR165" t="n">
        <v>48.473376</v>
      </c>
      <c r="AS165" t="n">
        <v>66.94324</v>
      </c>
      <c r="AT165" t="n">
        <v>146.171032</v>
      </c>
      <c r="AU165" t="n">
        <v>321.425496</v>
      </c>
      <c r="AV165" t="n">
        <v>0</v>
      </c>
    </row>
    <row r="166">
      <c r="A166" t="n">
        <v>165</v>
      </c>
      <c r="B166" t="n">
        <v>0</v>
      </c>
      <c r="C166" t="n">
        <v>31.72066023</v>
      </c>
      <c r="D166" t="n">
        <v>19.08666387</v>
      </c>
      <c r="E166" t="n">
        <v>6.238989543</v>
      </c>
      <c r="F166" t="n">
        <v>1.046</v>
      </c>
      <c r="G166" t="n">
        <v>5.2</v>
      </c>
      <c r="H166" t="n">
        <v>0.39353662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s="15" t="n">
        <v>0.320708908</v>
      </c>
      <c r="Q166" s="15" t="n">
        <v>0.320708908</v>
      </c>
      <c r="R166" t="n">
        <v>0</v>
      </c>
      <c r="S166" t="n">
        <v>0</v>
      </c>
      <c r="T166" s="15" t="n">
        <v>0.1</v>
      </c>
      <c r="U166" t="n">
        <v>21.36348677</v>
      </c>
      <c r="V166" t="n">
        <v>0</v>
      </c>
      <c r="W166" t="n">
        <v>0</v>
      </c>
      <c r="X166" t="n">
        <v>6.525348492</v>
      </c>
      <c r="Y166" t="n">
        <v>6.525348492</v>
      </c>
      <c r="Z166" t="n">
        <v>1</v>
      </c>
      <c r="AA166" t="n">
        <v>0.75</v>
      </c>
      <c r="AB166" t="n">
        <v>99.15000000000001</v>
      </c>
      <c r="AC166" t="n">
        <v>0</v>
      </c>
      <c r="AD166" s="15" t="n">
        <v>0.0208</v>
      </c>
      <c r="AE166" t="n">
        <v>120.607133</v>
      </c>
      <c r="AF166" t="n">
        <v>127.0533011</v>
      </c>
      <c r="AG166" t="n">
        <v>125.6863603</v>
      </c>
      <c r="AH166" t="n">
        <v>91.94840019999999</v>
      </c>
      <c r="AI166" t="n">
        <v>100</v>
      </c>
      <c r="AJ166" t="n">
        <v>0</v>
      </c>
      <c r="AK166" t="n">
        <v>0</v>
      </c>
      <c r="AL166" t="n">
        <v>1.003351325</v>
      </c>
      <c r="AM166" t="n">
        <v>1.003850351</v>
      </c>
      <c r="AN166" t="n">
        <v>0</v>
      </c>
      <c r="AO166" t="n">
        <v>0</v>
      </c>
      <c r="AP166" t="n">
        <v>1</v>
      </c>
      <c r="AQ166" t="n">
        <v>0</v>
      </c>
      <c r="AR166" t="n">
        <v>48.996</v>
      </c>
      <c r="AS166" t="n">
        <v>67.66500000000001</v>
      </c>
      <c r="AT166" t="n">
        <v>147.747</v>
      </c>
      <c r="AU166" t="n">
        <v>324.891</v>
      </c>
      <c r="AV166" t="n">
        <v>0</v>
      </c>
    </row>
    <row r="167">
      <c r="A167" t="n">
        <v>166</v>
      </c>
      <c r="B167" t="n">
        <v>0</v>
      </c>
      <c r="C167" t="n">
        <v>31.32066023</v>
      </c>
      <c r="D167" t="n">
        <v>19.54058917</v>
      </c>
      <c r="E167" t="n">
        <v>6.075367265</v>
      </c>
      <c r="F167" t="n">
        <v>1.046</v>
      </c>
      <c r="G167" t="n">
        <v>5.19</v>
      </c>
      <c r="H167" t="n">
        <v>0.426157706</v>
      </c>
      <c r="I167" t="n">
        <v>198</v>
      </c>
      <c r="J167" t="n">
        <v>0</v>
      </c>
      <c r="K167" t="n">
        <v>198</v>
      </c>
      <c r="L167" t="n">
        <v>0</v>
      </c>
      <c r="M167" t="n">
        <v>0</v>
      </c>
      <c r="N167" t="n">
        <v>0</v>
      </c>
      <c r="O167" t="n">
        <v>0</v>
      </c>
      <c r="P167" s="15" t="n">
        <v>0.379577733</v>
      </c>
      <c r="Q167" s="15" t="n">
        <v>0.379577733</v>
      </c>
      <c r="R167" t="n">
        <v>0</v>
      </c>
      <c r="S167" t="n">
        <v>0</v>
      </c>
      <c r="T167" t="n">
        <v>190.7419369</v>
      </c>
      <c r="U167" t="n">
        <v>28.24197214</v>
      </c>
      <c r="V167" t="n">
        <v>0</v>
      </c>
      <c r="W167" t="n">
        <v>0</v>
      </c>
      <c r="X167" t="n">
        <v>6.354210988</v>
      </c>
      <c r="Y167" t="n">
        <v>6.354210988</v>
      </c>
      <c r="Z167" t="n">
        <v>1</v>
      </c>
      <c r="AA167" t="n">
        <v>0.75</v>
      </c>
      <c r="AB167" t="n">
        <v>99.15000000000001</v>
      </c>
      <c r="AC167" t="n">
        <v>0</v>
      </c>
      <c r="AD167" t="n">
        <v>92.11217388</v>
      </c>
      <c r="AE167" t="n">
        <v>212.882685</v>
      </c>
      <c r="AF167" t="n">
        <v>120.607133</v>
      </c>
      <c r="AG167" t="n">
        <v>123.857707</v>
      </c>
      <c r="AH167" t="n">
        <v>90.64221931</v>
      </c>
      <c r="AI167" t="n">
        <v>100</v>
      </c>
      <c r="AJ167" t="n">
        <v>0</v>
      </c>
      <c r="AK167" t="n">
        <v>0</v>
      </c>
      <c r="AL167" t="n">
        <v>7.876241162</v>
      </c>
      <c r="AM167" t="n">
        <v>7.91098613</v>
      </c>
      <c r="AN167" t="n">
        <v>22</v>
      </c>
      <c r="AO167" t="n">
        <v>0</v>
      </c>
      <c r="AP167" t="n">
        <v>1</v>
      </c>
      <c r="AQ167" t="n">
        <v>0</v>
      </c>
      <c r="AR167" t="n">
        <v>48.996</v>
      </c>
      <c r="AS167" t="n">
        <v>67.66500000000001</v>
      </c>
      <c r="AT167" t="n">
        <v>147.747</v>
      </c>
      <c r="AU167" t="n">
        <v>324.891</v>
      </c>
      <c r="AV167" t="n">
        <v>0</v>
      </c>
    </row>
    <row r="168">
      <c r="A168" t="n">
        <v>167</v>
      </c>
      <c r="B168" t="n">
        <v>0</v>
      </c>
      <c r="C168" t="n">
        <v>31.28201949</v>
      </c>
      <c r="D168" t="n">
        <v>17.71212</v>
      </c>
      <c r="E168" t="n">
        <v>4.831260115</v>
      </c>
      <c r="F168" t="n">
        <v>1.046</v>
      </c>
      <c r="G168" t="n">
        <v>5.18</v>
      </c>
      <c r="H168" t="n">
        <v>0.430648453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s="15" t="n">
        <v>0.211505471</v>
      </c>
      <c r="Q168" s="15" t="n">
        <v>0.211505471</v>
      </c>
      <c r="R168" t="n">
        <v>0</v>
      </c>
      <c r="S168" t="n">
        <v>0</v>
      </c>
      <c r="T168" t="n">
        <v>3.709800211</v>
      </c>
      <c r="U168" t="n">
        <v>24.32066646</v>
      </c>
      <c r="V168" t="n">
        <v>0</v>
      </c>
      <c r="W168" t="n">
        <v>0</v>
      </c>
      <c r="X168" t="n">
        <v>5.052998965</v>
      </c>
      <c r="Y168" t="n">
        <v>5.052998965</v>
      </c>
      <c r="Z168" t="n">
        <v>1</v>
      </c>
      <c r="AA168" t="n">
        <v>0.75</v>
      </c>
      <c r="AB168" t="n">
        <v>99.15000000000001</v>
      </c>
      <c r="AC168" t="n">
        <v>0</v>
      </c>
      <c r="AD168" t="n">
        <v>26.92252701</v>
      </c>
      <c r="AE168" t="n">
        <v>184.6169593</v>
      </c>
      <c r="AF168" t="n">
        <v>212.882685</v>
      </c>
      <c r="AG168" t="n">
        <v>123.6059674</v>
      </c>
      <c r="AH168" t="n">
        <v>90.4624053</v>
      </c>
      <c r="AI168" t="n">
        <v>100</v>
      </c>
      <c r="AJ168" t="n">
        <v>0</v>
      </c>
      <c r="AK168" t="n">
        <v>0</v>
      </c>
      <c r="AL168" t="n">
        <v>4.437541607</v>
      </c>
      <c r="AM168" t="n">
        <v>4.497181938</v>
      </c>
      <c r="AN168" t="n">
        <v>0</v>
      </c>
      <c r="AO168" t="n">
        <v>0</v>
      </c>
      <c r="AP168" t="n">
        <v>1</v>
      </c>
      <c r="AQ168" t="n">
        <v>0</v>
      </c>
      <c r="AR168" t="n">
        <v>48.996</v>
      </c>
      <c r="AS168" t="n">
        <v>67.66500000000001</v>
      </c>
      <c r="AT168" t="n">
        <v>147.747</v>
      </c>
      <c r="AU168" t="n">
        <v>324.891</v>
      </c>
      <c r="AV168" t="n">
        <v>0</v>
      </c>
    </row>
    <row r="169">
      <c r="A169" t="n">
        <v>168</v>
      </c>
      <c r="B169" s="15" t="n">
        <v>0</v>
      </c>
      <c r="C169" t="n">
        <v>33.57726526</v>
      </c>
      <c r="D169" t="n">
        <v>18.52273474</v>
      </c>
      <c r="E169" t="n">
        <v>5.458659581</v>
      </c>
      <c r="F169" t="n">
        <v>1.046</v>
      </c>
      <c r="G169" t="n">
        <v>5.169</v>
      </c>
      <c r="H169" t="n">
        <v>0.489419823</v>
      </c>
      <c r="I169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t="n">
        <v>0</v>
      </c>
      <c r="O169" s="15" t="n">
        <v>0</v>
      </c>
      <c r="P169" t="n">
        <v>0.197073702</v>
      </c>
      <c r="Q169" t="n">
        <v>0.197073702</v>
      </c>
      <c r="R169" t="n">
        <v>0</v>
      </c>
      <c r="S169" t="n">
        <v>0</v>
      </c>
      <c r="T169" t="n">
        <v>0.832546792</v>
      </c>
      <c r="U169" t="n">
        <v>23.29104596</v>
      </c>
      <c r="V169" t="n">
        <v>0</v>
      </c>
      <c r="W169" t="n">
        <v>0</v>
      </c>
      <c r="X169" t="n">
        <v>5.70919068</v>
      </c>
      <c r="Y169" t="n">
        <v>5.70919068</v>
      </c>
      <c r="Z169" t="n">
        <v>1</v>
      </c>
      <c r="AA169" t="n">
        <v>0.75</v>
      </c>
      <c r="AB169" t="n">
        <v>99.15000000000001</v>
      </c>
      <c r="AC169" t="n">
        <v>0</v>
      </c>
      <c r="AD169" t="n">
        <v>5.640942935</v>
      </c>
      <c r="AE169" t="n">
        <v>174.0993725</v>
      </c>
      <c r="AF169" t="n">
        <v>184.6169593</v>
      </c>
      <c r="AG169" t="n">
        <v>120.3113972</v>
      </c>
      <c r="AH169" t="n">
        <v>88.10914088</v>
      </c>
      <c r="AI169" t="n">
        <v>100</v>
      </c>
      <c r="AJ169" t="n">
        <v>0</v>
      </c>
      <c r="AK169" t="n">
        <v>0</v>
      </c>
      <c r="AL169" t="n">
        <v>2.718481365</v>
      </c>
      <c r="AM169" t="n">
        <v>2.769686884</v>
      </c>
      <c r="AN169" t="n">
        <v>0</v>
      </c>
      <c r="AO169" t="n">
        <v>0</v>
      </c>
      <c r="AP169" t="n">
        <v>1</v>
      </c>
      <c r="AQ169" t="n">
        <v>0</v>
      </c>
      <c r="AR169" t="n">
        <v>48.996</v>
      </c>
      <c r="AS169" t="n">
        <v>67.66500000000001</v>
      </c>
      <c r="AT169" t="n">
        <v>147.747</v>
      </c>
      <c r="AU169" t="n">
        <v>324.891</v>
      </c>
      <c r="AV169" t="n">
        <v>0</v>
      </c>
    </row>
    <row r="170">
      <c r="A170" t="n">
        <v>169</v>
      </c>
      <c r="B170" t="n">
        <v>0</v>
      </c>
      <c r="C170" t="n">
        <v>34.04928093</v>
      </c>
      <c r="D170" t="n">
        <v>20.93326507</v>
      </c>
      <c r="E170" t="n">
        <v>5.994489633</v>
      </c>
      <c r="F170" t="n">
        <v>1.046</v>
      </c>
      <c r="G170" t="n">
        <v>5.159</v>
      </c>
      <c r="H170" t="n">
        <v>0.463749426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0.345822827</v>
      </c>
      <c r="Q170" t="n">
        <v>0.345822827</v>
      </c>
      <c r="R170" t="n">
        <v>0</v>
      </c>
      <c r="S170" t="n">
        <v>0</v>
      </c>
      <c r="T170" t="n">
        <v>0.37465031</v>
      </c>
      <c r="U170" t="n">
        <v>22.57057283</v>
      </c>
      <c r="V170" t="n">
        <v>0</v>
      </c>
      <c r="W170" t="n">
        <v>0</v>
      </c>
      <c r="X170" t="n">
        <v>6.269610391</v>
      </c>
      <c r="Y170" t="n">
        <v>6.269610391</v>
      </c>
      <c r="Z170" t="n">
        <v>1</v>
      </c>
      <c r="AA170" t="n">
        <v>0.75</v>
      </c>
      <c r="AB170" t="n">
        <v>99.15000000000001</v>
      </c>
      <c r="AC170" t="n">
        <v>0</v>
      </c>
      <c r="AD170" t="n">
        <v>2.107238326</v>
      </c>
      <c r="AE170" t="n">
        <v>166.097174</v>
      </c>
      <c r="AF170" t="n">
        <v>174.0993725</v>
      </c>
      <c r="AG170" t="n">
        <v>121.750413</v>
      </c>
      <c r="AH170" t="n">
        <v>89.13700925000001</v>
      </c>
      <c r="AI170" t="n">
        <v>100</v>
      </c>
      <c r="AJ170" t="n">
        <v>0</v>
      </c>
      <c r="AK170" t="n">
        <v>0</v>
      </c>
      <c r="AL170" t="n">
        <v>1.859095988</v>
      </c>
      <c r="AM170" t="n">
        <v>1.895518655</v>
      </c>
      <c r="AN170" t="n">
        <v>0</v>
      </c>
      <c r="AO170" t="n">
        <v>0</v>
      </c>
      <c r="AP170" t="n">
        <v>1</v>
      </c>
      <c r="AQ170" t="n">
        <v>0</v>
      </c>
      <c r="AR170" t="n">
        <v>48.996</v>
      </c>
      <c r="AS170" t="n">
        <v>67.66500000000001</v>
      </c>
      <c r="AT170" t="n">
        <v>147.747</v>
      </c>
      <c r="AU170" t="n">
        <v>324.891</v>
      </c>
      <c r="AV170" t="n">
        <v>0</v>
      </c>
    </row>
    <row r="171">
      <c r="A171" t="n">
        <v>170</v>
      </c>
      <c r="B171" t="n">
        <v>0</v>
      </c>
      <c r="C171" t="n">
        <v>32.08201949</v>
      </c>
      <c r="D171" t="n">
        <v>18.01992894</v>
      </c>
      <c r="E171" t="n">
        <v>5.216711875</v>
      </c>
      <c r="F171" t="n">
        <v>1.046</v>
      </c>
      <c r="G171" t="n">
        <v>5.149</v>
      </c>
      <c r="H171" t="n">
        <v>0.435382673</v>
      </c>
      <c r="I171" t="n">
        <v>0</v>
      </c>
      <c r="J171" s="15" t="n">
        <v>0</v>
      </c>
      <c r="K171" t="n">
        <v>0</v>
      </c>
      <c r="L171" s="15" t="n">
        <v>0</v>
      </c>
      <c r="M171" t="n">
        <v>0</v>
      </c>
      <c r="N171" t="n">
        <v>0</v>
      </c>
      <c r="O171" s="15" t="n">
        <v>0</v>
      </c>
      <c r="P171" t="n">
        <v>0.315021011</v>
      </c>
      <c r="Q171" t="n">
        <v>0.315021011</v>
      </c>
      <c r="R171" t="n">
        <v>0</v>
      </c>
      <c r="S171" t="n">
        <v>0</v>
      </c>
      <c r="T171" t="n">
        <v>0.21007849</v>
      </c>
      <c r="U171" t="n">
        <v>22.04547333</v>
      </c>
      <c r="V171" t="n">
        <v>0</v>
      </c>
      <c r="W171" t="n">
        <v>0</v>
      </c>
      <c r="X171" t="n">
        <v>5.456134275</v>
      </c>
      <c r="Y171" t="n">
        <v>5.456134275</v>
      </c>
      <c r="Z171" t="n">
        <v>1</v>
      </c>
      <c r="AA171" t="n">
        <v>0.75</v>
      </c>
      <c r="AB171" t="n">
        <v>99.15000000000001</v>
      </c>
      <c r="AC171" t="n">
        <v>0</v>
      </c>
      <c r="AD171" t="n">
        <v>0.974304965</v>
      </c>
      <c r="AE171" t="n">
        <v>159.8768133</v>
      </c>
      <c r="AF171" t="n">
        <v>166.097174</v>
      </c>
      <c r="AG171" t="n">
        <v>123.3405794</v>
      </c>
      <c r="AH171" t="n">
        <v>90.2728424</v>
      </c>
      <c r="AI171" t="n">
        <v>100</v>
      </c>
      <c r="AJ171" t="n">
        <v>0</v>
      </c>
      <c r="AK171" t="n">
        <v>0</v>
      </c>
      <c r="AL171" t="n">
        <v>1.429475659</v>
      </c>
      <c r="AM171" t="n">
        <v>1.45316133</v>
      </c>
      <c r="AN171" t="n">
        <v>0</v>
      </c>
      <c r="AO171" t="n">
        <v>0</v>
      </c>
      <c r="AP171" t="n">
        <v>1</v>
      </c>
      <c r="AQ171" t="n">
        <v>0</v>
      </c>
      <c r="AR171" t="n">
        <v>48.996</v>
      </c>
      <c r="AS171" t="n">
        <v>67.66500000000001</v>
      </c>
      <c r="AT171" t="n">
        <v>147.747</v>
      </c>
      <c r="AU171" t="n">
        <v>324.891</v>
      </c>
      <c r="AV171" t="n">
        <v>0</v>
      </c>
    </row>
    <row r="172">
      <c r="A172" t="n">
        <v>171</v>
      </c>
      <c r="B172" t="n">
        <v>0</v>
      </c>
      <c r="C172" t="n">
        <v>32.65660503</v>
      </c>
      <c r="D172" t="n">
        <v>18.84058917</v>
      </c>
      <c r="E172" t="n">
        <v>4.233669181</v>
      </c>
      <c r="F172" t="n">
        <v>1.046</v>
      </c>
      <c r="G172" t="n">
        <v>5.139</v>
      </c>
      <c r="H172" t="n">
        <v>0.469153789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0.167246773</v>
      </c>
      <c r="Q172" t="n">
        <v>0.167246773</v>
      </c>
      <c r="R172" t="n">
        <v>0</v>
      </c>
      <c r="S172" t="n">
        <v>0</v>
      </c>
      <c r="T172" t="n">
        <v>0.143067714</v>
      </c>
      <c r="U172" t="n">
        <v>21.73515884</v>
      </c>
      <c r="V172" t="n">
        <v>0</v>
      </c>
      <c r="W172" t="n">
        <v>0</v>
      </c>
      <c r="X172" t="n">
        <v>4.427973706</v>
      </c>
      <c r="Y172" t="n">
        <v>4.427973706</v>
      </c>
      <c r="Z172" t="n">
        <v>1</v>
      </c>
      <c r="AA172" t="n">
        <v>0.75</v>
      </c>
      <c r="AB172" t="n">
        <v>99.15000000000001</v>
      </c>
      <c r="AC172" t="n">
        <v>0</v>
      </c>
      <c r="AD172" t="n">
        <v>0.543029825</v>
      </c>
      <c r="AE172" t="n">
        <v>155.0488775</v>
      </c>
      <c r="AF172" t="n">
        <v>159.8768133</v>
      </c>
      <c r="AG172" t="n">
        <v>121.4474584</v>
      </c>
      <c r="AH172" t="n">
        <v>88.92061312</v>
      </c>
      <c r="AI172" t="n">
        <v>100</v>
      </c>
      <c r="AJ172" t="n">
        <v>0</v>
      </c>
      <c r="AK172" t="n">
        <v>0</v>
      </c>
      <c r="AL172" t="n">
        <v>1.214701668</v>
      </c>
      <c r="AM172" t="n">
        <v>1.229314253</v>
      </c>
      <c r="AN172" t="n">
        <v>0</v>
      </c>
      <c r="AO172" t="n">
        <v>0</v>
      </c>
      <c r="AP172" t="n">
        <v>1</v>
      </c>
      <c r="AQ172" t="n">
        <v>0</v>
      </c>
      <c r="AR172" t="n">
        <v>48.996</v>
      </c>
      <c r="AS172" t="n">
        <v>67.66500000000001</v>
      </c>
      <c r="AT172" t="n">
        <v>147.747</v>
      </c>
      <c r="AU172" t="n">
        <v>324.891</v>
      </c>
      <c r="AV172" t="n">
        <v>0</v>
      </c>
    </row>
    <row r="173">
      <c r="A173" t="n">
        <v>172</v>
      </c>
      <c r="B173" t="n">
        <v>0</v>
      </c>
      <c r="C173" t="n">
        <v>33.5952041</v>
      </c>
      <c r="D173" t="n">
        <v>19.25071907</v>
      </c>
      <c r="E173" t="n">
        <v>5.645424764</v>
      </c>
      <c r="F173" t="n">
        <v>1.046</v>
      </c>
      <c r="G173" t="n">
        <v>5.129</v>
      </c>
      <c r="H173" t="n">
        <v>0.51619118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0.323641286</v>
      </c>
      <c r="Q173" t="n">
        <v>0.323641286</v>
      </c>
      <c r="R173" t="n">
        <v>0</v>
      </c>
      <c r="S173" t="n">
        <v>0</v>
      </c>
      <c r="T173" t="n">
        <v>0.107167076</v>
      </c>
      <c r="U173" t="n">
        <v>21.30435048</v>
      </c>
      <c r="V173" t="n">
        <v>0</v>
      </c>
      <c r="W173" t="n">
        <v>0</v>
      </c>
      <c r="X173" t="n">
        <v>5.90452152</v>
      </c>
      <c r="Y173" t="n">
        <v>5.90452152</v>
      </c>
      <c r="Z173" t="n">
        <v>1</v>
      </c>
      <c r="AA173" t="n">
        <v>0.75</v>
      </c>
      <c r="AB173" t="n">
        <v>99.15000000000001</v>
      </c>
      <c r="AC173" t="n">
        <v>0</v>
      </c>
      <c r="AD173" t="n">
        <v>0.323027661</v>
      </c>
      <c r="AE173" t="n">
        <v>148.9284954</v>
      </c>
      <c r="AF173" t="n">
        <v>155.0488775</v>
      </c>
      <c r="AG173" t="n">
        <v>118.8106645</v>
      </c>
      <c r="AH173" t="n">
        <v>87.03718893999999</v>
      </c>
      <c r="AI173" t="n">
        <v>100</v>
      </c>
      <c r="AJ173" t="n">
        <v>0</v>
      </c>
      <c r="AK173" t="n">
        <v>0</v>
      </c>
      <c r="AL173" t="n">
        <v>1.107332756</v>
      </c>
      <c r="AM173" t="n">
        <v>1.11604041</v>
      </c>
      <c r="AN173" t="n">
        <v>0</v>
      </c>
      <c r="AO173" t="n">
        <v>0</v>
      </c>
      <c r="AP173" t="n">
        <v>1</v>
      </c>
      <c r="AQ173" t="n">
        <v>0</v>
      </c>
      <c r="AR173" t="n">
        <v>48.996</v>
      </c>
      <c r="AS173" t="n">
        <v>67.66500000000001</v>
      </c>
      <c r="AT173" t="n">
        <v>147.747</v>
      </c>
      <c r="AU173" t="n">
        <v>324.891</v>
      </c>
      <c r="AV173" t="n">
        <v>0</v>
      </c>
    </row>
    <row r="174">
      <c r="A174" t="n">
        <v>173</v>
      </c>
      <c r="B174" t="n">
        <v>0</v>
      </c>
      <c r="C174" t="n">
        <v>33.04132046</v>
      </c>
      <c r="D174" t="n">
        <v>18.97933977</v>
      </c>
      <c r="E174" t="n">
        <v>5.910481829</v>
      </c>
      <c r="F174" t="n">
        <v>1.046</v>
      </c>
      <c r="G174" t="n">
        <v>5.118</v>
      </c>
      <c r="H174" t="n">
        <v>0.450873489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0.34957962</v>
      </c>
      <c r="Q174" t="n">
        <v>0.34957962</v>
      </c>
      <c r="R174" t="n">
        <v>0</v>
      </c>
      <c r="S174" t="n">
        <v>0</v>
      </c>
      <c r="T174" s="15" t="n">
        <v>0.0805</v>
      </c>
      <c r="U174" t="n">
        <v>20.8742394</v>
      </c>
      <c r="V174" t="n">
        <v>0</v>
      </c>
      <c r="W174" t="n">
        <v>0</v>
      </c>
      <c r="X174" t="n">
        <v>6.181743785</v>
      </c>
      <c r="Y174" t="n">
        <v>6.181743785</v>
      </c>
      <c r="Z174" t="n">
        <v>1</v>
      </c>
      <c r="AA174" t="n">
        <v>0.75</v>
      </c>
      <c r="AB174" t="n">
        <v>99.15000000000001</v>
      </c>
      <c r="AC174" t="n">
        <v>0</v>
      </c>
      <c r="AD174" t="n">
        <v>0.183447569</v>
      </c>
      <c r="AE174" t="n">
        <v>142.6438355</v>
      </c>
      <c r="AF174" t="n">
        <v>148.9284954</v>
      </c>
      <c r="AG174" t="n">
        <v>122.4722045</v>
      </c>
      <c r="AH174" t="n">
        <v>89.65257463</v>
      </c>
      <c r="AI174" t="n">
        <v>100</v>
      </c>
      <c r="AJ174" t="n">
        <v>0</v>
      </c>
      <c r="AK174" t="n">
        <v>0</v>
      </c>
      <c r="AL174" t="n">
        <v>1.053657341</v>
      </c>
      <c r="AM174" t="n">
        <v>1.058720191</v>
      </c>
      <c r="AN174" t="n">
        <v>0</v>
      </c>
      <c r="AO174" t="n">
        <v>0</v>
      </c>
      <c r="AP174" t="n">
        <v>1</v>
      </c>
      <c r="AQ174" t="n">
        <v>0</v>
      </c>
      <c r="AR174" t="n">
        <v>48.996</v>
      </c>
      <c r="AS174" t="n">
        <v>67.66500000000001</v>
      </c>
      <c r="AT174" t="n">
        <v>147.747</v>
      </c>
      <c r="AU174" t="n">
        <v>324.891</v>
      </c>
      <c r="AV174" t="n">
        <v>0</v>
      </c>
    </row>
    <row r="175">
      <c r="A175" t="n">
        <v>174</v>
      </c>
      <c r="B175" t="n">
        <v>6.307786675</v>
      </c>
      <c r="C175" t="n">
        <v>32.5311489</v>
      </c>
      <c r="D175" t="n">
        <v>16.65071907</v>
      </c>
      <c r="E175" t="n">
        <v>5.280195802</v>
      </c>
      <c r="F175" t="n">
        <v>1.046</v>
      </c>
      <c r="G175" t="n">
        <v>5.108</v>
      </c>
      <c r="H175" t="n">
        <v>0.438747065</v>
      </c>
      <c r="I175" t="n">
        <v>0</v>
      </c>
      <c r="J175" t="n">
        <v>4.245164554</v>
      </c>
      <c r="K175" t="n">
        <v>6.307786675</v>
      </c>
      <c r="L175" t="n">
        <v>4.245164554</v>
      </c>
      <c r="M175" t="n">
        <v>2.06262212</v>
      </c>
      <c r="N175" t="n">
        <v>0</v>
      </c>
      <c r="O175" t="n">
        <v>4.245164681</v>
      </c>
      <c r="P175" t="n">
        <v>0.252865651</v>
      </c>
      <c r="Q175" t="n">
        <v>0.252865651</v>
      </c>
      <c r="R175" t="n">
        <v>0</v>
      </c>
      <c r="S175" t="n">
        <v>0</v>
      </c>
      <c r="T175" s="15" t="n">
        <v>0.217274549</v>
      </c>
      <c r="U175" t="n">
        <v>24.64926388</v>
      </c>
      <c r="V175" t="n">
        <v>0</v>
      </c>
      <c r="W175" t="n">
        <v>0</v>
      </c>
      <c r="X175" t="n">
        <v>5.522531822</v>
      </c>
      <c r="Y175" t="n">
        <v>5.522531822</v>
      </c>
      <c r="Z175" t="n">
        <v>1</v>
      </c>
      <c r="AA175" t="n">
        <v>0.75</v>
      </c>
      <c r="AB175" t="n">
        <v>99.15000000000001</v>
      </c>
      <c r="AC175" t="n">
        <v>0</v>
      </c>
      <c r="AD175" s="15" t="n">
        <v>0.105761012</v>
      </c>
      <c r="AE175" t="n">
        <v>137.2328172</v>
      </c>
      <c r="AF175" t="n">
        <v>142.6438355</v>
      </c>
      <c r="AG175" t="n">
        <v>123.1519803</v>
      </c>
      <c r="AH175" t="n">
        <v>90.13812876</v>
      </c>
      <c r="AI175" t="n">
        <v>100</v>
      </c>
      <c r="AJ175" t="n">
        <v>0</v>
      </c>
      <c r="AK175" t="n">
        <v>0</v>
      </c>
      <c r="AL175" t="n">
        <v>1.026824152</v>
      </c>
      <c r="AM175" t="n">
        <v>1.029714311</v>
      </c>
      <c r="AN175" t="n">
        <v>0</v>
      </c>
      <c r="AO175" t="n">
        <v>0</v>
      </c>
      <c r="AP175" t="n">
        <v>1</v>
      </c>
      <c r="AQ175" t="n">
        <v>0</v>
      </c>
      <c r="AR175" t="n">
        <v>48.996</v>
      </c>
      <c r="AS175" t="n">
        <v>67.66500000000001</v>
      </c>
      <c r="AT175" t="n">
        <v>147.747</v>
      </c>
      <c r="AU175" t="n">
        <v>324.891</v>
      </c>
      <c r="AV175" t="n">
        <v>0</v>
      </c>
    </row>
    <row r="176">
      <c r="A176" t="n">
        <v>175</v>
      </c>
      <c r="B176" t="n">
        <v>0</v>
      </c>
      <c r="C176" t="n">
        <v>31.82798433</v>
      </c>
      <c r="D176" t="n">
        <v>15.31528457</v>
      </c>
      <c r="E176" t="n">
        <v>5.574944127</v>
      </c>
      <c r="F176" t="n">
        <v>1.046</v>
      </c>
      <c r="G176" t="n">
        <v>5.098</v>
      </c>
      <c r="H176" t="n">
        <v>0.468984102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0.310670956</v>
      </c>
      <c r="Q176" t="n">
        <v>0.310670956</v>
      </c>
      <c r="R176" t="n">
        <v>0</v>
      </c>
      <c r="S176" t="n">
        <v>0</v>
      </c>
      <c r="T176" s="15" t="n">
        <v>0.394717358</v>
      </c>
      <c r="U176" t="n">
        <v>23.94387556</v>
      </c>
      <c r="V176" t="n">
        <v>0</v>
      </c>
      <c r="W176" t="n">
        <v>0</v>
      </c>
      <c r="X176" t="n">
        <v>5.830809601</v>
      </c>
      <c r="Y176" t="n">
        <v>5.830809601</v>
      </c>
      <c r="Z176" t="n">
        <v>1</v>
      </c>
      <c r="AA176" t="n">
        <v>0.75</v>
      </c>
      <c r="AB176" t="n">
        <v>99.15000000000001</v>
      </c>
      <c r="AC176" t="n">
        <v>0</v>
      </c>
      <c r="AD176" s="15" t="n">
        <v>0.06270000000000001</v>
      </c>
      <c r="AE176" t="n">
        <v>131.7339811</v>
      </c>
      <c r="AF176" t="n">
        <v>137.2328172</v>
      </c>
      <c r="AG176" t="n">
        <v>121.4569706</v>
      </c>
      <c r="AH176" t="n">
        <v>88.92740757999999</v>
      </c>
      <c r="AI176" t="n">
        <v>100</v>
      </c>
      <c r="AJ176" t="n">
        <v>0</v>
      </c>
      <c r="AK176" t="n">
        <v>0</v>
      </c>
      <c r="AL176" t="n">
        <v>1.013409818</v>
      </c>
      <c r="AM176" t="n">
        <v>1.0150364</v>
      </c>
      <c r="AN176" t="n">
        <v>0</v>
      </c>
      <c r="AO176" t="n">
        <v>0</v>
      </c>
      <c r="AP176" t="n">
        <v>1</v>
      </c>
      <c r="AQ176" t="n">
        <v>0</v>
      </c>
      <c r="AR176" t="n">
        <v>48.996</v>
      </c>
      <c r="AS176" t="n">
        <v>67.66500000000001</v>
      </c>
      <c r="AT176" t="n">
        <v>147.747</v>
      </c>
      <c r="AU176" t="n">
        <v>324.891</v>
      </c>
      <c r="AV176" t="n">
        <v>0</v>
      </c>
    </row>
    <row r="177">
      <c r="A177" t="n">
        <v>176</v>
      </c>
      <c r="B177" t="n">
        <v>0</v>
      </c>
      <c r="C177" t="n">
        <v>31.52066023</v>
      </c>
      <c r="D177" t="n">
        <v>15.23005884</v>
      </c>
      <c r="E177" t="n">
        <v>6.207984293</v>
      </c>
      <c r="F177" t="n">
        <v>1.046</v>
      </c>
      <c r="G177" t="n">
        <v>5.088</v>
      </c>
      <c r="H177" t="n">
        <v>0.454340779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0.474799802</v>
      </c>
      <c r="Q177" t="n">
        <v>0.474799802</v>
      </c>
      <c r="R177" t="n">
        <v>0</v>
      </c>
      <c r="S177" t="n">
        <v>0</v>
      </c>
      <c r="T177" s="15" t="n">
        <v>0.278506757</v>
      </c>
      <c r="U177" t="n">
        <v>23.190569</v>
      </c>
      <c r="V177" t="n">
        <v>0</v>
      </c>
      <c r="W177" t="n">
        <v>0</v>
      </c>
      <c r="X177" t="n">
        <v>6.49290648</v>
      </c>
      <c r="Y177" t="n">
        <v>6.49290648</v>
      </c>
      <c r="Z177" t="n">
        <v>1</v>
      </c>
      <c r="AA177" t="n">
        <v>0.75</v>
      </c>
      <c r="AB177" t="n">
        <v>99.15000000000001</v>
      </c>
      <c r="AC177" t="n">
        <v>0</v>
      </c>
      <c r="AD177" s="15" t="n">
        <v>0.0348</v>
      </c>
      <c r="AE177" t="n">
        <v>125.4847868</v>
      </c>
      <c r="AF177" t="n">
        <v>131.7339811</v>
      </c>
      <c r="AG177" t="n">
        <v>122.2778372</v>
      </c>
      <c r="AH177" t="n">
        <v>89.51374088</v>
      </c>
      <c r="AI177" t="n">
        <v>100</v>
      </c>
      <c r="AJ177" t="n">
        <v>0</v>
      </c>
      <c r="AK177" t="n">
        <v>0</v>
      </c>
      <c r="AL177" t="n">
        <v>1.00670378</v>
      </c>
      <c r="AM177" t="n">
        <v>1.007608903</v>
      </c>
      <c r="AN177" t="n">
        <v>0</v>
      </c>
      <c r="AO177" t="n">
        <v>0</v>
      </c>
      <c r="AP177" t="n">
        <v>1</v>
      </c>
      <c r="AQ177" t="n">
        <v>0</v>
      </c>
      <c r="AR177" t="n">
        <v>48.996</v>
      </c>
      <c r="AS177" t="n">
        <v>67.66500000000001</v>
      </c>
      <c r="AT177" t="n">
        <v>147.747</v>
      </c>
      <c r="AU177" t="n">
        <v>324.891</v>
      </c>
      <c r="AV177" t="n">
        <v>0</v>
      </c>
    </row>
    <row r="178">
      <c r="A178" t="n">
        <v>177</v>
      </c>
      <c r="B178" t="n">
        <v>0</v>
      </c>
      <c r="C178" t="n">
        <v>32.27454387</v>
      </c>
      <c r="D178" t="n">
        <v>16.32273474</v>
      </c>
      <c r="E178" t="n">
        <v>5.757446087</v>
      </c>
      <c r="F178" t="n">
        <v>1.046</v>
      </c>
      <c r="G178" t="n">
        <v>5.078</v>
      </c>
      <c r="H178" t="n">
        <v>0.42129175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0.303507897</v>
      </c>
      <c r="Q178" t="n">
        <v>0.303507897</v>
      </c>
      <c r="R178" t="n">
        <v>0</v>
      </c>
      <c r="S178" t="n">
        <v>0</v>
      </c>
      <c r="T178" s="15" t="n">
        <v>0.203088174</v>
      </c>
      <c r="U178" t="n">
        <v>22.68397293</v>
      </c>
      <c r="V178" t="n">
        <v>0</v>
      </c>
      <c r="W178" t="n">
        <v>0</v>
      </c>
      <c r="X178" t="n">
        <v>6.021693828</v>
      </c>
      <c r="Y178" t="n">
        <v>6.021693828</v>
      </c>
      <c r="Z178" t="n">
        <v>1</v>
      </c>
      <c r="AA178" t="n">
        <v>0.75</v>
      </c>
      <c r="AB178" t="n">
        <v>99.15000000000001</v>
      </c>
      <c r="AC178" t="n">
        <v>0</v>
      </c>
      <c r="AD178" s="15" t="n">
        <v>0.0179</v>
      </c>
      <c r="AE178" t="n">
        <v>119.6482381</v>
      </c>
      <c r="AF178" t="n">
        <v>125.4847868</v>
      </c>
      <c r="AG178" t="n">
        <v>124.1304798</v>
      </c>
      <c r="AH178" t="n">
        <v>90.83705702</v>
      </c>
      <c r="AI178" t="n">
        <v>100</v>
      </c>
      <c r="AJ178" t="n">
        <v>0</v>
      </c>
      <c r="AK178" t="n">
        <v>0</v>
      </c>
      <c r="AL178" t="n">
        <v>1.003351325</v>
      </c>
      <c r="AM178" t="n">
        <v>1.003850351</v>
      </c>
      <c r="AN178" t="n">
        <v>0</v>
      </c>
      <c r="AO178" t="n">
        <v>0</v>
      </c>
      <c r="AP178" t="n">
        <v>1</v>
      </c>
      <c r="AQ178" t="n">
        <v>0</v>
      </c>
      <c r="AR178" t="n">
        <v>48.996</v>
      </c>
      <c r="AS178" t="n">
        <v>67.66500000000001</v>
      </c>
      <c r="AT178" t="n">
        <v>147.747</v>
      </c>
      <c r="AU178" t="n">
        <v>324.891</v>
      </c>
      <c r="AV178" t="n">
        <v>0</v>
      </c>
    </row>
    <row r="179">
      <c r="A179" t="n">
        <v>178</v>
      </c>
      <c r="B179" t="n">
        <v>0</v>
      </c>
      <c r="C179" t="n">
        <v>33.76673493</v>
      </c>
      <c r="D179" t="n">
        <v>17.62273474</v>
      </c>
      <c r="E179" t="n">
        <v>5.646988086</v>
      </c>
      <c r="F179" t="n">
        <v>1.046</v>
      </c>
      <c r="G179" t="n">
        <v>5.067</v>
      </c>
      <c r="H179" t="n">
        <v>0.446991932</v>
      </c>
      <c r="I179" t="n">
        <v>198</v>
      </c>
      <c r="J179" t="n">
        <v>0</v>
      </c>
      <c r="K179" t="n">
        <v>198</v>
      </c>
      <c r="L179" t="n">
        <v>0</v>
      </c>
      <c r="M179" t="n">
        <v>0</v>
      </c>
      <c r="N179" t="n">
        <v>0</v>
      </c>
      <c r="O179" t="n">
        <v>0</v>
      </c>
      <c r="P179" t="n">
        <v>0.295570528</v>
      </c>
      <c r="Q179" t="n">
        <v>0.295570528</v>
      </c>
      <c r="R179" t="n">
        <v>0</v>
      </c>
      <c r="S179" t="n">
        <v>0</v>
      </c>
      <c r="T179" t="n">
        <v>192.1094335</v>
      </c>
      <c r="U179" t="n">
        <v>28.27896887</v>
      </c>
      <c r="V179" t="n">
        <v>0</v>
      </c>
      <c r="W179" t="n">
        <v>0</v>
      </c>
      <c r="X179" t="n">
        <v>5.906170332</v>
      </c>
      <c r="Y179" t="n">
        <v>5.906170332</v>
      </c>
      <c r="Z179" t="n">
        <v>1</v>
      </c>
      <c r="AA179" t="n">
        <v>0.75</v>
      </c>
      <c r="AB179" t="n">
        <v>99.15000000000001</v>
      </c>
      <c r="AC179" t="n">
        <v>0</v>
      </c>
      <c r="AD179" t="n">
        <v>92.84934859000001</v>
      </c>
      <c r="AE179" t="n">
        <v>213.0021527</v>
      </c>
      <c r="AF179" t="n">
        <v>119.6482381</v>
      </c>
      <c r="AG179" t="n">
        <v>122.6897945</v>
      </c>
      <c r="AH179" t="n">
        <v>89.80799604000001</v>
      </c>
      <c r="AI179" t="n">
        <v>100</v>
      </c>
      <c r="AJ179" t="n">
        <v>0</v>
      </c>
      <c r="AK179" t="n">
        <v>0</v>
      </c>
      <c r="AL179" t="n">
        <v>7.876241162</v>
      </c>
      <c r="AM179" t="n">
        <v>7.91098613</v>
      </c>
      <c r="AN179" t="n">
        <v>22</v>
      </c>
      <c r="AO179" t="n">
        <v>0</v>
      </c>
      <c r="AP179" t="n">
        <v>1</v>
      </c>
      <c r="AQ179" t="n">
        <v>0</v>
      </c>
      <c r="AR179" t="n">
        <v>48.996</v>
      </c>
      <c r="AS179" t="n">
        <v>67.66500000000001</v>
      </c>
      <c r="AT179" t="n">
        <v>147.747</v>
      </c>
      <c r="AU179" t="n">
        <v>324.891</v>
      </c>
      <c r="AV179" t="n">
        <v>0</v>
      </c>
    </row>
    <row r="180">
      <c r="A180" t="n">
        <v>179</v>
      </c>
      <c r="B180" t="n">
        <v>0</v>
      </c>
      <c r="C180" t="n">
        <v>34.2640552</v>
      </c>
      <c r="D180" t="n">
        <v>19.30221412</v>
      </c>
      <c r="E180" t="n">
        <v>6.150028236</v>
      </c>
      <c r="F180" t="n">
        <v>1.046</v>
      </c>
      <c r="G180" t="n">
        <v>5.057</v>
      </c>
      <c r="H180" t="n">
        <v>0.451930367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0.389232513</v>
      </c>
      <c r="Q180" t="n">
        <v>0.389232513</v>
      </c>
      <c r="R180" t="n">
        <v>0</v>
      </c>
      <c r="S180" t="n">
        <v>0</v>
      </c>
      <c r="T180" t="n">
        <v>3.669179715</v>
      </c>
      <c r="U180" t="n">
        <v>24.22055664</v>
      </c>
      <c r="V180" t="n">
        <v>0</v>
      </c>
      <c r="W180" t="n">
        <v>0</v>
      </c>
      <c r="X180" t="n">
        <v>6.432304045</v>
      </c>
      <c r="Y180" t="n">
        <v>6.432304045</v>
      </c>
      <c r="Z180" t="n">
        <v>1</v>
      </c>
      <c r="AA180" t="n">
        <v>0.75</v>
      </c>
      <c r="AB180" t="n">
        <v>99.15000000000001</v>
      </c>
      <c r="AC180" t="n">
        <v>0</v>
      </c>
      <c r="AD180" t="n">
        <v>26.49532188</v>
      </c>
      <c r="AE180" t="n">
        <v>183.7437065</v>
      </c>
      <c r="AF180" t="n">
        <v>213.0021527</v>
      </c>
      <c r="AG180" t="n">
        <v>122.4129587</v>
      </c>
      <c r="AH180" t="n">
        <v>89.61025619</v>
      </c>
      <c r="AI180" t="n">
        <v>100</v>
      </c>
      <c r="AJ180" t="n">
        <v>0</v>
      </c>
      <c r="AK180" t="n">
        <v>0</v>
      </c>
      <c r="AL180" t="n">
        <v>4.437541607</v>
      </c>
      <c r="AM180" t="n">
        <v>4.497181938</v>
      </c>
      <c r="AN180" t="n">
        <v>0</v>
      </c>
      <c r="AO180" t="n">
        <v>0</v>
      </c>
      <c r="AP180" t="n">
        <v>1</v>
      </c>
      <c r="AQ180" t="n">
        <v>0</v>
      </c>
      <c r="AR180" t="n">
        <v>48.996</v>
      </c>
      <c r="AS180" t="n">
        <v>67.66500000000001</v>
      </c>
      <c r="AT180" t="n">
        <v>147.747</v>
      </c>
      <c r="AU180" t="n">
        <v>324.891</v>
      </c>
      <c r="AV180" t="n">
        <v>0</v>
      </c>
    </row>
    <row r="181">
      <c r="A181" t="n">
        <v>180</v>
      </c>
      <c r="B181" t="n">
        <v>0</v>
      </c>
      <c r="C181" t="n">
        <v>33.9311489</v>
      </c>
      <c r="D181" t="n">
        <v>18.74819087</v>
      </c>
      <c r="E181" t="n">
        <v>6.249739909</v>
      </c>
      <c r="F181" t="n">
        <v>1.046</v>
      </c>
      <c r="G181" t="n">
        <v>5.047</v>
      </c>
      <c r="H181" t="n">
        <v>0.427138539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0.419137268</v>
      </c>
      <c r="Q181" t="n">
        <v>0.419137268</v>
      </c>
      <c r="R181" t="n">
        <v>0</v>
      </c>
      <c r="S181" t="n">
        <v>0</v>
      </c>
      <c r="T181" t="n">
        <v>0.766769038</v>
      </c>
      <c r="U181" t="n">
        <v>23.03465033</v>
      </c>
      <c r="V181" t="n">
        <v>0</v>
      </c>
      <c r="W181" t="n">
        <v>0</v>
      </c>
      <c r="X181" t="n">
        <v>6.536598484</v>
      </c>
      <c r="Y181" t="n">
        <v>6.536598484</v>
      </c>
      <c r="Z181" t="n">
        <v>1</v>
      </c>
      <c r="AA181" t="n">
        <v>0.75</v>
      </c>
      <c r="AB181" t="n">
        <v>99.15000000000001</v>
      </c>
      <c r="AC181" t="n">
        <v>0</v>
      </c>
      <c r="AD181" t="n">
        <v>5.266533269</v>
      </c>
      <c r="AE181" t="n">
        <v>172.7073438</v>
      </c>
      <c r="AF181" t="n">
        <v>183.7437065</v>
      </c>
      <c r="AG181" t="n">
        <v>123.802724</v>
      </c>
      <c r="AH181" t="n">
        <v>90.60294575</v>
      </c>
      <c r="AI181" t="n">
        <v>100</v>
      </c>
      <c r="AJ181" t="n">
        <v>0</v>
      </c>
      <c r="AK181" t="n">
        <v>0</v>
      </c>
      <c r="AL181" t="n">
        <v>2.718481365</v>
      </c>
      <c r="AM181" t="n">
        <v>2.769686884</v>
      </c>
      <c r="AN181" t="n">
        <v>0</v>
      </c>
      <c r="AO181" t="n">
        <v>0</v>
      </c>
      <c r="AP181" t="n">
        <v>1</v>
      </c>
      <c r="AQ181" t="n">
        <v>0</v>
      </c>
      <c r="AR181" t="n">
        <v>48.996</v>
      </c>
      <c r="AS181" t="n">
        <v>67.66500000000001</v>
      </c>
      <c r="AT181" t="n">
        <v>147.747</v>
      </c>
      <c r="AU181" t="n">
        <v>324.891</v>
      </c>
      <c r="AV181" t="n">
        <v>0</v>
      </c>
    </row>
    <row r="182">
      <c r="A182" t="n">
        <v>181</v>
      </c>
      <c r="B182" t="n">
        <v>0</v>
      </c>
      <c r="C182" t="n">
        <v>30.9640552</v>
      </c>
      <c r="D182" t="n">
        <v>16.68398414</v>
      </c>
      <c r="E182" t="n">
        <v>5.798717977</v>
      </c>
      <c r="F182" t="n">
        <v>1.046</v>
      </c>
      <c r="G182" t="n">
        <v>5.037</v>
      </c>
      <c r="H182" t="n">
        <v>0.421770572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0.393991886</v>
      </c>
      <c r="Q182" t="n">
        <v>0.393991886</v>
      </c>
      <c r="R182" t="n">
        <v>0</v>
      </c>
      <c r="S182" t="n">
        <v>0</v>
      </c>
      <c r="T182" t="n">
        <v>0.329505495</v>
      </c>
      <c r="U182" t="n">
        <v>22.31115295</v>
      </c>
      <c r="V182" t="n">
        <v>0</v>
      </c>
      <c r="W182" t="n">
        <v>0</v>
      </c>
      <c r="X182" t="n">
        <v>6.064881388</v>
      </c>
      <c r="Y182" t="n">
        <v>6.064881388</v>
      </c>
      <c r="Z182" t="n">
        <v>1</v>
      </c>
      <c r="AA182" t="n">
        <v>0.75</v>
      </c>
      <c r="AB182" t="n">
        <v>99.15000000000001</v>
      </c>
      <c r="AC182" t="n">
        <v>0</v>
      </c>
      <c r="AD182" t="n">
        <v>1.934984253</v>
      </c>
      <c r="AE182" t="n">
        <v>165.0369837</v>
      </c>
      <c r="AF182" t="n">
        <v>172.7073438</v>
      </c>
      <c r="AG182" t="n">
        <v>124.1036384</v>
      </c>
      <c r="AH182" t="n">
        <v>90.81788453999999</v>
      </c>
      <c r="AI182" t="n">
        <v>100</v>
      </c>
      <c r="AJ182" t="n">
        <v>0</v>
      </c>
      <c r="AK182" t="n">
        <v>0</v>
      </c>
      <c r="AL182" t="n">
        <v>1.859095988</v>
      </c>
      <c r="AM182" t="n">
        <v>1.895518655</v>
      </c>
      <c r="AN182" t="n">
        <v>0</v>
      </c>
      <c r="AO182" t="n">
        <v>0</v>
      </c>
      <c r="AP182" t="n">
        <v>1</v>
      </c>
      <c r="AQ182" t="n">
        <v>0</v>
      </c>
      <c r="AR182" t="n">
        <v>48.996</v>
      </c>
      <c r="AS182" t="n">
        <v>67.66500000000001</v>
      </c>
      <c r="AT182" t="n">
        <v>147.747</v>
      </c>
      <c r="AU182" t="n">
        <v>324.891</v>
      </c>
      <c r="AV182" t="n">
        <v>0</v>
      </c>
    </row>
    <row r="183">
      <c r="A183" t="n">
        <v>182</v>
      </c>
      <c r="B183" t="n">
        <v>0</v>
      </c>
      <c r="C183" t="n">
        <v>32.65660503</v>
      </c>
      <c r="D183" t="n">
        <v>15.88887799</v>
      </c>
      <c r="E183" t="n">
        <v>6.481427425</v>
      </c>
      <c r="F183" t="n">
        <v>1.046</v>
      </c>
      <c r="G183" t="n">
        <v>5.027</v>
      </c>
      <c r="H183" t="n">
        <v>0.44164507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0.556098557</v>
      </c>
      <c r="Q183" t="n">
        <v>0.556098557</v>
      </c>
      <c r="R183" t="n">
        <v>0</v>
      </c>
      <c r="S183" t="n">
        <v>0</v>
      </c>
      <c r="T183" s="15" t="n">
        <v>0.174794372</v>
      </c>
      <c r="U183" t="n">
        <v>21.58026002</v>
      </c>
      <c r="V183" t="n">
        <v>0</v>
      </c>
      <c r="W183" t="n">
        <v>0</v>
      </c>
      <c r="X183" t="n">
        <v>6.778935387</v>
      </c>
      <c r="Y183" t="n">
        <v>6.778935387</v>
      </c>
      <c r="Z183" t="n">
        <v>1</v>
      </c>
      <c r="AA183" t="n">
        <v>0.75</v>
      </c>
      <c r="AB183" t="n">
        <v>99.15000000000001</v>
      </c>
      <c r="AC183" t="n">
        <v>0</v>
      </c>
      <c r="AD183" t="n">
        <v>0.866746336</v>
      </c>
      <c r="AE183" t="n">
        <v>157.5660963</v>
      </c>
      <c r="AF183" t="n">
        <v>165.0369837</v>
      </c>
      <c r="AG183" t="n">
        <v>122.9895256</v>
      </c>
      <c r="AH183" t="n">
        <v>90.02208974</v>
      </c>
      <c r="AI183" t="n">
        <v>100</v>
      </c>
      <c r="AJ183" t="n">
        <v>0</v>
      </c>
      <c r="AK183" t="n">
        <v>0</v>
      </c>
      <c r="AL183" t="n">
        <v>1.429475659</v>
      </c>
      <c r="AM183" t="n">
        <v>1.45316133</v>
      </c>
      <c r="AN183" t="n">
        <v>0</v>
      </c>
      <c r="AO183" t="n">
        <v>0</v>
      </c>
      <c r="AP183" t="n">
        <v>1</v>
      </c>
      <c r="AQ183" t="n">
        <v>0</v>
      </c>
      <c r="AR183" t="n">
        <v>48.996</v>
      </c>
      <c r="AS183" t="n">
        <v>67.66500000000001</v>
      </c>
      <c r="AT183" t="n">
        <v>147.747</v>
      </c>
      <c r="AU183" t="n">
        <v>324.891</v>
      </c>
      <c r="AV183" t="n">
        <v>0</v>
      </c>
    </row>
    <row r="184">
      <c r="A184" t="n">
        <v>183</v>
      </c>
      <c r="B184" t="n">
        <v>0</v>
      </c>
      <c r="C184" t="n">
        <v>32.4926759</v>
      </c>
      <c r="D184" t="n">
        <v>17.15867954</v>
      </c>
      <c r="E184" t="n">
        <v>5.941568003</v>
      </c>
      <c r="F184" t="n">
        <v>1.046</v>
      </c>
      <c r="G184" t="n">
        <v>5.016</v>
      </c>
      <c r="H184" t="n">
        <v>0.406598644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0.390778672</v>
      </c>
      <c r="Q184" t="n">
        <v>0.390778672</v>
      </c>
      <c r="R184" t="n">
        <v>0</v>
      </c>
      <c r="S184" t="n">
        <v>0</v>
      </c>
      <c r="T184" s="15" t="n">
        <v>0.106256762</v>
      </c>
      <c r="U184" t="n">
        <v>21.08322459</v>
      </c>
      <c r="V184" t="n">
        <v>0</v>
      </c>
      <c r="W184" t="n">
        <v>0</v>
      </c>
      <c r="X184" t="n">
        <v>6.214303467</v>
      </c>
      <c r="Y184" t="n">
        <v>6.214303467</v>
      </c>
      <c r="Z184" t="n">
        <v>1</v>
      </c>
      <c r="AA184" t="n">
        <v>0.75</v>
      </c>
      <c r="AB184" t="n">
        <v>99.15000000000001</v>
      </c>
      <c r="AC184" t="n">
        <v>0</v>
      </c>
      <c r="AD184" t="n">
        <v>0.428370434</v>
      </c>
      <c r="AE184" t="n">
        <v>151.0296792</v>
      </c>
      <c r="AF184" t="n">
        <v>157.5660963</v>
      </c>
      <c r="AG184" t="n">
        <v>124.9541372</v>
      </c>
      <c r="AH184" t="n">
        <v>91.42538368</v>
      </c>
      <c r="AI184" t="n">
        <v>100</v>
      </c>
      <c r="AJ184" t="n">
        <v>0</v>
      </c>
      <c r="AK184" t="n">
        <v>0</v>
      </c>
      <c r="AL184" t="n">
        <v>1.214701668</v>
      </c>
      <c r="AM184" t="n">
        <v>1.229314253</v>
      </c>
      <c r="AN184" t="n">
        <v>0</v>
      </c>
      <c r="AO184" t="n">
        <v>0</v>
      </c>
      <c r="AP184" t="n">
        <v>1</v>
      </c>
      <c r="AQ184" t="n">
        <v>0</v>
      </c>
      <c r="AR184" t="n">
        <v>48.996</v>
      </c>
      <c r="AS184" t="n">
        <v>67.66500000000001</v>
      </c>
      <c r="AT184" t="n">
        <v>147.747</v>
      </c>
      <c r="AU184" t="n">
        <v>324.891</v>
      </c>
      <c r="AV184" t="n">
        <v>0</v>
      </c>
    </row>
    <row r="185">
      <c r="A185" t="n">
        <v>184</v>
      </c>
      <c r="B185" t="n">
        <v>0</v>
      </c>
      <c r="C185" t="n">
        <v>32.30267973</v>
      </c>
      <c r="D185" t="n">
        <v>18.60221412</v>
      </c>
      <c r="E185" t="n">
        <v>4.679630051</v>
      </c>
      <c r="F185" t="n">
        <v>1.046</v>
      </c>
      <c r="G185" t="n">
        <v>5.006</v>
      </c>
      <c r="H185" t="n">
        <v>0.435796716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0.211009369</v>
      </c>
      <c r="Q185" t="n">
        <v>0.211009369</v>
      </c>
      <c r="R185" t="n">
        <v>0</v>
      </c>
      <c r="S185" t="n">
        <v>0</v>
      </c>
      <c r="T185" s="15" t="n">
        <v>0.0776</v>
      </c>
      <c r="U185" t="n">
        <v>20.79461827</v>
      </c>
      <c r="V185" t="n">
        <v>0</v>
      </c>
      <c r="W185" t="n">
        <v>0</v>
      </c>
      <c r="X185" t="n">
        <v>4.894445577</v>
      </c>
      <c r="Y185" t="n">
        <v>4.894445577</v>
      </c>
      <c r="Z185" t="n">
        <v>1</v>
      </c>
      <c r="AA185" t="n">
        <v>0.75</v>
      </c>
      <c r="AB185" t="n">
        <v>99.15000000000001</v>
      </c>
      <c r="AC185" t="n">
        <v>0</v>
      </c>
      <c r="AD185" t="n">
        <v>0.241335874</v>
      </c>
      <c r="AE185" t="n">
        <v>145.9714947</v>
      </c>
      <c r="AF185" t="n">
        <v>151.0296792</v>
      </c>
      <c r="AG185" t="n">
        <v>123.3173692</v>
      </c>
      <c r="AH185" t="n">
        <v>90.25626370000001</v>
      </c>
      <c r="AI185" t="n">
        <v>100</v>
      </c>
      <c r="AJ185" t="n">
        <v>0</v>
      </c>
      <c r="AK185" t="n">
        <v>0</v>
      </c>
      <c r="AL185" t="n">
        <v>1.107332756</v>
      </c>
      <c r="AM185" t="n">
        <v>1.11604041</v>
      </c>
      <c r="AN185" t="n">
        <v>0</v>
      </c>
      <c r="AO185" t="n">
        <v>0</v>
      </c>
      <c r="AP185" t="n">
        <v>1</v>
      </c>
      <c r="AQ185" t="n">
        <v>0</v>
      </c>
      <c r="AR185" t="n">
        <v>48.996</v>
      </c>
      <c r="AS185" t="n">
        <v>67.66500000000001</v>
      </c>
      <c r="AT185" t="n">
        <v>147.747</v>
      </c>
      <c r="AU185" t="n">
        <v>324.891</v>
      </c>
      <c r="AV185" t="n">
        <v>0</v>
      </c>
    </row>
    <row r="186">
      <c r="A186" t="n">
        <v>185</v>
      </c>
      <c r="B186" t="n">
        <v>3.27220817</v>
      </c>
      <c r="C186" t="n">
        <v>26.33875059</v>
      </c>
      <c r="D186" t="n">
        <v>17.06124941</v>
      </c>
      <c r="E186" t="n">
        <v>2.496429478</v>
      </c>
      <c r="F186" t="n">
        <v>1.046</v>
      </c>
      <c r="G186" t="n">
        <v>4.996</v>
      </c>
      <c r="H186" t="n">
        <v>0.495781802</v>
      </c>
      <c r="I186" t="n">
        <v>0</v>
      </c>
      <c r="J186" t="n">
        <v>1.707762984</v>
      </c>
      <c r="K186" t="n">
        <v>3.27220817</v>
      </c>
      <c r="L186" t="n">
        <v>1.707762984</v>
      </c>
      <c r="M186" t="n">
        <v>1.564445186</v>
      </c>
      <c r="N186" t="n">
        <v>0</v>
      </c>
      <c r="O186" t="n">
        <v>1.707763034</v>
      </c>
      <c r="P186" s="15" t="n">
        <v>0.0163</v>
      </c>
      <c r="Q186" s="15" t="n">
        <v>0.0163</v>
      </c>
      <c r="R186" t="n">
        <v>0</v>
      </c>
      <c r="S186" t="n">
        <v>0</v>
      </c>
      <c r="T186" s="15" t="n">
        <v>0.1075812</v>
      </c>
      <c r="U186" t="n">
        <v>22.37854404</v>
      </c>
      <c r="V186" t="n">
        <v>0</v>
      </c>
      <c r="W186" t="n">
        <v>0</v>
      </c>
      <c r="X186" t="n">
        <v>2.611030371</v>
      </c>
      <c r="Y186" t="n">
        <v>2.611030371</v>
      </c>
      <c r="Z186" t="n">
        <v>1</v>
      </c>
      <c r="AA186" t="n">
        <v>0.75</v>
      </c>
      <c r="AB186" t="n">
        <v>99.15000000000001</v>
      </c>
      <c r="AC186" t="n">
        <v>0</v>
      </c>
      <c r="AD186" t="n">
        <v>0.163036613</v>
      </c>
      <c r="AE186" t="n">
        <v>143.3050089</v>
      </c>
      <c r="AF186" t="n">
        <v>145.9714947</v>
      </c>
      <c r="AG186" t="n">
        <v>119.9547612</v>
      </c>
      <c r="AH186" t="n">
        <v>87.85440086</v>
      </c>
      <c r="AI186" t="n">
        <v>100</v>
      </c>
      <c r="AJ186" t="n">
        <v>0</v>
      </c>
      <c r="AK186" t="n">
        <v>0</v>
      </c>
      <c r="AL186" t="n">
        <v>1.053657341</v>
      </c>
      <c r="AM186" t="n">
        <v>1.058720191</v>
      </c>
      <c r="AN186" t="n">
        <v>0</v>
      </c>
      <c r="AO186" t="n">
        <v>0</v>
      </c>
      <c r="AP186" t="n">
        <v>1</v>
      </c>
      <c r="AQ186" t="n">
        <v>0</v>
      </c>
      <c r="AR186" t="n">
        <v>48.996</v>
      </c>
      <c r="AS186" t="n">
        <v>67.66500000000001</v>
      </c>
      <c r="AT186" t="n">
        <v>147.747</v>
      </c>
      <c r="AU186" t="n">
        <v>324.891</v>
      </c>
      <c r="AV186" t="n">
        <v>0</v>
      </c>
    </row>
    <row r="187">
      <c r="A187" t="n">
        <v>186</v>
      </c>
      <c r="B187" t="n">
        <v>0</v>
      </c>
      <c r="C187" t="n">
        <v>31.11798051</v>
      </c>
      <c r="D187" t="n">
        <v>14.69732027</v>
      </c>
      <c r="E187" t="n">
        <v>5.006887087</v>
      </c>
      <c r="F187" t="n">
        <v>1.046</v>
      </c>
      <c r="G187" t="n">
        <v>4.986</v>
      </c>
      <c r="H187" t="n">
        <v>0.59490854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0.234612916</v>
      </c>
      <c r="Q187" t="n">
        <v>0.234612916</v>
      </c>
      <c r="R187" t="n">
        <v>0</v>
      </c>
      <c r="S187" t="n">
        <v>0</v>
      </c>
      <c r="T187" s="15" t="n">
        <v>0.141760346</v>
      </c>
      <c r="U187" t="n">
        <v>22.00217078</v>
      </c>
      <c r="V187" t="n">
        <v>0</v>
      </c>
      <c r="W187" t="n">
        <v>0</v>
      </c>
      <c r="X187" t="n">
        <v>5.236741023</v>
      </c>
      <c r="Y187" t="n">
        <v>5.236741023</v>
      </c>
      <c r="Z187" t="n">
        <v>1</v>
      </c>
      <c r="AA187" t="n">
        <v>0.75</v>
      </c>
      <c r="AB187" t="n">
        <v>99.15000000000001</v>
      </c>
      <c r="AC187" t="n">
        <v>0</v>
      </c>
      <c r="AD187" t="n">
        <v>0.113507656</v>
      </c>
      <c r="AE187" t="n">
        <v>138.0965205</v>
      </c>
      <c r="AF187" t="n">
        <v>143.3050089</v>
      </c>
      <c r="AG187" t="n">
        <v>114.397974</v>
      </c>
      <c r="AH187" t="n">
        <v>83.88526714</v>
      </c>
      <c r="AI187" t="n">
        <v>100</v>
      </c>
      <c r="AJ187" t="n">
        <v>0</v>
      </c>
      <c r="AK187" t="n">
        <v>0</v>
      </c>
      <c r="AL187" t="n">
        <v>1.026824152</v>
      </c>
      <c r="AM187" t="n">
        <v>1.029714311</v>
      </c>
      <c r="AN187" t="n">
        <v>0</v>
      </c>
      <c r="AO187" t="n">
        <v>0</v>
      </c>
      <c r="AP187" t="n">
        <v>1</v>
      </c>
      <c r="AQ187" t="n">
        <v>0</v>
      </c>
      <c r="AR187" t="n">
        <v>48.996</v>
      </c>
      <c r="AS187" t="n">
        <v>67.66500000000001</v>
      </c>
      <c r="AT187" t="n">
        <v>147.747</v>
      </c>
      <c r="AU187" t="n">
        <v>324.891</v>
      </c>
      <c r="AV187" t="n">
        <v>0</v>
      </c>
    </row>
    <row r="188">
      <c r="A188" t="n">
        <v>187</v>
      </c>
      <c r="B188" t="n">
        <v>0</v>
      </c>
      <c r="C188" t="n">
        <v>32.6460747</v>
      </c>
      <c r="D188" t="n">
        <v>16.33005884</v>
      </c>
      <c r="E188" t="n">
        <v>5.654079499</v>
      </c>
      <c r="F188" t="n">
        <v>1.046</v>
      </c>
      <c r="G188" t="n">
        <v>4.976</v>
      </c>
      <c r="H188" t="n">
        <v>0.481145843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0.265058844</v>
      </c>
      <c r="Q188" t="n">
        <v>0.265058844</v>
      </c>
      <c r="R188" t="n">
        <v>0</v>
      </c>
      <c r="S188" t="n">
        <v>0</v>
      </c>
      <c r="T188" s="15" t="n">
        <v>0.11466723</v>
      </c>
      <c r="U188" t="n">
        <v>21.6224447</v>
      </c>
      <c r="V188" t="n">
        <v>0</v>
      </c>
      <c r="W188" t="n">
        <v>0</v>
      </c>
      <c r="X188" t="n">
        <v>5.913654184</v>
      </c>
      <c r="Y188" t="n">
        <v>5.913654184</v>
      </c>
      <c r="Z188" t="n">
        <v>1</v>
      </c>
      <c r="AA188" t="n">
        <v>0.75</v>
      </c>
      <c r="AB188" t="n">
        <v>99.15000000000001</v>
      </c>
      <c r="AC188" t="n">
        <v>0</v>
      </c>
      <c r="AD188" s="15" t="n">
        <v>0.06710000000000001</v>
      </c>
      <c r="AE188" t="n">
        <v>132.2304177</v>
      </c>
      <c r="AF188" t="n">
        <v>138.0965205</v>
      </c>
      <c r="AG188" t="n">
        <v>120.775215</v>
      </c>
      <c r="AH188" t="n">
        <v>88.44043931</v>
      </c>
      <c r="AI188" t="n">
        <v>100</v>
      </c>
      <c r="AJ188" t="n">
        <v>0</v>
      </c>
      <c r="AK188" t="n">
        <v>0</v>
      </c>
      <c r="AL188" t="n">
        <v>1.013409818</v>
      </c>
      <c r="AM188" t="n">
        <v>1.0150364</v>
      </c>
      <c r="AN188" t="n">
        <v>0</v>
      </c>
      <c r="AO188" t="n">
        <v>0</v>
      </c>
      <c r="AP188" t="n">
        <v>1</v>
      </c>
      <c r="AQ188" t="n">
        <v>0</v>
      </c>
      <c r="AR188" t="n">
        <v>48.996</v>
      </c>
      <c r="AS188" t="n">
        <v>67.66500000000001</v>
      </c>
      <c r="AT188" t="n">
        <v>147.747</v>
      </c>
      <c r="AU188" t="n">
        <v>324.891</v>
      </c>
      <c r="AV188" t="n">
        <v>0</v>
      </c>
    </row>
    <row r="189">
      <c r="A189" t="n">
        <v>188</v>
      </c>
      <c r="B189" t="n">
        <v>7.984172002</v>
      </c>
      <c r="C189" t="n">
        <v>34.60267973</v>
      </c>
      <c r="D189" t="n">
        <v>18.89732027</v>
      </c>
      <c r="E189" t="n">
        <v>5.909753798</v>
      </c>
      <c r="F189" t="n">
        <v>1.046</v>
      </c>
      <c r="G189" t="n">
        <v>4.965</v>
      </c>
      <c r="H189" t="n">
        <v>0.45285148</v>
      </c>
      <c r="I189" t="n">
        <v>0</v>
      </c>
      <c r="J189" t="n">
        <v>5.814649496</v>
      </c>
      <c r="K189" t="n">
        <v>7.984172002</v>
      </c>
      <c r="L189" t="n">
        <v>5.814649496</v>
      </c>
      <c r="M189" t="n">
        <v>2.169522506</v>
      </c>
      <c r="N189" t="n">
        <v>0</v>
      </c>
      <c r="O189" t="n">
        <v>5.814649669</v>
      </c>
      <c r="P189" t="n">
        <v>0.322747448</v>
      </c>
      <c r="Q189" t="n">
        <v>0.322747448</v>
      </c>
      <c r="R189" t="n">
        <v>0</v>
      </c>
      <c r="S189" t="n">
        <v>0</v>
      </c>
      <c r="T189" s="15" t="n">
        <v>0.453765094</v>
      </c>
      <c r="U189" t="n">
        <v>26.66058183</v>
      </c>
      <c r="V189" t="n">
        <v>0</v>
      </c>
      <c r="W189" t="n">
        <v>0</v>
      </c>
      <c r="X189" t="n">
        <v>6.181076961</v>
      </c>
      <c r="Y189" t="n">
        <v>6.181076961</v>
      </c>
      <c r="Z189" t="n">
        <v>1</v>
      </c>
      <c r="AA189" t="n">
        <v>0.75</v>
      </c>
      <c r="AB189" t="n">
        <v>99.15000000000001</v>
      </c>
      <c r="AC189" t="n">
        <v>0</v>
      </c>
      <c r="AD189" s="15" t="n">
        <v>0.0371</v>
      </c>
      <c r="AE189" t="n">
        <v>126.4660525</v>
      </c>
      <c r="AF189" t="n">
        <v>132.2304177</v>
      </c>
      <c r="AG189" t="n">
        <v>122.3613235</v>
      </c>
      <c r="AH189" t="n">
        <v>89.57337389</v>
      </c>
      <c r="AI189" t="n">
        <v>100</v>
      </c>
      <c r="AJ189" t="n">
        <v>0</v>
      </c>
      <c r="AK189" t="n">
        <v>0</v>
      </c>
      <c r="AL189" t="n">
        <v>1.00670378</v>
      </c>
      <c r="AM189" t="n">
        <v>1.007608903</v>
      </c>
      <c r="AN189" t="n">
        <v>0</v>
      </c>
      <c r="AO189" t="n">
        <v>0</v>
      </c>
      <c r="AP189" t="n">
        <v>1</v>
      </c>
      <c r="AQ189" t="n">
        <v>0</v>
      </c>
      <c r="AR189" t="n">
        <v>48.996</v>
      </c>
      <c r="AS189" t="n">
        <v>67.66500000000001</v>
      </c>
      <c r="AT189" t="n">
        <v>147.747</v>
      </c>
      <c r="AU189" t="n">
        <v>324.891</v>
      </c>
      <c r="AV189" t="n">
        <v>0</v>
      </c>
    </row>
    <row r="190">
      <c r="A190" t="n">
        <v>189</v>
      </c>
      <c r="B190" t="n">
        <v>26.62565781</v>
      </c>
      <c r="C190" t="n">
        <v>31.98471543</v>
      </c>
      <c r="D190" t="n">
        <v>17.38951133</v>
      </c>
      <c r="E190" t="n">
        <v>4.308913068</v>
      </c>
      <c r="F190" t="n">
        <v>1.046</v>
      </c>
      <c r="G190" t="n">
        <v>4.955</v>
      </c>
      <c r="H190" t="n">
        <v>0.439847025</v>
      </c>
      <c r="I190" t="n">
        <v>0</v>
      </c>
      <c r="J190" t="n">
        <v>23.95127706</v>
      </c>
      <c r="K190" t="n">
        <v>26.62565781</v>
      </c>
      <c r="L190" t="n">
        <v>21.50742443</v>
      </c>
      <c r="M190" t="n">
        <v>2.67438075</v>
      </c>
      <c r="N190" t="n">
        <v>2.443852629</v>
      </c>
      <c r="O190" t="n">
        <v>21.50742508</v>
      </c>
      <c r="P190" t="n">
        <v>0.155279318</v>
      </c>
      <c r="Q190" t="n">
        <v>0.155279318</v>
      </c>
      <c r="R190" t="n">
        <v>0</v>
      </c>
      <c r="S190" t="n">
        <v>0</v>
      </c>
      <c r="T190" s="15" t="n">
        <v>12.94869231</v>
      </c>
      <c r="U190" t="n">
        <v>35.06403528</v>
      </c>
      <c r="V190" t="n">
        <v>0</v>
      </c>
      <c r="W190" t="n">
        <v>0</v>
      </c>
      <c r="X190" t="n">
        <v>4.506748004</v>
      </c>
      <c r="Y190" t="n">
        <v>4.506748004</v>
      </c>
      <c r="Z190" t="n">
        <v>1</v>
      </c>
      <c r="AA190" t="n">
        <v>0.75</v>
      </c>
      <c r="AB190" t="n">
        <v>99.15000000000001</v>
      </c>
      <c r="AC190" t="n">
        <v>0</v>
      </c>
      <c r="AD190" s="15" t="n">
        <v>0.0342</v>
      </c>
      <c r="AE190" t="n">
        <v>134.8737865</v>
      </c>
      <c r="AF190" t="n">
        <v>126.4660525</v>
      </c>
      <c r="AG190" t="n">
        <v>123.0903194</v>
      </c>
      <c r="AH190" t="n">
        <v>90.09408526999999</v>
      </c>
      <c r="AI190" t="n">
        <v>100</v>
      </c>
      <c r="AJ190" t="n">
        <v>0</v>
      </c>
      <c r="AK190" t="n">
        <v>0</v>
      </c>
      <c r="AL190" t="n">
        <v>1.003351325</v>
      </c>
      <c r="AM190" t="n">
        <v>1.003850351</v>
      </c>
      <c r="AN190" t="n">
        <v>0</v>
      </c>
      <c r="AO190" t="n">
        <v>0</v>
      </c>
      <c r="AP190" t="n">
        <v>1</v>
      </c>
      <c r="AQ190" t="n">
        <v>0</v>
      </c>
      <c r="AR190" t="n">
        <v>48.996</v>
      </c>
      <c r="AS190" t="n">
        <v>67.66500000000001</v>
      </c>
      <c r="AT190" t="n">
        <v>147.747</v>
      </c>
      <c r="AU190" t="n">
        <v>324.891</v>
      </c>
      <c r="AV190" t="n">
        <v>0</v>
      </c>
    </row>
    <row r="191">
      <c r="A191" t="n">
        <v>190</v>
      </c>
      <c r="B191" t="n">
        <v>0</v>
      </c>
      <c r="C191" t="n">
        <v>31.5640552</v>
      </c>
      <c r="D191" t="n">
        <v>14.6688511</v>
      </c>
      <c r="E191" t="n">
        <v>6.189913421</v>
      </c>
      <c r="F191" t="n">
        <v>1.046</v>
      </c>
      <c r="G191" t="n">
        <v>4.945</v>
      </c>
      <c r="H191" t="n">
        <v>0.513518907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0.489008446</v>
      </c>
      <c r="Q191" t="n">
        <v>0.489008446</v>
      </c>
      <c r="R191" t="n">
        <v>0</v>
      </c>
      <c r="S191" t="n">
        <v>0</v>
      </c>
      <c r="T191" s="15" t="n">
        <v>6.097985744</v>
      </c>
      <c r="U191" t="n">
        <v>28.47704109</v>
      </c>
      <c r="V191" t="n">
        <v>0</v>
      </c>
      <c r="W191" t="n">
        <v>0</v>
      </c>
      <c r="X191" t="n">
        <v>6.4741227</v>
      </c>
      <c r="Y191" t="n">
        <v>6.4741227</v>
      </c>
      <c r="Z191" t="n">
        <v>1</v>
      </c>
      <c r="AA191" t="n">
        <v>0.75</v>
      </c>
      <c r="AB191" t="n">
        <v>99.15000000000001</v>
      </c>
      <c r="AC191" t="n">
        <v>0</v>
      </c>
      <c r="AD191" s="15" t="n">
        <v>0.06859999999999999</v>
      </c>
      <c r="AE191" t="n">
        <v>134.4290733</v>
      </c>
      <c r="AF191" t="n">
        <v>134.8737865</v>
      </c>
      <c r="AG191" t="n">
        <v>118.9604652</v>
      </c>
      <c r="AH191" t="n">
        <v>87.14418945</v>
      </c>
      <c r="AI191" t="n">
        <v>100</v>
      </c>
      <c r="AJ191" t="n">
        <v>0</v>
      </c>
      <c r="AK191" t="n">
        <v>0</v>
      </c>
      <c r="AL191" t="n">
        <v>1.001675381</v>
      </c>
      <c r="AM191" t="n">
        <v>1.001948402</v>
      </c>
      <c r="AN191" t="n">
        <v>0</v>
      </c>
      <c r="AO191" t="n">
        <v>0</v>
      </c>
      <c r="AP191" t="n">
        <v>1</v>
      </c>
      <c r="AQ191" t="n">
        <v>0</v>
      </c>
      <c r="AR191" t="n">
        <v>48.996</v>
      </c>
      <c r="AS191" t="n">
        <v>67.66500000000001</v>
      </c>
      <c r="AT191" t="n">
        <v>147.747</v>
      </c>
      <c r="AU191" t="n">
        <v>324.891</v>
      </c>
      <c r="AV191" t="n">
        <v>0</v>
      </c>
    </row>
    <row r="192">
      <c r="A192" t="n">
        <v>191</v>
      </c>
      <c r="B192" t="n">
        <v>0.819959399</v>
      </c>
      <c r="C192" t="n">
        <v>32.5926759</v>
      </c>
      <c r="D192" t="n">
        <v>14.5688511</v>
      </c>
      <c r="E192" t="n">
        <v>5.701580686</v>
      </c>
      <c r="F192" t="n">
        <v>1.046</v>
      </c>
      <c r="G192" t="n">
        <v>4.935</v>
      </c>
      <c r="H192" t="n">
        <v>0.421474756</v>
      </c>
      <c r="I192" t="n">
        <v>0</v>
      </c>
      <c r="J192" t="n">
        <v>0.17782085</v>
      </c>
      <c r="K192" t="n">
        <v>0.819959399</v>
      </c>
      <c r="L192" t="n">
        <v>0.17782085</v>
      </c>
      <c r="M192" t="n">
        <v>0.642138548</v>
      </c>
      <c r="N192" t="n">
        <v>0</v>
      </c>
      <c r="O192" t="n">
        <v>0.177820856</v>
      </c>
      <c r="P192" t="n">
        <v>0.350009381</v>
      </c>
      <c r="Q192" t="n">
        <v>0.350009381</v>
      </c>
      <c r="R192" t="n">
        <v>0</v>
      </c>
      <c r="S192" t="n">
        <v>0</v>
      </c>
      <c r="T192" t="n">
        <v>1.581027278</v>
      </c>
      <c r="U192" t="n">
        <v>26.72382529</v>
      </c>
      <c r="V192" t="n">
        <v>0</v>
      </c>
      <c r="W192" t="n">
        <v>0</v>
      </c>
      <c r="X192" t="n">
        <v>5.963379677</v>
      </c>
      <c r="Y192" t="n">
        <v>5.963379677</v>
      </c>
      <c r="Z192" t="n">
        <v>1</v>
      </c>
      <c r="AA192" t="n">
        <v>0.75</v>
      </c>
      <c r="AB192" t="n">
        <v>99.15000000000001</v>
      </c>
      <c r="AC192" t="n">
        <v>0</v>
      </c>
      <c r="AD192" s="15" t="n">
        <v>0.0496</v>
      </c>
      <c r="AE192" t="n">
        <v>129.9970973</v>
      </c>
      <c r="AF192" t="n">
        <v>134.4290733</v>
      </c>
      <c r="AG192" t="n">
        <v>124.120221</v>
      </c>
      <c r="AH192" t="n">
        <v>90.8297293</v>
      </c>
      <c r="AI192" t="n">
        <v>100</v>
      </c>
      <c r="AJ192" t="n">
        <v>0</v>
      </c>
      <c r="AK192" t="n">
        <v>0</v>
      </c>
      <c r="AL192" t="n">
        <v>1.000837549</v>
      </c>
      <c r="AM192" t="n">
        <v>1.000985954</v>
      </c>
      <c r="AN192" t="n">
        <v>0</v>
      </c>
      <c r="AO192" t="n">
        <v>0</v>
      </c>
      <c r="AP192" t="n">
        <v>1</v>
      </c>
      <c r="AQ192" t="n">
        <v>0</v>
      </c>
      <c r="AR192" t="n">
        <v>48.996</v>
      </c>
      <c r="AS192" t="n">
        <v>67.66500000000001</v>
      </c>
      <c r="AT192" t="n">
        <v>147.747</v>
      </c>
      <c r="AU192" t="n">
        <v>324.891</v>
      </c>
      <c r="AV192" t="n">
        <v>0</v>
      </c>
    </row>
    <row r="193">
      <c r="A193" t="n">
        <v>192</v>
      </c>
      <c r="B193" t="n">
        <v>0</v>
      </c>
      <c r="C193" t="n">
        <v>32.73875059</v>
      </c>
      <c r="D193" t="n">
        <v>17.6539253</v>
      </c>
      <c r="E193" t="n">
        <v>6.034317332</v>
      </c>
      <c r="F193" t="n">
        <v>1.046</v>
      </c>
      <c r="G193" t="n">
        <v>4.924</v>
      </c>
      <c r="H193" t="n">
        <v>0.447464439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0.412994501</v>
      </c>
      <c r="Q193" t="n">
        <v>0.412994501</v>
      </c>
      <c r="R193" t="n">
        <v>0</v>
      </c>
      <c r="S193" t="n">
        <v>0</v>
      </c>
      <c r="T193" t="n">
        <v>0.859591798</v>
      </c>
      <c r="U193" t="n">
        <v>25.45123899</v>
      </c>
      <c r="V193" t="n">
        <v>0</v>
      </c>
      <c r="W193" t="n">
        <v>0</v>
      </c>
      <c r="X193" t="n">
        <v>6.31140703</v>
      </c>
      <c r="Y193" t="n">
        <v>6.31140703</v>
      </c>
      <c r="Z193" t="n">
        <v>1</v>
      </c>
      <c r="AA193" t="n">
        <v>0.75</v>
      </c>
      <c r="AB193" t="n">
        <v>99.15000000000001</v>
      </c>
      <c r="AC193" t="n">
        <v>0</v>
      </c>
      <c r="AD193" s="15" t="n">
        <v>0.0299</v>
      </c>
      <c r="AE193" t="n">
        <v>124.5153882</v>
      </c>
      <c r="AF193" t="n">
        <v>129.9970973</v>
      </c>
      <c r="AG193" t="n">
        <v>122.663307</v>
      </c>
      <c r="AH193" t="n">
        <v>89.7890764</v>
      </c>
      <c r="AI193" t="n">
        <v>100</v>
      </c>
      <c r="AJ193" t="n">
        <v>0</v>
      </c>
      <c r="AK193" t="n">
        <v>0</v>
      </c>
      <c r="AL193" t="n">
        <v>1.000418704</v>
      </c>
      <c r="AM193" t="n">
        <v>1.000498925</v>
      </c>
      <c r="AN193" t="n">
        <v>0</v>
      </c>
      <c r="AO193" t="n">
        <v>0</v>
      </c>
      <c r="AP193" t="n">
        <v>1</v>
      </c>
      <c r="AQ193" t="n">
        <v>0</v>
      </c>
      <c r="AR193" t="n">
        <v>48.996</v>
      </c>
      <c r="AS193" t="n">
        <v>67.66500000000001</v>
      </c>
      <c r="AT193" t="n">
        <v>147.747</v>
      </c>
      <c r="AU193" t="n">
        <v>324.891</v>
      </c>
      <c r="AV193" t="n">
        <v>0</v>
      </c>
    </row>
    <row r="194">
      <c r="A194" t="n">
        <v>193</v>
      </c>
      <c r="B194" t="n">
        <v>0</v>
      </c>
      <c r="C194" t="n">
        <v>32.27454387</v>
      </c>
      <c r="D194" t="n">
        <v>17.94819087</v>
      </c>
      <c r="E194" t="n">
        <v>5.302680918</v>
      </c>
      <c r="F194" t="n">
        <v>1.046</v>
      </c>
      <c r="G194" t="n">
        <v>4.914</v>
      </c>
      <c r="H194" t="n">
        <v>0.43102394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0.197333195</v>
      </c>
      <c r="Q194" t="n">
        <v>0.197333195</v>
      </c>
      <c r="R194" t="n">
        <v>0</v>
      </c>
      <c r="S194" t="n">
        <v>0</v>
      </c>
      <c r="T194" t="n">
        <v>0.554426865</v>
      </c>
      <c r="U194" t="n">
        <v>24.69947893</v>
      </c>
      <c r="V194" t="n">
        <v>0</v>
      </c>
      <c r="W194" t="n">
        <v>0</v>
      </c>
      <c r="X194" t="n">
        <v>5.546185833</v>
      </c>
      <c r="Y194" t="n">
        <v>5.546185833</v>
      </c>
      <c r="Z194" t="n">
        <v>1</v>
      </c>
      <c r="AA194" t="n">
        <v>0.75</v>
      </c>
      <c r="AB194" t="n">
        <v>99.15000000000001</v>
      </c>
      <c r="AC194" t="n">
        <v>0</v>
      </c>
      <c r="AD194" s="15" t="n">
        <v>0.0167</v>
      </c>
      <c r="AE194" t="n">
        <v>119.5069561</v>
      </c>
      <c r="AF194" t="n">
        <v>124.5153882</v>
      </c>
      <c r="AG194" t="n">
        <v>123.5849186</v>
      </c>
      <c r="AH194" t="n">
        <v>90.44737041</v>
      </c>
      <c r="AI194" t="n">
        <v>100</v>
      </c>
      <c r="AJ194" t="n">
        <v>0</v>
      </c>
      <c r="AK194" t="n">
        <v>0</v>
      </c>
      <c r="AL194" t="n">
        <v>1.000209317</v>
      </c>
      <c r="AM194" t="n">
        <v>1.000252472</v>
      </c>
      <c r="AN194" t="n">
        <v>0</v>
      </c>
      <c r="AO194" t="n">
        <v>0</v>
      </c>
      <c r="AP194" t="n">
        <v>1</v>
      </c>
      <c r="AQ194" t="n">
        <v>0</v>
      </c>
      <c r="AR194" t="n">
        <v>48.996</v>
      </c>
      <c r="AS194" t="n">
        <v>67.66500000000001</v>
      </c>
      <c r="AT194" t="n">
        <v>147.747</v>
      </c>
      <c r="AU194" t="n">
        <v>324.891</v>
      </c>
      <c r="AV194" t="n">
        <v>0</v>
      </c>
    </row>
    <row r="195">
      <c r="A195" t="n">
        <v>194</v>
      </c>
      <c r="B195" s="15" t="n">
        <v>0</v>
      </c>
      <c r="C195" t="n">
        <v>29.15660503</v>
      </c>
      <c r="D195" t="n">
        <v>16.21528457</v>
      </c>
      <c r="E195" t="n">
        <v>5.023977595</v>
      </c>
      <c r="F195" t="n">
        <v>1.046</v>
      </c>
      <c r="G195" t="n">
        <v>4.904</v>
      </c>
      <c r="H195" t="n">
        <v>0.47025924</v>
      </c>
      <c r="I195" t="n">
        <v>198</v>
      </c>
      <c r="J195" s="15" t="n">
        <v>0</v>
      </c>
      <c r="K195" s="15" t="n">
        <v>198</v>
      </c>
      <c r="L195" s="15" t="n">
        <v>0</v>
      </c>
      <c r="M195" s="15" t="n">
        <v>0</v>
      </c>
      <c r="N195" t="n">
        <v>0</v>
      </c>
      <c r="O195" s="15" t="n">
        <v>0</v>
      </c>
      <c r="P195" t="n">
        <v>0.421953731</v>
      </c>
      <c r="Q195" t="n">
        <v>0.421953731</v>
      </c>
      <c r="R195" t="n">
        <v>0</v>
      </c>
      <c r="S195" t="n">
        <v>0</v>
      </c>
      <c r="T195" t="n">
        <v>194.8281395</v>
      </c>
      <c r="U195" t="n">
        <v>27.44938568</v>
      </c>
      <c r="V195" t="n">
        <v>0</v>
      </c>
      <c r="W195" t="n">
        <v>0</v>
      </c>
      <c r="X195" t="n">
        <v>5.254694986</v>
      </c>
      <c r="Y195" t="n">
        <v>5.254694986</v>
      </c>
      <c r="Z195" t="n">
        <v>1</v>
      </c>
      <c r="AA195" t="n">
        <v>0.75</v>
      </c>
      <c r="AB195" t="n">
        <v>99.15000000000001</v>
      </c>
      <c r="AC195" t="n">
        <v>0</v>
      </c>
      <c r="AD195" t="n">
        <v>98.30001862</v>
      </c>
      <c r="AE195" t="n">
        <v>210.780382</v>
      </c>
      <c r="AF195" t="n">
        <v>119.5069561</v>
      </c>
      <c r="AG195" t="n">
        <v>121.3854897</v>
      </c>
      <c r="AH195" t="n">
        <v>88.87634979000001</v>
      </c>
      <c r="AI195" t="n">
        <v>100</v>
      </c>
      <c r="AJ195" t="n">
        <v>0</v>
      </c>
      <c r="AK195" t="n">
        <v>0</v>
      </c>
      <c r="AL195" t="n">
        <v>7.876241162</v>
      </c>
      <c r="AM195" t="n">
        <v>7.91098613</v>
      </c>
      <c r="AN195" t="n">
        <v>22</v>
      </c>
      <c r="AO195" t="n">
        <v>0</v>
      </c>
      <c r="AP195" t="n">
        <v>1</v>
      </c>
      <c r="AQ195" t="n">
        <v>0</v>
      </c>
      <c r="AR195" t="n">
        <v>48.996</v>
      </c>
      <c r="AS195" t="n">
        <v>67.66500000000001</v>
      </c>
      <c r="AT195" t="n">
        <v>147.747</v>
      </c>
      <c r="AU195" t="n">
        <v>324.891</v>
      </c>
      <c r="AV195" t="n">
        <v>0</v>
      </c>
    </row>
    <row r="196">
      <c r="A196" t="n">
        <v>195</v>
      </c>
      <c r="B196" t="n">
        <v>0.390927813</v>
      </c>
      <c r="C196" t="n">
        <v>25.28201949</v>
      </c>
      <c r="D196" t="n">
        <v>14.5688511</v>
      </c>
      <c r="E196" t="n">
        <v>4.297646691</v>
      </c>
      <c r="F196" t="n">
        <v>1.046</v>
      </c>
      <c r="G196" t="n">
        <v>4.894</v>
      </c>
      <c r="H196" t="n">
        <v>0.472934052</v>
      </c>
      <c r="I196" t="n">
        <v>0</v>
      </c>
      <c r="J196" s="15" t="n">
        <v>0.0459</v>
      </c>
      <c r="K196" t="n">
        <v>0.390927813</v>
      </c>
      <c r="L196" s="15" t="n">
        <v>0.0459</v>
      </c>
      <c r="M196" t="n">
        <v>0.344997696</v>
      </c>
      <c r="N196" t="n">
        <v>0</v>
      </c>
      <c r="O196" s="15" t="n">
        <v>0.0459</v>
      </c>
      <c r="P196" t="n">
        <v>0.138449035</v>
      </c>
      <c r="Q196" t="n">
        <v>0.138449035</v>
      </c>
      <c r="R196" t="n">
        <v>0</v>
      </c>
      <c r="S196" t="n">
        <v>0</v>
      </c>
      <c r="T196" s="15" t="n">
        <v>3.146987088</v>
      </c>
      <c r="U196" t="n">
        <v>24.20987968</v>
      </c>
      <c r="V196" t="n">
        <v>0</v>
      </c>
      <c r="W196" t="n">
        <v>0</v>
      </c>
      <c r="X196" t="n">
        <v>4.495018028</v>
      </c>
      <c r="Y196" t="n">
        <v>4.495018028</v>
      </c>
      <c r="Z196" t="n">
        <v>1</v>
      </c>
      <c r="AA196" t="n">
        <v>0.75</v>
      </c>
      <c r="AB196" t="n">
        <v>99.15000000000001</v>
      </c>
      <c r="AC196" t="n">
        <v>0</v>
      </c>
      <c r="AD196" t="n">
        <v>25.19778978</v>
      </c>
      <c r="AE196" t="n">
        <v>184.2345613</v>
      </c>
      <c r="AF196" t="n">
        <v>210.780382</v>
      </c>
      <c r="AG196" t="n">
        <v>121.2355467</v>
      </c>
      <c r="AH196" t="n">
        <v>88.76924763</v>
      </c>
      <c r="AI196" t="n">
        <v>100</v>
      </c>
      <c r="AJ196" t="n">
        <v>0</v>
      </c>
      <c r="AK196" t="n">
        <v>0</v>
      </c>
      <c r="AL196" t="n">
        <v>4.437541607</v>
      </c>
      <c r="AM196" t="n">
        <v>4.497181938</v>
      </c>
      <c r="AN196" t="n">
        <v>0</v>
      </c>
      <c r="AO196" t="n">
        <v>0</v>
      </c>
      <c r="AP196" t="n">
        <v>1</v>
      </c>
      <c r="AQ196" t="n">
        <v>0</v>
      </c>
      <c r="AR196" t="n">
        <v>48.996</v>
      </c>
      <c r="AS196" t="n">
        <v>67.66500000000001</v>
      </c>
      <c r="AT196" t="n">
        <v>147.747</v>
      </c>
      <c r="AU196" t="n">
        <v>324.891</v>
      </c>
      <c r="AV196" t="n">
        <v>0</v>
      </c>
    </row>
    <row r="197">
      <c r="A197" t="n">
        <v>196</v>
      </c>
      <c r="B197" t="n">
        <v>0</v>
      </c>
      <c r="C197" t="n">
        <v>27.75660503</v>
      </c>
      <c r="D197" t="n">
        <v>16.62545613</v>
      </c>
      <c r="E197" t="n">
        <v>3.971985899</v>
      </c>
      <c r="F197" t="n">
        <v>1.046</v>
      </c>
      <c r="G197" t="n">
        <v>4.884</v>
      </c>
      <c r="H197" t="n">
        <v>0.514661317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0.123186621</v>
      </c>
      <c r="Q197" t="n">
        <v>0.123186621</v>
      </c>
      <c r="R197" t="n">
        <v>0</v>
      </c>
      <c r="S197" t="n">
        <v>0</v>
      </c>
      <c r="T197" s="15" t="n">
        <v>0.808417346</v>
      </c>
      <c r="U197" t="n">
        <v>23.27827571</v>
      </c>
      <c r="V197" t="n">
        <v>0</v>
      </c>
      <c r="W197" t="n">
        <v>0</v>
      </c>
      <c r="X197" t="n">
        <v>4.154409943</v>
      </c>
      <c r="Y197" t="n">
        <v>4.154409943</v>
      </c>
      <c r="Z197" t="n">
        <v>1</v>
      </c>
      <c r="AA197" t="n">
        <v>0.75</v>
      </c>
      <c r="AB197" t="n">
        <v>99.15000000000001</v>
      </c>
      <c r="AC197" t="n">
        <v>0</v>
      </c>
      <c r="AD197" t="n">
        <v>5.737997194</v>
      </c>
      <c r="AE197" t="n">
        <v>175.1505715</v>
      </c>
      <c r="AF197" t="n">
        <v>184.2345613</v>
      </c>
      <c r="AG197" t="n">
        <v>118.8964247</v>
      </c>
      <c r="AH197" t="n">
        <v>87.0984462</v>
      </c>
      <c r="AI197" t="n">
        <v>100</v>
      </c>
      <c r="AJ197" t="n">
        <v>0</v>
      </c>
      <c r="AK197" t="n">
        <v>0</v>
      </c>
      <c r="AL197" t="n">
        <v>2.718481365</v>
      </c>
      <c r="AM197" t="n">
        <v>2.769686884</v>
      </c>
      <c r="AN197" t="n">
        <v>0</v>
      </c>
      <c r="AO197" t="n">
        <v>0</v>
      </c>
      <c r="AP197" t="n">
        <v>1</v>
      </c>
      <c r="AQ197" t="n">
        <v>0</v>
      </c>
      <c r="AR197" t="n">
        <v>48.996</v>
      </c>
      <c r="AS197" t="n">
        <v>67.66500000000001</v>
      </c>
      <c r="AT197" t="n">
        <v>147.747</v>
      </c>
      <c r="AU197" t="n">
        <v>324.891</v>
      </c>
      <c r="AV197" t="n">
        <v>0</v>
      </c>
    </row>
    <row r="198">
      <c r="A198" t="n">
        <v>197</v>
      </c>
      <c r="B198" t="n">
        <v>13.33774753</v>
      </c>
      <c r="C198" t="n">
        <v>29.91798051</v>
      </c>
      <c r="D198" t="n">
        <v>16.17201567</v>
      </c>
      <c r="E198" t="n">
        <v>4.910516706</v>
      </c>
      <c r="F198" t="n">
        <v>1.046</v>
      </c>
      <c r="G198" t="n">
        <v>4.873</v>
      </c>
      <c r="H198" t="n">
        <v>0.528896137</v>
      </c>
      <c r="I198" t="n">
        <v>0</v>
      </c>
      <c r="J198" t="n">
        <v>10.93964205</v>
      </c>
      <c r="K198" t="n">
        <v>13.33774753</v>
      </c>
      <c r="L198" t="n">
        <v>10.91507435</v>
      </c>
      <c r="M198" t="n">
        <v>2.398105479</v>
      </c>
      <c r="N198" s="15" t="n">
        <v>0.0246</v>
      </c>
      <c r="O198" t="n">
        <v>10.91507468</v>
      </c>
      <c r="P198" t="n">
        <v>0.205517333</v>
      </c>
      <c r="Q198" t="n">
        <v>0.205517333</v>
      </c>
      <c r="R198" t="n">
        <v>0</v>
      </c>
      <c r="S198" t="n">
        <v>0</v>
      </c>
      <c r="T198" s="15" t="n">
        <v>3.692751167</v>
      </c>
      <c r="U198" t="n">
        <v>30.29508189</v>
      </c>
      <c r="V198" t="n">
        <v>0</v>
      </c>
      <c r="W198" t="n">
        <v>0</v>
      </c>
      <c r="X198" t="n">
        <v>5.136056296</v>
      </c>
      <c r="Y198" t="n">
        <v>5.136056296</v>
      </c>
      <c r="Z198" t="n">
        <v>1</v>
      </c>
      <c r="AA198" t="n">
        <v>0.75</v>
      </c>
      <c r="AB198" t="n">
        <v>99.15000000000001</v>
      </c>
      <c r="AC198" t="n">
        <v>0</v>
      </c>
      <c r="AD198" t="n">
        <v>2.45611897</v>
      </c>
      <c r="AE198" t="n">
        <v>171.2511474</v>
      </c>
      <c r="AF198" t="n">
        <v>175.1505715</v>
      </c>
      <c r="AG198" t="n">
        <v>118.0984577</v>
      </c>
      <c r="AH198" t="n">
        <v>86.52846979</v>
      </c>
      <c r="AI198" t="n">
        <v>100</v>
      </c>
      <c r="AJ198" t="n">
        <v>0</v>
      </c>
      <c r="AK198" t="n">
        <v>0</v>
      </c>
      <c r="AL198" t="n">
        <v>1.859095988</v>
      </c>
      <c r="AM198" t="n">
        <v>1.895518655</v>
      </c>
      <c r="AN198" t="n">
        <v>0</v>
      </c>
      <c r="AO198" t="n">
        <v>0</v>
      </c>
      <c r="AP198" t="n">
        <v>1</v>
      </c>
      <c r="AQ198" t="n">
        <v>0</v>
      </c>
      <c r="AR198" t="n">
        <v>48.996</v>
      </c>
      <c r="AS198" t="n">
        <v>67.66500000000001</v>
      </c>
      <c r="AT198" t="n">
        <v>147.747</v>
      </c>
      <c r="AU198" t="n">
        <v>324.891</v>
      </c>
      <c r="AV198" t="n">
        <v>0</v>
      </c>
    </row>
    <row r="199">
      <c r="A199" t="n">
        <v>198</v>
      </c>
      <c r="B199" t="n">
        <v>0</v>
      </c>
      <c r="C199" t="n">
        <v>31.57666004</v>
      </c>
      <c r="D199" t="n">
        <v>17.32273474</v>
      </c>
      <c r="E199" t="n">
        <v>4.743062836</v>
      </c>
      <c r="F199" t="n">
        <v>1.046</v>
      </c>
      <c r="G199" t="n">
        <v>4.863</v>
      </c>
      <c r="H199" t="n">
        <v>0.486337055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0.152156936</v>
      </c>
      <c r="Q199" t="n">
        <v>0.152156936</v>
      </c>
      <c r="R199" t="n">
        <v>0</v>
      </c>
      <c r="S199" t="n">
        <v>0</v>
      </c>
      <c r="T199" s="15" t="n">
        <v>3.195140696</v>
      </c>
      <c r="U199" t="n">
        <v>26.94778426</v>
      </c>
      <c r="V199" t="n">
        <v>0</v>
      </c>
      <c r="W199" t="n">
        <v>0</v>
      </c>
      <c r="X199" t="n">
        <v>4.960922001</v>
      </c>
      <c r="Y199" t="n">
        <v>4.960922001</v>
      </c>
      <c r="Z199" t="n">
        <v>1</v>
      </c>
      <c r="AA199" t="n">
        <v>0.75</v>
      </c>
      <c r="AB199" t="n">
        <v>99.15000000000001</v>
      </c>
      <c r="AC199" t="n">
        <v>0</v>
      </c>
      <c r="AD199" t="n">
        <v>1.579729309</v>
      </c>
      <c r="AE199" t="n">
        <v>167.9056368</v>
      </c>
      <c r="AF199" t="n">
        <v>171.2511474</v>
      </c>
      <c r="AG199" t="n">
        <v>120.4842092</v>
      </c>
      <c r="AH199" t="n">
        <v>88.23257798</v>
      </c>
      <c r="AI199" t="n">
        <v>100</v>
      </c>
      <c r="AJ199" t="n">
        <v>0</v>
      </c>
      <c r="AK199" t="n">
        <v>0</v>
      </c>
      <c r="AL199" t="n">
        <v>1.429475659</v>
      </c>
      <c r="AM199" t="n">
        <v>1.45316133</v>
      </c>
      <c r="AN199" t="n">
        <v>0</v>
      </c>
      <c r="AO199" t="n">
        <v>0</v>
      </c>
      <c r="AP199" t="n">
        <v>1</v>
      </c>
      <c r="AQ199" t="n">
        <v>0</v>
      </c>
      <c r="AR199" t="n">
        <v>48.996</v>
      </c>
      <c r="AS199" t="n">
        <v>67.66500000000001</v>
      </c>
      <c r="AT199" t="n">
        <v>147.747</v>
      </c>
      <c r="AU199" t="n">
        <v>324.891</v>
      </c>
      <c r="AV199" t="n">
        <v>0</v>
      </c>
    </row>
    <row r="200">
      <c r="A200" t="n">
        <v>199</v>
      </c>
      <c r="B200" t="n">
        <v>0</v>
      </c>
      <c r="C200" t="n">
        <v>33.0539253</v>
      </c>
      <c r="D200" t="n">
        <v>17.69462434</v>
      </c>
      <c r="E200" t="n">
        <v>4.840130786</v>
      </c>
      <c r="F200" t="n">
        <v>1.046</v>
      </c>
      <c r="G200" t="n">
        <v>4.853</v>
      </c>
      <c r="H200" t="n">
        <v>0.495476843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0.174105466</v>
      </c>
      <c r="Q200" t="n">
        <v>0.174105466</v>
      </c>
      <c r="R200" t="n">
        <v>0</v>
      </c>
      <c r="S200" t="n">
        <v>0</v>
      </c>
      <c r="T200" s="15" t="n">
        <v>1.132211862</v>
      </c>
      <c r="U200" t="n">
        <v>25.64146693</v>
      </c>
      <c r="V200" t="n">
        <v>0</v>
      </c>
      <c r="W200" t="n">
        <v>0</v>
      </c>
      <c r="X200" t="n">
        <v>5.062459475</v>
      </c>
      <c r="Y200" t="n">
        <v>5.062459475</v>
      </c>
      <c r="Z200" t="n">
        <v>1</v>
      </c>
      <c r="AA200" t="n">
        <v>0.75</v>
      </c>
      <c r="AB200" t="n">
        <v>99.15000000000001</v>
      </c>
      <c r="AC200" t="n">
        <v>0</v>
      </c>
      <c r="AD200" t="n">
        <v>0.984253069</v>
      </c>
      <c r="AE200" t="n">
        <v>162.9911361</v>
      </c>
      <c r="AF200" t="n">
        <v>167.9056368</v>
      </c>
      <c r="AG200" t="n">
        <v>119.9718564</v>
      </c>
      <c r="AH200" t="n">
        <v>87.86661174</v>
      </c>
      <c r="AI200" t="n">
        <v>100</v>
      </c>
      <c r="AJ200" t="n">
        <v>0</v>
      </c>
      <c r="AK200" t="n">
        <v>0</v>
      </c>
      <c r="AL200" t="n">
        <v>1.214701668</v>
      </c>
      <c r="AM200" t="n">
        <v>1.229314253</v>
      </c>
      <c r="AN200" t="n">
        <v>0</v>
      </c>
      <c r="AO200" t="n">
        <v>0</v>
      </c>
      <c r="AP200" t="n">
        <v>1</v>
      </c>
      <c r="AQ200" t="n">
        <v>0</v>
      </c>
      <c r="AR200" t="n">
        <v>48.996</v>
      </c>
      <c r="AS200" t="n">
        <v>67.66500000000001</v>
      </c>
      <c r="AT200" t="n">
        <v>147.747</v>
      </c>
      <c r="AU200" t="n">
        <v>324.891</v>
      </c>
      <c r="AV200" t="n">
        <v>0</v>
      </c>
    </row>
    <row r="201">
      <c r="A201" t="n">
        <v>200</v>
      </c>
      <c r="B201" t="n">
        <v>0</v>
      </c>
      <c r="C201" t="n">
        <v>34.45660503</v>
      </c>
      <c r="D201" t="n">
        <v>20.00221412</v>
      </c>
      <c r="E201" t="n">
        <v>6.199864695</v>
      </c>
      <c r="F201" t="n">
        <v>1.046</v>
      </c>
      <c r="G201" t="n">
        <v>4.843</v>
      </c>
      <c r="H201" t="n">
        <v>0.490537403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0.477032662</v>
      </c>
      <c r="Q201" t="n">
        <v>0.477032662</v>
      </c>
      <c r="R201" t="n">
        <v>0</v>
      </c>
      <c r="S201" t="n">
        <v>0</v>
      </c>
      <c r="T201" s="15" t="n">
        <v>0.618983255</v>
      </c>
      <c r="U201" t="n">
        <v>24.54545101</v>
      </c>
      <c r="V201" t="n">
        <v>0</v>
      </c>
      <c r="W201" t="n">
        <v>0</v>
      </c>
      <c r="X201" t="n">
        <v>6.484666085</v>
      </c>
      <c r="Y201" t="n">
        <v>6.484666085</v>
      </c>
      <c r="Z201" t="n">
        <v>1</v>
      </c>
      <c r="AA201" t="n">
        <v>0.75</v>
      </c>
      <c r="AB201" t="n">
        <v>99.15000000000001</v>
      </c>
      <c r="AC201" t="n">
        <v>0</v>
      </c>
      <c r="AD201" s="15" t="n">
        <v>0.592894771</v>
      </c>
      <c r="AE201" t="n">
        <v>156.5325585</v>
      </c>
      <c r="AF201" t="n">
        <v>162.9911361</v>
      </c>
      <c r="AG201" t="n">
        <v>120.2487486</v>
      </c>
      <c r="AH201" t="n">
        <v>88.06439186</v>
      </c>
      <c r="AI201" t="n">
        <v>100</v>
      </c>
      <c r="AJ201" t="n">
        <v>0</v>
      </c>
      <c r="AK201" t="n">
        <v>0</v>
      </c>
      <c r="AL201" t="n">
        <v>1.107332756</v>
      </c>
      <c r="AM201" t="n">
        <v>1.11604041</v>
      </c>
      <c r="AN201" t="n">
        <v>0</v>
      </c>
      <c r="AO201" t="n">
        <v>0</v>
      </c>
      <c r="AP201" t="n">
        <v>1</v>
      </c>
      <c r="AQ201" t="n">
        <v>0</v>
      </c>
      <c r="AR201" t="n">
        <v>48.996</v>
      </c>
      <c r="AS201" t="n">
        <v>67.66500000000001</v>
      </c>
      <c r="AT201" t="n">
        <v>147.747</v>
      </c>
      <c r="AU201" t="n">
        <v>324.891</v>
      </c>
      <c r="AV201" t="n">
        <v>0</v>
      </c>
    </row>
    <row r="202">
      <c r="A202" t="n">
        <v>201</v>
      </c>
      <c r="B202" t="n">
        <v>0</v>
      </c>
      <c r="C202" t="n">
        <v>34.92798433</v>
      </c>
      <c r="D202" t="n">
        <v>19.8047959</v>
      </c>
      <c r="E202" t="n">
        <v>6.078355784</v>
      </c>
      <c r="F202" t="n">
        <v>1.046</v>
      </c>
      <c r="G202" t="n">
        <v>4.833</v>
      </c>
      <c r="H202" t="n">
        <v>0.421532052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0.344742365</v>
      </c>
      <c r="Q202" t="n">
        <v>0.344742365</v>
      </c>
      <c r="R202" t="n">
        <v>0</v>
      </c>
      <c r="S202" t="n">
        <v>0</v>
      </c>
      <c r="T202" s="15" t="n">
        <v>0.388527965</v>
      </c>
      <c r="U202" t="n">
        <v>23.81218068</v>
      </c>
      <c r="V202" t="n">
        <v>0</v>
      </c>
      <c r="W202" t="n">
        <v>0</v>
      </c>
      <c r="X202" t="n">
        <v>6.357589252</v>
      </c>
      <c r="Y202" t="n">
        <v>6.357589252</v>
      </c>
      <c r="Z202" t="n">
        <v>1</v>
      </c>
      <c r="AA202" t="n">
        <v>0.75</v>
      </c>
      <c r="AB202" t="n">
        <v>99.15000000000001</v>
      </c>
      <c r="AC202" t="n">
        <v>0</v>
      </c>
      <c r="AD202" s="15" t="n">
        <v>0.343240669</v>
      </c>
      <c r="AE202" t="n">
        <v>150.2202565</v>
      </c>
      <c r="AF202" t="n">
        <v>156.5325585</v>
      </c>
      <c r="AG202" t="n">
        <v>124.1170092</v>
      </c>
      <c r="AH202" t="n">
        <v>90.82743511</v>
      </c>
      <c r="AI202" t="n">
        <v>100</v>
      </c>
      <c r="AJ202" t="n">
        <v>0</v>
      </c>
      <c r="AK202" t="n">
        <v>0</v>
      </c>
      <c r="AL202" t="n">
        <v>1.053657341</v>
      </c>
      <c r="AM202" t="n">
        <v>1.058720191</v>
      </c>
      <c r="AN202" t="n">
        <v>0</v>
      </c>
      <c r="AO202" t="n">
        <v>0</v>
      </c>
      <c r="AP202" t="n">
        <v>1</v>
      </c>
      <c r="AQ202" t="n">
        <v>0</v>
      </c>
      <c r="AR202" t="n">
        <v>48.996</v>
      </c>
      <c r="AS202" t="n">
        <v>67.66500000000001</v>
      </c>
      <c r="AT202" t="n">
        <v>147.747</v>
      </c>
      <c r="AU202" t="n">
        <v>324.891</v>
      </c>
      <c r="AV202" t="n">
        <v>0</v>
      </c>
    </row>
    <row r="203">
      <c r="A203" t="n">
        <v>202</v>
      </c>
      <c r="B203" t="n">
        <v>0</v>
      </c>
      <c r="C203" t="n">
        <v>34.25660503</v>
      </c>
      <c r="D203" t="n">
        <v>18.81212</v>
      </c>
      <c r="E203" t="n">
        <v>5.647692954</v>
      </c>
      <c r="F203" t="n">
        <v>1.046</v>
      </c>
      <c r="G203" t="n">
        <v>4.822</v>
      </c>
      <c r="H203" t="n">
        <v>0.431906737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0.249257729</v>
      </c>
      <c r="Q203" t="n">
        <v>0.249257729</v>
      </c>
      <c r="R203" t="n">
        <v>0</v>
      </c>
      <c r="S203" t="n">
        <v>0</v>
      </c>
      <c r="T203" s="15" t="n">
        <v>0.280354681</v>
      </c>
      <c r="U203" t="n">
        <v>23.28256827</v>
      </c>
      <c r="V203" t="n">
        <v>0</v>
      </c>
      <c r="W203" t="n">
        <v>0</v>
      </c>
      <c r="X203" t="n">
        <v>5.907154986</v>
      </c>
      <c r="Y203" t="n">
        <v>5.907154986</v>
      </c>
      <c r="Z203" t="n">
        <v>1</v>
      </c>
      <c r="AA203" t="n">
        <v>0.75</v>
      </c>
      <c r="AB203" t="n">
        <v>99.15000000000001</v>
      </c>
      <c r="AC203" t="n">
        <v>0</v>
      </c>
      <c r="AD203" s="15" t="n">
        <v>0.202585622</v>
      </c>
      <c r="AE203" t="n">
        <v>144.3908706</v>
      </c>
      <c r="AF203" t="n">
        <v>150.2202565</v>
      </c>
      <c r="AG203" t="n">
        <v>123.5354313</v>
      </c>
      <c r="AH203" t="n">
        <v>90.41202235</v>
      </c>
      <c r="AI203" t="n">
        <v>100</v>
      </c>
      <c r="AJ203" t="n">
        <v>0</v>
      </c>
      <c r="AK203" t="n">
        <v>0</v>
      </c>
      <c r="AL203" t="n">
        <v>1.026824152</v>
      </c>
      <c r="AM203" t="n">
        <v>1.029714311</v>
      </c>
      <c r="AN203" t="n">
        <v>0</v>
      </c>
      <c r="AO203" t="n">
        <v>0</v>
      </c>
      <c r="AP203" t="n">
        <v>1</v>
      </c>
      <c r="AQ203" t="n">
        <v>0</v>
      </c>
      <c r="AR203" t="n">
        <v>48.996</v>
      </c>
      <c r="AS203" t="n">
        <v>67.66500000000001</v>
      </c>
      <c r="AT203" t="n">
        <v>147.747</v>
      </c>
      <c r="AU203" t="n">
        <v>324.891</v>
      </c>
      <c r="AV203" t="n">
        <v>0</v>
      </c>
    </row>
    <row r="204">
      <c r="A204" t="n">
        <v>203</v>
      </c>
      <c r="B204" t="n">
        <v>0</v>
      </c>
      <c r="C204" t="n">
        <v>33.25660503</v>
      </c>
      <c r="D204" t="n">
        <v>20.53485474</v>
      </c>
      <c r="E204" t="n">
        <v>5.744153375</v>
      </c>
      <c r="F204" t="n">
        <v>1.046</v>
      </c>
      <c r="G204" t="n">
        <v>4.812</v>
      </c>
      <c r="H204" t="n">
        <v>0.453743492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0.260256294</v>
      </c>
      <c r="Q204" t="n">
        <v>0.260256294</v>
      </c>
      <c r="R204" t="n">
        <v>0</v>
      </c>
      <c r="S204" t="n">
        <v>0</v>
      </c>
      <c r="T204" t="n">
        <v>0.216230525</v>
      </c>
      <c r="U204" t="n">
        <v>22.80608145</v>
      </c>
      <c r="V204" t="n">
        <v>0</v>
      </c>
      <c r="W204" t="n">
        <v>0</v>
      </c>
      <c r="X204" t="n">
        <v>6.008059836</v>
      </c>
      <c r="Y204" t="n">
        <v>6.008059836</v>
      </c>
      <c r="Z204" t="n">
        <v>1</v>
      </c>
      <c r="AA204" t="n">
        <v>0.75</v>
      </c>
      <c r="AB204" t="n">
        <v>99.15000000000001</v>
      </c>
      <c r="AC204" t="n">
        <v>0</v>
      </c>
      <c r="AD204" t="n">
        <v>0.120278577</v>
      </c>
      <c r="AE204" t="n">
        <v>138.4787627</v>
      </c>
      <c r="AF204" t="n">
        <v>144.3908706</v>
      </c>
      <c r="AG204" t="n">
        <v>122.3113195</v>
      </c>
      <c r="AH204" t="n">
        <v>89.53765682</v>
      </c>
      <c r="AI204" t="n">
        <v>100</v>
      </c>
      <c r="AJ204" t="n">
        <v>0</v>
      </c>
      <c r="AK204" t="n">
        <v>0</v>
      </c>
      <c r="AL204" t="n">
        <v>1.013409818</v>
      </c>
      <c r="AM204" t="n">
        <v>1.0150364</v>
      </c>
      <c r="AN204" t="n">
        <v>0</v>
      </c>
      <c r="AO204" t="n">
        <v>0</v>
      </c>
      <c r="AP204" t="n">
        <v>1</v>
      </c>
      <c r="AQ204" t="n">
        <v>0</v>
      </c>
      <c r="AR204" t="n">
        <v>48.996</v>
      </c>
      <c r="AS204" t="n">
        <v>67.66500000000001</v>
      </c>
      <c r="AT204" t="n">
        <v>147.747</v>
      </c>
      <c r="AU204" t="n">
        <v>324.891</v>
      </c>
      <c r="AV204" t="n">
        <v>0</v>
      </c>
    </row>
    <row r="205">
      <c r="A205" t="n">
        <v>204</v>
      </c>
      <c r="B205" t="n">
        <v>0</v>
      </c>
      <c r="C205" t="n">
        <v>33.17454387</v>
      </c>
      <c r="D205" t="n">
        <v>19.55071907</v>
      </c>
      <c r="E205" t="n">
        <v>5.258621691</v>
      </c>
      <c r="F205" t="n">
        <v>1.046</v>
      </c>
      <c r="G205" t="n">
        <v>4.802</v>
      </c>
      <c r="H205" t="n">
        <v>0.449267356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0.174414525</v>
      </c>
      <c r="Q205" t="n">
        <v>0.174414525</v>
      </c>
      <c r="R205" t="n">
        <v>0</v>
      </c>
      <c r="S205" t="n">
        <v>0</v>
      </c>
      <c r="T205" t="n">
        <v>0.174336364</v>
      </c>
      <c r="U205" t="n">
        <v>22.45733057</v>
      </c>
      <c r="V205" t="n">
        <v>0</v>
      </c>
      <c r="W205" t="n">
        <v>0</v>
      </c>
      <c r="X205" t="n">
        <v>5.500232858</v>
      </c>
      <c r="Y205" t="n">
        <v>5.500232858</v>
      </c>
      <c r="Z205" t="n">
        <v>1</v>
      </c>
      <c r="AA205" t="n">
        <v>0.75</v>
      </c>
      <c r="AB205" t="n">
        <v>99.15000000000001</v>
      </c>
      <c r="AC205" t="n">
        <v>0</v>
      </c>
      <c r="AD205" s="15" t="n">
        <v>0.0704</v>
      </c>
      <c r="AE205" t="n">
        <v>133.0824443</v>
      </c>
      <c r="AF205" t="n">
        <v>138.4787627</v>
      </c>
      <c r="AG205" t="n">
        <v>122.5622401</v>
      </c>
      <c r="AH205" t="n">
        <v>89.7168858</v>
      </c>
      <c r="AI205" t="n">
        <v>100</v>
      </c>
      <c r="AJ205" t="n">
        <v>0</v>
      </c>
      <c r="AK205" t="n">
        <v>0</v>
      </c>
      <c r="AL205" t="n">
        <v>1.00670378</v>
      </c>
      <c r="AM205" t="n">
        <v>1.007608903</v>
      </c>
      <c r="AN205" t="n">
        <v>0</v>
      </c>
      <c r="AO205" t="n">
        <v>0</v>
      </c>
      <c r="AP205" t="n">
        <v>1</v>
      </c>
      <c r="AQ205" t="n">
        <v>0</v>
      </c>
      <c r="AR205" t="n">
        <v>48.996</v>
      </c>
      <c r="AS205" t="n">
        <v>67.66500000000001</v>
      </c>
      <c r="AT205" t="n">
        <v>147.747</v>
      </c>
      <c r="AU205" t="n">
        <v>324.891</v>
      </c>
      <c r="AV205" t="n">
        <v>0</v>
      </c>
    </row>
    <row r="206">
      <c r="A206" t="n">
        <v>205</v>
      </c>
      <c r="B206" t="n">
        <v>0</v>
      </c>
      <c r="C206" t="n">
        <v>32.6926759</v>
      </c>
      <c r="D206" t="n">
        <v>22.0688511</v>
      </c>
      <c r="E206" t="n">
        <v>5.110936269</v>
      </c>
      <c r="F206" t="n">
        <v>1.046</v>
      </c>
      <c r="G206" t="n">
        <v>4.792</v>
      </c>
      <c r="H206" t="n">
        <v>0.473014105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0.172134894</v>
      </c>
      <c r="Q206" t="n">
        <v>0.172134894</v>
      </c>
      <c r="R206" t="n">
        <v>0</v>
      </c>
      <c r="S206" t="n">
        <v>0</v>
      </c>
      <c r="T206" t="n">
        <v>0.146380007</v>
      </c>
      <c r="U206" t="n">
        <v>22.13881566</v>
      </c>
      <c r="V206" t="n">
        <v>0</v>
      </c>
      <c r="W206" t="n">
        <v>0</v>
      </c>
      <c r="X206" t="n">
        <v>5.345773203</v>
      </c>
      <c r="Y206" t="n">
        <v>5.345773203</v>
      </c>
      <c r="Z206" t="n">
        <v>1</v>
      </c>
      <c r="AA206" t="n">
        <v>0.75</v>
      </c>
      <c r="AB206" t="n">
        <v>99.15000000000001</v>
      </c>
      <c r="AC206" t="n">
        <v>0</v>
      </c>
      <c r="AD206" s="15" t="n">
        <v>0.0415</v>
      </c>
      <c r="AE206" t="n">
        <v>127.8415891</v>
      </c>
      <c r="AF206" t="n">
        <v>133.0824443</v>
      </c>
      <c r="AG206" t="n">
        <v>121.2310591</v>
      </c>
      <c r="AH206" t="n">
        <v>88.76604220999999</v>
      </c>
      <c r="AI206" t="n">
        <v>100</v>
      </c>
      <c r="AJ206" t="n">
        <v>0</v>
      </c>
      <c r="AK206" t="n">
        <v>0</v>
      </c>
      <c r="AL206" t="n">
        <v>1.003351325</v>
      </c>
      <c r="AM206" t="n">
        <v>1.003850351</v>
      </c>
      <c r="AN206" t="n">
        <v>0</v>
      </c>
      <c r="AO206" t="n">
        <v>0</v>
      </c>
      <c r="AP206" t="n">
        <v>1</v>
      </c>
      <c r="AQ206" t="n">
        <v>0</v>
      </c>
      <c r="AR206" t="n">
        <v>48.996</v>
      </c>
      <c r="AS206" t="n">
        <v>67.66500000000001</v>
      </c>
      <c r="AT206" t="n">
        <v>147.747</v>
      </c>
      <c r="AU206" t="n">
        <v>324.891</v>
      </c>
      <c r="AV206" t="n">
        <v>0</v>
      </c>
    </row>
    <row r="207">
      <c r="A207" t="n">
        <v>206</v>
      </c>
      <c r="B207" t="n">
        <v>0</v>
      </c>
      <c r="C207" t="n">
        <v>31.66673493</v>
      </c>
      <c r="D207" t="n">
        <v>20.86124941</v>
      </c>
      <c r="E207" t="n">
        <v>4.739346276</v>
      </c>
      <c r="F207" t="n">
        <v>1.046</v>
      </c>
      <c r="G207" t="n">
        <v>4.782</v>
      </c>
      <c r="H207" t="n">
        <v>0.479283677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0.185199707</v>
      </c>
      <c r="Q207" t="n">
        <v>0.185199707</v>
      </c>
      <c r="R207" t="n">
        <v>0</v>
      </c>
      <c r="S207" t="n">
        <v>0</v>
      </c>
      <c r="T207" t="n">
        <v>0.124017842</v>
      </c>
      <c r="U207" t="n">
        <v>21.82959811</v>
      </c>
      <c r="V207" t="n">
        <v>0</v>
      </c>
      <c r="W207" t="n">
        <v>0</v>
      </c>
      <c r="X207" t="n">
        <v>4.957119748</v>
      </c>
      <c r="Y207" t="n">
        <v>4.957119748</v>
      </c>
      <c r="Z207" t="n">
        <v>1</v>
      </c>
      <c r="AA207" t="n">
        <v>0.75</v>
      </c>
      <c r="AB207" t="n">
        <v>99.15000000000001</v>
      </c>
      <c r="AC207" t="n">
        <v>0</v>
      </c>
      <c r="AD207" s="15" t="n">
        <v>0.0243</v>
      </c>
      <c r="AE207" t="n">
        <v>122.9842368</v>
      </c>
      <c r="AF207" t="n">
        <v>127.8415891</v>
      </c>
      <c r="AG207" t="n">
        <v>120.8796032</v>
      </c>
      <c r="AH207" t="n">
        <v>88.51500231</v>
      </c>
      <c r="AI207" t="n">
        <v>100</v>
      </c>
      <c r="AJ207" t="n">
        <v>0</v>
      </c>
      <c r="AK207" t="n">
        <v>0</v>
      </c>
      <c r="AL207" t="n">
        <v>1.001675381</v>
      </c>
      <c r="AM207" t="n">
        <v>1.001948402</v>
      </c>
      <c r="AN207" t="n">
        <v>0</v>
      </c>
      <c r="AO207" t="n">
        <v>0</v>
      </c>
      <c r="AP207" t="n">
        <v>1</v>
      </c>
      <c r="AQ207" t="n">
        <v>0</v>
      </c>
      <c r="AR207" t="n">
        <v>48.996</v>
      </c>
      <c r="AS207" t="n">
        <v>67.66500000000001</v>
      </c>
      <c r="AT207" t="n">
        <v>147.747</v>
      </c>
      <c r="AU207" t="n">
        <v>324.891</v>
      </c>
      <c r="AV207" t="n">
        <v>0</v>
      </c>
    </row>
    <row r="208">
      <c r="A208" t="n">
        <v>207</v>
      </c>
      <c r="B208" t="n">
        <v>61.04768352</v>
      </c>
      <c r="C208" t="n">
        <v>29.6460747</v>
      </c>
      <c r="D208" t="n">
        <v>18.6460747</v>
      </c>
      <c r="E208" t="n">
        <v>3.820226315</v>
      </c>
      <c r="F208" t="n">
        <v>1.046</v>
      </c>
      <c r="G208" t="n">
        <v>4.771</v>
      </c>
      <c r="H208" t="n">
        <v>0.494307222</v>
      </c>
      <c r="I208" t="n">
        <v>0</v>
      </c>
      <c r="J208" t="n">
        <v>58.31330199</v>
      </c>
      <c r="K208" t="n">
        <v>61.04768352</v>
      </c>
      <c r="L208" t="n">
        <v>47.83351936</v>
      </c>
      <c r="M208" t="n">
        <v>2.73438153</v>
      </c>
      <c r="N208" t="n">
        <v>10.47978263</v>
      </c>
      <c r="O208" t="n">
        <v>47.83352079</v>
      </c>
      <c r="P208" s="15" t="n">
        <v>0.0843</v>
      </c>
      <c r="Q208" s="15" t="n">
        <v>0.0843</v>
      </c>
      <c r="R208" t="n">
        <v>0</v>
      </c>
      <c r="S208" t="n">
        <v>0</v>
      </c>
      <c r="T208" t="n">
        <v>31.64992142</v>
      </c>
      <c r="U208" t="n">
        <v>37.92893392</v>
      </c>
      <c r="V208" t="n">
        <v>0</v>
      </c>
      <c r="W208" t="n">
        <v>0</v>
      </c>
      <c r="X208" t="n">
        <v>3.995774328</v>
      </c>
      <c r="Y208" t="n">
        <v>3.995774328</v>
      </c>
      <c r="Z208" t="n">
        <v>1</v>
      </c>
      <c r="AA208" t="n">
        <v>0.75</v>
      </c>
      <c r="AB208" t="n">
        <v>99.15000000000001</v>
      </c>
      <c r="AC208" t="n">
        <v>0</v>
      </c>
      <c r="AD208" s="15" t="n">
        <v>0.0644</v>
      </c>
      <c r="AE208" t="n">
        <v>150.573945</v>
      </c>
      <c r="AF208" t="n">
        <v>122.9842368</v>
      </c>
      <c r="AG208" t="n">
        <v>120.0374223</v>
      </c>
      <c r="AH208" t="n">
        <v>87.91344453000001</v>
      </c>
      <c r="AI208" t="n">
        <v>100</v>
      </c>
      <c r="AJ208" t="n">
        <v>0</v>
      </c>
      <c r="AK208" t="n">
        <v>0</v>
      </c>
      <c r="AL208" t="n">
        <v>1.000837549</v>
      </c>
      <c r="AM208" t="n">
        <v>1.000985954</v>
      </c>
      <c r="AN208" t="n">
        <v>0</v>
      </c>
      <c r="AO208" t="n">
        <v>0</v>
      </c>
      <c r="AP208" t="n">
        <v>1</v>
      </c>
      <c r="AQ208" t="n">
        <v>0</v>
      </c>
      <c r="AR208" t="n">
        <v>48.996</v>
      </c>
      <c r="AS208" t="n">
        <v>67.66500000000001</v>
      </c>
      <c r="AT208" t="n">
        <v>147.747</v>
      </c>
      <c r="AU208" t="n">
        <v>324.891</v>
      </c>
      <c r="AV208" t="n">
        <v>0</v>
      </c>
    </row>
    <row r="209">
      <c r="A209" t="n">
        <v>208</v>
      </c>
      <c r="B209" t="n">
        <v>0</v>
      </c>
      <c r="C209" t="n">
        <v>30.37726526</v>
      </c>
      <c r="D209" t="n">
        <v>19.89732027</v>
      </c>
      <c r="E209" t="n">
        <v>4.135489345</v>
      </c>
      <c r="F209" t="n">
        <v>1.046</v>
      </c>
      <c r="G209" t="n">
        <v>4.761</v>
      </c>
      <c r="H209" t="n">
        <v>0.536798484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s="15" t="n">
        <v>0.0959</v>
      </c>
      <c r="Q209" s="15" t="n">
        <v>0.0959</v>
      </c>
      <c r="R209" t="n">
        <v>0</v>
      </c>
      <c r="S209" t="n">
        <v>0</v>
      </c>
      <c r="T209" t="n">
        <v>8.889020892</v>
      </c>
      <c r="U209" t="n">
        <v>28.94403398</v>
      </c>
      <c r="V209" t="n">
        <v>0</v>
      </c>
      <c r="W209" t="n">
        <v>0</v>
      </c>
      <c r="X209" t="n">
        <v>4.325533137</v>
      </c>
      <c r="Y209" t="n">
        <v>4.325533137</v>
      </c>
      <c r="Z209" t="n">
        <v>1</v>
      </c>
      <c r="AA209" t="n">
        <v>0.75</v>
      </c>
      <c r="AB209" t="n">
        <v>99.15000000000001</v>
      </c>
      <c r="AC209" t="n">
        <v>0</v>
      </c>
      <c r="AD209" t="n">
        <v>0.351572482</v>
      </c>
      <c r="AE209" t="n">
        <v>154.7858603</v>
      </c>
      <c r="AF209" t="n">
        <v>150.573945</v>
      </c>
      <c r="AG209" t="n">
        <v>117.6554727</v>
      </c>
      <c r="AH209" t="n">
        <v>86.21205191</v>
      </c>
      <c r="AI209" t="n">
        <v>100</v>
      </c>
      <c r="AJ209" t="n">
        <v>0</v>
      </c>
      <c r="AK209" t="n">
        <v>0</v>
      </c>
      <c r="AL209" t="n">
        <v>1.000418704</v>
      </c>
      <c r="AM209" t="n">
        <v>1.000498925</v>
      </c>
      <c r="AN209" t="n">
        <v>0</v>
      </c>
      <c r="AO209" t="n">
        <v>0</v>
      </c>
      <c r="AP209" t="n">
        <v>1</v>
      </c>
      <c r="AQ209" t="n">
        <v>0</v>
      </c>
      <c r="AR209" t="n">
        <v>48.996</v>
      </c>
      <c r="AS209" t="n">
        <v>67.66500000000001</v>
      </c>
      <c r="AT209" t="n">
        <v>147.747</v>
      </c>
      <c r="AU209" t="n">
        <v>324.891</v>
      </c>
      <c r="AV209" t="n">
        <v>0</v>
      </c>
    </row>
    <row r="210">
      <c r="A210" t="n">
        <v>209</v>
      </c>
      <c r="B210" t="n">
        <v>0</v>
      </c>
      <c r="C210" t="n">
        <v>30.67726526</v>
      </c>
      <c r="D210" t="n">
        <v>18.83326507</v>
      </c>
      <c r="E210" t="n">
        <v>3.998564682</v>
      </c>
      <c r="F210" t="n">
        <v>1.046</v>
      </c>
      <c r="G210" t="n">
        <v>4.751</v>
      </c>
      <c r="H210" t="n">
        <v>0.523143512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s="15" t="n">
        <v>0.0759</v>
      </c>
      <c r="Q210" s="15" t="n">
        <v>0.0759</v>
      </c>
      <c r="R210" t="n">
        <v>0</v>
      </c>
      <c r="S210" t="n">
        <v>0</v>
      </c>
      <c r="T210" t="n">
        <v>1.832274363</v>
      </c>
      <c r="U210" t="n">
        <v>27.03590557</v>
      </c>
      <c r="V210" t="n">
        <v>0</v>
      </c>
      <c r="W210" t="n">
        <v>0</v>
      </c>
      <c r="X210" t="n">
        <v>4.182324472</v>
      </c>
      <c r="Y210" t="n">
        <v>4.182324472</v>
      </c>
      <c r="Z210" t="n">
        <v>1</v>
      </c>
      <c r="AA210" t="n">
        <v>0.75</v>
      </c>
      <c r="AB210" t="n">
        <v>99.15000000000001</v>
      </c>
      <c r="AC210" t="n">
        <v>0</v>
      </c>
      <c r="AD210" t="n">
        <v>0.324205765</v>
      </c>
      <c r="AE210" t="n">
        <v>152.1116044</v>
      </c>
      <c r="AF210" t="n">
        <v>154.7858603</v>
      </c>
      <c r="AG210" t="n">
        <v>118.4209349</v>
      </c>
      <c r="AH210" t="n">
        <v>86.75881063999999</v>
      </c>
      <c r="AI210" t="n">
        <v>100</v>
      </c>
      <c r="AJ210" t="n">
        <v>0</v>
      </c>
      <c r="AK210" t="n">
        <v>0</v>
      </c>
      <c r="AL210" t="n">
        <v>1.000209317</v>
      </c>
      <c r="AM210" t="n">
        <v>1.000252472</v>
      </c>
      <c r="AN210" t="n">
        <v>0</v>
      </c>
      <c r="AO210" t="n">
        <v>0</v>
      </c>
      <c r="AP210" t="n">
        <v>1</v>
      </c>
      <c r="AQ210" t="n">
        <v>0</v>
      </c>
      <c r="AR210" t="n">
        <v>48.996</v>
      </c>
      <c r="AS210" t="n">
        <v>67.66500000000001</v>
      </c>
      <c r="AT210" t="n">
        <v>147.747</v>
      </c>
      <c r="AU210" t="n">
        <v>324.891</v>
      </c>
      <c r="AV210" t="n">
        <v>0</v>
      </c>
    </row>
    <row r="211">
      <c r="A211" t="n">
        <v>210</v>
      </c>
      <c r="B211" t="n">
        <v>0</v>
      </c>
      <c r="C211" t="n">
        <v>33.67726526</v>
      </c>
      <c r="D211" t="n">
        <v>17.59732027</v>
      </c>
      <c r="E211" t="n">
        <v>5.455319086</v>
      </c>
      <c r="F211" t="n">
        <v>1.046</v>
      </c>
      <c r="G211" t="n">
        <v>4.741</v>
      </c>
      <c r="H211" t="n">
        <v>0.5296728590000001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0.270224927</v>
      </c>
      <c r="Q211" t="n">
        <v>0.270224927</v>
      </c>
      <c r="R211" t="n">
        <v>0</v>
      </c>
      <c r="S211" t="n">
        <v>0</v>
      </c>
      <c r="T211" s="15" t="n">
        <v>0.981679219</v>
      </c>
      <c r="U211" t="n">
        <v>25.78400143</v>
      </c>
      <c r="V211" t="n">
        <v>0</v>
      </c>
      <c r="W211" t="n">
        <v>0</v>
      </c>
      <c r="X211" t="n">
        <v>5.706037191</v>
      </c>
      <c r="Y211" t="n">
        <v>5.706037191</v>
      </c>
      <c r="Z211" t="n">
        <v>1</v>
      </c>
      <c r="AA211" t="n">
        <v>0.75</v>
      </c>
      <c r="AB211" t="n">
        <v>99.15000000000001</v>
      </c>
      <c r="AC211" t="n">
        <v>0</v>
      </c>
      <c r="AD211" t="n">
        <v>0.238693637</v>
      </c>
      <c r="AE211" t="n">
        <v>147.1485528</v>
      </c>
      <c r="AF211" t="n">
        <v>152.1116044</v>
      </c>
      <c r="AG211" t="n">
        <v>118.0549167</v>
      </c>
      <c r="AH211" t="n">
        <v>86.49736906</v>
      </c>
      <c r="AI211" t="n">
        <v>100</v>
      </c>
      <c r="AJ211" t="n">
        <v>0</v>
      </c>
      <c r="AK211" t="n">
        <v>0</v>
      </c>
      <c r="AL211" t="n">
        <v>1.000104641</v>
      </c>
      <c r="AM211" t="n">
        <v>1.000127759</v>
      </c>
      <c r="AN211" t="n">
        <v>0</v>
      </c>
      <c r="AO211" t="n">
        <v>0</v>
      </c>
      <c r="AP211" t="n">
        <v>1</v>
      </c>
      <c r="AQ211" t="n">
        <v>0</v>
      </c>
      <c r="AR211" t="n">
        <v>48.996</v>
      </c>
      <c r="AS211" t="n">
        <v>67.66500000000001</v>
      </c>
      <c r="AT211" t="n">
        <v>147.747</v>
      </c>
      <c r="AU211" t="n">
        <v>324.891</v>
      </c>
      <c r="AV211" t="n">
        <v>0</v>
      </c>
    </row>
    <row r="212">
      <c r="A212" t="n">
        <v>211</v>
      </c>
      <c r="B212" t="n">
        <v>0</v>
      </c>
      <c r="C212" t="n">
        <v>32.24928093</v>
      </c>
      <c r="D212" t="n">
        <v>19.13326507</v>
      </c>
      <c r="E212" t="n">
        <v>4.710065095</v>
      </c>
      <c r="F212" t="n">
        <v>1.046</v>
      </c>
      <c r="G212" t="n">
        <v>4.731</v>
      </c>
      <c r="H212" t="n">
        <v>0.460949516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0.140827878</v>
      </c>
      <c r="Q212" t="n">
        <v>0.140827878</v>
      </c>
      <c r="R212" t="n">
        <v>0</v>
      </c>
      <c r="S212" t="n">
        <v>0</v>
      </c>
      <c r="T212" s="15" t="n">
        <v>0.637509523</v>
      </c>
      <c r="U212" t="n">
        <v>25.00566403</v>
      </c>
      <c r="V212" t="n">
        <v>0</v>
      </c>
      <c r="W212" t="n">
        <v>0</v>
      </c>
      <c r="X212" t="n">
        <v>4.926541812</v>
      </c>
      <c r="Y212" t="n">
        <v>4.926541812</v>
      </c>
      <c r="Z212" t="n">
        <v>1</v>
      </c>
      <c r="AA212" t="n">
        <v>0.75</v>
      </c>
      <c r="AB212" t="n">
        <v>99.15000000000001</v>
      </c>
      <c r="AC212" t="n">
        <v>0</v>
      </c>
      <c r="AD212" t="n">
        <v>0.159836172</v>
      </c>
      <c r="AE212" t="n">
        <v>142.6996844</v>
      </c>
      <c r="AF212" t="n">
        <v>147.1485528</v>
      </c>
      <c r="AG212" t="n">
        <v>121.9073686</v>
      </c>
      <c r="AH212" t="n">
        <v>89.24912042</v>
      </c>
      <c r="AI212" t="n">
        <v>100</v>
      </c>
      <c r="AJ212" t="n">
        <v>0</v>
      </c>
      <c r="AK212" t="n">
        <v>0</v>
      </c>
      <c r="AL212" t="n">
        <v>1.000052312</v>
      </c>
      <c r="AM212" t="n">
        <v>1.00006465</v>
      </c>
      <c r="AN212" t="n">
        <v>0</v>
      </c>
      <c r="AO212" t="n">
        <v>0</v>
      </c>
      <c r="AP212" t="n">
        <v>1</v>
      </c>
      <c r="AQ212" t="n">
        <v>0</v>
      </c>
      <c r="AR212" t="n">
        <v>48.996</v>
      </c>
      <c r="AS212" t="n">
        <v>67.66500000000001</v>
      </c>
      <c r="AT212" t="n">
        <v>147.747</v>
      </c>
      <c r="AU212" t="n">
        <v>324.891</v>
      </c>
      <c r="AV212" t="n">
        <v>0</v>
      </c>
    </row>
    <row r="213">
      <c r="A213" t="n">
        <v>212</v>
      </c>
      <c r="B213" t="n">
        <v>0</v>
      </c>
      <c r="C213" t="n">
        <v>33.0311489</v>
      </c>
      <c r="D213" t="n">
        <v>20.68951133</v>
      </c>
      <c r="E213" t="n">
        <v>4.751157093</v>
      </c>
      <c r="F213" t="n">
        <v>1.046</v>
      </c>
      <c r="G213" t="n">
        <v>4.72</v>
      </c>
      <c r="H213" t="n">
        <v>0.497305212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0.208646642</v>
      </c>
      <c r="Q213" t="n">
        <v>0.208646642</v>
      </c>
      <c r="R213" t="n">
        <v>0</v>
      </c>
      <c r="S213" t="n">
        <v>0</v>
      </c>
      <c r="T213" s="15" t="n">
        <v>0.462102059</v>
      </c>
      <c r="U213" t="n">
        <v>24.33491533</v>
      </c>
      <c r="V213" t="n">
        <v>0</v>
      </c>
      <c r="W213" t="n">
        <v>0</v>
      </c>
      <c r="X213" t="n">
        <v>4.969531612</v>
      </c>
      <c r="Y213" t="n">
        <v>4.969531612</v>
      </c>
      <c r="Z213" t="n">
        <v>1</v>
      </c>
      <c r="AA213" t="n">
        <v>0.75</v>
      </c>
      <c r="AB213" t="n">
        <v>99.15000000000001</v>
      </c>
      <c r="AC213" t="n">
        <v>0</v>
      </c>
      <c r="AD213" t="n">
        <v>0.106949528</v>
      </c>
      <c r="AE213" t="n">
        <v>138.0853053</v>
      </c>
      <c r="AF213" t="n">
        <v>142.6996844</v>
      </c>
      <c r="AG213" t="n">
        <v>119.8693628</v>
      </c>
      <c r="AH213" t="n">
        <v>87.79340199000001</v>
      </c>
      <c r="AI213" t="n">
        <v>100</v>
      </c>
      <c r="AJ213" t="n">
        <v>0</v>
      </c>
      <c r="AK213" t="n">
        <v>0</v>
      </c>
      <c r="AL213" t="n">
        <v>1.000026151</v>
      </c>
      <c r="AM213" t="n">
        <v>1.000032715</v>
      </c>
      <c r="AN213" t="n">
        <v>0</v>
      </c>
      <c r="AO213" t="n">
        <v>0</v>
      </c>
      <c r="AP213" t="n">
        <v>1</v>
      </c>
      <c r="AQ213" t="n">
        <v>0</v>
      </c>
      <c r="AR213" t="n">
        <v>48.996</v>
      </c>
      <c r="AS213" t="n">
        <v>67.66500000000001</v>
      </c>
      <c r="AT213" t="n">
        <v>147.747</v>
      </c>
      <c r="AU213" t="n">
        <v>324.891</v>
      </c>
      <c r="AV213" t="n">
        <v>0</v>
      </c>
    </row>
    <row r="214">
      <c r="A214" t="n">
        <v>213</v>
      </c>
      <c r="B214" t="n">
        <v>1.970787837</v>
      </c>
      <c r="C214" t="n">
        <v>29.2952041</v>
      </c>
      <c r="D214" t="n">
        <v>16.54339497</v>
      </c>
      <c r="E214" t="n">
        <v>3.751608246</v>
      </c>
      <c r="F214" t="n">
        <v>1.046</v>
      </c>
      <c r="G214" t="n">
        <v>4.71</v>
      </c>
      <c r="H214" t="n">
        <v>0.49287287</v>
      </c>
      <c r="I214" t="n">
        <v>0</v>
      </c>
      <c r="J214" t="n">
        <v>0.809709503</v>
      </c>
      <c r="K214" t="n">
        <v>1.970787837</v>
      </c>
      <c r="L214" t="n">
        <v>0.809709503</v>
      </c>
      <c r="M214" t="n">
        <v>1.161078333</v>
      </c>
      <c r="N214" t="n">
        <v>0</v>
      </c>
      <c r="O214" t="n">
        <v>0.809709528</v>
      </c>
      <c r="P214" s="15" t="n">
        <v>0.0921</v>
      </c>
      <c r="Q214" s="15" t="n">
        <v>0.0921</v>
      </c>
      <c r="R214" t="n">
        <v>0</v>
      </c>
      <c r="S214" t="n">
        <v>0</v>
      </c>
      <c r="T214" s="15" t="n">
        <v>0.423841143</v>
      </c>
      <c r="U214" t="n">
        <v>24.62868254</v>
      </c>
      <c r="V214" t="n">
        <v>0</v>
      </c>
      <c r="W214" t="n">
        <v>0</v>
      </c>
      <c r="X214" t="n">
        <v>3.924048186</v>
      </c>
      <c r="Y214" t="n">
        <v>3.924048186</v>
      </c>
      <c r="Z214" t="n">
        <v>1</v>
      </c>
      <c r="AA214" t="n">
        <v>0.75</v>
      </c>
      <c r="AB214" t="n">
        <v>99.15000000000001</v>
      </c>
      <c r="AC214" t="n">
        <v>0</v>
      </c>
      <c r="AD214" s="15" t="n">
        <v>0.07240000000000001</v>
      </c>
      <c r="AE214" t="n">
        <v>134.5126544</v>
      </c>
      <c r="AF214" t="n">
        <v>138.0853053</v>
      </c>
      <c r="AG214" t="n">
        <v>120.1178284</v>
      </c>
      <c r="AH214" t="n">
        <v>87.97087741</v>
      </c>
      <c r="AI214" t="n">
        <v>100</v>
      </c>
      <c r="AJ214" t="n">
        <v>0</v>
      </c>
      <c r="AK214" t="n">
        <v>0</v>
      </c>
      <c r="AL214" t="n">
        <v>1.000013073</v>
      </c>
      <c r="AM214" t="n">
        <v>1.000016555</v>
      </c>
      <c r="AN214" t="n">
        <v>0</v>
      </c>
      <c r="AO214" t="n">
        <v>0</v>
      </c>
      <c r="AP214" t="n">
        <v>1</v>
      </c>
      <c r="AQ214" t="n">
        <v>0</v>
      </c>
      <c r="AR214" t="n">
        <v>48.996</v>
      </c>
      <c r="AS214" t="n">
        <v>67.66500000000001</v>
      </c>
      <c r="AT214" t="n">
        <v>147.747</v>
      </c>
      <c r="AU214" t="n">
        <v>324.891</v>
      </c>
      <c r="AV214" t="n">
        <v>0</v>
      </c>
    </row>
    <row r="215">
      <c r="A215" t="n">
        <v>214</v>
      </c>
      <c r="B215" s="15" t="n">
        <v>0</v>
      </c>
      <c r="C215" t="n">
        <v>29.56994116</v>
      </c>
      <c r="D215" t="n">
        <v>15.96124941</v>
      </c>
      <c r="E215" t="n">
        <v>4.605569686</v>
      </c>
      <c r="F215" t="n">
        <v>1.046</v>
      </c>
      <c r="G215" t="n">
        <v>4.7</v>
      </c>
      <c r="H215" t="n">
        <v>0.539354025</v>
      </c>
      <c r="I2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t="n">
        <v>0</v>
      </c>
      <c r="O215" s="15" t="n">
        <v>0</v>
      </c>
      <c r="P215" t="n">
        <v>0.189057892</v>
      </c>
      <c r="Q215" t="n">
        <v>0.189057892</v>
      </c>
      <c r="R215" t="n">
        <v>0</v>
      </c>
      <c r="S215" t="n">
        <v>0</v>
      </c>
      <c r="T215" s="15" t="n">
        <v>0.396421612</v>
      </c>
      <c r="U215" t="n">
        <v>24.04320303</v>
      </c>
      <c r="V215" t="n">
        <v>0</v>
      </c>
      <c r="W215" t="n">
        <v>0</v>
      </c>
      <c r="X215" t="n">
        <v>4.817269781</v>
      </c>
      <c r="Y215" t="n">
        <v>4.817269781</v>
      </c>
      <c r="Z215" t="n">
        <v>1</v>
      </c>
      <c r="AA215" t="n">
        <v>0.75</v>
      </c>
      <c r="AB215" t="n">
        <v>99.15000000000001</v>
      </c>
      <c r="AC215" t="n">
        <v>0</v>
      </c>
      <c r="AD215" s="15" t="n">
        <v>0.0493</v>
      </c>
      <c r="AE215" t="n">
        <v>130.0424709</v>
      </c>
      <c r="AF215" t="n">
        <v>134.5126544</v>
      </c>
      <c r="AG215" t="n">
        <v>117.5122157</v>
      </c>
      <c r="AH215" t="n">
        <v>86.1097255</v>
      </c>
      <c r="AI215" t="n">
        <v>100</v>
      </c>
      <c r="AJ215" t="n">
        <v>0</v>
      </c>
      <c r="AK215" t="n">
        <v>0</v>
      </c>
      <c r="AL215" t="n">
        <v>1.000006536</v>
      </c>
      <c r="AM215" t="n">
        <v>1.000008377</v>
      </c>
      <c r="AN215" t="n">
        <v>0</v>
      </c>
      <c r="AO215" t="n">
        <v>0</v>
      </c>
      <c r="AP215" t="n">
        <v>1</v>
      </c>
      <c r="AQ215" t="n">
        <v>0</v>
      </c>
      <c r="AR215" t="n">
        <v>48.996</v>
      </c>
      <c r="AS215" t="n">
        <v>67.66500000000001</v>
      </c>
      <c r="AT215" t="n">
        <v>147.747</v>
      </c>
      <c r="AU215" t="n">
        <v>324.891</v>
      </c>
      <c r="AV215" t="n">
        <v>0</v>
      </c>
    </row>
    <row r="216">
      <c r="A216" t="n">
        <v>215</v>
      </c>
      <c r="B216" t="n">
        <v>0</v>
      </c>
      <c r="C216" t="n">
        <v>29.46994116</v>
      </c>
      <c r="D216" t="n">
        <v>15.94339497</v>
      </c>
      <c r="E216" t="n">
        <v>4.321655081</v>
      </c>
      <c r="F216" t="n">
        <v>1.004</v>
      </c>
      <c r="G216" t="n">
        <v>4.652</v>
      </c>
      <c r="H216" t="n">
        <v>0.499746893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0.27757721</v>
      </c>
      <c r="Q216" t="n">
        <v>0.27757721</v>
      </c>
      <c r="R216" t="n">
        <v>0</v>
      </c>
      <c r="S216" t="n">
        <v>0</v>
      </c>
      <c r="T216" s="15" t="n">
        <v>0.30163519</v>
      </c>
      <c r="U216" t="n">
        <v>23.46399063</v>
      </c>
      <c r="V216" t="n">
        <v>0</v>
      </c>
      <c r="W216" t="n">
        <v>0</v>
      </c>
      <c r="X216" t="n">
        <v>4.338808472</v>
      </c>
      <c r="Y216" t="n">
        <v>4.338808472</v>
      </c>
      <c r="Z216" t="n">
        <v>1</v>
      </c>
      <c r="AA216" t="n">
        <v>0.75</v>
      </c>
      <c r="AB216" t="n">
        <v>99.15000000000001</v>
      </c>
      <c r="AC216" t="n">
        <v>0</v>
      </c>
      <c r="AD216" s="15" t="n">
        <v>0.0317</v>
      </c>
      <c r="AE216" t="n">
        <v>125.9735512</v>
      </c>
      <c r="AF216" t="n">
        <v>130.0424709</v>
      </c>
      <c r="AG216" t="n">
        <v>119.7324885</v>
      </c>
      <c r="AH216" t="n">
        <v>87.69563465</v>
      </c>
      <c r="AI216" t="n">
        <v>100</v>
      </c>
      <c r="AJ216" t="n">
        <v>0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48.996</v>
      </c>
      <c r="AS216" t="n">
        <v>67.66500000000001</v>
      </c>
      <c r="AT216" t="n">
        <v>147.747</v>
      </c>
      <c r="AU216" t="n">
        <v>324.891</v>
      </c>
      <c r="AV216" t="n">
        <v>0</v>
      </c>
    </row>
    <row r="217">
      <c r="A217" t="n">
        <v>216</v>
      </c>
      <c r="B217" t="n">
        <v>5.577375586</v>
      </c>
      <c r="C217" t="n">
        <v>24.95660503</v>
      </c>
      <c r="D217" t="n">
        <v>18.78201949</v>
      </c>
      <c r="E217" t="n">
        <v>2.319742241</v>
      </c>
      <c r="F217" t="n">
        <v>0.961</v>
      </c>
      <c r="G217" t="n">
        <v>4.605</v>
      </c>
      <c r="H217" t="n">
        <v>0.5153445719999999</v>
      </c>
      <c r="I217" t="n">
        <v>0</v>
      </c>
      <c r="J217" t="n">
        <v>3.72970235</v>
      </c>
      <c r="K217" t="n">
        <v>5.577375586</v>
      </c>
      <c r="L217" t="n">
        <v>3.72970235</v>
      </c>
      <c r="M217" t="n">
        <v>1.847673235</v>
      </c>
      <c r="N217" t="n">
        <v>0</v>
      </c>
      <c r="O217" t="n">
        <v>3.729702462</v>
      </c>
      <c r="P217" t="n">
        <v>0.10440223</v>
      </c>
      <c r="Q217" t="n">
        <v>0.10440223</v>
      </c>
      <c r="R217" t="n">
        <v>0</v>
      </c>
      <c r="S217" t="n">
        <v>0</v>
      </c>
      <c r="T217" s="15" t="n">
        <v>0.584563758</v>
      </c>
      <c r="U217" t="n">
        <v>26.50472711</v>
      </c>
      <c r="V217" t="n">
        <v>0</v>
      </c>
      <c r="W217" t="n">
        <v>0</v>
      </c>
      <c r="X217" t="n">
        <v>2.229207514</v>
      </c>
      <c r="Y217" t="n">
        <v>2.229207514</v>
      </c>
      <c r="Z217" t="n">
        <v>1</v>
      </c>
      <c r="AA217" t="n">
        <v>0.75</v>
      </c>
      <c r="AB217" t="n">
        <v>99.15000000000001</v>
      </c>
      <c r="AC217" t="n">
        <v>0</v>
      </c>
      <c r="AD217" s="15" t="n">
        <v>0.0228</v>
      </c>
      <c r="AE217" t="n">
        <v>124.3061004</v>
      </c>
      <c r="AF217" t="n">
        <v>125.9735512</v>
      </c>
      <c r="AG217" t="n">
        <v>118.8581232</v>
      </c>
      <c r="AH217" t="n">
        <v>87.07108798</v>
      </c>
      <c r="AI217" t="n">
        <v>100</v>
      </c>
      <c r="AJ217" t="n">
        <v>0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48.996</v>
      </c>
      <c r="AS217" t="n">
        <v>67.66500000000001</v>
      </c>
      <c r="AT217" t="n">
        <v>147.747</v>
      </c>
      <c r="AU217" t="n">
        <v>324.891</v>
      </c>
      <c r="AV217" t="n">
        <v>0</v>
      </c>
    </row>
    <row r="218">
      <c r="A218" t="n">
        <v>217</v>
      </c>
      <c r="B218" t="n">
        <v>0</v>
      </c>
      <c r="C218" t="n">
        <v>31.30267973</v>
      </c>
      <c r="D218" t="n">
        <v>15.7359448</v>
      </c>
      <c r="E218" t="n">
        <v>5.67306199</v>
      </c>
      <c r="F218" t="n">
        <v>0.918</v>
      </c>
      <c r="G218" t="n">
        <v>4.557</v>
      </c>
      <c r="H218" t="n">
        <v>0.606655608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1.098015089</v>
      </c>
      <c r="Q218" t="n">
        <v>1.098015089</v>
      </c>
      <c r="R218" t="n">
        <v>0</v>
      </c>
      <c r="S218" s="15" t="n">
        <v>0</v>
      </c>
      <c r="T218" s="15" t="n">
        <v>0.708531358</v>
      </c>
      <c r="U218" t="n">
        <v>24.69818066</v>
      </c>
      <c r="V218" t="n">
        <v>0</v>
      </c>
      <c r="W218" t="n">
        <v>0</v>
      </c>
      <c r="X218" t="n">
        <v>5.207727865</v>
      </c>
      <c r="Y218" t="n">
        <v>5.207727865</v>
      </c>
      <c r="Z218" t="n">
        <v>1</v>
      </c>
      <c r="AA218" t="n">
        <v>0.75</v>
      </c>
      <c r="AB218" t="n">
        <v>99.15000000000001</v>
      </c>
      <c r="AC218" t="n">
        <v>0</v>
      </c>
      <c r="AD218" s="15" t="n">
        <v>0.0167</v>
      </c>
      <c r="AE218" t="n">
        <v>119.7901616</v>
      </c>
      <c r="AF218" t="n">
        <v>124.3061004</v>
      </c>
      <c r="AG218" t="n">
        <v>113.7394639</v>
      </c>
      <c r="AH218" t="n">
        <v>83.41490281</v>
      </c>
      <c r="AI218" t="n">
        <v>100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1</v>
      </c>
      <c r="AQ218" t="n">
        <v>0</v>
      </c>
      <c r="AR218" t="n">
        <v>48.996</v>
      </c>
      <c r="AS218" t="n">
        <v>67.66500000000001</v>
      </c>
      <c r="AT218" t="n">
        <v>147.747</v>
      </c>
      <c r="AU218" t="n">
        <v>324.891</v>
      </c>
      <c r="AV218" t="n">
        <v>0</v>
      </c>
    </row>
    <row r="219">
      <c r="A219" t="n">
        <v>218</v>
      </c>
      <c r="B219" t="n">
        <v>0</v>
      </c>
      <c r="C219" t="n">
        <v>31.70267973</v>
      </c>
      <c r="D219" t="n">
        <v>16.31212</v>
      </c>
      <c r="E219" t="n">
        <v>5.133952712</v>
      </c>
      <c r="F219" t="n">
        <v>0.876</v>
      </c>
      <c r="G219" t="n">
        <v>4.51</v>
      </c>
      <c r="H219" t="n">
        <v>0.447770283</v>
      </c>
      <c r="I219" t="n">
        <v>198</v>
      </c>
      <c r="J219" t="n">
        <v>0</v>
      </c>
      <c r="K219" t="n">
        <v>198</v>
      </c>
      <c r="L219" t="n">
        <v>0</v>
      </c>
      <c r="M219" t="n">
        <v>0</v>
      </c>
      <c r="N219" t="n">
        <v>0</v>
      </c>
      <c r="O219" t="n">
        <v>0</v>
      </c>
      <c r="P219" t="n">
        <v>0.952825718</v>
      </c>
      <c r="Q219" t="n">
        <v>0.952825718</v>
      </c>
      <c r="R219" t="n">
        <v>0</v>
      </c>
      <c r="S219" t="n">
        <v>0</v>
      </c>
      <c r="T219" s="15" t="n">
        <v>193.4662743</v>
      </c>
      <c r="U219" t="n">
        <v>28.27908063</v>
      </c>
      <c r="V219" t="n">
        <v>0</v>
      </c>
      <c r="W219" t="n">
        <v>0</v>
      </c>
      <c r="X219" t="n">
        <v>4.497225963</v>
      </c>
      <c r="Y219" t="n">
        <v>4.497225963</v>
      </c>
      <c r="Z219" t="n">
        <v>1</v>
      </c>
      <c r="AA219" t="n">
        <v>0.75</v>
      </c>
      <c r="AB219" t="n">
        <v>99.15000000000001</v>
      </c>
      <c r="AC219" t="n">
        <v>0</v>
      </c>
      <c r="AD219" t="n">
        <v>95.68002016</v>
      </c>
      <c r="AE219" t="n">
        <v>213.0791898</v>
      </c>
      <c r="AF219" t="n">
        <v>119.7901616</v>
      </c>
      <c r="AG219" t="n">
        <v>122.6461621</v>
      </c>
      <c r="AH219" t="n">
        <v>89.7768301</v>
      </c>
      <c r="AI219" t="n">
        <v>100</v>
      </c>
      <c r="AJ219" t="n">
        <v>0</v>
      </c>
      <c r="AK219" t="n">
        <v>0</v>
      </c>
      <c r="AL219" t="n">
        <v>7.876241162</v>
      </c>
      <c r="AM219" t="n">
        <v>7.91098613</v>
      </c>
      <c r="AN219" t="n">
        <v>22</v>
      </c>
      <c r="AO219" t="n">
        <v>0</v>
      </c>
      <c r="AP219" t="n">
        <v>1</v>
      </c>
      <c r="AQ219" t="n">
        <v>0</v>
      </c>
      <c r="AR219" t="n">
        <v>48.996</v>
      </c>
      <c r="AS219" t="n">
        <v>67.66500000000001</v>
      </c>
      <c r="AT219" t="n">
        <v>147.747</v>
      </c>
      <c r="AU219" t="n">
        <v>324.891</v>
      </c>
      <c r="AV219" t="n">
        <v>0</v>
      </c>
    </row>
    <row r="220">
      <c r="A220" t="n">
        <v>219</v>
      </c>
      <c r="B220" t="n">
        <v>0</v>
      </c>
      <c r="C220" t="n">
        <v>29.8952041</v>
      </c>
      <c r="D220" t="n">
        <v>18.7688511</v>
      </c>
      <c r="E220" t="n">
        <v>3.816008474</v>
      </c>
      <c r="F220" t="n">
        <v>0.833</v>
      </c>
      <c r="G220" t="n">
        <v>4.462</v>
      </c>
      <c r="H220" t="n">
        <v>0.481997933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0.742827231</v>
      </c>
      <c r="Q220" t="n">
        <v>0.742827231</v>
      </c>
      <c r="R220" t="n">
        <v>0</v>
      </c>
      <c r="S220" t="n">
        <v>0</v>
      </c>
      <c r="T220" s="15" t="n">
        <v>3.537174879</v>
      </c>
      <c r="U220" t="n">
        <v>23.99907852</v>
      </c>
      <c r="V220" t="n">
        <v>0</v>
      </c>
      <c r="W220" t="n">
        <v>0</v>
      </c>
      <c r="X220" t="n">
        <v>3.178657346</v>
      </c>
      <c r="Y220" t="n">
        <v>3.178657346</v>
      </c>
      <c r="Z220" t="n">
        <v>1</v>
      </c>
      <c r="AA220" t="n">
        <v>0.75</v>
      </c>
      <c r="AB220" t="n">
        <v>99.15000000000001</v>
      </c>
      <c r="AC220" t="n">
        <v>0</v>
      </c>
      <c r="AD220" t="n">
        <v>27.77750307</v>
      </c>
      <c r="AE220" t="n">
        <v>185.6602043</v>
      </c>
      <c r="AF220" t="n">
        <v>213.0791898</v>
      </c>
      <c r="AG220" t="n">
        <v>120.7274491</v>
      </c>
      <c r="AH220" t="n">
        <v>88.40632076</v>
      </c>
      <c r="AI220" t="n">
        <v>100</v>
      </c>
      <c r="AJ220" t="n">
        <v>0</v>
      </c>
      <c r="AK220" t="n">
        <v>0</v>
      </c>
      <c r="AL220" t="n">
        <v>4.437541607</v>
      </c>
      <c r="AM220" t="n">
        <v>4.497181938</v>
      </c>
      <c r="AN220" t="n">
        <v>0</v>
      </c>
      <c r="AO220" t="n">
        <v>0</v>
      </c>
      <c r="AP220" t="n">
        <v>1</v>
      </c>
      <c r="AQ220" t="n">
        <v>0</v>
      </c>
      <c r="AR220" t="n">
        <v>48.996</v>
      </c>
      <c r="AS220" t="n">
        <v>67.66500000000001</v>
      </c>
      <c r="AT220" t="n">
        <v>147.747</v>
      </c>
      <c r="AU220" t="n">
        <v>324.891</v>
      </c>
      <c r="AV220" t="n">
        <v>0</v>
      </c>
    </row>
    <row r="221">
      <c r="A221" t="n">
        <v>220</v>
      </c>
      <c r="B221" t="n">
        <v>0</v>
      </c>
      <c r="C221" t="n">
        <v>32.75941083</v>
      </c>
      <c r="D221" t="n">
        <v>18.4047959</v>
      </c>
      <c r="E221" t="n">
        <v>4.524915942</v>
      </c>
      <c r="F221" t="n">
        <v>0.79</v>
      </c>
      <c r="G221" t="n">
        <v>4.414</v>
      </c>
      <c r="H221" t="n">
        <v>0.543140616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1.246850427</v>
      </c>
      <c r="Q221" t="n">
        <v>1.246850427</v>
      </c>
      <c r="R221" t="n">
        <v>0</v>
      </c>
      <c r="S221" t="n">
        <v>0</v>
      </c>
      <c r="T221" s="15" t="n">
        <v>0.601914985</v>
      </c>
      <c r="U221" t="n">
        <v>22.15031311</v>
      </c>
      <c r="V221" t="n">
        <v>0</v>
      </c>
      <c r="W221" t="n">
        <v>0</v>
      </c>
      <c r="X221" t="n">
        <v>3.574601297</v>
      </c>
      <c r="Y221" t="n">
        <v>3.574601297</v>
      </c>
      <c r="Z221" t="n">
        <v>1</v>
      </c>
      <c r="AA221" t="n">
        <v>0.75</v>
      </c>
      <c r="AB221" t="n">
        <v>99.15000000000001</v>
      </c>
      <c r="AC221" t="n">
        <v>0</v>
      </c>
      <c r="AD221" t="n">
        <v>6.252090952</v>
      </c>
      <c r="AE221" t="n">
        <v>176.435427</v>
      </c>
      <c r="AF221" t="n">
        <v>185.6602043</v>
      </c>
      <c r="AG221" t="n">
        <v>117.2999492</v>
      </c>
      <c r="AH221" t="n">
        <v>85.95810659999999</v>
      </c>
      <c r="AI221" t="n">
        <v>100</v>
      </c>
      <c r="AJ221" t="n">
        <v>0</v>
      </c>
      <c r="AK221" t="n">
        <v>0</v>
      </c>
      <c r="AL221" t="n">
        <v>2.718481365</v>
      </c>
      <c r="AM221" t="n">
        <v>2.769686884</v>
      </c>
      <c r="AN221" t="n">
        <v>0</v>
      </c>
      <c r="AO221" t="n">
        <v>0</v>
      </c>
      <c r="AP221" t="n">
        <v>1</v>
      </c>
      <c r="AQ221" t="n">
        <v>0</v>
      </c>
      <c r="AR221" t="n">
        <v>48.996</v>
      </c>
      <c r="AS221" t="n">
        <v>67.66500000000001</v>
      </c>
      <c r="AT221" t="n">
        <v>147.747</v>
      </c>
      <c r="AU221" t="n">
        <v>324.891</v>
      </c>
      <c r="AV221" t="n">
        <v>0</v>
      </c>
    </row>
    <row r="222">
      <c r="A222" t="n">
        <v>221</v>
      </c>
      <c r="B222" t="n">
        <v>0</v>
      </c>
      <c r="C222" t="n">
        <v>32.66673493</v>
      </c>
      <c r="D222" t="n">
        <v>17.25071907</v>
      </c>
      <c r="E222" t="n">
        <v>5.10256666</v>
      </c>
      <c r="F222" t="n">
        <v>0.748</v>
      </c>
      <c r="G222" t="n">
        <v>4.367</v>
      </c>
      <c r="H222" t="n">
        <v>0.507141931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1.688908983</v>
      </c>
      <c r="Q222" t="n">
        <v>1.688908983</v>
      </c>
      <c r="R222" t="n">
        <v>0</v>
      </c>
      <c r="S222" t="n">
        <v>0</v>
      </c>
      <c r="T222" s="15" t="n">
        <v>0.163423956</v>
      </c>
      <c r="U222" t="n">
        <v>20.29798017</v>
      </c>
      <c r="V222" t="n">
        <v>0</v>
      </c>
      <c r="W222" t="n">
        <v>0</v>
      </c>
      <c r="X222" t="n">
        <v>3.816637218</v>
      </c>
      <c r="Y222" t="n">
        <v>3.816637218</v>
      </c>
      <c r="Z222" t="n">
        <v>1</v>
      </c>
      <c r="AA222" t="n">
        <v>0.75</v>
      </c>
      <c r="AB222" t="n">
        <v>99.15000000000001</v>
      </c>
      <c r="AC222" t="n">
        <v>0</v>
      </c>
      <c r="AD222" t="n">
        <v>2.599586057</v>
      </c>
      <c r="AE222" t="n">
        <v>170.1826277</v>
      </c>
      <c r="AF222" t="n">
        <v>176.435427</v>
      </c>
      <c r="AG222" t="n">
        <v>119.3179419</v>
      </c>
      <c r="AH222" t="n">
        <v>87.39952995</v>
      </c>
      <c r="AI222" t="n">
        <v>100</v>
      </c>
      <c r="AJ222" t="n">
        <v>0</v>
      </c>
      <c r="AK222" t="n">
        <v>0</v>
      </c>
      <c r="AL222" t="n">
        <v>1.859095988</v>
      </c>
      <c r="AM222" t="n">
        <v>1.895518655</v>
      </c>
      <c r="AN222" t="n">
        <v>0</v>
      </c>
      <c r="AO222" t="n">
        <v>0</v>
      </c>
      <c r="AP222" t="n">
        <v>1</v>
      </c>
      <c r="AQ222" t="n">
        <v>0</v>
      </c>
      <c r="AR222" t="n">
        <v>48.996</v>
      </c>
      <c r="AS222" t="n">
        <v>67.66500000000001</v>
      </c>
      <c r="AT222" t="n">
        <v>147.747</v>
      </c>
      <c r="AU222" t="n">
        <v>324.891</v>
      </c>
      <c r="AV222" t="n">
        <v>0</v>
      </c>
    </row>
    <row r="223">
      <c r="A223" t="n">
        <v>222</v>
      </c>
      <c r="B223" t="n">
        <v>0</v>
      </c>
      <c r="C223" t="n">
        <v>33.34928093</v>
      </c>
      <c r="D223" t="n">
        <v>17.38666387</v>
      </c>
      <c r="E223" t="n">
        <v>4.863188511</v>
      </c>
      <c r="F223" t="n">
        <v>0.705</v>
      </c>
      <c r="G223" t="n">
        <v>4.319</v>
      </c>
      <c r="H223" t="n">
        <v>0.479778152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1.899511181</v>
      </c>
      <c r="Q223" t="n">
        <v>1.899511181</v>
      </c>
      <c r="R223" t="n">
        <v>0</v>
      </c>
      <c r="S223" t="n">
        <v>0</v>
      </c>
      <c r="T223" s="15" t="n">
        <v>0.0434</v>
      </c>
      <c r="U223" t="n">
        <v>18.35507833</v>
      </c>
      <c r="V223" t="n">
        <v>0</v>
      </c>
      <c r="W223" t="n">
        <v>0</v>
      </c>
      <c r="X223" t="n">
        <v>3.428478165</v>
      </c>
      <c r="Y223" t="n">
        <v>3.428478165</v>
      </c>
      <c r="Z223" t="n">
        <v>1</v>
      </c>
      <c r="AA223" t="n">
        <v>0.75</v>
      </c>
      <c r="AB223" t="n">
        <v>99.15000000000001</v>
      </c>
      <c r="AC223" t="n">
        <v>0</v>
      </c>
      <c r="AD223" s="15" t="n">
        <v>1.366625908</v>
      </c>
      <c r="AE223" t="n">
        <v>165.4309143</v>
      </c>
      <c r="AF223" t="n">
        <v>170.1826277</v>
      </c>
      <c r="AG223" t="n">
        <v>120.8518842</v>
      </c>
      <c r="AH223" t="n">
        <v>88.495203</v>
      </c>
      <c r="AI223" t="n">
        <v>100</v>
      </c>
      <c r="AJ223" t="n">
        <v>0</v>
      </c>
      <c r="AK223" t="n">
        <v>0</v>
      </c>
      <c r="AL223" t="n">
        <v>1.429475659</v>
      </c>
      <c r="AM223" t="n">
        <v>1.45316133</v>
      </c>
      <c r="AN223" t="n">
        <v>0</v>
      </c>
      <c r="AO223" t="n">
        <v>0</v>
      </c>
      <c r="AP223" t="n">
        <v>1</v>
      </c>
      <c r="AQ223" t="n">
        <v>0</v>
      </c>
      <c r="AR223" t="n">
        <v>48.996</v>
      </c>
      <c r="AS223" t="n">
        <v>67.66500000000001</v>
      </c>
      <c r="AT223" t="n">
        <v>147.747</v>
      </c>
      <c r="AU223" t="n">
        <v>324.891</v>
      </c>
      <c r="AV223" t="n">
        <v>0</v>
      </c>
    </row>
    <row r="224">
      <c r="A224" t="n">
        <v>223</v>
      </c>
      <c r="B224" t="n">
        <v>0</v>
      </c>
      <c r="C224" t="n">
        <v>35.32066023</v>
      </c>
      <c r="D224" t="n">
        <v>17.6688511</v>
      </c>
      <c r="E224" t="n">
        <v>5.17160349</v>
      </c>
      <c r="F224" t="n">
        <v>0.662</v>
      </c>
      <c r="G224" t="n">
        <v>4.271</v>
      </c>
      <c r="H224" t="n">
        <v>0.486880426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2.302649357</v>
      </c>
      <c r="Q224" t="n">
        <v>2.302649357</v>
      </c>
      <c r="R224" t="n">
        <v>0</v>
      </c>
      <c r="S224" t="n">
        <v>0</v>
      </c>
      <c r="T224" s="15" t="n">
        <v>0.00975</v>
      </c>
      <c r="U224" t="n">
        <v>16.04267923</v>
      </c>
      <c r="V224" t="n">
        <v>0</v>
      </c>
      <c r="W224" t="n">
        <v>0</v>
      </c>
      <c r="X224" t="n">
        <v>3.42353618</v>
      </c>
      <c r="Y224" t="n">
        <v>3.42353618</v>
      </c>
      <c r="Z224" t="n">
        <v>1</v>
      </c>
      <c r="AA224" t="n">
        <v>0.75</v>
      </c>
      <c r="AB224" t="n">
        <v>99.15000000000001</v>
      </c>
      <c r="AC224" t="n">
        <v>0</v>
      </c>
      <c r="AD224" s="15" t="n">
        <v>0.838110516</v>
      </c>
      <c r="AE224" t="n">
        <v>161.1790173</v>
      </c>
      <c r="AF224" t="n">
        <v>165.4309143</v>
      </c>
      <c r="AG224" t="n">
        <v>120.4537492</v>
      </c>
      <c r="AH224" t="n">
        <v>88.21082084</v>
      </c>
      <c r="AI224" t="n">
        <v>100</v>
      </c>
      <c r="AJ224" t="n">
        <v>0</v>
      </c>
      <c r="AK224" t="n">
        <v>0</v>
      </c>
      <c r="AL224" t="n">
        <v>1.214701668</v>
      </c>
      <c r="AM224" t="n">
        <v>1.229314253</v>
      </c>
      <c r="AN224" t="n">
        <v>0</v>
      </c>
      <c r="AO224" t="n">
        <v>0</v>
      </c>
      <c r="AP224" t="n">
        <v>1</v>
      </c>
      <c r="AQ224" t="n">
        <v>0</v>
      </c>
      <c r="AR224" t="n">
        <v>48.996</v>
      </c>
      <c r="AS224" t="n">
        <v>67.66500000000001</v>
      </c>
      <c r="AT224" t="n">
        <v>147.747</v>
      </c>
      <c r="AU224" t="n">
        <v>324.891</v>
      </c>
      <c r="AV224" t="n">
        <v>0</v>
      </c>
    </row>
    <row r="225">
      <c r="A225" t="n">
        <v>224</v>
      </c>
      <c r="B225" t="n">
        <v>0</v>
      </c>
      <c r="C225" t="n">
        <v>36.12066023</v>
      </c>
      <c r="D225" t="n">
        <v>19.35867954</v>
      </c>
      <c r="E225" t="n">
        <v>5.488447392</v>
      </c>
      <c r="F225" t="n">
        <v>0.62</v>
      </c>
      <c r="G225" t="n">
        <v>4.224</v>
      </c>
      <c r="H225" t="n">
        <v>0.470952579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2.808815754</v>
      </c>
      <c r="Q225" t="n">
        <v>2.610518259</v>
      </c>
      <c r="R225" t="n">
        <v>0</v>
      </c>
      <c r="S225" t="n">
        <v>0</v>
      </c>
      <c r="T225" s="15" t="n">
        <v>0.00141</v>
      </c>
      <c r="U225" t="n">
        <v>13.43075302</v>
      </c>
      <c r="V225" t="n">
        <v>0</v>
      </c>
      <c r="W225" t="n">
        <v>0</v>
      </c>
      <c r="X225" t="n">
        <v>3.40277654</v>
      </c>
      <c r="Y225" t="n">
        <v>3.40277654</v>
      </c>
      <c r="Z225" t="n">
        <v>1</v>
      </c>
      <c r="AA225" t="n">
        <v>0.75</v>
      </c>
      <c r="AB225" t="n">
        <v>99.15000000000001</v>
      </c>
      <c r="AC225" t="n">
        <v>0</v>
      </c>
      <c r="AD225" s="15" t="n">
        <v>0.560989453</v>
      </c>
      <c r="AE225" t="n">
        <v>157.2166593</v>
      </c>
      <c r="AF225" t="n">
        <v>161.1790173</v>
      </c>
      <c r="AG225" t="n">
        <v>121.3466229</v>
      </c>
      <c r="AH225" t="n">
        <v>88.84858778</v>
      </c>
      <c r="AI225" t="n">
        <v>100</v>
      </c>
      <c r="AJ225" t="n">
        <v>0</v>
      </c>
      <c r="AK225" t="n">
        <v>0</v>
      </c>
      <c r="AL225" t="n">
        <v>1.107332756</v>
      </c>
      <c r="AM225" t="n">
        <v>1.11604041</v>
      </c>
      <c r="AN225" t="n">
        <v>0</v>
      </c>
      <c r="AO225" t="n">
        <v>0</v>
      </c>
      <c r="AP225" t="n">
        <v>1</v>
      </c>
      <c r="AQ225" t="n">
        <v>0</v>
      </c>
      <c r="AR225" t="n">
        <v>48.996</v>
      </c>
      <c r="AS225" t="n">
        <v>67.66500000000001</v>
      </c>
      <c r="AT225" t="n">
        <v>147.747</v>
      </c>
      <c r="AU225" t="n">
        <v>324.891</v>
      </c>
      <c r="AV225" t="n">
        <v>0</v>
      </c>
    </row>
    <row r="226">
      <c r="A226" t="n">
        <v>225</v>
      </c>
      <c r="B226" t="n">
        <v>0</v>
      </c>
      <c r="C226" t="n">
        <v>36.81333613</v>
      </c>
      <c r="D226" t="n">
        <v>22.52273474</v>
      </c>
      <c r="E226" t="n">
        <v>5.363456418</v>
      </c>
      <c r="F226" t="n">
        <v>0.577</v>
      </c>
      <c r="G226" t="n">
        <v>4.176</v>
      </c>
      <c r="H226" t="n">
        <v>0.451536309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2.949119121</v>
      </c>
      <c r="Q226" t="n">
        <v>2.137419617</v>
      </c>
      <c r="R226" t="n">
        <v>0</v>
      </c>
      <c r="S226" t="n">
        <v>0</v>
      </c>
      <c r="T226" s="15" t="n">
        <v>0.000117</v>
      </c>
      <c r="U226" t="n">
        <v>11.2932163</v>
      </c>
      <c r="V226" t="n">
        <v>0</v>
      </c>
      <c r="W226" t="n">
        <v>0</v>
      </c>
      <c r="X226" t="n">
        <v>3.09466257</v>
      </c>
      <c r="Y226" t="n">
        <v>3.09466257</v>
      </c>
      <c r="Z226" t="n">
        <v>1</v>
      </c>
      <c r="AA226" t="n">
        <v>0.75</v>
      </c>
      <c r="AB226" t="n">
        <v>99.15000000000001</v>
      </c>
      <c r="AC226" t="n">
        <v>0</v>
      </c>
      <c r="AD226" s="15" t="n">
        <v>0.399233974</v>
      </c>
      <c r="AE226" t="n">
        <v>153.7228798</v>
      </c>
      <c r="AF226" t="n">
        <v>157.2166593</v>
      </c>
      <c r="AG226" t="n">
        <v>122.4350485</v>
      </c>
      <c r="AH226" t="n">
        <v>89.62603464</v>
      </c>
      <c r="AI226" t="n">
        <v>100</v>
      </c>
      <c r="AJ226" t="n">
        <v>0</v>
      </c>
      <c r="AK226" t="n">
        <v>0</v>
      </c>
      <c r="AL226" t="n">
        <v>1.053657341</v>
      </c>
      <c r="AM226" t="n">
        <v>1.058720191</v>
      </c>
      <c r="AN226" t="n">
        <v>0</v>
      </c>
      <c r="AO226" t="n">
        <v>0</v>
      </c>
      <c r="AP226" t="n">
        <v>1</v>
      </c>
      <c r="AQ226" t="n">
        <v>0</v>
      </c>
      <c r="AR226" t="n">
        <v>48.996</v>
      </c>
      <c r="AS226" t="n">
        <v>67.66500000000001</v>
      </c>
      <c r="AT226" t="n">
        <v>147.747</v>
      </c>
      <c r="AU226" t="n">
        <v>324.891</v>
      </c>
      <c r="AV226" t="n">
        <v>0</v>
      </c>
    </row>
    <row r="227">
      <c r="A227" t="n">
        <v>226</v>
      </c>
      <c r="B227" t="n">
        <v>0</v>
      </c>
      <c r="C227" t="n">
        <v>37.41333613</v>
      </c>
      <c r="D227" t="n">
        <v>20.6047959</v>
      </c>
      <c r="E227" t="n">
        <v>5.261870544</v>
      </c>
      <c r="F227" t="n">
        <v>0.534</v>
      </c>
      <c r="G227" t="n">
        <v>4.129</v>
      </c>
      <c r="H227" t="n">
        <v>0.458248733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3.217540212</v>
      </c>
      <c r="Q227" t="n">
        <v>1.774249805</v>
      </c>
      <c r="R227" t="n">
        <v>0</v>
      </c>
      <c r="S227" t="n">
        <v>0</v>
      </c>
      <c r="T227" s="15" t="n">
        <v>8.27e-06</v>
      </c>
      <c r="U227" t="n">
        <v>9.518958218</v>
      </c>
      <c r="V227" t="n">
        <v>0</v>
      </c>
      <c r="W227" t="n">
        <v>0</v>
      </c>
      <c r="X227" t="n">
        <v>2.809794926</v>
      </c>
      <c r="Y227" t="n">
        <v>2.809794926</v>
      </c>
      <c r="Z227" t="n">
        <v>1</v>
      </c>
      <c r="AA227" t="n">
        <v>0.75</v>
      </c>
      <c r="AB227" t="n">
        <v>99.15000000000001</v>
      </c>
      <c r="AC227" t="n">
        <v>0</v>
      </c>
      <c r="AD227" s="15" t="n">
        <v>0.298611779</v>
      </c>
      <c r="AE227" t="n">
        <v>150.6144814</v>
      </c>
      <c r="AF227" t="n">
        <v>153.7228798</v>
      </c>
      <c r="AG227" t="n">
        <v>122.0587675</v>
      </c>
      <c r="AH227" t="n">
        <v>89.35726246999999</v>
      </c>
      <c r="AI227" t="n">
        <v>100</v>
      </c>
      <c r="AJ227" t="n">
        <v>0</v>
      </c>
      <c r="AK227" t="n">
        <v>0</v>
      </c>
      <c r="AL227" t="n">
        <v>1.026824152</v>
      </c>
      <c r="AM227" t="n">
        <v>1.029714311</v>
      </c>
      <c r="AN227" t="n">
        <v>0</v>
      </c>
      <c r="AO227" t="n">
        <v>0</v>
      </c>
      <c r="AP227" t="n">
        <v>1</v>
      </c>
      <c r="AQ227" t="n">
        <v>0</v>
      </c>
      <c r="AR227" t="n">
        <v>48.996</v>
      </c>
      <c r="AS227" t="n">
        <v>67.66500000000001</v>
      </c>
      <c r="AT227" t="n">
        <v>147.747</v>
      </c>
      <c r="AU227" t="n">
        <v>324.891</v>
      </c>
      <c r="AV227" t="n">
        <v>0</v>
      </c>
    </row>
    <row r="228">
      <c r="A228" t="n">
        <v>227</v>
      </c>
      <c r="B228" t="n">
        <v>0</v>
      </c>
      <c r="C228" t="n">
        <v>37.36673493</v>
      </c>
      <c r="D228" t="n">
        <v>21.49732027</v>
      </c>
      <c r="E228" t="n">
        <v>5.524260519</v>
      </c>
      <c r="F228" t="n">
        <v>0.491</v>
      </c>
      <c r="G228" t="n">
        <v>4.081</v>
      </c>
      <c r="H228" t="n">
        <v>0.458906595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3.74133717</v>
      </c>
      <c r="Q228" t="n">
        <v>1.516413928</v>
      </c>
      <c r="R228" t="n">
        <v>0</v>
      </c>
      <c r="S228" t="n">
        <v>0</v>
      </c>
      <c r="T228" s="15" t="n">
        <v>4.22e-07</v>
      </c>
      <c r="U228" t="n">
        <v>8.002543868</v>
      </c>
      <c r="V228" t="n">
        <v>0</v>
      </c>
      <c r="W228" t="n">
        <v>0</v>
      </c>
      <c r="X228" t="n">
        <v>2.712372316</v>
      </c>
      <c r="Y228" t="n">
        <v>2.712372316</v>
      </c>
      <c r="Z228" t="n">
        <v>1</v>
      </c>
      <c r="AA228" t="n">
        <v>0.75</v>
      </c>
      <c r="AB228" t="n">
        <v>99.15000000000001</v>
      </c>
      <c r="AC228" t="n">
        <v>0</v>
      </c>
      <c r="AD228" s="15" t="n">
        <v>0.229758071</v>
      </c>
      <c r="AE228" t="n">
        <v>147.6723514</v>
      </c>
      <c r="AF228" t="n">
        <v>150.6144814</v>
      </c>
      <c r="AG228" t="n">
        <v>122.0218894</v>
      </c>
      <c r="AH228" t="n">
        <v>89.33092101</v>
      </c>
      <c r="AI228" t="n">
        <v>100</v>
      </c>
      <c r="AJ228" t="n">
        <v>0</v>
      </c>
      <c r="AK228" t="n">
        <v>0</v>
      </c>
      <c r="AL228" t="n">
        <v>1.013409818</v>
      </c>
      <c r="AM228" t="n">
        <v>1.0150364</v>
      </c>
      <c r="AN228" t="n">
        <v>0</v>
      </c>
      <c r="AO228" t="n">
        <v>0</v>
      </c>
      <c r="AP228" t="n">
        <v>1</v>
      </c>
      <c r="AQ228" t="n">
        <v>0</v>
      </c>
      <c r="AR228" t="n">
        <v>48.996</v>
      </c>
      <c r="AS228" t="n">
        <v>67.66500000000001</v>
      </c>
      <c r="AT228" t="n">
        <v>147.747</v>
      </c>
      <c r="AU228" t="n">
        <v>324.891</v>
      </c>
      <c r="AV228" t="n">
        <v>0</v>
      </c>
    </row>
    <row r="229">
      <c r="A229" t="n">
        <v>228</v>
      </c>
      <c r="B229" t="n">
        <v>25.82138758</v>
      </c>
      <c r="C229" t="n">
        <v>34.8952041</v>
      </c>
      <c r="D229" t="n">
        <v>17.55599981</v>
      </c>
      <c r="E229" t="n">
        <v>5.251655589</v>
      </c>
      <c r="F229" t="n">
        <v>0.449</v>
      </c>
      <c r="G229" t="n">
        <v>4.033</v>
      </c>
      <c r="H229" t="n">
        <v>0.441851622</v>
      </c>
      <c r="I229" t="n">
        <v>0</v>
      </c>
      <c r="J229" t="n">
        <v>23.60892418</v>
      </c>
      <c r="K229" t="n">
        <v>25.82138758</v>
      </c>
      <c r="L229" t="n">
        <v>23.60892418</v>
      </c>
      <c r="M229" t="n">
        <v>2.212463392</v>
      </c>
      <c r="N229" t="n">
        <v>0</v>
      </c>
      <c r="O229" t="n">
        <v>23.60892489</v>
      </c>
      <c r="P229" t="n">
        <v>3.791565845</v>
      </c>
      <c r="Q229" t="n">
        <v>3.768490882</v>
      </c>
      <c r="R229" t="n">
        <v>0</v>
      </c>
      <c r="S229" t="n">
        <v>0</v>
      </c>
      <c r="T229" s="15" t="n">
        <v>0.168373714</v>
      </c>
      <c r="U229" t="n">
        <v>27.67460416</v>
      </c>
      <c r="V229" t="n">
        <v>0</v>
      </c>
      <c r="W229" t="n">
        <v>0</v>
      </c>
      <c r="X229" t="n">
        <v>2.357961266</v>
      </c>
      <c r="Y229" t="n">
        <v>2.357961266</v>
      </c>
      <c r="Z229" t="n">
        <v>1</v>
      </c>
      <c r="AA229" t="n">
        <v>0.75</v>
      </c>
      <c r="AB229" t="n">
        <v>99.15000000000001</v>
      </c>
      <c r="AC229" t="n">
        <v>0</v>
      </c>
      <c r="AD229" s="15" t="n">
        <v>0.180941646</v>
      </c>
      <c r="AE229" t="n">
        <v>145.3018222</v>
      </c>
      <c r="AF229" t="n">
        <v>147.6723514</v>
      </c>
      <c r="AG229" t="n">
        <v>122.9779469</v>
      </c>
      <c r="AH229" t="n">
        <v>90.01381920999999</v>
      </c>
      <c r="AI229" t="n">
        <v>100</v>
      </c>
      <c r="AJ229" t="n">
        <v>0</v>
      </c>
      <c r="AK229" t="n">
        <v>0</v>
      </c>
      <c r="AL229" t="n">
        <v>1.00670378</v>
      </c>
      <c r="AM229" t="n">
        <v>1.007608903</v>
      </c>
      <c r="AN229" t="n">
        <v>0</v>
      </c>
      <c r="AO229" t="n">
        <v>0</v>
      </c>
      <c r="AP229" t="n">
        <v>1</v>
      </c>
      <c r="AQ229" t="n">
        <v>0</v>
      </c>
      <c r="AR229" t="n">
        <v>48.996</v>
      </c>
      <c r="AS229" t="n">
        <v>67.66500000000001</v>
      </c>
      <c r="AT229" t="n">
        <v>147.747</v>
      </c>
      <c r="AU229" t="n">
        <v>324.891</v>
      </c>
      <c r="AV229" t="n">
        <v>0</v>
      </c>
    </row>
    <row r="230">
      <c r="A230" t="n">
        <v>229</v>
      </c>
      <c r="B230" t="n">
        <v>0</v>
      </c>
      <c r="C230" t="n">
        <v>31.53875059</v>
      </c>
      <c r="D230" t="n">
        <v>15.99926871</v>
      </c>
      <c r="E230" t="n">
        <v>5.085544345</v>
      </c>
      <c r="F230" t="n">
        <v>0.406</v>
      </c>
      <c r="G230" t="n">
        <v>3.986</v>
      </c>
      <c r="H230" t="n">
        <v>0.454018917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4.064048853</v>
      </c>
      <c r="Q230" t="n">
        <v>4.064048853</v>
      </c>
      <c r="R230" t="n">
        <v>0</v>
      </c>
      <c r="S230" t="n">
        <v>0</v>
      </c>
      <c r="T230" s="15" t="n">
        <v>0.763142107</v>
      </c>
      <c r="U230" t="n">
        <v>22.8474132</v>
      </c>
      <c r="V230" t="n">
        <v>0</v>
      </c>
      <c r="W230" t="n">
        <v>0</v>
      </c>
      <c r="X230" t="n">
        <v>2.064704838</v>
      </c>
      <c r="Y230" t="n">
        <v>2.064704838</v>
      </c>
      <c r="Z230" t="n">
        <v>1</v>
      </c>
      <c r="AA230" t="n">
        <v>0.75</v>
      </c>
      <c r="AB230" t="n">
        <v>99.15000000000001</v>
      </c>
      <c r="AC230" t="n">
        <v>0</v>
      </c>
      <c r="AD230" s="15" t="n">
        <v>0.155401151</v>
      </c>
      <c r="AE230" t="n">
        <v>143.8448584</v>
      </c>
      <c r="AF230" t="n">
        <v>145.3018222</v>
      </c>
      <c r="AG230" t="n">
        <v>122.29588</v>
      </c>
      <c r="AH230" t="n">
        <v>89.52662856000001</v>
      </c>
      <c r="AI230" t="n">
        <v>100</v>
      </c>
      <c r="AJ230" t="n">
        <v>0</v>
      </c>
      <c r="AK230" t="n">
        <v>0</v>
      </c>
      <c r="AL230" t="n">
        <v>1.003351325</v>
      </c>
      <c r="AM230" t="n">
        <v>1.003850351</v>
      </c>
      <c r="AN230" t="n">
        <v>0</v>
      </c>
      <c r="AO230" t="n">
        <v>0</v>
      </c>
      <c r="AP230" t="n">
        <v>1</v>
      </c>
      <c r="AQ230" t="n">
        <v>0</v>
      </c>
      <c r="AR230" t="n">
        <v>48.996</v>
      </c>
      <c r="AS230" t="n">
        <v>67.66500000000001</v>
      </c>
      <c r="AT230" t="n">
        <v>147.747</v>
      </c>
      <c r="AU230" t="n">
        <v>324.891</v>
      </c>
      <c r="AV230" t="n">
        <v>0</v>
      </c>
    </row>
    <row r="231">
      <c r="A231" t="n">
        <v>230</v>
      </c>
      <c r="B231" t="n">
        <v>0</v>
      </c>
      <c r="C231" t="n">
        <v>29.67454387</v>
      </c>
      <c r="D231" t="n">
        <v>17.01749869</v>
      </c>
      <c r="E231" t="n">
        <v>5.04982885</v>
      </c>
      <c r="F231" t="n">
        <v>0.363</v>
      </c>
      <c r="G231" t="n">
        <v>3.938</v>
      </c>
      <c r="H231" t="n">
        <v>0.454849853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4.221676289</v>
      </c>
      <c r="Q231" t="n">
        <v>4.221676289</v>
      </c>
      <c r="R231" t="n">
        <v>0</v>
      </c>
      <c r="S231" t="n">
        <v>0</v>
      </c>
      <c r="T231" s="15" t="n">
        <v>0.09180000000000001</v>
      </c>
      <c r="U231" t="n">
        <v>18.5339538</v>
      </c>
      <c r="V231" t="n">
        <v>0</v>
      </c>
      <c r="W231" t="n">
        <v>0</v>
      </c>
      <c r="X231" t="n">
        <v>1.83306627</v>
      </c>
      <c r="Y231" t="n">
        <v>1.83306627</v>
      </c>
      <c r="Z231" t="n">
        <v>1</v>
      </c>
      <c r="AA231" t="n">
        <v>0.75</v>
      </c>
      <c r="AB231" t="n">
        <v>99.15000000000001</v>
      </c>
      <c r="AC231" t="n">
        <v>0</v>
      </c>
      <c r="AD231" s="15" t="n">
        <v>0.132489324</v>
      </c>
      <c r="AE231" t="n">
        <v>141.9710859</v>
      </c>
      <c r="AF231" t="n">
        <v>143.8448584</v>
      </c>
      <c r="AG231" t="n">
        <v>122.2492998</v>
      </c>
      <c r="AH231" t="n">
        <v>89.49335702</v>
      </c>
      <c r="AI231" t="n">
        <v>100</v>
      </c>
      <c r="AJ231" t="n">
        <v>0</v>
      </c>
      <c r="AK231" t="n">
        <v>0</v>
      </c>
      <c r="AL231" t="n">
        <v>1.001675381</v>
      </c>
      <c r="AM231" t="n">
        <v>1.001948402</v>
      </c>
      <c r="AN231" t="n">
        <v>0</v>
      </c>
      <c r="AO231" t="n">
        <v>0</v>
      </c>
      <c r="AP231" t="n">
        <v>1</v>
      </c>
      <c r="AQ231" t="n">
        <v>0</v>
      </c>
      <c r="AR231" t="n">
        <v>48.996</v>
      </c>
      <c r="AS231" t="n">
        <v>67.66500000000001</v>
      </c>
      <c r="AT231" t="n">
        <v>147.747</v>
      </c>
      <c r="AU231" t="n">
        <v>324.891</v>
      </c>
      <c r="AV231" t="n">
        <v>0</v>
      </c>
    </row>
    <row r="232">
      <c r="A232" t="n">
        <v>231</v>
      </c>
      <c r="B232" t="n">
        <v>0</v>
      </c>
      <c r="C232" t="n">
        <v>30.23875059</v>
      </c>
      <c r="D232" t="n">
        <v>16.41992894</v>
      </c>
      <c r="E232" t="n">
        <v>4.547918851</v>
      </c>
      <c r="F232" t="n">
        <v>0.321</v>
      </c>
      <c r="G232" t="n">
        <v>3.89</v>
      </c>
      <c r="H232" t="n">
        <v>0.457810299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3.99153949</v>
      </c>
      <c r="Q232" t="n">
        <v>3.958185101</v>
      </c>
      <c r="R232" t="n">
        <v>0</v>
      </c>
      <c r="S232" t="n">
        <v>0</v>
      </c>
      <c r="T232" s="15" t="n">
        <v>0.00737</v>
      </c>
      <c r="U232" t="n">
        <v>14.56840359</v>
      </c>
      <c r="V232" t="n">
        <v>0</v>
      </c>
      <c r="W232" t="n">
        <v>0</v>
      </c>
      <c r="X232" t="n">
        <v>1.459865973</v>
      </c>
      <c r="Y232" t="n">
        <v>1.459865973</v>
      </c>
      <c r="Z232" t="n">
        <v>1</v>
      </c>
      <c r="AA232" t="n">
        <v>0.75</v>
      </c>
      <c r="AB232" t="n">
        <v>99.15000000000001</v>
      </c>
      <c r="AC232" t="n">
        <v>0</v>
      </c>
      <c r="AD232" s="15" t="n">
        <v>0.11315864</v>
      </c>
      <c r="AE232" t="n">
        <v>140.4054264</v>
      </c>
      <c r="AF232" t="n">
        <v>141.9710859</v>
      </c>
      <c r="AG232" t="n">
        <v>122.083345</v>
      </c>
      <c r="AH232" t="n">
        <v>89.37481783</v>
      </c>
      <c r="AI232" t="n">
        <v>100</v>
      </c>
      <c r="AJ232" t="n">
        <v>0</v>
      </c>
      <c r="AK232" t="n">
        <v>0</v>
      </c>
      <c r="AL232" t="n">
        <v>1.000837549</v>
      </c>
      <c r="AM232" t="n">
        <v>1.000985954</v>
      </c>
      <c r="AN232" t="n">
        <v>0</v>
      </c>
      <c r="AO232" t="n">
        <v>0</v>
      </c>
      <c r="AP232" t="n">
        <v>1</v>
      </c>
      <c r="AQ232" t="n">
        <v>0</v>
      </c>
      <c r="AR232" t="n">
        <v>48.996</v>
      </c>
      <c r="AS232" t="n">
        <v>67.66500000000001</v>
      </c>
      <c r="AT232" t="n">
        <v>147.747</v>
      </c>
      <c r="AU232" t="n">
        <v>324.891</v>
      </c>
      <c r="AV232" t="n">
        <v>0</v>
      </c>
    </row>
    <row r="233">
      <c r="A233" t="n">
        <v>232</v>
      </c>
      <c r="B233" t="n">
        <v>0</v>
      </c>
      <c r="C233" t="n">
        <v>32.12066023</v>
      </c>
      <c r="D233" t="n">
        <v>18.62273474</v>
      </c>
      <c r="E233" t="n">
        <v>4.673285516</v>
      </c>
      <c r="F233" t="n">
        <v>0.278</v>
      </c>
      <c r="G233" t="n">
        <v>3.843</v>
      </c>
      <c r="H233" t="n">
        <v>0.481943782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4.349683931</v>
      </c>
      <c r="Q233" t="n">
        <v>3.337139952</v>
      </c>
      <c r="R233" t="n">
        <v>0</v>
      </c>
      <c r="S233" t="n">
        <v>0</v>
      </c>
      <c r="T233" s="15" t="n">
        <v>0.000302</v>
      </c>
      <c r="U233" t="n">
        <v>11.23096201</v>
      </c>
      <c r="V233" t="n">
        <v>0</v>
      </c>
      <c r="W233" t="n">
        <v>0</v>
      </c>
      <c r="X233" t="n">
        <v>1.299160184</v>
      </c>
      <c r="Y233" t="n">
        <v>1.299160184</v>
      </c>
      <c r="Z233" t="n">
        <v>1</v>
      </c>
      <c r="AA233" t="n">
        <v>0.75</v>
      </c>
      <c r="AB233" t="n">
        <v>99.15000000000001</v>
      </c>
      <c r="AC233" t="n">
        <v>0</v>
      </c>
      <c r="AD233" s="15" t="n">
        <v>0.0987</v>
      </c>
      <c r="AE233" t="n">
        <v>139.0078211</v>
      </c>
      <c r="AF233" t="n">
        <v>140.4054264</v>
      </c>
      <c r="AG233" t="n">
        <v>120.7304846</v>
      </c>
      <c r="AH233" t="n">
        <v>88.40848903</v>
      </c>
      <c r="AI233" t="n">
        <v>100</v>
      </c>
      <c r="AJ233" t="n">
        <v>0</v>
      </c>
      <c r="AK233" t="n">
        <v>0</v>
      </c>
      <c r="AL233" t="n">
        <v>1.000418704</v>
      </c>
      <c r="AM233" t="n">
        <v>1.000498925</v>
      </c>
      <c r="AN233" t="n">
        <v>0</v>
      </c>
      <c r="AO233" t="n">
        <v>0</v>
      </c>
      <c r="AP233" t="n">
        <v>1</v>
      </c>
      <c r="AQ233" t="n">
        <v>0</v>
      </c>
      <c r="AR233" t="n">
        <v>48.996</v>
      </c>
      <c r="AS233" t="n">
        <v>67.66500000000001</v>
      </c>
      <c r="AT233" t="n">
        <v>147.747</v>
      </c>
      <c r="AU233" t="n">
        <v>324.891</v>
      </c>
      <c r="AV233" t="n">
        <v>0</v>
      </c>
    </row>
    <row r="234">
      <c r="A234" t="n">
        <v>233</v>
      </c>
      <c r="B234" t="n">
        <v>0</v>
      </c>
      <c r="C234" t="n">
        <v>33.61048867</v>
      </c>
      <c r="D234" t="n">
        <v>17.57666004</v>
      </c>
      <c r="E234" t="n">
        <v>4.834425882</v>
      </c>
      <c r="F234" t="n">
        <v>0.235</v>
      </c>
      <c r="G234" t="n">
        <v>3.795</v>
      </c>
      <c r="H234" t="n">
        <v>0.474046236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4.697293309</v>
      </c>
      <c r="Q234" t="n">
        <v>2.413759758</v>
      </c>
      <c r="R234" t="n">
        <v>0</v>
      </c>
      <c r="S234" t="n">
        <v>0</v>
      </c>
      <c r="T234" s="15" t="n">
        <v>6.57e-06</v>
      </c>
      <c r="U234" t="n">
        <v>8.817195689</v>
      </c>
      <c r="V234" t="n">
        <v>0</v>
      </c>
      <c r="W234" t="n">
        <v>0</v>
      </c>
      <c r="X234" t="n">
        <v>1.136079398</v>
      </c>
      <c r="Y234" t="n">
        <v>1.136079398</v>
      </c>
      <c r="Z234" t="n">
        <v>1</v>
      </c>
      <c r="AA234" t="n">
        <v>0.75</v>
      </c>
      <c r="AB234" t="n">
        <v>99.15000000000001</v>
      </c>
      <c r="AC234" t="n">
        <v>0</v>
      </c>
      <c r="AD234" s="15" t="n">
        <v>0.08740000000000001</v>
      </c>
      <c r="AE234" t="n">
        <v>137.784351</v>
      </c>
      <c r="AF234" t="n">
        <v>139.0078211</v>
      </c>
      <c r="AG234" t="n">
        <v>121.1732005</v>
      </c>
      <c r="AH234" t="n">
        <v>88.72471467</v>
      </c>
      <c r="AI234" t="n">
        <v>100</v>
      </c>
      <c r="AJ234" t="n">
        <v>0</v>
      </c>
      <c r="AK234" t="n">
        <v>0</v>
      </c>
      <c r="AL234" t="n">
        <v>1.000209317</v>
      </c>
      <c r="AM234" t="n">
        <v>1.000252472</v>
      </c>
      <c r="AN234" t="n">
        <v>0</v>
      </c>
      <c r="AO234" t="n">
        <v>0</v>
      </c>
      <c r="AP234" t="n">
        <v>1</v>
      </c>
      <c r="AQ234" t="n">
        <v>0</v>
      </c>
      <c r="AR234" t="n">
        <v>48.996</v>
      </c>
      <c r="AS234" t="n">
        <v>67.66500000000001</v>
      </c>
      <c r="AT234" t="n">
        <v>147.747</v>
      </c>
      <c r="AU234" t="n">
        <v>324.891</v>
      </c>
      <c r="AV234" t="n">
        <v>0</v>
      </c>
    </row>
    <row r="235">
      <c r="A235" t="n">
        <v>234</v>
      </c>
      <c r="B235" s="15" t="n">
        <v>0</v>
      </c>
      <c r="C235" t="n">
        <v>33.07454387</v>
      </c>
      <c r="D235" t="n">
        <v>18.79732027</v>
      </c>
      <c r="E235" t="n">
        <v>4.6933818</v>
      </c>
      <c r="F235" t="n">
        <v>0.193</v>
      </c>
      <c r="G235" t="n">
        <v>3.748</v>
      </c>
      <c r="H235" t="n">
        <v>0.466665092</v>
      </c>
      <c r="I235" t="n">
        <v>0</v>
      </c>
      <c r="J235" s="15" t="n">
        <v>0</v>
      </c>
      <c r="K235" s="15" t="n">
        <v>0</v>
      </c>
      <c r="L235" s="15" t="n">
        <v>0</v>
      </c>
      <c r="M235" t="n">
        <v>0</v>
      </c>
      <c r="N235" t="n">
        <v>0</v>
      </c>
      <c r="O235" s="15" t="n">
        <v>0</v>
      </c>
      <c r="P235" t="n">
        <v>4.786101789</v>
      </c>
      <c r="Q235" t="n">
        <v>1.614423962</v>
      </c>
      <c r="R235" t="n">
        <v>0</v>
      </c>
      <c r="S235" t="n">
        <v>0</v>
      </c>
      <c r="T235" s="15" t="n">
        <v>8.99e-08</v>
      </c>
      <c r="U235" t="n">
        <v>7.202771637</v>
      </c>
      <c r="V235" t="n">
        <v>0</v>
      </c>
      <c r="W235" t="n">
        <v>0</v>
      </c>
      <c r="X235" t="n">
        <v>0.9058148070000001</v>
      </c>
      <c r="Y235" t="n">
        <v>0.9058148070000001</v>
      </c>
      <c r="Z235" t="n">
        <v>1</v>
      </c>
      <c r="AA235" t="n">
        <v>0.75</v>
      </c>
      <c r="AB235" t="n">
        <v>99.15000000000001</v>
      </c>
      <c r="AC235" t="n">
        <v>0</v>
      </c>
      <c r="AD235" s="15" t="n">
        <v>0.07870000000000001</v>
      </c>
      <c r="AE235" t="n">
        <v>136.7997999</v>
      </c>
      <c r="AF235" t="n">
        <v>137.784351</v>
      </c>
      <c r="AG235" t="n">
        <v>121.5869682</v>
      </c>
      <c r="AH235" t="n">
        <v>89.02026303</v>
      </c>
      <c r="AI235" t="n">
        <v>100</v>
      </c>
      <c r="AJ235" t="n">
        <v>0</v>
      </c>
      <c r="AK235" t="n">
        <v>0</v>
      </c>
      <c r="AL235" t="n">
        <v>1.000104641</v>
      </c>
      <c r="AM235" t="n">
        <v>1.000127759</v>
      </c>
      <c r="AN235" t="n">
        <v>0</v>
      </c>
      <c r="AO235" t="n">
        <v>0</v>
      </c>
      <c r="AP235" t="n">
        <v>1</v>
      </c>
      <c r="AQ235" t="n">
        <v>0</v>
      </c>
      <c r="AR235" t="n">
        <v>48.996</v>
      </c>
      <c r="AS235" t="n">
        <v>67.66500000000001</v>
      </c>
      <c r="AT235" t="n">
        <v>147.747</v>
      </c>
      <c r="AU235" t="n">
        <v>324.891</v>
      </c>
      <c r="AV235" t="n">
        <v>0</v>
      </c>
    </row>
    <row r="236">
      <c r="A236" t="n">
        <v>235</v>
      </c>
      <c r="B236" t="n">
        <v>0.681412537</v>
      </c>
      <c r="C236" t="n">
        <v>29.8926759</v>
      </c>
      <c r="D236" t="n">
        <v>18.8640552</v>
      </c>
      <c r="E236" t="n">
        <v>4.606132043</v>
      </c>
      <c r="F236" t="n">
        <v>0.15</v>
      </c>
      <c r="G236" t="n">
        <v>3.7</v>
      </c>
      <c r="H236" t="n">
        <v>0.472323337</v>
      </c>
      <c r="I236" t="n">
        <v>0</v>
      </c>
      <c r="J236" t="n">
        <v>0.160033446</v>
      </c>
      <c r="K236" t="n">
        <v>0.681412537</v>
      </c>
      <c r="L236" t="n">
        <v>0.160033446</v>
      </c>
      <c r="M236" t="n">
        <v>0.521379092</v>
      </c>
      <c r="N236" t="n">
        <v>0</v>
      </c>
      <c r="O236" t="n">
        <v>0.160033451</v>
      </c>
      <c r="P236" t="n">
        <v>4.832442472</v>
      </c>
      <c r="Q236" t="n">
        <v>1.092042383</v>
      </c>
      <c r="R236" t="n">
        <v>0</v>
      </c>
      <c r="S236" t="n">
        <v>0</v>
      </c>
      <c r="T236" s="15" t="n">
        <v>9.29e-10</v>
      </c>
      <c r="U236" t="n">
        <v>6.270762704</v>
      </c>
      <c r="V236" t="n">
        <v>0</v>
      </c>
      <c r="W236" t="n">
        <v>0</v>
      </c>
      <c r="X236" t="n">
        <v>0.690914253</v>
      </c>
      <c r="Y236" t="n">
        <v>0.690914253</v>
      </c>
      <c r="Z236" t="n">
        <v>1</v>
      </c>
      <c r="AA236" t="n">
        <v>0.75</v>
      </c>
      <c r="AB236" t="n">
        <v>99.15000000000001</v>
      </c>
      <c r="AC236" t="n">
        <v>0</v>
      </c>
      <c r="AD236" s="15" t="n">
        <v>0.07240000000000001</v>
      </c>
      <c r="AE236" t="n">
        <v>136.0364587</v>
      </c>
      <c r="AF236" t="n">
        <v>136.7997999</v>
      </c>
      <c r="AG236" t="n">
        <v>121.2697818</v>
      </c>
      <c r="AH236" t="n">
        <v>88.79370127</v>
      </c>
      <c r="AI236" t="n">
        <v>100</v>
      </c>
      <c r="AJ236" t="n">
        <v>0</v>
      </c>
      <c r="AK236" t="n">
        <v>0</v>
      </c>
      <c r="AL236" t="n">
        <v>1.000052312</v>
      </c>
      <c r="AM236" t="n">
        <v>1.00006465</v>
      </c>
      <c r="AN236" t="n">
        <v>0</v>
      </c>
      <c r="AO236" t="n">
        <v>0</v>
      </c>
      <c r="AP236" t="n">
        <v>1</v>
      </c>
      <c r="AQ236" t="n">
        <v>0</v>
      </c>
      <c r="AR236" t="n">
        <v>48.996</v>
      </c>
      <c r="AS236" t="n">
        <v>67.66500000000001</v>
      </c>
      <c r="AT236" t="n">
        <v>147.747</v>
      </c>
      <c r="AU236" t="n">
        <v>324.891</v>
      </c>
      <c r="AV236" t="n">
        <v>0</v>
      </c>
    </row>
    <row r="237">
      <c r="A237" t="n">
        <v>236</v>
      </c>
      <c r="B237" s="15" t="n">
        <v>0.0196</v>
      </c>
      <c r="C237" t="n">
        <v>29.67454387</v>
      </c>
      <c r="D237" t="n">
        <v>16.86124941</v>
      </c>
      <c r="E237" t="n">
        <v>4.244646817</v>
      </c>
      <c r="F237" t="n">
        <v>0</v>
      </c>
      <c r="G237" t="n">
        <v>0</v>
      </c>
      <c r="H237" t="n">
        <v>0.479065731</v>
      </c>
      <c r="I237" t="n">
        <v>0</v>
      </c>
      <c r="J237" s="15" t="n">
        <v>0.0196</v>
      </c>
      <c r="K237" s="15" t="n">
        <v>0.0196</v>
      </c>
      <c r="L237" s="15" t="n">
        <v>0.0196</v>
      </c>
      <c r="M237" t="n">
        <v>0</v>
      </c>
      <c r="N237" t="n">
        <v>0</v>
      </c>
      <c r="O237" s="15" t="n">
        <v>0.0196</v>
      </c>
      <c r="P237" t="n">
        <v>5.093538602</v>
      </c>
      <c r="Q237" t="n">
        <v>0.773425563</v>
      </c>
      <c r="R237" t="n">
        <v>0</v>
      </c>
      <c r="S237" t="n">
        <v>0</v>
      </c>
      <c r="T237" s="15" t="n">
        <v>9.289999999999999e-12</v>
      </c>
      <c r="U237" t="n">
        <v>5.516926985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0.2</v>
      </c>
      <c r="AB237" t="n">
        <v>99.7</v>
      </c>
      <c r="AC237" t="n">
        <v>0</v>
      </c>
      <c r="AD237" s="15" t="n">
        <v>0.0689</v>
      </c>
      <c r="AE237" t="n">
        <v>36.2074819</v>
      </c>
      <c r="AF237" t="n">
        <v>36.27638898</v>
      </c>
      <c r="AG237" t="n">
        <v>32.23781884</v>
      </c>
      <c r="AH237" t="n">
        <v>23.60632775</v>
      </c>
      <c r="AI237" t="n">
        <v>100</v>
      </c>
      <c r="AJ237" t="n">
        <v>0</v>
      </c>
      <c r="AK237" t="n">
        <v>0</v>
      </c>
      <c r="AL237" t="n">
        <v>1.000026151</v>
      </c>
      <c r="AM237" t="n">
        <v>1.000032715</v>
      </c>
      <c r="AN237" t="n">
        <v>0</v>
      </c>
      <c r="AO237" t="n">
        <v>0</v>
      </c>
      <c r="AP237" t="n">
        <v>1</v>
      </c>
      <c r="AQ237" t="n">
        <v>0</v>
      </c>
      <c r="AR237" t="n">
        <v>13.0656</v>
      </c>
      <c r="AS237" t="n">
        <v>18.044</v>
      </c>
      <c r="AT237" t="n">
        <v>39.3992</v>
      </c>
      <c r="AU237" t="n">
        <v>86.63760000000001</v>
      </c>
      <c r="AV237" t="n">
        <v>0</v>
      </c>
    </row>
    <row r="238">
      <c r="A238" t="n">
        <v>237</v>
      </c>
      <c r="B238" t="n">
        <v>0</v>
      </c>
      <c r="C238" t="n">
        <v>29.53875059</v>
      </c>
      <c r="D238" t="n">
        <v>17.14339497</v>
      </c>
      <c r="E238" t="n">
        <v>4.395881682</v>
      </c>
      <c r="F238" t="n">
        <v>0</v>
      </c>
      <c r="G238" t="n">
        <v>0</v>
      </c>
      <c r="H238" t="n">
        <v>0.496258456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5.275022173</v>
      </c>
      <c r="Q238" t="n">
        <v>0.5092899319999999</v>
      </c>
      <c r="R238" t="n">
        <v>0</v>
      </c>
      <c r="S238" t="n">
        <v>0</v>
      </c>
      <c r="T238" s="15" t="n">
        <v>1.23e-14</v>
      </c>
      <c r="U238" t="n">
        <v>5.007637054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0.2</v>
      </c>
      <c r="AB238" t="n">
        <v>99.7</v>
      </c>
      <c r="AC238" t="n">
        <v>0</v>
      </c>
      <c r="AD238" s="15" t="n">
        <v>0.0672</v>
      </c>
      <c r="AE238" t="n">
        <v>36.14024707</v>
      </c>
      <c r="AF238" t="n">
        <v>36.2074819</v>
      </c>
      <c r="AG238" t="n">
        <v>31.98081099</v>
      </c>
      <c r="AH238" t="n">
        <v>23.42275071</v>
      </c>
      <c r="AI238" t="n">
        <v>100</v>
      </c>
      <c r="AJ238" t="n">
        <v>0</v>
      </c>
      <c r="AK238" t="n">
        <v>0</v>
      </c>
      <c r="AL238" t="n">
        <v>1.000013073</v>
      </c>
      <c r="AM238" t="n">
        <v>1.000016555</v>
      </c>
      <c r="AN238" t="n">
        <v>0</v>
      </c>
      <c r="AO238" t="n">
        <v>0</v>
      </c>
      <c r="AP238" t="n">
        <v>1</v>
      </c>
      <c r="AQ238" t="n">
        <v>0</v>
      </c>
      <c r="AR238" t="n">
        <v>13.0656</v>
      </c>
      <c r="AS238" t="n">
        <v>18.044</v>
      </c>
      <c r="AT238" t="n">
        <v>39.3992</v>
      </c>
      <c r="AU238" t="n">
        <v>86.63760000000001</v>
      </c>
      <c r="AV238" t="n">
        <v>0</v>
      </c>
    </row>
    <row r="239">
      <c r="A239" t="n">
        <v>238</v>
      </c>
      <c r="B239" t="n">
        <v>0</v>
      </c>
      <c r="C239" t="n">
        <v>30.32798433</v>
      </c>
      <c r="D239" t="n">
        <v>15.39732027</v>
      </c>
      <c r="E239" t="n">
        <v>4.708979767</v>
      </c>
      <c r="F239" t="n">
        <v>0</v>
      </c>
      <c r="G239" t="n">
        <v>0</v>
      </c>
      <c r="H239" t="n">
        <v>0.488999113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5.650740399</v>
      </c>
      <c r="Q239" t="n">
        <v>0.336217928</v>
      </c>
      <c r="R239" t="n">
        <v>0</v>
      </c>
      <c r="S239" t="n">
        <v>0</v>
      </c>
      <c r="T239" s="15" t="n">
        <v>1.25e-19</v>
      </c>
      <c r="U239" t="n">
        <v>4.671419125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0.2</v>
      </c>
      <c r="AB239" t="n">
        <v>99.7</v>
      </c>
      <c r="AC239" t="n">
        <v>0</v>
      </c>
      <c r="AD239" s="15" t="n">
        <v>0.06560000000000001</v>
      </c>
      <c r="AE239" t="n">
        <v>36.07460928</v>
      </c>
      <c r="AF239" t="n">
        <v>36.14024707</v>
      </c>
      <c r="AG239" t="n">
        <v>32.08932829</v>
      </c>
      <c r="AH239" t="n">
        <v>23.50026307</v>
      </c>
      <c r="AI239" t="n">
        <v>100</v>
      </c>
      <c r="AJ239" t="n">
        <v>0</v>
      </c>
      <c r="AK239" t="n">
        <v>0</v>
      </c>
      <c r="AL239" t="n">
        <v>1.000006536</v>
      </c>
      <c r="AM239" t="n">
        <v>1.000008377</v>
      </c>
      <c r="AN239" t="n">
        <v>0</v>
      </c>
      <c r="AO239" t="n">
        <v>0</v>
      </c>
      <c r="AP239" t="n">
        <v>1</v>
      </c>
      <c r="AQ239" t="n">
        <v>0</v>
      </c>
      <c r="AR239" t="n">
        <v>13.0656</v>
      </c>
      <c r="AS239" t="n">
        <v>18.044</v>
      </c>
      <c r="AT239" t="n">
        <v>39.3992</v>
      </c>
      <c r="AU239" t="n">
        <v>86.63760000000001</v>
      </c>
      <c r="AV239" t="n">
        <v>0</v>
      </c>
    </row>
    <row r="240">
      <c r="A240" t="n">
        <v>239</v>
      </c>
      <c r="B240" s="15" t="n">
        <v>0</v>
      </c>
      <c r="C240" t="n">
        <v>23.87454387</v>
      </c>
      <c r="D240" t="n">
        <v>17.21528457</v>
      </c>
      <c r="E240" t="n">
        <v>3.225843645</v>
      </c>
      <c r="F240" t="n">
        <v>0</v>
      </c>
      <c r="G240" t="n">
        <v>0</v>
      </c>
      <c r="H240" t="n">
        <v>0.473970385</v>
      </c>
      <c r="I240" t="n">
        <v>0</v>
      </c>
      <c r="J240" s="15" t="n">
        <v>0</v>
      </c>
      <c r="K240" s="15" t="n">
        <v>0</v>
      </c>
      <c r="L240" s="15" t="n">
        <v>0</v>
      </c>
      <c r="M240" t="n">
        <v>0</v>
      </c>
      <c r="N240" t="n">
        <v>0</v>
      </c>
      <c r="O240" s="15" t="n">
        <v>0</v>
      </c>
      <c r="P240" t="n">
        <v>3.870990149</v>
      </c>
      <c r="Q240" t="n">
        <v>0.150097273</v>
      </c>
      <c r="R240" t="n">
        <v>0</v>
      </c>
      <c r="S240" t="n">
        <v>0</v>
      </c>
      <c r="T240" s="15" t="n">
        <v>0</v>
      </c>
      <c r="U240" t="n">
        <v>4.521321852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0.2</v>
      </c>
      <c r="AB240" t="n">
        <v>99.7</v>
      </c>
      <c r="AC240" t="n">
        <v>0</v>
      </c>
      <c r="AD240" s="15" t="n">
        <v>0.0641</v>
      </c>
      <c r="AE240" t="n">
        <v>36.01049868</v>
      </c>
      <c r="AF240" t="n">
        <v>36.07460928</v>
      </c>
      <c r="AG240" t="n">
        <v>32.31398735</v>
      </c>
      <c r="AH240" t="n">
        <v>23.66073382</v>
      </c>
      <c r="AI240" t="n">
        <v>100</v>
      </c>
      <c r="AJ240" t="n">
        <v>0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1</v>
      </c>
      <c r="AQ240" t="n">
        <v>0</v>
      </c>
      <c r="AR240" t="n">
        <v>13.0656</v>
      </c>
      <c r="AS240" t="n">
        <v>18.044</v>
      </c>
      <c r="AT240" t="n">
        <v>39.3992</v>
      </c>
      <c r="AU240" t="n">
        <v>86.63760000000001</v>
      </c>
      <c r="AV240" t="n">
        <v>0</v>
      </c>
    </row>
    <row r="241">
      <c r="A241" t="n">
        <v>240</v>
      </c>
      <c r="B241" t="n">
        <v>4.540804357</v>
      </c>
      <c r="C241" t="n">
        <v>27.05660503</v>
      </c>
      <c r="D241" t="n">
        <v>16.26124941</v>
      </c>
      <c r="E241" t="n">
        <v>4.226548218</v>
      </c>
      <c r="F241" t="n">
        <v>0</v>
      </c>
      <c r="G241" t="n">
        <v>0</v>
      </c>
      <c r="H241" t="n">
        <v>0.545160393</v>
      </c>
      <c r="I241" t="n">
        <v>0</v>
      </c>
      <c r="J241" t="n">
        <v>4.540804357</v>
      </c>
      <c r="K241" t="n">
        <v>4.540804357</v>
      </c>
      <c r="L241" t="n">
        <v>4.540804357</v>
      </c>
      <c r="M241" t="n">
        <v>0</v>
      </c>
      <c r="N241" t="n">
        <v>0</v>
      </c>
      <c r="O241" t="n">
        <v>4.540804493</v>
      </c>
      <c r="P241" t="n">
        <v>5.07183115</v>
      </c>
      <c r="Q241" t="n">
        <v>0.9789408509999999</v>
      </c>
      <c r="R241" t="n">
        <v>0</v>
      </c>
      <c r="S241" t="n">
        <v>0</v>
      </c>
      <c r="T241" s="15" t="n">
        <v>2.28e-09</v>
      </c>
      <c r="U241" t="n">
        <v>8.083185492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0.2</v>
      </c>
      <c r="AB241" t="n">
        <v>99.7</v>
      </c>
      <c r="AC241" t="n">
        <v>0</v>
      </c>
      <c r="AD241" s="15" t="n">
        <v>0.0626</v>
      </c>
      <c r="AE241" t="n">
        <v>35.94784929</v>
      </c>
      <c r="AF241" t="n">
        <v>36.01049868</v>
      </c>
      <c r="AG241" t="n">
        <v>31.24979354</v>
      </c>
      <c r="AH241" t="n">
        <v>22.90059539</v>
      </c>
      <c r="AI241" t="n">
        <v>100</v>
      </c>
      <c r="AJ241" t="n">
        <v>0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1</v>
      </c>
      <c r="AQ241" t="n">
        <v>0</v>
      </c>
      <c r="AR241" t="n">
        <v>13.0656</v>
      </c>
      <c r="AS241" t="n">
        <v>18.044</v>
      </c>
      <c r="AT241" t="n">
        <v>39.3992</v>
      </c>
      <c r="AU241" t="n">
        <v>86.63760000000001</v>
      </c>
      <c r="AV241" t="n">
        <v>0</v>
      </c>
    </row>
    <row r="242">
      <c r="A242" t="n">
        <v>241</v>
      </c>
      <c r="B242" t="n">
        <v>0</v>
      </c>
      <c r="C242" t="n">
        <v>28.27454387</v>
      </c>
      <c r="D242" t="n">
        <v>12.24339497</v>
      </c>
      <c r="E242" t="n">
        <v>4.272270419</v>
      </c>
      <c r="F242" t="n">
        <v>0</v>
      </c>
      <c r="G242" t="n">
        <v>0</v>
      </c>
      <c r="H242" t="n">
        <v>0.497126754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5.126699771</v>
      </c>
      <c r="Q242" t="n">
        <v>1.436728937</v>
      </c>
      <c r="R242" t="n">
        <v>0</v>
      </c>
      <c r="S242" t="n">
        <v>0</v>
      </c>
      <c r="T242" s="15" t="n">
        <v>1.41e-08</v>
      </c>
      <c r="U242" t="n">
        <v>6.646456541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0.2</v>
      </c>
      <c r="AB242" t="n">
        <v>99.7</v>
      </c>
      <c r="AC242" t="n">
        <v>0</v>
      </c>
      <c r="AD242" s="15" t="n">
        <v>0.0612</v>
      </c>
      <c r="AE242" t="n">
        <v>35.88659972</v>
      </c>
      <c r="AF242" t="n">
        <v>35.94784929</v>
      </c>
      <c r="AG242" t="n">
        <v>31.96783112</v>
      </c>
      <c r="AH242" t="n">
        <v>23.41347937</v>
      </c>
      <c r="AI242" t="n">
        <v>100</v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13.0656</v>
      </c>
      <c r="AS242" t="n">
        <v>18.044</v>
      </c>
      <c r="AT242" t="n">
        <v>39.3992</v>
      </c>
      <c r="AU242" t="n">
        <v>86.63760000000001</v>
      </c>
      <c r="AV242" t="n">
        <v>0</v>
      </c>
    </row>
    <row r="243">
      <c r="A243" t="n">
        <v>242</v>
      </c>
      <c r="B243" t="n">
        <v>0</v>
      </c>
      <c r="C243" t="n">
        <v>28.92798433</v>
      </c>
      <c r="D243" t="n">
        <v>13.63815892</v>
      </c>
      <c r="E243" t="n">
        <v>4.226107473</v>
      </c>
      <c r="F243" t="n">
        <v>0</v>
      </c>
      <c r="G243" t="n">
        <v>0</v>
      </c>
      <c r="H243" t="n">
        <v>0.494932009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5.071306591</v>
      </c>
      <c r="Q243" t="n">
        <v>0.9032640790000001</v>
      </c>
      <c r="R243" t="n">
        <v>0</v>
      </c>
      <c r="S243" t="n">
        <v>0</v>
      </c>
      <c r="T243" s="15" t="n">
        <v>7.36e-11</v>
      </c>
      <c r="U243" t="n">
        <v>5.743192462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0.2</v>
      </c>
      <c r="AB243" t="n">
        <v>99.7</v>
      </c>
      <c r="AC243" t="n">
        <v>0</v>
      </c>
      <c r="AD243" s="15" t="n">
        <v>0.0599</v>
      </c>
      <c r="AE243" t="n">
        <v>35.82669227</v>
      </c>
      <c r="AF243" t="n">
        <v>35.88659972</v>
      </c>
      <c r="AG243" t="n">
        <v>32.00063957</v>
      </c>
      <c r="AH243" t="n">
        <v>23.43691398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13.0656</v>
      </c>
      <c r="AS243" t="n">
        <v>18.044</v>
      </c>
      <c r="AT243" t="n">
        <v>39.3992</v>
      </c>
      <c r="AU243" t="n">
        <v>86.63760000000001</v>
      </c>
      <c r="AV243" t="n">
        <v>0</v>
      </c>
    </row>
    <row r="244">
      <c r="A244" t="n">
        <v>243</v>
      </c>
      <c r="B244" t="n">
        <v>0.369703635</v>
      </c>
      <c r="C244" t="n">
        <v>28.4460747</v>
      </c>
      <c r="D244" t="n">
        <v>16.6047959</v>
      </c>
      <c r="E244" t="n">
        <v>3.994686615</v>
      </c>
      <c r="F244" t="n">
        <v>0</v>
      </c>
      <c r="G244" t="n">
        <v>0</v>
      </c>
      <c r="H244" t="n">
        <v>0.497147736</v>
      </c>
      <c r="I244" t="n">
        <v>0</v>
      </c>
      <c r="J244" t="n">
        <v>0.369703635</v>
      </c>
      <c r="K244" t="n">
        <v>0.369703635</v>
      </c>
      <c r="L244" t="n">
        <v>0.369703635</v>
      </c>
      <c r="M244" t="n">
        <v>0</v>
      </c>
      <c r="N244" t="n">
        <v>0</v>
      </c>
      <c r="O244" t="n">
        <v>0.369703646</v>
      </c>
      <c r="P244" t="n">
        <v>4.793604618</v>
      </c>
      <c r="Q244" t="n">
        <v>0.616136226</v>
      </c>
      <c r="R244" t="n">
        <v>0</v>
      </c>
      <c r="S244" t="n">
        <v>0</v>
      </c>
      <c r="T244" s="15" t="n">
        <v>3.29e-13</v>
      </c>
      <c r="U244" t="n">
        <v>5.496759883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0.2</v>
      </c>
      <c r="AB244" t="n">
        <v>99.7</v>
      </c>
      <c r="AC244" t="n">
        <v>0</v>
      </c>
      <c r="AD244" s="15" t="n">
        <v>0.0586</v>
      </c>
      <c r="AE244" t="n">
        <v>35.7680727</v>
      </c>
      <c r="AF244" t="n">
        <v>35.82669227</v>
      </c>
      <c r="AG244" t="n">
        <v>31.96751746</v>
      </c>
      <c r="AH244" t="n">
        <v>23.41325533</v>
      </c>
      <c r="AI244" t="n">
        <v>100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1</v>
      </c>
      <c r="AQ244" t="n">
        <v>0</v>
      </c>
      <c r="AR244" t="n">
        <v>13.0656</v>
      </c>
      <c r="AS244" t="n">
        <v>18.044</v>
      </c>
      <c r="AT244" t="n">
        <v>39.3992</v>
      </c>
      <c r="AU244" t="n">
        <v>86.63760000000001</v>
      </c>
      <c r="AV244" t="n">
        <v>0</v>
      </c>
    </row>
    <row r="245">
      <c r="A245" t="n">
        <v>244</v>
      </c>
      <c r="B245" s="15" t="n">
        <v>0.0196</v>
      </c>
      <c r="C245" t="n">
        <v>30.13875059</v>
      </c>
      <c r="D245" t="n">
        <v>14.23326507</v>
      </c>
      <c r="E245" t="n">
        <v>4.284630634</v>
      </c>
      <c r="F245" t="n">
        <v>0</v>
      </c>
      <c r="G245" t="n">
        <v>0</v>
      </c>
      <c r="H245" t="n">
        <v>0.5082558150000001</v>
      </c>
      <c r="I245" t="n">
        <v>0</v>
      </c>
      <c r="J245" s="15" t="n">
        <v>0.0196</v>
      </c>
      <c r="K245" s="15" t="n">
        <v>0.0196</v>
      </c>
      <c r="L245" s="15" t="n">
        <v>0.0196</v>
      </c>
      <c r="M245" t="n">
        <v>0</v>
      </c>
      <c r="N245" t="n">
        <v>0</v>
      </c>
      <c r="O245" s="15" t="n">
        <v>0.0196</v>
      </c>
      <c r="P245" t="n">
        <v>5.141537863</v>
      </c>
      <c r="Q245" t="n">
        <v>0.495392488</v>
      </c>
      <c r="R245" t="n">
        <v>0</v>
      </c>
      <c r="S245" t="n">
        <v>0</v>
      </c>
      <c r="T245" s="15" t="n">
        <v>1.01e-14</v>
      </c>
      <c r="U245" t="n">
        <v>5.02095724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0.2</v>
      </c>
      <c r="AB245" t="n">
        <v>99.7</v>
      </c>
      <c r="AC245" t="n">
        <v>0</v>
      </c>
      <c r="AD245" s="15" t="n">
        <v>0.0574</v>
      </c>
      <c r="AE245" t="n">
        <v>35.71068991</v>
      </c>
      <c r="AF245" t="n">
        <v>35.7680727</v>
      </c>
      <c r="AG245" t="n">
        <v>31.80146679</v>
      </c>
      <c r="AH245" t="n">
        <v>23.29464771</v>
      </c>
      <c r="AI245" t="n">
        <v>100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13.0656</v>
      </c>
      <c r="AS245" t="n">
        <v>18.044</v>
      </c>
      <c r="AT245" t="n">
        <v>39.3992</v>
      </c>
      <c r="AU245" t="n">
        <v>86.63760000000001</v>
      </c>
      <c r="AV245" t="n">
        <v>0</v>
      </c>
    </row>
    <row r="246">
      <c r="A246" t="n">
        <v>245</v>
      </c>
      <c r="B246" t="n">
        <v>0</v>
      </c>
      <c r="C246" t="n">
        <v>29.3460747</v>
      </c>
      <c r="D246" t="n">
        <v>16.24058917</v>
      </c>
      <c r="E246" t="n">
        <v>4.602852172</v>
      </c>
      <c r="F246" t="n">
        <v>0</v>
      </c>
      <c r="G246" t="n">
        <v>0</v>
      </c>
      <c r="H246" t="n">
        <v>0.494338486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5.523404117</v>
      </c>
      <c r="Q246" t="n">
        <v>0.335503136</v>
      </c>
      <c r="R246" t="n">
        <v>0</v>
      </c>
      <c r="S246" t="n">
        <v>0</v>
      </c>
      <c r="T246" s="15" t="n">
        <v>2.28e-19</v>
      </c>
      <c r="U246" t="n">
        <v>4.685454104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0.2</v>
      </c>
      <c r="AB246" t="n">
        <v>99.7</v>
      </c>
      <c r="AC246" t="n">
        <v>0</v>
      </c>
      <c r="AD246" s="15" t="n">
        <v>0.0562</v>
      </c>
      <c r="AE246" t="n">
        <v>35.65449572</v>
      </c>
      <c r="AF246" t="n">
        <v>35.71068991</v>
      </c>
      <c r="AG246" t="n">
        <v>32.00951194</v>
      </c>
      <c r="AH246" t="n">
        <v>23.44325139</v>
      </c>
      <c r="AI246" t="n">
        <v>100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13.0656</v>
      </c>
      <c r="AS246" t="n">
        <v>18.044</v>
      </c>
      <c r="AT246" t="n">
        <v>39.3992</v>
      </c>
      <c r="AU246" t="n">
        <v>86.63760000000001</v>
      </c>
      <c r="AV246" t="n">
        <v>0</v>
      </c>
    </row>
    <row r="247">
      <c r="A247" t="n">
        <v>246</v>
      </c>
      <c r="B247" t="n">
        <v>0</v>
      </c>
      <c r="C247" t="n">
        <v>29.0926759</v>
      </c>
      <c r="D247" t="n">
        <v>16.58666387</v>
      </c>
      <c r="E247" t="n">
        <v>4.089085135</v>
      </c>
      <c r="F247" t="n">
        <v>0</v>
      </c>
      <c r="G247" t="n">
        <v>0</v>
      </c>
      <c r="H247" t="n">
        <v>0.479063836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4.906887227</v>
      </c>
      <c r="Q247" t="n">
        <v>0.187237608</v>
      </c>
      <c r="R247" t="n">
        <v>0</v>
      </c>
      <c r="S247" t="n">
        <v>0</v>
      </c>
      <c r="T247" s="15" t="n">
        <v>0</v>
      </c>
      <c r="U247" t="n">
        <v>4.498216496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0.2</v>
      </c>
      <c r="AB247" t="n">
        <v>99.7</v>
      </c>
      <c r="AC247" t="n">
        <v>0</v>
      </c>
      <c r="AD247" s="15" t="n">
        <v>0.0551</v>
      </c>
      <c r="AE247" t="n">
        <v>35.59944468</v>
      </c>
      <c r="AF247" t="n">
        <v>35.65449572</v>
      </c>
      <c r="AG247" t="n">
        <v>32.23784718</v>
      </c>
      <c r="AH247" t="n">
        <v>23.60634799</v>
      </c>
      <c r="AI247" t="n">
        <v>100</v>
      </c>
      <c r="AJ247" t="n">
        <v>0</v>
      </c>
      <c r="AK247" t="n">
        <v>0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n">
        <v>13.0656</v>
      </c>
      <c r="AS247" t="n">
        <v>18.044</v>
      </c>
      <c r="AT247" t="n">
        <v>39.3992</v>
      </c>
      <c r="AU247" t="n">
        <v>86.63760000000001</v>
      </c>
      <c r="AV247" t="n">
        <v>0</v>
      </c>
    </row>
    <row r="248">
      <c r="A248" t="n">
        <v>247</v>
      </c>
      <c r="B248" s="15" t="n">
        <v>0</v>
      </c>
      <c r="C248" t="n">
        <v>29.57454387</v>
      </c>
      <c r="D248" t="n">
        <v>16.31798051</v>
      </c>
      <c r="E248" t="n">
        <v>3.898662235</v>
      </c>
      <c r="F248" t="n">
        <v>0</v>
      </c>
      <c r="G248" t="n">
        <v>0</v>
      </c>
      <c r="H248" t="n">
        <v>0.503724511</v>
      </c>
      <c r="I248" t="n">
        <v>0</v>
      </c>
      <c r="J248" s="15" t="n">
        <v>0</v>
      </c>
      <c r="K248" s="15" t="n">
        <v>0</v>
      </c>
      <c r="L248" s="15" t="n">
        <v>0</v>
      </c>
      <c r="M248" t="n">
        <v>0</v>
      </c>
      <c r="N248" t="n">
        <v>0</v>
      </c>
      <c r="O248" s="15" t="n">
        <v>0</v>
      </c>
      <c r="P248" t="n">
        <v>4.678381753</v>
      </c>
      <c r="Q248" t="n">
        <v>0.116572418</v>
      </c>
      <c r="R248" t="n">
        <v>0</v>
      </c>
      <c r="S248" t="n">
        <v>0</v>
      </c>
      <c r="T248" s="15" t="n">
        <v>0</v>
      </c>
      <c r="U248" t="n">
        <v>4.381644078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0.2</v>
      </c>
      <c r="AB248" t="n">
        <v>99.7</v>
      </c>
      <c r="AC248" t="n">
        <v>0</v>
      </c>
      <c r="AD248" s="15" t="n">
        <v>0.054</v>
      </c>
      <c r="AE248" t="n">
        <v>35.54549382</v>
      </c>
      <c r="AF248" t="n">
        <v>35.59944468</v>
      </c>
      <c r="AG248" t="n">
        <v>31.86920363</v>
      </c>
      <c r="AH248" t="n">
        <v>23.34303116</v>
      </c>
      <c r="AI248" t="n">
        <v>100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13.0656</v>
      </c>
      <c r="AS248" t="n">
        <v>18.044</v>
      </c>
      <c r="AT248" t="n">
        <v>39.3992</v>
      </c>
      <c r="AU248" t="n">
        <v>86.63760000000001</v>
      </c>
      <c r="AV248" t="n">
        <v>0</v>
      </c>
    </row>
    <row r="249">
      <c r="A249" t="n">
        <v>248</v>
      </c>
      <c r="B249" t="n">
        <v>0</v>
      </c>
      <c r="C249" t="n">
        <v>30.32066023</v>
      </c>
      <c r="D249" t="n">
        <v>15.46124941</v>
      </c>
      <c r="E249" t="n">
        <v>4.049522872</v>
      </c>
      <c r="F249" t="n">
        <v>0</v>
      </c>
      <c r="G249" t="n">
        <v>0</v>
      </c>
      <c r="H249" t="n">
        <v>0.51286473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4.859415272</v>
      </c>
      <c r="Q249" s="15" t="n">
        <v>0.0793</v>
      </c>
      <c r="R249" t="n">
        <v>0</v>
      </c>
      <c r="S249" t="n">
        <v>0</v>
      </c>
      <c r="T249" s="15" t="n">
        <v>0</v>
      </c>
      <c r="U249" t="n">
        <v>4.302327027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0.2</v>
      </c>
      <c r="AB249" t="n">
        <v>99.7</v>
      </c>
      <c r="AC249" t="n">
        <v>0</v>
      </c>
      <c r="AD249" s="15" t="n">
        <v>0.0529</v>
      </c>
      <c r="AE249" t="n">
        <v>35.49260251</v>
      </c>
      <c r="AF249" t="n">
        <v>35.54549382</v>
      </c>
      <c r="AG249" t="n">
        <v>31.73256979</v>
      </c>
      <c r="AH249" t="n">
        <v>23.24543556</v>
      </c>
      <c r="AI249" t="n">
        <v>100</v>
      </c>
      <c r="AJ249" t="n">
        <v>0</v>
      </c>
      <c r="AK249" t="n">
        <v>0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13.0656</v>
      </c>
      <c r="AS249" t="n">
        <v>18.044</v>
      </c>
      <c r="AT249" t="n">
        <v>39.3992</v>
      </c>
      <c r="AU249" t="n">
        <v>86.63760000000001</v>
      </c>
      <c r="AV249" t="n">
        <v>0</v>
      </c>
    </row>
    <row r="250">
      <c r="A250" t="n">
        <v>249</v>
      </c>
      <c r="B250" s="15" t="n">
        <v>0</v>
      </c>
      <c r="C250" t="n">
        <v>30.36673493</v>
      </c>
      <c r="D250" t="n">
        <v>17.48666387</v>
      </c>
      <c r="E250" t="n">
        <v>4.18995794</v>
      </c>
      <c r="F250" t="n">
        <v>0</v>
      </c>
      <c r="G250" t="n">
        <v>0</v>
      </c>
      <c r="H250" t="n">
        <v>0.505623389</v>
      </c>
      <c r="I250" t="n">
        <v>0</v>
      </c>
      <c r="J250" s="15" t="n">
        <v>0</v>
      </c>
      <c r="K250" s="15" t="n">
        <v>0</v>
      </c>
      <c r="L250" s="15" t="n">
        <v>0</v>
      </c>
      <c r="M250" t="n">
        <v>0</v>
      </c>
      <c r="N250" t="n">
        <v>0</v>
      </c>
      <c r="O250" s="15" t="n">
        <v>0</v>
      </c>
      <c r="P250" t="n">
        <v>5.027938127</v>
      </c>
      <c r="Q250" s="15" t="n">
        <v>0.0529</v>
      </c>
      <c r="R250" t="n">
        <v>0</v>
      </c>
      <c r="S250" t="n">
        <v>0</v>
      </c>
      <c r="T250" s="15" t="n">
        <v>0</v>
      </c>
      <c r="U250" t="n">
        <v>4.249383941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0.2</v>
      </c>
      <c r="AB250" t="n">
        <v>99.7</v>
      </c>
      <c r="AC250" t="n">
        <v>0</v>
      </c>
      <c r="AD250" s="15" t="n">
        <v>0.0519</v>
      </c>
      <c r="AE250" t="n">
        <v>35.44073229</v>
      </c>
      <c r="AF250" t="n">
        <v>35.49260251</v>
      </c>
      <c r="AG250" t="n">
        <v>31.84081798</v>
      </c>
      <c r="AH250" t="n">
        <v>23.3227557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13.0656</v>
      </c>
      <c r="AS250" t="n">
        <v>18.044</v>
      </c>
      <c r="AT250" t="n">
        <v>39.3992</v>
      </c>
      <c r="AU250" t="n">
        <v>86.63760000000001</v>
      </c>
      <c r="AV250" t="n">
        <v>0</v>
      </c>
    </row>
    <row r="251">
      <c r="A251" t="n">
        <v>250</v>
      </c>
      <c r="B251" t="n">
        <v>0</v>
      </c>
      <c r="C251" t="n">
        <v>30.12798433</v>
      </c>
      <c r="D251" t="n">
        <v>15.98666387</v>
      </c>
      <c r="E251" t="n">
        <v>4.035413121</v>
      </c>
      <c r="F251" t="n">
        <v>0</v>
      </c>
      <c r="G251" t="n">
        <v>0</v>
      </c>
      <c r="H251" t="n">
        <v>0.498882475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4.842485822</v>
      </c>
      <c r="Q251" s="15" t="n">
        <v>0.033</v>
      </c>
      <c r="R251" t="n">
        <v>0</v>
      </c>
      <c r="S251" t="n">
        <v>0</v>
      </c>
      <c r="T251" s="15" t="n">
        <v>0</v>
      </c>
      <c r="U251" t="n">
        <v>4.216406894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0.2</v>
      </c>
      <c r="AB251" t="n">
        <v>99.7</v>
      </c>
      <c r="AC251" t="n">
        <v>0</v>
      </c>
      <c r="AD251" s="15" t="n">
        <v>0.0509</v>
      </c>
      <c r="AE251" t="n">
        <v>35.38984672</v>
      </c>
      <c r="AF251" t="n">
        <v>35.44073229</v>
      </c>
      <c r="AG251" t="n">
        <v>31.94158548</v>
      </c>
      <c r="AH251" t="n">
        <v>23.39473249</v>
      </c>
      <c r="AI251" t="n">
        <v>100</v>
      </c>
      <c r="AJ251" t="n">
        <v>0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1</v>
      </c>
      <c r="AQ251" t="n">
        <v>0</v>
      </c>
      <c r="AR251" t="n">
        <v>13.0656</v>
      </c>
      <c r="AS251" t="n">
        <v>18.044</v>
      </c>
      <c r="AT251" t="n">
        <v>39.3992</v>
      </c>
      <c r="AU251" t="n">
        <v>86.63760000000001</v>
      </c>
      <c r="AV251" t="n">
        <v>0</v>
      </c>
    </row>
    <row r="252">
      <c r="A252" t="n">
        <v>251</v>
      </c>
      <c r="B252" t="n">
        <v>0</v>
      </c>
      <c r="C252" t="n">
        <v>29.85660503</v>
      </c>
      <c r="D252" t="n">
        <v>16.71992894</v>
      </c>
      <c r="E252" t="n">
        <v>4.206140792</v>
      </c>
      <c r="F252" t="n">
        <v>0</v>
      </c>
      <c r="G252" t="n">
        <v>0</v>
      </c>
      <c r="H252" t="n">
        <v>0.506300567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5.047359619</v>
      </c>
      <c r="Q252" s="15" t="n">
        <v>0.0221</v>
      </c>
      <c r="R252" t="n">
        <v>0</v>
      </c>
      <c r="S252" t="n">
        <v>0</v>
      </c>
      <c r="T252" s="15" t="n">
        <v>0</v>
      </c>
      <c r="U252" t="n">
        <v>4.194345086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0.2</v>
      </c>
      <c r="AB252" t="n">
        <v>99.7</v>
      </c>
      <c r="AC252" t="n">
        <v>0</v>
      </c>
      <c r="AD252" s="15" t="n">
        <v>0.0499</v>
      </c>
      <c r="AE252" t="n">
        <v>35.33991121</v>
      </c>
      <c r="AF252" t="n">
        <v>35.38984672</v>
      </c>
      <c r="AG252" t="n">
        <v>31.83069509</v>
      </c>
      <c r="AH252" t="n">
        <v>23.31552507</v>
      </c>
      <c r="AI252" t="n">
        <v>100</v>
      </c>
      <c r="AJ252" t="n">
        <v>0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1</v>
      </c>
      <c r="AQ252" t="n">
        <v>0</v>
      </c>
      <c r="AR252" t="n">
        <v>13.0656</v>
      </c>
      <c r="AS252" t="n">
        <v>18.044</v>
      </c>
      <c r="AT252" t="n">
        <v>39.3992</v>
      </c>
      <c r="AU252" t="n">
        <v>86.63760000000001</v>
      </c>
      <c r="AV252" t="n">
        <v>0</v>
      </c>
    </row>
    <row r="253">
      <c r="A253" t="n">
        <v>252</v>
      </c>
      <c r="B253" t="n">
        <v>0</v>
      </c>
      <c r="C253" t="n">
        <v>29.65660503</v>
      </c>
      <c r="D253" t="n">
        <v>16.37666004</v>
      </c>
      <c r="E253" t="n">
        <v>3.783521489</v>
      </c>
      <c r="F253" t="n">
        <v>0</v>
      </c>
      <c r="G253" t="n">
        <v>0</v>
      </c>
      <c r="H253" t="n">
        <v>0.498105615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4.540218227</v>
      </c>
      <c r="Q253" s="15" t="n">
        <v>0.0129</v>
      </c>
      <c r="R253" t="n">
        <v>0</v>
      </c>
      <c r="S253" t="n">
        <v>0</v>
      </c>
      <c r="T253" s="15" t="n">
        <v>0</v>
      </c>
      <c r="U253" t="n">
        <v>4.181484915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0.2</v>
      </c>
      <c r="AB253" t="n">
        <v>99.7</v>
      </c>
      <c r="AC253" t="n">
        <v>0</v>
      </c>
      <c r="AD253" s="15" t="n">
        <v>0.049</v>
      </c>
      <c r="AE253" t="n">
        <v>35.29089296</v>
      </c>
      <c r="AF253" t="n">
        <v>35.33991121</v>
      </c>
      <c r="AG253" t="n">
        <v>31.95319847</v>
      </c>
      <c r="AH253" t="n">
        <v>23.40302748</v>
      </c>
      <c r="AI253" t="n">
        <v>100</v>
      </c>
      <c r="AJ253" t="n">
        <v>0</v>
      </c>
      <c r="AK253" t="n">
        <v>0</v>
      </c>
      <c r="AL253" t="n">
        <v>1</v>
      </c>
      <c r="AM253" t="n">
        <v>1</v>
      </c>
      <c r="AN253" t="n">
        <v>0</v>
      </c>
      <c r="AO253" t="n">
        <v>0</v>
      </c>
      <c r="AP253" t="n">
        <v>1</v>
      </c>
      <c r="AQ253" t="n">
        <v>0</v>
      </c>
      <c r="AR253" t="n">
        <v>13.0656</v>
      </c>
      <c r="AS253" t="n">
        <v>18.044</v>
      </c>
      <c r="AT253" t="n">
        <v>39.3992</v>
      </c>
      <c r="AU253" t="n">
        <v>86.63760000000001</v>
      </c>
      <c r="AV253" t="n">
        <v>0</v>
      </c>
    </row>
    <row r="254">
      <c r="A254" t="n">
        <v>253</v>
      </c>
      <c r="B254" s="15" t="n">
        <v>0</v>
      </c>
      <c r="C254" t="n">
        <v>29.97454387</v>
      </c>
      <c r="D254" t="n">
        <v>16.34819087</v>
      </c>
      <c r="E254" t="n">
        <v>3.27784474</v>
      </c>
      <c r="F254" t="n">
        <v>0</v>
      </c>
      <c r="G254" t="n">
        <v>0</v>
      </c>
      <c r="H254" t="n">
        <v>0.518391271</v>
      </c>
      <c r="I254" t="n">
        <v>0</v>
      </c>
      <c r="J254" s="15" t="n">
        <v>0</v>
      </c>
      <c r="K254" s="15" t="n">
        <v>0</v>
      </c>
      <c r="L254" s="15" t="n">
        <v>0</v>
      </c>
      <c r="M254" t="n">
        <v>0</v>
      </c>
      <c r="N254" t="n">
        <v>0</v>
      </c>
      <c r="O254" s="15" t="n">
        <v>0</v>
      </c>
      <c r="P254" t="n">
        <v>3.933407799</v>
      </c>
      <c r="Q254" s="15" t="n">
        <v>0.00759</v>
      </c>
      <c r="R254" t="n">
        <v>0</v>
      </c>
      <c r="S254" t="n">
        <v>0</v>
      </c>
      <c r="T254" s="15" t="n">
        <v>0</v>
      </c>
      <c r="U254" t="n">
        <v>4.17389302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0.2</v>
      </c>
      <c r="AB254" t="n">
        <v>99.7</v>
      </c>
      <c r="AC254" t="n">
        <v>0</v>
      </c>
      <c r="AD254" s="15" t="n">
        <v>0.0481</v>
      </c>
      <c r="AE254" t="n">
        <v>35.2427608</v>
      </c>
      <c r="AF254" t="n">
        <v>35.29089296</v>
      </c>
      <c r="AG254" t="n">
        <v>31.64995552</v>
      </c>
      <c r="AH254" t="n">
        <v>23.18642537</v>
      </c>
      <c r="AI254" t="n">
        <v>100</v>
      </c>
      <c r="AJ254" t="n">
        <v>0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1</v>
      </c>
      <c r="AQ254" t="n">
        <v>0</v>
      </c>
      <c r="AR254" t="n">
        <v>13.0656</v>
      </c>
      <c r="AS254" t="n">
        <v>18.044</v>
      </c>
      <c r="AT254" t="n">
        <v>39.3992</v>
      </c>
      <c r="AU254" t="n">
        <v>86.63760000000001</v>
      </c>
      <c r="AV254" t="n">
        <v>0</v>
      </c>
    </row>
    <row r="255">
      <c r="A255" t="n">
        <v>254</v>
      </c>
      <c r="B255" s="15" t="n">
        <v>0</v>
      </c>
      <c r="C255" t="n">
        <v>30.94928093</v>
      </c>
      <c r="D255" t="n">
        <v>18.37201567</v>
      </c>
      <c r="E255" t="n">
        <v>3.73395036</v>
      </c>
      <c r="F255" t="n">
        <v>0</v>
      </c>
      <c r="G255" t="n">
        <v>0</v>
      </c>
      <c r="H255" t="n">
        <v>0.542663687</v>
      </c>
      <c r="I255" t="n">
        <v>0</v>
      </c>
      <c r="J255" s="15" t="n">
        <v>0</v>
      </c>
      <c r="K255" s="15" t="n">
        <v>0</v>
      </c>
      <c r="L255" s="15" t="n">
        <v>0</v>
      </c>
      <c r="M255" t="n">
        <v>0</v>
      </c>
      <c r="N255" t="n">
        <v>0</v>
      </c>
      <c r="O255" s="15" t="n">
        <v>0</v>
      </c>
      <c r="P255" t="n">
        <v>4.480734411</v>
      </c>
      <c r="Q255" s="15" t="n">
        <v>0.00595</v>
      </c>
      <c r="R255" t="n">
        <v>0</v>
      </c>
      <c r="S255" t="n">
        <v>0</v>
      </c>
      <c r="T255" s="15" t="n">
        <v>0</v>
      </c>
      <c r="U255" t="n">
        <v>4.167947228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0.2</v>
      </c>
      <c r="AB255" t="n">
        <v>99.7</v>
      </c>
      <c r="AC255" t="n">
        <v>0</v>
      </c>
      <c r="AD255" s="15" t="n">
        <v>0.0473</v>
      </c>
      <c r="AE255" t="n">
        <v>35.19548506</v>
      </c>
      <c r="AF255" t="n">
        <v>35.2427608</v>
      </c>
      <c r="AG255" t="n">
        <v>31.2871159</v>
      </c>
      <c r="AH255" t="n">
        <v>22.92725421</v>
      </c>
      <c r="AI255" t="n">
        <v>100</v>
      </c>
      <c r="AJ255" t="n">
        <v>0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13.0656</v>
      </c>
      <c r="AS255" t="n">
        <v>18.044</v>
      </c>
      <c r="AT255" t="n">
        <v>39.3992</v>
      </c>
      <c r="AU255" t="n">
        <v>86.63760000000001</v>
      </c>
      <c r="AV255" t="n">
        <v>0</v>
      </c>
    </row>
    <row r="256">
      <c r="A256" t="n">
        <v>255</v>
      </c>
      <c r="B256" t="n">
        <v>0</v>
      </c>
      <c r="C256" t="n">
        <v>31.21048867</v>
      </c>
      <c r="D256" t="n">
        <v>15.8073241</v>
      </c>
      <c r="E256" t="n">
        <v>3.74018128</v>
      </c>
      <c r="F256" t="n">
        <v>0</v>
      </c>
      <c r="G256" t="n">
        <v>0</v>
      </c>
      <c r="H256" t="n">
        <v>0.520770623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4.488212132</v>
      </c>
      <c r="Q256" s="15" t="n">
        <v>0.00398</v>
      </c>
      <c r="R256" t="n">
        <v>0</v>
      </c>
      <c r="S256" t="n">
        <v>0</v>
      </c>
      <c r="T256" s="15" t="n">
        <v>0</v>
      </c>
      <c r="U256" t="n">
        <v>4.163966027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0.2</v>
      </c>
      <c r="AB256" t="n">
        <v>99.7</v>
      </c>
      <c r="AC256" t="n">
        <v>0</v>
      </c>
      <c r="AD256" s="15" t="n">
        <v>0.0464</v>
      </c>
      <c r="AE256" t="n">
        <v>35.14903754</v>
      </c>
      <c r="AF256" t="n">
        <v>35.19548506</v>
      </c>
      <c r="AG256" t="n">
        <v>31.61438743</v>
      </c>
      <c r="AH256" t="n">
        <v>23.16101959</v>
      </c>
      <c r="AI256" t="n">
        <v>100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13.0656</v>
      </c>
      <c r="AS256" t="n">
        <v>18.044</v>
      </c>
      <c r="AT256" t="n">
        <v>39.3992</v>
      </c>
      <c r="AU256" t="n">
        <v>86.63760000000001</v>
      </c>
      <c r="AV256" t="n">
        <v>0</v>
      </c>
    </row>
    <row r="257">
      <c r="A257" t="n">
        <v>256</v>
      </c>
      <c r="B257" t="n">
        <v>0</v>
      </c>
      <c r="C257" t="n">
        <v>32.22066023</v>
      </c>
      <c r="D257" t="n">
        <v>14.5688511</v>
      </c>
      <c r="E257" t="n">
        <v>3.831297558</v>
      </c>
      <c r="F257" t="n">
        <v>0</v>
      </c>
      <c r="G257" t="n">
        <v>0</v>
      </c>
      <c r="H257" t="n">
        <v>0.520471514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4.597552118</v>
      </c>
      <c r="Q257" s="15" t="n">
        <v>0.00271</v>
      </c>
      <c r="R257" t="n">
        <v>0</v>
      </c>
      <c r="S257" t="n">
        <v>0</v>
      </c>
      <c r="T257" t="n">
        <v>0</v>
      </c>
      <c r="U257" t="n">
        <v>4.161252659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0.2</v>
      </c>
      <c r="AB257" t="n">
        <v>99.7</v>
      </c>
      <c r="AC257" t="n">
        <v>0</v>
      </c>
      <c r="AD257" s="15" t="n">
        <v>0.0456</v>
      </c>
      <c r="AE257" t="n">
        <v>35.10339137</v>
      </c>
      <c r="AF257" t="n">
        <v>35.14903754</v>
      </c>
      <c r="AG257" t="n">
        <v>31.6188587</v>
      </c>
      <c r="AH257" t="n">
        <v>23.16421336</v>
      </c>
      <c r="AI257" t="n">
        <v>100</v>
      </c>
      <c r="AJ257" t="n">
        <v>0</v>
      </c>
      <c r="AK257" t="n">
        <v>0</v>
      </c>
      <c r="AL257" t="n">
        <v>1</v>
      </c>
      <c r="AM257" t="n">
        <v>1</v>
      </c>
      <c r="AN257" t="n">
        <v>0</v>
      </c>
      <c r="AO257" t="n">
        <v>0</v>
      </c>
      <c r="AP257" t="n">
        <v>1</v>
      </c>
      <c r="AQ257" t="n">
        <v>0</v>
      </c>
      <c r="AR257" t="n">
        <v>13.0656</v>
      </c>
      <c r="AS257" t="n">
        <v>18.044</v>
      </c>
      <c r="AT257" t="n">
        <v>39.3992</v>
      </c>
      <c r="AU257" t="n">
        <v>86.63760000000001</v>
      </c>
      <c r="AV257" t="n">
        <v>0</v>
      </c>
    </row>
    <row r="258">
      <c r="A258" t="n">
        <v>257</v>
      </c>
      <c r="B258" t="n">
        <v>0</v>
      </c>
      <c r="C258" t="n">
        <v>29.20267973</v>
      </c>
      <c r="D258" t="n">
        <v>15.98666387</v>
      </c>
      <c r="E258" t="n">
        <v>2.893703873</v>
      </c>
      <c r="F258" t="n">
        <v>0</v>
      </c>
      <c r="G258" t="n">
        <v>0</v>
      </c>
      <c r="H258" t="n">
        <v>0.516097915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3.472441309</v>
      </c>
      <c r="Q258" s="15" t="n">
        <v>0.00142</v>
      </c>
      <c r="R258" t="n">
        <v>0</v>
      </c>
      <c r="S258" t="n">
        <v>0</v>
      </c>
      <c r="T258" t="n">
        <v>0</v>
      </c>
      <c r="U258" t="n">
        <v>4.159833796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0.2</v>
      </c>
      <c r="AB258" t="n">
        <v>99.7</v>
      </c>
      <c r="AC258" t="n">
        <v>0</v>
      </c>
      <c r="AD258" s="15" t="n">
        <v>0.0449</v>
      </c>
      <c r="AE258" t="n">
        <v>35.05852095</v>
      </c>
      <c r="AF258" t="n">
        <v>35.10339137</v>
      </c>
      <c r="AG258" t="n">
        <v>31.68423807</v>
      </c>
      <c r="AH258" t="n">
        <v>23.2109129</v>
      </c>
      <c r="AI258" t="n">
        <v>100</v>
      </c>
      <c r="AJ258" t="n">
        <v>0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13.0656</v>
      </c>
      <c r="AS258" t="n">
        <v>18.044</v>
      </c>
      <c r="AT258" t="n">
        <v>39.3992</v>
      </c>
      <c r="AU258" t="n">
        <v>86.63760000000001</v>
      </c>
      <c r="AV258" t="n">
        <v>0</v>
      </c>
    </row>
    <row r="259">
      <c r="A259" t="n">
        <v>258</v>
      </c>
      <c r="B259" t="n">
        <v>0</v>
      </c>
      <c r="C259" t="n">
        <v>29.50267973</v>
      </c>
      <c r="D259" t="n">
        <v>18.69462434</v>
      </c>
      <c r="E259" t="n">
        <v>2.69785172</v>
      </c>
      <c r="F259" t="n">
        <v>0</v>
      </c>
      <c r="G259" t="n">
        <v>0</v>
      </c>
      <c r="H259" t="n">
        <v>0.561102346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3.237419291</v>
      </c>
      <c r="Q259" s="15" t="n">
        <v>0.0009790000000000001</v>
      </c>
      <c r="R259" t="n">
        <v>0</v>
      </c>
      <c r="S259" t="n">
        <v>0</v>
      </c>
      <c r="T259" t="n">
        <v>0</v>
      </c>
      <c r="U259" t="n">
        <v>4.158855126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0.2</v>
      </c>
      <c r="AB259" t="n">
        <v>99.7</v>
      </c>
      <c r="AC259" t="n">
        <v>0</v>
      </c>
      <c r="AD259" s="15" t="n">
        <v>0.0441</v>
      </c>
      <c r="AE259" t="n">
        <v>35.01440184</v>
      </c>
      <c r="AF259" t="n">
        <v>35.05852095</v>
      </c>
      <c r="AG259" t="n">
        <v>31.01148302</v>
      </c>
      <c r="AH259" t="n">
        <v>22.73037359</v>
      </c>
      <c r="AI259" t="n">
        <v>100</v>
      </c>
      <c r="AJ259" t="n">
        <v>0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1</v>
      </c>
      <c r="AQ259" t="n">
        <v>0</v>
      </c>
      <c r="AR259" t="n">
        <v>13.0656</v>
      </c>
      <c r="AS259" t="n">
        <v>18.044</v>
      </c>
      <c r="AT259" t="n">
        <v>39.3992</v>
      </c>
      <c r="AU259" t="n">
        <v>86.63760000000001</v>
      </c>
      <c r="AV259" t="n">
        <v>0</v>
      </c>
    </row>
    <row r="260">
      <c r="A260" t="n">
        <v>259</v>
      </c>
      <c r="B260" t="n">
        <v>21.82979029</v>
      </c>
      <c r="C260" t="n">
        <v>28.78788</v>
      </c>
      <c r="D260" t="n">
        <v>18.37454387</v>
      </c>
      <c r="E260" t="n">
        <v>2.446816335</v>
      </c>
      <c r="F260" t="n">
        <v>0</v>
      </c>
      <c r="G260" t="n">
        <v>0</v>
      </c>
      <c r="H260" t="n">
        <v>0.570503227</v>
      </c>
      <c r="I260" t="n">
        <v>0</v>
      </c>
      <c r="J260" t="n">
        <v>21.82979029</v>
      </c>
      <c r="K260" t="n">
        <v>21.82979029</v>
      </c>
      <c r="L260" t="n">
        <v>21.82979029</v>
      </c>
      <c r="M260" t="n">
        <v>0</v>
      </c>
      <c r="N260" t="n">
        <v>0</v>
      </c>
      <c r="O260" t="n">
        <v>21.82979094</v>
      </c>
      <c r="P260" t="n">
        <v>2.936177366</v>
      </c>
      <c r="Q260" t="n">
        <v>2.511435759</v>
      </c>
      <c r="R260" t="n">
        <v>0</v>
      </c>
      <c r="S260" t="n">
        <v>0</v>
      </c>
      <c r="T260" s="15" t="n">
        <v>0.022</v>
      </c>
      <c r="U260" t="n">
        <v>23.45524658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0.2</v>
      </c>
      <c r="AB260" t="n">
        <v>99.7</v>
      </c>
      <c r="AC260" t="n">
        <v>0</v>
      </c>
      <c r="AD260" s="15" t="n">
        <v>0.0434</v>
      </c>
      <c r="AE260" t="n">
        <v>34.99294963</v>
      </c>
      <c r="AF260" t="n">
        <v>35.01440184</v>
      </c>
      <c r="AG260" t="n">
        <v>30.87095264</v>
      </c>
      <c r="AH260" t="n">
        <v>22.62999475</v>
      </c>
      <c r="AI260" t="n">
        <v>100</v>
      </c>
      <c r="AJ260" t="n">
        <v>0</v>
      </c>
      <c r="AK260" t="n">
        <v>0</v>
      </c>
      <c r="AL260" t="n">
        <v>1</v>
      </c>
      <c r="AM260" t="n">
        <v>1</v>
      </c>
      <c r="AN260" t="n">
        <v>0</v>
      </c>
      <c r="AO260" t="n">
        <v>0</v>
      </c>
      <c r="AP260" t="n">
        <v>1</v>
      </c>
      <c r="AQ260" t="n">
        <v>0</v>
      </c>
      <c r="AR260" t="n">
        <v>13.0656</v>
      </c>
      <c r="AS260" t="n">
        <v>18.044</v>
      </c>
      <c r="AT260" t="n">
        <v>39.3992</v>
      </c>
      <c r="AU260" t="n">
        <v>86.63760000000001</v>
      </c>
      <c r="AV260" t="n">
        <v>0</v>
      </c>
    </row>
    <row r="261">
      <c r="A261" t="n">
        <v>260</v>
      </c>
      <c r="B261" t="n">
        <v>0.108123062</v>
      </c>
      <c r="C261" t="n">
        <v>28.27454387</v>
      </c>
      <c r="D261" t="n">
        <v>18.08201949</v>
      </c>
      <c r="E261" t="n">
        <v>3.069215055</v>
      </c>
      <c r="F261" t="n">
        <v>0</v>
      </c>
      <c r="G261" t="n">
        <v>0</v>
      </c>
      <c r="H261" t="n">
        <v>0.582552904</v>
      </c>
      <c r="I261" t="n">
        <v>0</v>
      </c>
      <c r="J261" t="n">
        <v>0.108123062</v>
      </c>
      <c r="K261" t="n">
        <v>0.108123062</v>
      </c>
      <c r="L261" t="n">
        <v>0.108123062</v>
      </c>
      <c r="M261" t="n">
        <v>0</v>
      </c>
      <c r="N261" t="n">
        <v>0</v>
      </c>
      <c r="O261" t="n">
        <v>0.108123065</v>
      </c>
      <c r="P261" t="n">
        <v>3.683055578</v>
      </c>
      <c r="Q261" t="n">
        <v>3.683055578</v>
      </c>
      <c r="R261" t="n">
        <v>0</v>
      </c>
      <c r="S261" t="n">
        <v>0</v>
      </c>
      <c r="T261" t="n">
        <v>0.134740747</v>
      </c>
      <c r="U261" t="n">
        <v>19.74557332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0.2</v>
      </c>
      <c r="AB261" t="n">
        <v>99.7</v>
      </c>
      <c r="AC261" t="n">
        <v>0</v>
      </c>
      <c r="AD261" s="15" t="n">
        <v>0.0446</v>
      </c>
      <c r="AE261" t="n">
        <v>35.08311626</v>
      </c>
      <c r="AF261" t="n">
        <v>34.99294963</v>
      </c>
      <c r="AG261" t="n">
        <v>30.69082636</v>
      </c>
      <c r="AH261" t="n">
        <v>22.50133312</v>
      </c>
      <c r="AI261" t="n">
        <v>100</v>
      </c>
      <c r="AJ261" t="n">
        <v>0</v>
      </c>
      <c r="AK261" t="n">
        <v>0</v>
      </c>
      <c r="AL261" t="n">
        <v>1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13.0656</v>
      </c>
      <c r="AS261" t="n">
        <v>18.044</v>
      </c>
      <c r="AT261" t="n">
        <v>39.3992</v>
      </c>
      <c r="AU261" t="n">
        <v>86.63760000000001</v>
      </c>
      <c r="AV261" t="n">
        <v>0</v>
      </c>
    </row>
    <row r="262">
      <c r="A262" t="n">
        <v>261</v>
      </c>
      <c r="B262" s="15" t="n">
        <v>0.355196443</v>
      </c>
      <c r="C262" t="n">
        <v>27.5926759</v>
      </c>
      <c r="D262" t="n">
        <v>18.74339497</v>
      </c>
      <c r="E262" t="n">
        <v>2.818369164</v>
      </c>
      <c r="F262" t="n">
        <v>0</v>
      </c>
      <c r="G262" t="n">
        <v>0</v>
      </c>
      <c r="H262" t="n">
        <v>0.552677776</v>
      </c>
      <c r="I262" t="n">
        <v>0</v>
      </c>
      <c r="J262" s="15" t="n">
        <v>0.355196443</v>
      </c>
      <c r="K262" s="15" t="n">
        <v>0.355196443</v>
      </c>
      <c r="L262" s="15" t="n">
        <v>0.355196443</v>
      </c>
      <c r="M262" t="n">
        <v>0</v>
      </c>
      <c r="N262" t="n">
        <v>0</v>
      </c>
      <c r="O262" s="15" t="n">
        <v>0.355196453</v>
      </c>
      <c r="P262" t="n">
        <v>3.382040974</v>
      </c>
      <c r="Q262" t="n">
        <v>3.382040974</v>
      </c>
      <c r="R262" t="n">
        <v>0</v>
      </c>
      <c r="S262" t="n">
        <v>0</v>
      </c>
      <c r="T262" s="15" t="n">
        <v>0.0188</v>
      </c>
      <c r="U262" t="n">
        <v>16.69992469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0.2</v>
      </c>
      <c r="AB262" t="n">
        <v>99.7</v>
      </c>
      <c r="AC262" t="n">
        <v>0</v>
      </c>
      <c r="AD262" s="15" t="n">
        <v>0.0447</v>
      </c>
      <c r="AE262" t="n">
        <v>35.05717273</v>
      </c>
      <c r="AF262" t="n">
        <v>35.08311626</v>
      </c>
      <c r="AG262" t="n">
        <v>31.13741889</v>
      </c>
      <c r="AH262" t="n">
        <v>22.82032778</v>
      </c>
      <c r="AI262" t="n">
        <v>100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0</v>
      </c>
      <c r="AP262" t="n">
        <v>1</v>
      </c>
      <c r="AQ262" t="n">
        <v>0</v>
      </c>
      <c r="AR262" t="n">
        <v>13.0656</v>
      </c>
      <c r="AS262" t="n">
        <v>18.044</v>
      </c>
      <c r="AT262" t="n">
        <v>39.3992</v>
      </c>
      <c r="AU262" t="n">
        <v>86.63760000000001</v>
      </c>
      <c r="AV262" t="n">
        <v>0</v>
      </c>
    </row>
    <row r="263">
      <c r="A263" t="n">
        <v>262</v>
      </c>
      <c r="B263" t="n">
        <v>3.025973271</v>
      </c>
      <c r="C263" t="n">
        <v>23.58471543</v>
      </c>
      <c r="D263" t="n">
        <v>14.02545613</v>
      </c>
      <c r="E263" t="n">
        <v>2.731732878</v>
      </c>
      <c r="F263" t="n">
        <v>0</v>
      </c>
      <c r="G263" t="n">
        <v>0</v>
      </c>
      <c r="H263" t="n">
        <v>0.56471836</v>
      </c>
      <c r="I263" t="n">
        <v>0</v>
      </c>
      <c r="J263" t="n">
        <v>3.025973271</v>
      </c>
      <c r="K263" t="n">
        <v>3.025973271</v>
      </c>
      <c r="L263" t="n">
        <v>3.025973271</v>
      </c>
      <c r="M263" t="n">
        <v>0</v>
      </c>
      <c r="N263" t="n">
        <v>0</v>
      </c>
      <c r="O263" t="n">
        <v>3.025973361</v>
      </c>
      <c r="P263" t="n">
        <v>3.278077722</v>
      </c>
      <c r="Q263" t="n">
        <v>3.278077722</v>
      </c>
      <c r="R263" t="n">
        <v>0</v>
      </c>
      <c r="S263" t="n">
        <v>0</v>
      </c>
      <c r="T263" s="15" t="n">
        <v>0.00448</v>
      </c>
      <c r="U263" t="n">
        <v>16.44333674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0.2</v>
      </c>
      <c r="AB263" t="n">
        <v>99.7</v>
      </c>
      <c r="AC263" t="n">
        <v>0</v>
      </c>
      <c r="AD263" s="15" t="n">
        <v>0.0441</v>
      </c>
      <c r="AE263" t="n">
        <v>35.01751573</v>
      </c>
      <c r="AF263" t="n">
        <v>35.05717273</v>
      </c>
      <c r="AG263" t="n">
        <v>30.95742854</v>
      </c>
      <c r="AH263" t="n">
        <v>22.69176324</v>
      </c>
      <c r="AI263" t="n">
        <v>100</v>
      </c>
      <c r="AJ263" t="n">
        <v>0</v>
      </c>
      <c r="AK263" t="n">
        <v>0</v>
      </c>
      <c r="AL263" t="n">
        <v>1</v>
      </c>
      <c r="AM263" t="n">
        <v>1</v>
      </c>
      <c r="AN263" t="n">
        <v>0</v>
      </c>
      <c r="AO263" t="n">
        <v>0</v>
      </c>
      <c r="AP263" t="n">
        <v>1</v>
      </c>
      <c r="AQ263" t="n">
        <v>0</v>
      </c>
      <c r="AR263" t="n">
        <v>13.0656</v>
      </c>
      <c r="AS263" t="n">
        <v>18.044</v>
      </c>
      <c r="AT263" t="n">
        <v>39.3992</v>
      </c>
      <c r="AU263" t="n">
        <v>86.63760000000001</v>
      </c>
      <c r="AV263" t="n">
        <v>0</v>
      </c>
    </row>
    <row r="264">
      <c r="A264" t="n">
        <v>263</v>
      </c>
      <c r="B264" t="n">
        <v>13.69370695</v>
      </c>
      <c r="C264" t="n">
        <v>24.51048867</v>
      </c>
      <c r="D264" t="n">
        <v>11.2073241</v>
      </c>
      <c r="E264" t="n">
        <v>2.978346621</v>
      </c>
      <c r="F264" t="n">
        <v>0</v>
      </c>
      <c r="G264" t="n">
        <v>0</v>
      </c>
      <c r="H264" t="n">
        <v>0.56887689</v>
      </c>
      <c r="I264" t="n">
        <v>0</v>
      </c>
      <c r="J264" t="n">
        <v>13.69370695</v>
      </c>
      <c r="K264" t="n">
        <v>13.69370695</v>
      </c>
      <c r="L264" t="n">
        <v>13.68841853</v>
      </c>
      <c r="M264" t="n">
        <v>0</v>
      </c>
      <c r="N264" s="15" t="n">
        <v>0.00529</v>
      </c>
      <c r="O264" t="n">
        <v>13.68841894</v>
      </c>
      <c r="P264" t="n">
        <v>3.574014281</v>
      </c>
      <c r="Q264" t="n">
        <v>3.574014281</v>
      </c>
      <c r="R264" t="n">
        <v>0</v>
      </c>
      <c r="S264" t="n">
        <v>0</v>
      </c>
      <c r="T264" s="15" t="n">
        <v>0.182712885</v>
      </c>
      <c r="U264" t="n">
        <v>26.37502852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0.2</v>
      </c>
      <c r="AB264" t="n">
        <v>99.7</v>
      </c>
      <c r="AC264" t="n">
        <v>0</v>
      </c>
      <c r="AD264" s="15" t="n">
        <v>0.044</v>
      </c>
      <c r="AE264" t="n">
        <v>35.15618987</v>
      </c>
      <c r="AF264" t="n">
        <v>35.01751573</v>
      </c>
      <c r="AG264" t="n">
        <v>30.89526417</v>
      </c>
      <c r="AH264" t="n">
        <v>22.64736012</v>
      </c>
      <c r="AI264" t="n">
        <v>100</v>
      </c>
      <c r="AJ264" t="n">
        <v>0</v>
      </c>
      <c r="AK264" t="n">
        <v>0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0</v>
      </c>
      <c r="AR264" t="n">
        <v>13.0656</v>
      </c>
      <c r="AS264" t="n">
        <v>18.044</v>
      </c>
      <c r="AT264" t="n">
        <v>39.3992</v>
      </c>
      <c r="AU264" t="n">
        <v>86.63760000000001</v>
      </c>
      <c r="AV264" t="n">
        <v>0</v>
      </c>
    </row>
    <row r="265">
      <c r="A265" t="n">
        <v>264</v>
      </c>
      <c r="B265" t="n">
        <v>0.11374693</v>
      </c>
      <c r="C265" t="n">
        <v>25.12066023</v>
      </c>
      <c r="D265" t="n">
        <v>14.5539253</v>
      </c>
      <c r="E265" t="n">
        <v>2.800257362</v>
      </c>
      <c r="F265" t="n">
        <v>0</v>
      </c>
      <c r="G265" t="n">
        <v>0</v>
      </c>
      <c r="H265" t="n">
        <v>0.557039427</v>
      </c>
      <c r="I265" t="n">
        <v>0</v>
      </c>
      <c r="J265" t="n">
        <v>0.11374693</v>
      </c>
      <c r="K265" t="n">
        <v>0.11374693</v>
      </c>
      <c r="L265" t="n">
        <v>0.11374693</v>
      </c>
      <c r="M265" t="n">
        <v>0</v>
      </c>
      <c r="N265" t="n">
        <v>0</v>
      </c>
      <c r="O265" t="n">
        <v>0.113746933</v>
      </c>
      <c r="P265" t="n">
        <v>3.36030746</v>
      </c>
      <c r="Q265" t="n">
        <v>3.36030746</v>
      </c>
      <c r="R265" t="n">
        <v>0</v>
      </c>
      <c r="S265" t="n">
        <v>0</v>
      </c>
      <c r="T265" s="15" t="n">
        <v>0.509666716</v>
      </c>
      <c r="U265" t="n">
        <v>22.61880127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0.2</v>
      </c>
      <c r="AB265" t="n">
        <v>99.7</v>
      </c>
      <c r="AC265" t="n">
        <v>0</v>
      </c>
      <c r="AD265" s="15" t="n">
        <v>0.052</v>
      </c>
      <c r="AE265" t="n">
        <v>35.61385778</v>
      </c>
      <c r="AF265" t="n">
        <v>35.15618987</v>
      </c>
      <c r="AG265" t="n">
        <v>31.07221813</v>
      </c>
      <c r="AH265" t="n">
        <v>22.77375581</v>
      </c>
      <c r="AI265" t="n">
        <v>100</v>
      </c>
      <c r="AJ265" t="n">
        <v>0</v>
      </c>
      <c r="AK265" t="n">
        <v>0</v>
      </c>
      <c r="AL265" t="n">
        <v>1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13.0656</v>
      </c>
      <c r="AS265" t="n">
        <v>18.044</v>
      </c>
      <c r="AT265" t="n">
        <v>39.3992</v>
      </c>
      <c r="AU265" t="n">
        <v>86.63760000000001</v>
      </c>
      <c r="AV265" t="n">
        <v>0</v>
      </c>
    </row>
    <row r="266">
      <c r="A266" t="n">
        <v>265</v>
      </c>
      <c r="B266" t="n">
        <v>0</v>
      </c>
      <c r="C266" t="n">
        <v>25.3640552</v>
      </c>
      <c r="D266" t="n">
        <v>13.16124941</v>
      </c>
      <c r="E266" t="n">
        <v>2.789805922</v>
      </c>
      <c r="F266" t="n">
        <v>0</v>
      </c>
      <c r="G266" t="n">
        <v>0</v>
      </c>
      <c r="H266" t="n">
        <v>0.5655877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3.347765906</v>
      </c>
      <c r="Q266" t="n">
        <v>3.347765906</v>
      </c>
      <c r="R266" t="n">
        <v>0</v>
      </c>
      <c r="S266" t="n">
        <v>0</v>
      </c>
      <c r="T266" s="15" t="n">
        <v>0.09030000000000001</v>
      </c>
      <c r="U266" t="n">
        <v>19.18074947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0.2</v>
      </c>
      <c r="AB266" t="n">
        <v>99.7</v>
      </c>
      <c r="AC266" t="n">
        <v>0</v>
      </c>
      <c r="AD266" s="15" t="n">
        <v>0.0555</v>
      </c>
      <c r="AE266" t="n">
        <v>35.64866758</v>
      </c>
      <c r="AF266" t="n">
        <v>35.61385778</v>
      </c>
      <c r="AG266" t="n">
        <v>30.94443308</v>
      </c>
      <c r="AH266" t="n">
        <v>22.68248077</v>
      </c>
      <c r="AI266" t="n">
        <v>100</v>
      </c>
      <c r="AJ266" t="n">
        <v>0</v>
      </c>
      <c r="AK266" t="n">
        <v>0</v>
      </c>
      <c r="AL266" t="n">
        <v>1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13.0656</v>
      </c>
      <c r="AS266" t="n">
        <v>18.044</v>
      </c>
      <c r="AT266" t="n">
        <v>39.3992</v>
      </c>
      <c r="AU266" t="n">
        <v>86.63760000000001</v>
      </c>
      <c r="AV266" t="n">
        <v>0</v>
      </c>
    </row>
    <row r="267">
      <c r="A267" t="n">
        <v>266</v>
      </c>
      <c r="B267" t="n">
        <v>0</v>
      </c>
      <c r="C267" t="n">
        <v>25.1640552</v>
      </c>
      <c r="D267" t="n">
        <v>13.96124941</v>
      </c>
      <c r="E267" t="n">
        <v>2.710018357</v>
      </c>
      <c r="F267" t="n">
        <v>0</v>
      </c>
      <c r="G267" t="n">
        <v>0</v>
      </c>
      <c r="H267" t="n">
        <v>0.566089362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3.252021009</v>
      </c>
      <c r="Q267" t="n">
        <v>3.252021009</v>
      </c>
      <c r="R267" t="n">
        <v>0</v>
      </c>
      <c r="S267" t="n">
        <v>0</v>
      </c>
      <c r="T267" s="15" t="n">
        <v>0.0125</v>
      </c>
      <c r="U267" t="n">
        <v>15.91627758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0.2</v>
      </c>
      <c r="AB267" t="n">
        <v>99.7</v>
      </c>
      <c r="AC267" t="n">
        <v>0</v>
      </c>
      <c r="AD267" s="15" t="n">
        <v>0.0551</v>
      </c>
      <c r="AE267" t="n">
        <v>35.60600856</v>
      </c>
      <c r="AF267" t="n">
        <v>35.64866758</v>
      </c>
      <c r="AG267" t="n">
        <v>30.93693392</v>
      </c>
      <c r="AH267" t="n">
        <v>22.67712423</v>
      </c>
      <c r="AI267" t="n">
        <v>100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13.0656</v>
      </c>
      <c r="AS267" t="n">
        <v>18.044</v>
      </c>
      <c r="AT267" t="n">
        <v>39.3992</v>
      </c>
      <c r="AU267" t="n">
        <v>86.63760000000001</v>
      </c>
      <c r="AV267" t="n">
        <v>0</v>
      </c>
    </row>
    <row r="268">
      <c r="A268" t="n">
        <v>267</v>
      </c>
      <c r="B268" s="15" t="n">
        <v>0</v>
      </c>
      <c r="C268" t="n">
        <v>26.93875059</v>
      </c>
      <c r="D268" t="n">
        <v>11.71528457</v>
      </c>
      <c r="E268" t="n">
        <v>2.838285956</v>
      </c>
      <c r="F268" t="n">
        <v>0</v>
      </c>
      <c r="G268" t="n">
        <v>0</v>
      </c>
      <c r="H268" t="n">
        <v>0.569919158</v>
      </c>
      <c r="I268" t="n">
        <v>0</v>
      </c>
      <c r="J268" s="15" t="n">
        <v>0</v>
      </c>
      <c r="K268" s="15" t="n">
        <v>0</v>
      </c>
      <c r="L268" s="15" t="n">
        <v>0</v>
      </c>
      <c r="M268" t="n">
        <v>0</v>
      </c>
      <c r="N268" t="n">
        <v>0</v>
      </c>
      <c r="O268" s="15" t="n">
        <v>0</v>
      </c>
      <c r="P268" t="n">
        <v>3.405942218</v>
      </c>
      <c r="Q268" t="n">
        <v>3.062571723</v>
      </c>
      <c r="R268" t="n">
        <v>0</v>
      </c>
      <c r="S268" t="n">
        <v>0</v>
      </c>
      <c r="T268" s="15" t="n">
        <v>0.0011</v>
      </c>
      <c r="U268" t="n">
        <v>12.85260903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0.2</v>
      </c>
      <c r="AB268" t="n">
        <v>99.7</v>
      </c>
      <c r="AC268" t="n">
        <v>0</v>
      </c>
      <c r="AD268" s="15" t="n">
        <v>0.0541</v>
      </c>
      <c r="AE268" t="n">
        <v>35.55300839</v>
      </c>
      <c r="AF268" t="n">
        <v>35.60600856</v>
      </c>
      <c r="AG268" t="n">
        <v>30.87968368</v>
      </c>
      <c r="AH268" t="n">
        <v>22.6362312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1</v>
      </c>
      <c r="AQ268" t="n">
        <v>0</v>
      </c>
      <c r="AR268" t="n">
        <v>13.0656</v>
      </c>
      <c r="AS268" t="n">
        <v>18.044</v>
      </c>
      <c r="AT268" t="n">
        <v>39.3992</v>
      </c>
      <c r="AU268" t="n">
        <v>86.63760000000001</v>
      </c>
      <c r="AV268" t="n">
        <v>0</v>
      </c>
    </row>
    <row r="269">
      <c r="A269" t="n">
        <v>268</v>
      </c>
      <c r="B269" t="n">
        <v>0</v>
      </c>
      <c r="C269" t="n">
        <v>25.33875059</v>
      </c>
      <c r="D269" t="n">
        <v>14.93326507</v>
      </c>
      <c r="E269" t="n">
        <v>2.082778623</v>
      </c>
      <c r="F269" t="n">
        <v>0</v>
      </c>
      <c r="G269" t="n">
        <v>0</v>
      </c>
      <c r="H269" t="n">
        <v>0.56376231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2.499333756</v>
      </c>
      <c r="Q269" t="n">
        <v>1.731440473</v>
      </c>
      <c r="R269" t="n">
        <v>0</v>
      </c>
      <c r="S269" t="n">
        <v>0</v>
      </c>
      <c r="T269" s="15" t="n">
        <v>6.42e-05</v>
      </c>
      <c r="U269" t="n">
        <v>11.12110436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0.2</v>
      </c>
      <c r="AB269" t="n">
        <v>99.7</v>
      </c>
      <c r="AC269" t="n">
        <v>0</v>
      </c>
      <c r="AD269" s="15" t="n">
        <v>0.053</v>
      </c>
      <c r="AE269" t="n">
        <v>35.50003391</v>
      </c>
      <c r="AF269" t="n">
        <v>35.55300839</v>
      </c>
      <c r="AG269" t="n">
        <v>30.97172018</v>
      </c>
      <c r="AH269" t="n">
        <v>22.70197156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13.0656</v>
      </c>
      <c r="AS269" t="n">
        <v>18.044</v>
      </c>
      <c r="AT269" t="n">
        <v>39.3992</v>
      </c>
      <c r="AU269" t="n">
        <v>86.63760000000001</v>
      </c>
      <c r="AV269" t="n">
        <v>0</v>
      </c>
    </row>
    <row r="270">
      <c r="A270" t="n">
        <v>269</v>
      </c>
      <c r="B270" t="n">
        <v>24.20254817</v>
      </c>
      <c r="C270" t="n">
        <v>20.41048867</v>
      </c>
      <c r="D270" t="n">
        <v>15.21528457</v>
      </c>
      <c r="E270" t="n">
        <v>0.919693775</v>
      </c>
      <c r="F270" t="n">
        <v>0</v>
      </c>
      <c r="G270" t="n">
        <v>0</v>
      </c>
      <c r="H270" t="n">
        <v>0.6000266480000001</v>
      </c>
      <c r="I270" t="n">
        <v>0</v>
      </c>
      <c r="J270" t="n">
        <v>24.20254817</v>
      </c>
      <c r="K270" t="n">
        <v>24.20254817</v>
      </c>
      <c r="L270" t="n">
        <v>23.72983403</v>
      </c>
      <c r="M270" t="n">
        <v>0</v>
      </c>
      <c r="N270" t="n">
        <v>0.472714146</v>
      </c>
      <c r="O270" t="n">
        <v>23.72983473</v>
      </c>
      <c r="P270" t="n">
        <v>1.103632304</v>
      </c>
      <c r="Q270" t="n">
        <v>1.10358767</v>
      </c>
      <c r="R270" t="n">
        <v>0</v>
      </c>
      <c r="S270" t="n">
        <v>0</v>
      </c>
      <c r="T270" s="15" t="n">
        <v>1.346576187</v>
      </c>
      <c r="U270" t="n">
        <v>32.40077524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0.2</v>
      </c>
      <c r="AB270" t="n">
        <v>99.7</v>
      </c>
      <c r="AC270" t="n">
        <v>0</v>
      </c>
      <c r="AD270" s="15" t="n">
        <v>0.0553</v>
      </c>
      <c r="AE270" t="n">
        <v>36.79126813</v>
      </c>
      <c r="AF270" t="n">
        <v>35.50003391</v>
      </c>
      <c r="AG270" t="n">
        <v>30.42961766</v>
      </c>
      <c r="AH270" t="n">
        <v>22.31475547</v>
      </c>
      <c r="AI270" t="n">
        <v>100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0</v>
      </c>
      <c r="AP270" t="n">
        <v>1</v>
      </c>
      <c r="AQ270" t="n">
        <v>0</v>
      </c>
      <c r="AR270" t="n">
        <v>13.0656</v>
      </c>
      <c r="AS270" t="n">
        <v>18.044</v>
      </c>
      <c r="AT270" t="n">
        <v>39.3992</v>
      </c>
      <c r="AU270" t="n">
        <v>86.63760000000001</v>
      </c>
      <c r="AV270" t="n">
        <v>0</v>
      </c>
    </row>
    <row r="271">
      <c r="A271" t="n">
        <v>270</v>
      </c>
      <c r="B271" s="15" t="n">
        <v>0.0531</v>
      </c>
      <c r="C271" t="n">
        <v>24.1640552</v>
      </c>
      <c r="D271" t="n">
        <v>15.3073241</v>
      </c>
      <c r="E271" t="n">
        <v>1.898974838</v>
      </c>
      <c r="F271" t="n">
        <v>0</v>
      </c>
      <c r="G271" t="n">
        <v>0</v>
      </c>
      <c r="H271" t="n">
        <v>0.655854704</v>
      </c>
      <c r="I271" t="n">
        <v>0</v>
      </c>
      <c r="J271" s="15" t="n">
        <v>0.0531</v>
      </c>
      <c r="K271" s="15" t="n">
        <v>0.0531</v>
      </c>
      <c r="L271" s="15" t="n">
        <v>0.0531</v>
      </c>
      <c r="M271" t="n">
        <v>0</v>
      </c>
      <c r="N271" t="n">
        <v>0</v>
      </c>
      <c r="O271" s="15" t="n">
        <v>0.0531</v>
      </c>
      <c r="P271" t="n">
        <v>2.278769405</v>
      </c>
      <c r="Q271" t="n">
        <v>2.278769405</v>
      </c>
      <c r="R271" t="n">
        <v>0</v>
      </c>
      <c r="S271" t="n">
        <v>0</v>
      </c>
      <c r="T271" s="15" t="n">
        <v>3.375033815</v>
      </c>
      <c r="U271" t="n">
        <v>26.80010915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0.2</v>
      </c>
      <c r="AB271" t="n">
        <v>99.7</v>
      </c>
      <c r="AC271" t="n">
        <v>0</v>
      </c>
      <c r="AD271" t="n">
        <v>0.182581488</v>
      </c>
      <c r="AE271" t="n">
        <v>39.98372045</v>
      </c>
      <c r="AF271" t="n">
        <v>36.79126813</v>
      </c>
      <c r="AG271" t="n">
        <v>29.59506413</v>
      </c>
      <c r="AH271" t="n">
        <v>21.71864581</v>
      </c>
      <c r="AI271" t="n">
        <v>100</v>
      </c>
      <c r="AJ271" t="n">
        <v>0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13.0656</v>
      </c>
      <c r="AS271" t="n">
        <v>18.044</v>
      </c>
      <c r="AT271" t="n">
        <v>39.3992</v>
      </c>
      <c r="AU271" t="n">
        <v>86.63760000000001</v>
      </c>
      <c r="AV271" t="n">
        <v>0</v>
      </c>
    </row>
    <row r="272">
      <c r="A272" t="n">
        <v>271</v>
      </c>
      <c r="B272" s="15" t="n">
        <v>0.0303</v>
      </c>
      <c r="C272" t="n">
        <v>26.7926759</v>
      </c>
      <c r="D272" t="n">
        <v>14.52545613</v>
      </c>
      <c r="E272" t="n">
        <v>2.509963466</v>
      </c>
      <c r="F272" t="n">
        <v>0</v>
      </c>
      <c r="G272" t="n">
        <v>0</v>
      </c>
      <c r="H272" t="n">
        <v>0.6088492210000001</v>
      </c>
      <c r="I272" t="n">
        <v>0</v>
      </c>
      <c r="J272" s="15" t="n">
        <v>0.0303</v>
      </c>
      <c r="K272" s="15" t="n">
        <v>0.0303</v>
      </c>
      <c r="L272" s="15" t="n">
        <v>0.0303</v>
      </c>
      <c r="M272" t="n">
        <v>0</v>
      </c>
      <c r="N272" t="n">
        <v>0</v>
      </c>
      <c r="O272" s="15" t="n">
        <v>0.0303</v>
      </c>
      <c r="P272" t="n">
        <v>3.011955705</v>
      </c>
      <c r="Q272" t="n">
        <v>3.011955705</v>
      </c>
      <c r="R272" t="n">
        <v>0</v>
      </c>
      <c r="S272" t="n">
        <v>0</v>
      </c>
      <c r="T272" s="15" t="n">
        <v>0.617463648</v>
      </c>
      <c r="U272" t="n">
        <v>23.2009947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0.2</v>
      </c>
      <c r="AB272" t="n">
        <v>99.7</v>
      </c>
      <c r="AC272" t="n">
        <v>0</v>
      </c>
      <c r="AD272" t="n">
        <v>0.261905325</v>
      </c>
      <c r="AE272" t="n">
        <v>40.33927878</v>
      </c>
      <c r="AF272" t="n">
        <v>39.98372045</v>
      </c>
      <c r="AG272" t="n">
        <v>30.29773218</v>
      </c>
      <c r="AH272" t="n">
        <v>22.22055155</v>
      </c>
      <c r="AI272" t="n">
        <v>100</v>
      </c>
      <c r="AJ272" t="n">
        <v>0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13.0656</v>
      </c>
      <c r="AS272" t="n">
        <v>18.044</v>
      </c>
      <c r="AT272" t="n">
        <v>39.3992</v>
      </c>
      <c r="AU272" t="n">
        <v>86.63760000000001</v>
      </c>
      <c r="AV272" t="n">
        <v>0</v>
      </c>
    </row>
    <row r="273">
      <c r="A273" t="n">
        <v>272</v>
      </c>
      <c r="B273" s="15" t="n">
        <v>0.0392</v>
      </c>
      <c r="C273" t="n">
        <v>27.75660503</v>
      </c>
      <c r="D273" t="n">
        <v>15.7</v>
      </c>
      <c r="E273" t="n">
        <v>2.918901425</v>
      </c>
      <c r="F273" t="n">
        <v>0</v>
      </c>
      <c r="G273" t="n">
        <v>0</v>
      </c>
      <c r="H273" t="n">
        <v>0.57952177</v>
      </c>
      <c r="I273" t="n">
        <v>0</v>
      </c>
      <c r="J273" s="15" t="n">
        <v>0.0392</v>
      </c>
      <c r="K273" s="15" t="n">
        <v>0.0392</v>
      </c>
      <c r="L273" s="15" t="n">
        <v>0.0392</v>
      </c>
      <c r="M273" t="n">
        <v>0</v>
      </c>
      <c r="N273" t="n">
        <v>0</v>
      </c>
      <c r="O273" s="15" t="n">
        <v>0.0392</v>
      </c>
      <c r="P273" t="n">
        <v>3.50268126</v>
      </c>
      <c r="Q273" t="n">
        <v>3.50268126</v>
      </c>
      <c r="R273" t="n">
        <v>0</v>
      </c>
      <c r="S273" t="n">
        <v>0</v>
      </c>
      <c r="T273" s="15" t="n">
        <v>0.12031745</v>
      </c>
      <c r="U273" t="n">
        <v>19.61717568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0.2</v>
      </c>
      <c r="AB273" t="n">
        <v>99.7</v>
      </c>
      <c r="AC273" t="n">
        <v>0</v>
      </c>
      <c r="AD273" t="n">
        <v>0.26411663</v>
      </c>
      <c r="AE273" t="n">
        <v>40.1954796</v>
      </c>
      <c r="AF273" t="n">
        <v>40.33927878</v>
      </c>
      <c r="AG273" t="n">
        <v>30.73613769</v>
      </c>
      <c r="AH273" t="n">
        <v>22.53369835</v>
      </c>
      <c r="AI273" t="n">
        <v>100</v>
      </c>
      <c r="AJ273" t="n">
        <v>0</v>
      </c>
      <c r="AK273" t="n">
        <v>0</v>
      </c>
      <c r="AL273" t="n">
        <v>1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13.0656</v>
      </c>
      <c r="AS273" t="n">
        <v>18.044</v>
      </c>
      <c r="AT273" t="n">
        <v>39.3992</v>
      </c>
      <c r="AU273" t="n">
        <v>86.63760000000001</v>
      </c>
      <c r="AV273" t="n">
        <v>0</v>
      </c>
    </row>
    <row r="274">
      <c r="A274" t="n">
        <v>273</v>
      </c>
      <c r="B274" t="n">
        <v>0</v>
      </c>
      <c r="C274" t="n">
        <v>25.00267973</v>
      </c>
      <c r="D274" t="n">
        <v>14.51048867</v>
      </c>
      <c r="E274" t="n">
        <v>2.640977158</v>
      </c>
      <c r="F274" t="n">
        <v>0</v>
      </c>
      <c r="G274" t="n">
        <v>0</v>
      </c>
      <c r="H274" t="n">
        <v>0.559892748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3.169172246</v>
      </c>
      <c r="Q274" t="n">
        <v>3.169172246</v>
      </c>
      <c r="R274" t="n">
        <v>0</v>
      </c>
      <c r="S274" t="n">
        <v>0</v>
      </c>
      <c r="T274" s="15" t="n">
        <v>0.0167</v>
      </c>
      <c r="U274" t="n">
        <v>16.431304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0.2</v>
      </c>
      <c r="AB274" t="n">
        <v>99.7</v>
      </c>
      <c r="AC274" t="n">
        <v>0</v>
      </c>
      <c r="AD274" t="n">
        <v>0.247851724</v>
      </c>
      <c r="AE274" t="n">
        <v>39.9643273</v>
      </c>
      <c r="AF274" t="n">
        <v>40.1954796</v>
      </c>
      <c r="AG274" t="n">
        <v>31.02956487</v>
      </c>
      <c r="AH274" t="n">
        <v>22.74328919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13.0656</v>
      </c>
      <c r="AS274" t="n">
        <v>18.044</v>
      </c>
      <c r="AT274" t="n">
        <v>39.3992</v>
      </c>
      <c r="AU274" t="n">
        <v>86.63760000000001</v>
      </c>
      <c r="AV274" t="n">
        <v>0</v>
      </c>
    </row>
    <row r="275">
      <c r="A275" t="n">
        <v>274</v>
      </c>
      <c r="B275" t="n">
        <v>0</v>
      </c>
      <c r="C275" t="n">
        <v>24.30267973</v>
      </c>
      <c r="D275" t="n">
        <v>11.79462434</v>
      </c>
      <c r="E275" t="n">
        <v>2.664721455</v>
      </c>
      <c r="F275" t="n">
        <v>0</v>
      </c>
      <c r="G275" t="n">
        <v>0</v>
      </c>
      <c r="H275" t="n">
        <v>0.573233109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3.197665455</v>
      </c>
      <c r="Q275" t="n">
        <v>2.999372179</v>
      </c>
      <c r="R275" t="n">
        <v>0</v>
      </c>
      <c r="S275" t="n">
        <v>0</v>
      </c>
      <c r="T275" s="15" t="n">
        <v>0.00171</v>
      </c>
      <c r="U275" t="n">
        <v>13.43021799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0.2</v>
      </c>
      <c r="AB275" t="n">
        <v>99.7</v>
      </c>
      <c r="AC275" t="n">
        <v>0</v>
      </c>
      <c r="AD275" t="n">
        <v>0.23057269</v>
      </c>
      <c r="AE275" t="n">
        <v>39.73546844</v>
      </c>
      <c r="AF275" t="n">
        <v>39.9643273</v>
      </c>
      <c r="AG275" t="n">
        <v>30.83014462</v>
      </c>
      <c r="AH275" t="n">
        <v>22.60084616</v>
      </c>
      <c r="AI275" t="n">
        <v>100</v>
      </c>
      <c r="AJ275" t="n">
        <v>0</v>
      </c>
      <c r="AK275" t="n">
        <v>0</v>
      </c>
      <c r="AL275" t="n">
        <v>1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13.0656</v>
      </c>
      <c r="AS275" t="n">
        <v>18.044</v>
      </c>
      <c r="AT275" t="n">
        <v>39.3992</v>
      </c>
      <c r="AU275" t="n">
        <v>86.63760000000001</v>
      </c>
      <c r="AV275" t="n">
        <v>0</v>
      </c>
    </row>
    <row r="276">
      <c r="A276" t="n">
        <v>275</v>
      </c>
      <c r="B276" t="n">
        <v>0</v>
      </c>
      <c r="C276" t="n">
        <v>23.95660503</v>
      </c>
      <c r="D276" t="n">
        <v>14.61528457</v>
      </c>
      <c r="E276" t="n">
        <v>2.523673343</v>
      </c>
      <c r="F276" t="n">
        <v>0</v>
      </c>
      <c r="G276" t="n">
        <v>0</v>
      </c>
      <c r="H276" t="n">
        <v>0.57209338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3.028407782</v>
      </c>
      <c r="Q276" t="n">
        <v>2.187417591</v>
      </c>
      <c r="R276" t="n">
        <v>0</v>
      </c>
      <c r="S276" t="n">
        <v>0</v>
      </c>
      <c r="T276" s="15" t="n">
        <v>0.000113</v>
      </c>
      <c r="U276" t="n">
        <v>11.24268729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0.2</v>
      </c>
      <c r="AB276" t="n">
        <v>99.7</v>
      </c>
      <c r="AC276" t="n">
        <v>0</v>
      </c>
      <c r="AD276" t="n">
        <v>0.215079372</v>
      </c>
      <c r="AE276" t="n">
        <v>39.52050219</v>
      </c>
      <c r="AF276" t="n">
        <v>39.73546844</v>
      </c>
      <c r="AG276" t="n">
        <v>30.84718201</v>
      </c>
      <c r="AH276" t="n">
        <v>22.61301572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0</v>
      </c>
      <c r="AP276" t="n">
        <v>1</v>
      </c>
      <c r="AQ276" t="n">
        <v>0</v>
      </c>
      <c r="AR276" t="n">
        <v>13.0656</v>
      </c>
      <c r="AS276" t="n">
        <v>18.044</v>
      </c>
      <c r="AT276" t="n">
        <v>39.3992</v>
      </c>
      <c r="AU276" t="n">
        <v>86.63760000000001</v>
      </c>
      <c r="AV276" t="n">
        <v>0</v>
      </c>
    </row>
    <row r="277">
      <c r="A277" t="n">
        <v>276</v>
      </c>
      <c r="B277" t="n">
        <v>3.225110588</v>
      </c>
      <c r="C277" t="n">
        <v>18.37201567</v>
      </c>
      <c r="D277" t="n">
        <v>15.98201949</v>
      </c>
      <c r="E277" t="n">
        <v>1.185808668</v>
      </c>
      <c r="F277" t="n">
        <v>0</v>
      </c>
      <c r="G277" t="n">
        <v>0</v>
      </c>
      <c r="H277" t="n">
        <v>0.578863687</v>
      </c>
      <c r="I277" t="n">
        <v>0</v>
      </c>
      <c r="J277" t="n">
        <v>3.225110588</v>
      </c>
      <c r="K277" t="n">
        <v>3.225110588</v>
      </c>
      <c r="L277" t="n">
        <v>3.225110588</v>
      </c>
      <c r="M277" t="n">
        <v>0</v>
      </c>
      <c r="N277" t="n">
        <v>0</v>
      </c>
      <c r="O277" t="n">
        <v>3.225110684</v>
      </c>
      <c r="P277" t="n">
        <v>1.422970314</v>
      </c>
      <c r="Q277" t="n">
        <v>1.033963028</v>
      </c>
      <c r="R277" t="n">
        <v>0</v>
      </c>
      <c r="S277" t="n">
        <v>0</v>
      </c>
      <c r="T277" s="15" t="n">
        <v>8.04e-05</v>
      </c>
      <c r="U277" t="n">
        <v>13.43375459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0.2</v>
      </c>
      <c r="AB277" t="n">
        <v>99.7</v>
      </c>
      <c r="AC277" t="n">
        <v>0</v>
      </c>
      <c r="AD277" t="n">
        <v>0.201406568</v>
      </c>
      <c r="AE277" t="n">
        <v>39.31917597</v>
      </c>
      <c r="AF277" t="n">
        <v>39.52050219</v>
      </c>
      <c r="AG277" t="n">
        <v>30.74597513</v>
      </c>
      <c r="AH277" t="n">
        <v>22.5407251</v>
      </c>
      <c r="AI277" t="n">
        <v>100</v>
      </c>
      <c r="AJ277" t="n">
        <v>0</v>
      </c>
      <c r="AK277" t="n">
        <v>0</v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13.0656</v>
      </c>
      <c r="AS277" t="n">
        <v>18.044</v>
      </c>
      <c r="AT277" t="n">
        <v>39.3992</v>
      </c>
      <c r="AU277" t="n">
        <v>86.63760000000001</v>
      </c>
      <c r="AV277" t="n">
        <v>0</v>
      </c>
    </row>
    <row r="278">
      <c r="A278" t="n">
        <v>277</v>
      </c>
      <c r="B278" t="n">
        <v>51.38018507</v>
      </c>
      <c r="C278" t="n">
        <v>21.07726526</v>
      </c>
      <c r="D278" t="n">
        <v>17.4926759</v>
      </c>
      <c r="E278" t="n">
        <v>1.219037159</v>
      </c>
      <c r="F278" t="n">
        <v>0</v>
      </c>
      <c r="G278" t="n">
        <v>0</v>
      </c>
      <c r="H278" t="n">
        <v>0.643081184</v>
      </c>
      <c r="I278" t="n">
        <v>0</v>
      </c>
      <c r="J278" t="n">
        <v>51.38018507</v>
      </c>
      <c r="K278" t="n">
        <v>51.38018507</v>
      </c>
      <c r="L278" t="n">
        <v>38.14068883</v>
      </c>
      <c r="M278" t="n">
        <v>0</v>
      </c>
      <c r="N278" t="n">
        <v>13.23949625</v>
      </c>
      <c r="O278" t="n">
        <v>38.14068996</v>
      </c>
      <c r="P278" t="n">
        <v>1.462844517</v>
      </c>
      <c r="Q278" t="n">
        <v>1.46284444</v>
      </c>
      <c r="R278" t="n">
        <v>0</v>
      </c>
      <c r="S278" t="n">
        <v>0</v>
      </c>
      <c r="T278" t="n">
        <v>13.07853725</v>
      </c>
      <c r="U278" t="n">
        <v>37.03306286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0.2</v>
      </c>
      <c r="AB278" t="n">
        <v>99.7</v>
      </c>
      <c r="AC278" t="n">
        <v>0</v>
      </c>
      <c r="AD278" t="n">
        <v>0.735710767</v>
      </c>
      <c r="AE278" t="n">
        <v>51.66200246</v>
      </c>
      <c r="AF278" t="n">
        <v>39.31917597</v>
      </c>
      <c r="AG278" t="n">
        <v>29.78601089</v>
      </c>
      <c r="AH278" t="n">
        <v>21.85503635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1</v>
      </c>
      <c r="AQ278" t="n">
        <v>0</v>
      </c>
      <c r="AR278" t="n">
        <v>13.0656</v>
      </c>
      <c r="AS278" t="n">
        <v>18.044</v>
      </c>
      <c r="AT278" t="n">
        <v>39.3992</v>
      </c>
      <c r="AU278" t="n">
        <v>86.63760000000001</v>
      </c>
      <c r="AV278" t="n">
        <v>0</v>
      </c>
    </row>
    <row r="279">
      <c r="A279" t="n">
        <v>278</v>
      </c>
      <c r="B279" t="n">
        <v>2.652400298</v>
      </c>
      <c r="C279" t="n">
        <v>21.07726526</v>
      </c>
      <c r="D279" t="n">
        <v>15.3073241</v>
      </c>
      <c r="E279" t="n">
        <v>1.735727108</v>
      </c>
      <c r="F279" t="n">
        <v>0</v>
      </c>
      <c r="G279" t="n">
        <v>0</v>
      </c>
      <c r="H279" t="n">
        <v>0.641486216</v>
      </c>
      <c r="I279" t="n">
        <v>0</v>
      </c>
      <c r="J279" t="n">
        <v>2.652400298</v>
      </c>
      <c r="K279" t="n">
        <v>2.652400298</v>
      </c>
      <c r="L279" t="n">
        <v>2.652400298</v>
      </c>
      <c r="M279" t="n">
        <v>0</v>
      </c>
      <c r="N279" t="n">
        <v>0</v>
      </c>
      <c r="O279" t="n">
        <v>2.652400377</v>
      </c>
      <c r="P279" t="n">
        <v>2.082872447</v>
      </c>
      <c r="Q279" t="n">
        <v>2.082872447</v>
      </c>
      <c r="R279" t="n">
        <v>0</v>
      </c>
      <c r="S279" t="n">
        <v>0</v>
      </c>
      <c r="T279" t="n">
        <v>8.372190822</v>
      </c>
      <c r="U279" t="n">
        <v>29.23039997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0.2</v>
      </c>
      <c r="AB279" t="n">
        <v>99.7</v>
      </c>
      <c r="AC279" t="n">
        <v>0</v>
      </c>
      <c r="AD279" t="n">
        <v>7.545854232</v>
      </c>
      <c r="AE279" t="n">
        <v>52.48833905</v>
      </c>
      <c r="AF279" t="n">
        <v>51.66200246</v>
      </c>
      <c r="AG279" t="n">
        <v>29.80985349</v>
      </c>
      <c r="AH279" t="n">
        <v>21.87206678</v>
      </c>
      <c r="AI279" t="n">
        <v>100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13.0656</v>
      </c>
      <c r="AS279" t="n">
        <v>18.044</v>
      </c>
      <c r="AT279" t="n">
        <v>39.3992</v>
      </c>
      <c r="AU279" t="n">
        <v>86.63760000000001</v>
      </c>
      <c r="AV279" t="n">
        <v>0</v>
      </c>
    </row>
    <row r="280">
      <c r="A280" t="n">
        <v>279</v>
      </c>
      <c r="B280" t="n">
        <v>10.68860048</v>
      </c>
      <c r="C280" t="n">
        <v>15.61528457</v>
      </c>
      <c r="D280" t="n">
        <v>9.817980506</v>
      </c>
      <c r="E280" t="n">
        <v>1.183902261</v>
      </c>
      <c r="F280" t="n">
        <v>0</v>
      </c>
      <c r="G280" t="n">
        <v>0</v>
      </c>
      <c r="H280" t="n">
        <v>0.6166851</v>
      </c>
      <c r="I280" t="n">
        <v>0</v>
      </c>
      <c r="J280" t="n">
        <v>10.68860048</v>
      </c>
      <c r="K280" t="n">
        <v>10.68860048</v>
      </c>
      <c r="L280" t="n">
        <v>9.194398869</v>
      </c>
      <c r="M280" t="n">
        <v>0</v>
      </c>
      <c r="N280" t="n">
        <v>1.49420161</v>
      </c>
      <c r="O280" t="n">
        <v>9.194399143</v>
      </c>
      <c r="P280" t="n">
        <v>1.420682669</v>
      </c>
      <c r="Q280" t="n">
        <v>1.420682669</v>
      </c>
      <c r="R280" t="n">
        <v>0</v>
      </c>
      <c r="S280" t="n">
        <v>0</v>
      </c>
      <c r="T280" t="n">
        <v>5.286463877</v>
      </c>
      <c r="U280" t="n">
        <v>31.71765256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0.2</v>
      </c>
      <c r="AB280" t="n">
        <v>99.7</v>
      </c>
      <c r="AC280" t="n">
        <v>0</v>
      </c>
      <c r="AD280" t="n">
        <v>5.404735681</v>
      </c>
      <c r="AE280" t="n">
        <v>52.37006724</v>
      </c>
      <c r="AF280" t="n">
        <v>52.48833905</v>
      </c>
      <c r="AG280" t="n">
        <v>30.18059645</v>
      </c>
      <c r="AH280" t="n">
        <v>22.13688318</v>
      </c>
      <c r="AI280" t="n">
        <v>100</v>
      </c>
      <c r="AJ280" t="n">
        <v>0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13.0656</v>
      </c>
      <c r="AS280" t="n">
        <v>18.044</v>
      </c>
      <c r="AT280" t="n">
        <v>39.3992</v>
      </c>
      <c r="AU280" t="n">
        <v>86.63760000000001</v>
      </c>
      <c r="AV280" t="n">
        <v>0</v>
      </c>
    </row>
    <row r="281">
      <c r="A281" t="n">
        <v>280</v>
      </c>
      <c r="B281" s="15" t="n">
        <v>0</v>
      </c>
      <c r="C281" t="n">
        <v>20.96124941</v>
      </c>
      <c r="D281" t="n">
        <v>8.127984333000001</v>
      </c>
      <c r="E281" t="n">
        <v>1.613193895</v>
      </c>
      <c r="F281" t="n">
        <v>0</v>
      </c>
      <c r="G281" t="n">
        <v>0</v>
      </c>
      <c r="H281" t="n">
        <v>0.64317269</v>
      </c>
      <c r="I281" t="n">
        <v>0</v>
      </c>
      <c r="J281" s="15" t="n">
        <v>0</v>
      </c>
      <c r="K281" s="15" t="n">
        <v>0</v>
      </c>
      <c r="L281" s="15" t="n">
        <v>0</v>
      </c>
      <c r="M281" t="n">
        <v>0</v>
      </c>
      <c r="N281" t="n">
        <v>0</v>
      </c>
      <c r="O281" s="15" t="n">
        <v>0</v>
      </c>
      <c r="P281" t="n">
        <v>1.935832629</v>
      </c>
      <c r="Q281" t="n">
        <v>1.935832629</v>
      </c>
      <c r="R281" t="n">
        <v>0</v>
      </c>
      <c r="S281" t="n">
        <v>0</v>
      </c>
      <c r="T281" t="n">
        <v>2.982481079</v>
      </c>
      <c r="U281" t="n">
        <v>26.79933886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0.2</v>
      </c>
      <c r="AB281" t="n">
        <v>99.7</v>
      </c>
      <c r="AC281" t="n">
        <v>0</v>
      </c>
      <c r="AD281" t="n">
        <v>4.940409688</v>
      </c>
      <c r="AE281" t="n">
        <v>50.41213864</v>
      </c>
      <c r="AF281" t="n">
        <v>52.37006724</v>
      </c>
      <c r="AG281" t="n">
        <v>29.784643</v>
      </c>
      <c r="AH281" t="n">
        <v>21.85405928</v>
      </c>
      <c r="AI281" t="n">
        <v>100</v>
      </c>
      <c r="AJ281" t="n">
        <v>0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13.0656</v>
      </c>
      <c r="AS281" t="n">
        <v>18.044</v>
      </c>
      <c r="AT281" t="n">
        <v>39.3992</v>
      </c>
      <c r="AU281" t="n">
        <v>86.63760000000001</v>
      </c>
      <c r="AV281" t="n">
        <v>0</v>
      </c>
    </row>
    <row r="282">
      <c r="A282" t="n">
        <v>281</v>
      </c>
      <c r="B282" s="15" t="n">
        <v>0.0252</v>
      </c>
      <c r="C282" t="n">
        <v>21.85660503</v>
      </c>
      <c r="D282" t="n">
        <v>11.6926759</v>
      </c>
      <c r="E282" t="n">
        <v>1.729279518</v>
      </c>
      <c r="F282" t="n">
        <v>0</v>
      </c>
      <c r="G282" t="n">
        <v>0</v>
      </c>
      <c r="H282" t="n">
        <v>0.622566692</v>
      </c>
      <c r="I282" t="n">
        <v>0</v>
      </c>
      <c r="J282" s="15" t="n">
        <v>0.0252</v>
      </c>
      <c r="K282" s="15" t="n">
        <v>0.0252</v>
      </c>
      <c r="L282" s="15" t="n">
        <v>0.0252</v>
      </c>
      <c r="M282" t="n">
        <v>0</v>
      </c>
      <c r="N282" t="n">
        <v>0</v>
      </c>
      <c r="O282" s="15" t="n">
        <v>0.0252</v>
      </c>
      <c r="P282" t="n">
        <v>2.075135388</v>
      </c>
      <c r="Q282" t="n">
        <v>2.075135388</v>
      </c>
      <c r="R282" t="n">
        <v>0</v>
      </c>
      <c r="S282" t="n">
        <v>0</v>
      </c>
      <c r="T282" t="n">
        <v>0.690934802</v>
      </c>
      <c r="U282" t="n">
        <v>24.05848238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0.2</v>
      </c>
      <c r="AB282" t="n">
        <v>99.7</v>
      </c>
      <c r="AC282" t="n">
        <v>0</v>
      </c>
      <c r="AD282" t="n">
        <v>2.884408457</v>
      </c>
      <c r="AE282" t="n">
        <v>48.21866498</v>
      </c>
      <c r="AF282" t="n">
        <v>50.41213864</v>
      </c>
      <c r="AG282" t="n">
        <v>30.09267464</v>
      </c>
      <c r="AH282" t="n">
        <v>22.07408189</v>
      </c>
      <c r="AI282" t="n">
        <v>100</v>
      </c>
      <c r="AJ282" t="n">
        <v>0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  <c r="AP282" t="n">
        <v>1</v>
      </c>
      <c r="AQ282" t="n">
        <v>0</v>
      </c>
      <c r="AR282" t="n">
        <v>13.0656</v>
      </c>
      <c r="AS282" t="n">
        <v>18.044</v>
      </c>
      <c r="AT282" t="n">
        <v>39.3992</v>
      </c>
      <c r="AU282" t="n">
        <v>86.63760000000001</v>
      </c>
      <c r="AV282" t="n">
        <v>0</v>
      </c>
    </row>
    <row r="283">
      <c r="A283" t="n">
        <v>282</v>
      </c>
      <c r="B283" t="n">
        <v>0</v>
      </c>
      <c r="C283" t="n">
        <v>19.43875059</v>
      </c>
      <c r="D283" t="n">
        <v>11.91333613</v>
      </c>
      <c r="E283" t="n">
        <v>1.857591281</v>
      </c>
      <c r="F283" t="n">
        <v>0</v>
      </c>
      <c r="G283" t="n">
        <v>0</v>
      </c>
      <c r="H283" t="n">
        <v>0.616994582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2.229109515</v>
      </c>
      <c r="Q283" t="n">
        <v>2.229109515</v>
      </c>
      <c r="R283" t="n">
        <v>0</v>
      </c>
      <c r="S283" t="n">
        <v>0</v>
      </c>
      <c r="T283" t="n">
        <v>0.213204445</v>
      </c>
      <c r="U283" t="n">
        <v>21.61616842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0.2</v>
      </c>
      <c r="AB283" t="n">
        <v>99.7</v>
      </c>
      <c r="AC283" t="n">
        <v>0</v>
      </c>
      <c r="AD283" t="n">
        <v>1.831230768</v>
      </c>
      <c r="AE283" t="n">
        <v>46.60063866</v>
      </c>
      <c r="AF283" t="n">
        <v>48.21866498</v>
      </c>
      <c r="AG283" t="n">
        <v>30.17597011</v>
      </c>
      <c r="AH283" t="n">
        <v>22.13357865</v>
      </c>
      <c r="AI283" t="n">
        <v>100</v>
      </c>
      <c r="AJ283" t="n">
        <v>0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n">
        <v>1</v>
      </c>
      <c r="AQ283" t="n">
        <v>0</v>
      </c>
      <c r="AR283" t="n">
        <v>13.0656</v>
      </c>
      <c r="AS283" t="n">
        <v>18.044</v>
      </c>
      <c r="AT283" t="n">
        <v>39.3992</v>
      </c>
      <c r="AU283" t="n">
        <v>86.63760000000001</v>
      </c>
      <c r="AV283" t="n">
        <v>0</v>
      </c>
    </row>
    <row r="284">
      <c r="A284" t="n">
        <v>283</v>
      </c>
      <c r="B284" t="n">
        <v>0</v>
      </c>
      <c r="C284" t="n">
        <v>19.00267973</v>
      </c>
      <c r="D284" t="n">
        <v>7.753925305</v>
      </c>
      <c r="E284" t="n">
        <v>1.742023163</v>
      </c>
      <c r="F284" t="n">
        <v>0</v>
      </c>
      <c r="G284" t="n">
        <v>0</v>
      </c>
      <c r="H284" t="n">
        <v>0.610835617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2.090427785</v>
      </c>
      <c r="Q284" t="n">
        <v>2.090427785</v>
      </c>
      <c r="R284" t="n">
        <v>0</v>
      </c>
      <c r="S284" t="n">
        <v>0</v>
      </c>
      <c r="T284" s="15" t="n">
        <v>0.0631</v>
      </c>
      <c r="U284" t="n">
        <v>19.46260928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0.2</v>
      </c>
      <c r="AB284" t="n">
        <v>99.7</v>
      </c>
      <c r="AC284" t="n">
        <v>0</v>
      </c>
      <c r="AD284" t="n">
        <v>1.286218217</v>
      </c>
      <c r="AE284" t="n">
        <v>45.37755179</v>
      </c>
      <c r="AF284" t="n">
        <v>46.60063866</v>
      </c>
      <c r="AG284" t="n">
        <v>30.26803826</v>
      </c>
      <c r="AH284" t="n">
        <v>22.19934162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13.0656</v>
      </c>
      <c r="AS284" t="n">
        <v>18.044</v>
      </c>
      <c r="AT284" t="n">
        <v>39.3992</v>
      </c>
      <c r="AU284" t="n">
        <v>86.63760000000001</v>
      </c>
      <c r="AV284" t="n">
        <v>0</v>
      </c>
    </row>
    <row r="285">
      <c r="A285" t="n">
        <v>284</v>
      </c>
      <c r="B285" t="n">
        <v>0</v>
      </c>
      <c r="C285" t="n">
        <v>20.5</v>
      </c>
      <c r="D285" t="n">
        <v>5.297320274</v>
      </c>
      <c r="E285" t="n">
        <v>1.785656903</v>
      </c>
      <c r="F285" t="n">
        <v>0</v>
      </c>
      <c r="G285" t="n">
        <v>0</v>
      </c>
      <c r="H285" t="n">
        <v>0.616382886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2.142788282</v>
      </c>
      <c r="Q285" t="n">
        <v>2.142788282</v>
      </c>
      <c r="R285" t="n">
        <v>0</v>
      </c>
      <c r="S285" t="n">
        <v>0</v>
      </c>
      <c r="T285" s="15" t="n">
        <v>0.0175</v>
      </c>
      <c r="U285" t="n">
        <v>17.30228557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0.2</v>
      </c>
      <c r="AB285" t="n">
        <v>99.7</v>
      </c>
      <c r="AC285" t="n">
        <v>0</v>
      </c>
      <c r="AD285" t="n">
        <v>0.9726775989999999</v>
      </c>
      <c r="AE285" t="n">
        <v>44.42240962</v>
      </c>
      <c r="AF285" t="n">
        <v>45.37755179</v>
      </c>
      <c r="AG285" t="n">
        <v>30.18511414</v>
      </c>
      <c r="AH285" t="n">
        <v>22.1401101</v>
      </c>
      <c r="AI285" t="n">
        <v>100</v>
      </c>
      <c r="AJ285" t="n">
        <v>0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13.0656</v>
      </c>
      <c r="AS285" t="n">
        <v>18.044</v>
      </c>
      <c r="AT285" t="n">
        <v>39.3992</v>
      </c>
      <c r="AU285" t="n">
        <v>86.63760000000001</v>
      </c>
      <c r="AV285" t="n">
        <v>0</v>
      </c>
    </row>
    <row r="286">
      <c r="A286" t="n">
        <v>285</v>
      </c>
      <c r="B286" t="n">
        <v>0</v>
      </c>
      <c r="C286" t="n">
        <v>18.7</v>
      </c>
      <c r="D286" t="n">
        <v>7.579339768</v>
      </c>
      <c r="E286" t="n">
        <v>1.706292789</v>
      </c>
      <c r="F286" t="n">
        <v>0</v>
      </c>
      <c r="G286" t="n">
        <v>0</v>
      </c>
      <c r="H286" t="n">
        <v>0.614288466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2.047551353</v>
      </c>
      <c r="Q286" t="n">
        <v>2.046414113</v>
      </c>
      <c r="R286" t="n">
        <v>0</v>
      </c>
      <c r="S286" t="n">
        <v>0</v>
      </c>
      <c r="T286" s="15" t="n">
        <v>0.00397</v>
      </c>
      <c r="U286" t="n">
        <v>15.25189709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0.2</v>
      </c>
      <c r="AB286" t="n">
        <v>99.7</v>
      </c>
      <c r="AC286" t="n">
        <v>0</v>
      </c>
      <c r="AD286" t="n">
        <v>0.774657507</v>
      </c>
      <c r="AE286" t="n">
        <v>43.65172648</v>
      </c>
      <c r="AF286" t="n">
        <v>44.42240962</v>
      </c>
      <c r="AG286" t="n">
        <v>30.21642286</v>
      </c>
      <c r="AH286" t="n">
        <v>22.16247347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13.0656</v>
      </c>
      <c r="AS286" t="n">
        <v>18.044</v>
      </c>
      <c r="AT286" t="n">
        <v>39.3992</v>
      </c>
      <c r="AU286" t="n">
        <v>86.63760000000001</v>
      </c>
      <c r="AV286" t="n">
        <v>0</v>
      </c>
    </row>
    <row r="287">
      <c r="A287" t="n">
        <v>286</v>
      </c>
      <c r="B287" s="15" t="n">
        <v>0.0196</v>
      </c>
      <c r="C287" t="n">
        <v>19.45660503</v>
      </c>
      <c r="D287" t="n">
        <v>6.515284568</v>
      </c>
      <c r="E287" t="n">
        <v>1.775404939</v>
      </c>
      <c r="F287" t="n">
        <v>0</v>
      </c>
      <c r="G287" t="n">
        <v>0</v>
      </c>
      <c r="H287" t="n">
        <v>0.618097943</v>
      </c>
      <c r="I287" t="n">
        <v>0</v>
      </c>
      <c r="J287" s="15" t="n">
        <v>0.0196</v>
      </c>
      <c r="K287" s="15" t="n">
        <v>0.0196</v>
      </c>
      <c r="L287" s="15" t="n">
        <v>0.0196</v>
      </c>
      <c r="M287" t="n">
        <v>0</v>
      </c>
      <c r="N287" t="n">
        <v>0</v>
      </c>
      <c r="O287" s="15" t="n">
        <v>0.0196</v>
      </c>
      <c r="P287" t="n">
        <v>2.130485941</v>
      </c>
      <c r="Q287" t="n">
        <v>1.914652485</v>
      </c>
      <c r="R287" t="n">
        <v>0</v>
      </c>
      <c r="S287" t="n">
        <v>0</v>
      </c>
      <c r="T287" s="15" t="n">
        <v>0.000739</v>
      </c>
      <c r="U287" t="n">
        <v>13.35609559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0.2</v>
      </c>
      <c r="AB287" t="n">
        <v>99.7</v>
      </c>
      <c r="AC287" t="n">
        <v>0</v>
      </c>
      <c r="AD287" t="n">
        <v>0.63935951</v>
      </c>
      <c r="AE287" t="n">
        <v>43.01310583</v>
      </c>
      <c r="AF287" t="n">
        <v>43.65172648</v>
      </c>
      <c r="AG287" t="n">
        <v>30.15947636</v>
      </c>
      <c r="AH287" t="n">
        <v>22.1217974</v>
      </c>
      <c r="AI287" t="n">
        <v>100</v>
      </c>
      <c r="AJ287" t="n">
        <v>0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13.0656</v>
      </c>
      <c r="AS287" t="n">
        <v>18.044</v>
      </c>
      <c r="AT287" t="n">
        <v>39.3992</v>
      </c>
      <c r="AU287" t="n">
        <v>86.63760000000001</v>
      </c>
      <c r="AV287" t="n">
        <v>0</v>
      </c>
    </row>
    <row r="288">
      <c r="A288" t="n">
        <v>287</v>
      </c>
      <c r="B288" t="n">
        <v>0</v>
      </c>
      <c r="C288" t="n">
        <v>17.9640552</v>
      </c>
      <c r="D288" t="n">
        <v>6.472015667</v>
      </c>
      <c r="E288" t="n">
        <v>1.737571363</v>
      </c>
      <c r="F288" t="n">
        <v>0</v>
      </c>
      <c r="G288" t="n">
        <v>0</v>
      </c>
      <c r="H288" t="n">
        <v>0.61478056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s="15" t="n">
        <v>0</v>
      </c>
      <c r="O288" t="n">
        <v>0</v>
      </c>
      <c r="P288" t="n">
        <v>2.085085655</v>
      </c>
      <c r="Q288" t="n">
        <v>1.555410405</v>
      </c>
      <c r="R288" t="n">
        <v>0</v>
      </c>
      <c r="S288" t="n">
        <v>0</v>
      </c>
      <c r="T288" s="15" t="n">
        <v>0.00012</v>
      </c>
      <c r="U288" t="n">
        <v>11.80056536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0.2</v>
      </c>
      <c r="AB288" t="n">
        <v>99.7</v>
      </c>
      <c r="AC288" t="n">
        <v>0</v>
      </c>
      <c r="AD288" t="n">
        <v>0.542469702</v>
      </c>
      <c r="AE288" t="n">
        <v>42.47075596</v>
      </c>
      <c r="AF288" t="n">
        <v>43.01310583</v>
      </c>
      <c r="AG288" t="n">
        <v>30.20906673</v>
      </c>
      <c r="AH288" t="n">
        <v>22.15721909</v>
      </c>
      <c r="AI288" t="n">
        <v>100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1</v>
      </c>
      <c r="AQ288" t="n">
        <v>0</v>
      </c>
      <c r="AR288" t="n">
        <v>13.0656</v>
      </c>
      <c r="AS288" t="n">
        <v>18.044</v>
      </c>
      <c r="AT288" t="n">
        <v>39.3992</v>
      </c>
      <c r="AU288" t="n">
        <v>86.63760000000001</v>
      </c>
      <c r="AV288" t="n">
        <v>0</v>
      </c>
    </row>
    <row r="289">
      <c r="A289" t="n">
        <v>288</v>
      </c>
      <c r="B289" t="n">
        <v>0</v>
      </c>
      <c r="C289" t="n">
        <v>18.55660503</v>
      </c>
      <c r="D289" t="n">
        <v>4.433265073</v>
      </c>
      <c r="E289" t="n">
        <v>1.564694402</v>
      </c>
      <c r="F289" t="n">
        <v>0</v>
      </c>
      <c r="G289" t="n">
        <v>0</v>
      </c>
      <c r="H289" t="n">
        <v>0.616596571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1.877633305</v>
      </c>
      <c r="Q289" t="n">
        <v>1.174294515</v>
      </c>
      <c r="R289" t="n">
        <v>0</v>
      </c>
      <c r="S289" t="n">
        <v>0</v>
      </c>
      <c r="T289" s="15" t="n">
        <v>2e-05</v>
      </c>
      <c r="U289" t="n">
        <v>10.62625083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0.2</v>
      </c>
      <c r="AB289" t="n">
        <v>99.7</v>
      </c>
      <c r="AC289" t="n">
        <v>0</v>
      </c>
      <c r="AD289" t="n">
        <v>0.469947343</v>
      </c>
      <c r="AE289" t="n">
        <v>42.00082863</v>
      </c>
      <c r="AF289" t="n">
        <v>42.47075596</v>
      </c>
      <c r="AG289" t="n">
        <v>30.18191983</v>
      </c>
      <c r="AH289" t="n">
        <v>22.13782845</v>
      </c>
      <c r="AI289" t="n">
        <v>100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0</v>
      </c>
      <c r="AP289" t="n">
        <v>1</v>
      </c>
      <c r="AQ289" t="n">
        <v>0</v>
      </c>
      <c r="AR289" t="n">
        <v>13.0656</v>
      </c>
      <c r="AS289" t="n">
        <v>18.044</v>
      </c>
      <c r="AT289" t="n">
        <v>39.3992</v>
      </c>
      <c r="AU289" t="n">
        <v>86.63760000000001</v>
      </c>
      <c r="AV289" t="n">
        <v>0</v>
      </c>
    </row>
    <row r="290">
      <c r="A290" t="n">
        <v>289</v>
      </c>
      <c r="B290" t="n">
        <v>0</v>
      </c>
      <c r="C290" t="n">
        <v>19.87454387</v>
      </c>
      <c r="D290" t="n">
        <v>4.358679537</v>
      </c>
      <c r="E290" t="n">
        <v>1.583634169</v>
      </c>
      <c r="F290" t="n">
        <v>0</v>
      </c>
      <c r="G290" t="n">
        <v>0</v>
      </c>
      <c r="H290" t="n">
        <v>0.624894665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s="15" t="n">
        <v>0</v>
      </c>
      <c r="O290" t="n">
        <v>0</v>
      </c>
      <c r="P290" t="n">
        <v>1.900361029</v>
      </c>
      <c r="Q290" t="n">
        <v>1.005043525</v>
      </c>
      <c r="R290" t="n">
        <v>0</v>
      </c>
      <c r="S290" t="n">
        <v>0</v>
      </c>
      <c r="T290" s="15" t="n">
        <v>3.74e-06</v>
      </c>
      <c r="U290" t="n">
        <v>9.621203567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0.2</v>
      </c>
      <c r="AB290" t="n">
        <v>99.7</v>
      </c>
      <c r="AC290" t="n">
        <v>0</v>
      </c>
      <c r="AD290" t="n">
        <v>0.413752201</v>
      </c>
      <c r="AE290" t="n">
        <v>41.58708017</v>
      </c>
      <c r="AF290" t="n">
        <v>42.00082863</v>
      </c>
      <c r="AG290" t="n">
        <v>30.05787462</v>
      </c>
      <c r="AH290" t="n">
        <v>22.04922473</v>
      </c>
      <c r="AI290" t="n">
        <v>100</v>
      </c>
      <c r="AJ290" t="n">
        <v>0</v>
      </c>
      <c r="AK290" t="n">
        <v>0</v>
      </c>
      <c r="AL290" t="n">
        <v>1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13.0656</v>
      </c>
      <c r="AS290" t="n">
        <v>18.044</v>
      </c>
      <c r="AT290" t="n">
        <v>39.3992</v>
      </c>
      <c r="AU290" t="n">
        <v>86.63760000000001</v>
      </c>
      <c r="AV290" t="n">
        <v>0</v>
      </c>
    </row>
    <row r="291">
      <c r="A291" t="n">
        <v>290</v>
      </c>
      <c r="B291" t="n">
        <v>0</v>
      </c>
      <c r="C291" t="n">
        <v>20.32798433</v>
      </c>
      <c r="D291" t="n">
        <v>5.307324101</v>
      </c>
      <c r="E291" t="n">
        <v>1.529774058</v>
      </c>
      <c r="F291" t="n">
        <v>0</v>
      </c>
      <c r="G291" t="n">
        <v>0</v>
      </c>
      <c r="H291" t="n">
        <v>0.6239855560000001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1.835728898</v>
      </c>
      <c r="Q291" t="n">
        <v>0.822412385</v>
      </c>
      <c r="R291" t="n">
        <v>0</v>
      </c>
      <c r="S291" t="n">
        <v>0</v>
      </c>
      <c r="T291" s="15" t="n">
        <v>6.74e-07</v>
      </c>
      <c r="U291" t="n">
        <v>8.798790508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0.2</v>
      </c>
      <c r="AB291" t="n">
        <v>99.7</v>
      </c>
      <c r="AC291" t="n">
        <v>0</v>
      </c>
      <c r="AD291" t="n">
        <v>0.369000282</v>
      </c>
      <c r="AE291" t="n">
        <v>41.21808056</v>
      </c>
      <c r="AF291" t="n">
        <v>41.58708017</v>
      </c>
      <c r="AG291" t="n">
        <v>30.07146456</v>
      </c>
      <c r="AH291" t="n">
        <v>22.05893183</v>
      </c>
      <c r="AI291" t="n">
        <v>100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13.0656</v>
      </c>
      <c r="AS291" t="n">
        <v>18.044</v>
      </c>
      <c r="AT291" t="n">
        <v>39.3992</v>
      </c>
      <c r="AU291" t="n">
        <v>86.63760000000001</v>
      </c>
      <c r="AV291" t="n">
        <v>0</v>
      </c>
    </row>
    <row r="292">
      <c r="A292" t="n">
        <v>291</v>
      </c>
      <c r="B292" t="n">
        <v>0</v>
      </c>
      <c r="C292" t="n">
        <v>20.55660503</v>
      </c>
      <c r="D292" t="n">
        <v>5.340589175</v>
      </c>
      <c r="E292" t="n">
        <v>1.48292871</v>
      </c>
      <c r="F292" t="n">
        <v>0</v>
      </c>
      <c r="G292" t="n">
        <v>0</v>
      </c>
      <c r="H292" t="n">
        <v>0.626570841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1.779514483</v>
      </c>
      <c r="Q292" t="n">
        <v>0.67890158</v>
      </c>
      <c r="R292" t="n">
        <v>0</v>
      </c>
      <c r="S292" t="n">
        <v>0</v>
      </c>
      <c r="T292" s="15" t="n">
        <v>1.24e-07</v>
      </c>
      <c r="U292" t="n">
        <v>8.119888805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0.2</v>
      </c>
      <c r="AB292" t="n">
        <v>99.7</v>
      </c>
      <c r="AC292" t="n">
        <v>0</v>
      </c>
      <c r="AD292" t="n">
        <v>0.332566114</v>
      </c>
      <c r="AE292" t="n">
        <v>40.88551457</v>
      </c>
      <c r="AF292" t="n">
        <v>41.21808056</v>
      </c>
      <c r="AG292" t="n">
        <v>30.03281806</v>
      </c>
      <c r="AH292" t="n">
        <v>22.03132719</v>
      </c>
      <c r="AI292" t="n">
        <v>100</v>
      </c>
      <c r="AJ292" t="n">
        <v>0</v>
      </c>
      <c r="AK292" t="n">
        <v>0</v>
      </c>
      <c r="AL292" t="n">
        <v>1</v>
      </c>
      <c r="AM292" t="n">
        <v>1</v>
      </c>
      <c r="AN292" t="n">
        <v>0</v>
      </c>
      <c r="AO292" t="n">
        <v>0</v>
      </c>
      <c r="AP292" t="n">
        <v>1</v>
      </c>
      <c r="AQ292" t="n">
        <v>0</v>
      </c>
      <c r="AR292" t="n">
        <v>13.0656</v>
      </c>
      <c r="AS292" t="n">
        <v>18.044</v>
      </c>
      <c r="AT292" t="n">
        <v>39.3992</v>
      </c>
      <c r="AU292" t="n">
        <v>86.63760000000001</v>
      </c>
      <c r="AV292" t="n">
        <v>0</v>
      </c>
    </row>
    <row r="293">
      <c r="A293" t="n">
        <v>292</v>
      </c>
      <c r="B293" s="15" t="n">
        <v>0</v>
      </c>
      <c r="C293" t="n">
        <v>19.8460747</v>
      </c>
      <c r="D293" t="n">
        <v>7.368851101</v>
      </c>
      <c r="E293" t="n">
        <v>1.288210461</v>
      </c>
      <c r="F293" t="n">
        <v>0</v>
      </c>
      <c r="G293" t="n">
        <v>0</v>
      </c>
      <c r="H293" t="n">
        <v>0.628819418</v>
      </c>
      <c r="I293" t="n">
        <v>0</v>
      </c>
      <c r="J293" s="15" t="n">
        <v>0</v>
      </c>
      <c r="K293" s="15" t="n">
        <v>0</v>
      </c>
      <c r="L293" s="15" t="n">
        <v>0</v>
      </c>
      <c r="M293" t="n">
        <v>0</v>
      </c>
      <c r="N293" t="n">
        <v>0</v>
      </c>
      <c r="O293" s="15" t="n">
        <v>0</v>
      </c>
      <c r="P293" t="n">
        <v>1.545852582</v>
      </c>
      <c r="Q293" t="n">
        <v>0.508626883</v>
      </c>
      <c r="R293" t="n">
        <v>0</v>
      </c>
      <c r="S293" t="n">
        <v>0</v>
      </c>
      <c r="T293" s="15" t="n">
        <v>2.37e-08</v>
      </c>
      <c r="U293" t="n">
        <v>7.611261898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0.2</v>
      </c>
      <c r="AB293" t="n">
        <v>99.7</v>
      </c>
      <c r="AC293" t="n">
        <v>0</v>
      </c>
      <c r="AD293" t="n">
        <v>0.302360259</v>
      </c>
      <c r="AE293" t="n">
        <v>40.58315433</v>
      </c>
      <c r="AF293" t="n">
        <v>40.88551457</v>
      </c>
      <c r="AG293" t="n">
        <v>29.9992049</v>
      </c>
      <c r="AH293" t="n">
        <v>22.00731778</v>
      </c>
      <c r="AI293" t="n">
        <v>100</v>
      </c>
      <c r="AJ293" t="n">
        <v>0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1</v>
      </c>
      <c r="AQ293" t="n">
        <v>0</v>
      </c>
      <c r="AR293" t="n">
        <v>13.0656</v>
      </c>
      <c r="AS293" t="n">
        <v>18.044</v>
      </c>
      <c r="AT293" t="n">
        <v>39.3992</v>
      </c>
      <c r="AU293" t="n">
        <v>86.63760000000001</v>
      </c>
      <c r="AV293" t="n">
        <v>0</v>
      </c>
    </row>
    <row r="294">
      <c r="A294" t="n">
        <v>293</v>
      </c>
      <c r="B294" s="15" t="n">
        <v>0.0196</v>
      </c>
      <c r="C294" t="n">
        <v>18.98201949</v>
      </c>
      <c r="D294" t="n">
        <v>7.95071907</v>
      </c>
      <c r="E294" t="n">
        <v>1.049240164</v>
      </c>
      <c r="F294" t="n">
        <v>0</v>
      </c>
      <c r="G294" t="n">
        <v>0</v>
      </c>
      <c r="H294" t="n">
        <v>0.638165894</v>
      </c>
      <c r="I294" t="n">
        <v>0</v>
      </c>
      <c r="J294" s="15" t="n">
        <v>0.0196</v>
      </c>
      <c r="K294" s="15" t="n">
        <v>0.0196</v>
      </c>
      <c r="L294" s="15" t="n">
        <v>0.0196</v>
      </c>
      <c r="M294" t="n">
        <v>0</v>
      </c>
      <c r="N294" t="n">
        <v>0</v>
      </c>
      <c r="O294" s="15" t="n">
        <v>0.0196</v>
      </c>
      <c r="P294" t="n">
        <v>1.259088222</v>
      </c>
      <c r="Q294" t="n">
        <v>0.366839292</v>
      </c>
      <c r="R294" t="n">
        <v>0</v>
      </c>
      <c r="S294" t="n">
        <v>0</v>
      </c>
      <c r="T294" s="15" t="n">
        <v>5.71e-09</v>
      </c>
      <c r="U294" t="n">
        <v>7.264012445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0.2</v>
      </c>
      <c r="AB294" t="n">
        <v>99.7</v>
      </c>
      <c r="AC294" t="n">
        <v>0</v>
      </c>
      <c r="AD294" t="n">
        <v>0.276934488</v>
      </c>
      <c r="AE294" t="n">
        <v>40.30621985</v>
      </c>
      <c r="AF294" t="n">
        <v>40.58315433</v>
      </c>
      <c r="AG294" t="n">
        <v>29.8594878</v>
      </c>
      <c r="AH294" t="n">
        <v>21.90751985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1</v>
      </c>
      <c r="AQ294" t="n">
        <v>0</v>
      </c>
      <c r="AR294" t="n">
        <v>13.0656</v>
      </c>
      <c r="AS294" t="n">
        <v>18.044</v>
      </c>
      <c r="AT294" t="n">
        <v>39.3992</v>
      </c>
      <c r="AU294" t="n">
        <v>86.63760000000001</v>
      </c>
      <c r="AV294" t="n">
        <v>0</v>
      </c>
    </row>
    <row r="295">
      <c r="A295" t="n">
        <v>294</v>
      </c>
      <c r="B295" s="15" t="n">
        <v>2.222400885</v>
      </c>
      <c r="C295" t="n">
        <v>15.7640552</v>
      </c>
      <c r="D295" t="n">
        <v>11.11212</v>
      </c>
      <c r="E295" t="n">
        <v>0.613181168</v>
      </c>
      <c r="F295" t="n">
        <v>0</v>
      </c>
      <c r="G295" t="n">
        <v>0</v>
      </c>
      <c r="H295" t="n">
        <v>0.649636468</v>
      </c>
      <c r="I295" t="n">
        <v>0</v>
      </c>
      <c r="J295" s="15" t="n">
        <v>2.222400885</v>
      </c>
      <c r="K295" s="15" t="n">
        <v>2.222400885</v>
      </c>
      <c r="L295" s="15" t="n">
        <v>2.222400885</v>
      </c>
      <c r="M295" t="n">
        <v>0</v>
      </c>
      <c r="N295" t="n">
        <v>0</v>
      </c>
      <c r="O295" s="15" t="n">
        <v>2.222400951</v>
      </c>
      <c r="P295" t="n">
        <v>0.7358174159999999</v>
      </c>
      <c r="Q295" t="n">
        <v>0.266963793</v>
      </c>
      <c r="R295" t="n">
        <v>0</v>
      </c>
      <c r="S295" t="n">
        <v>0</v>
      </c>
      <c r="T295" s="15" t="n">
        <v>1.09e-07</v>
      </c>
      <c r="U295" t="n">
        <v>9.219449493999999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0.2</v>
      </c>
      <c r="AB295" t="n">
        <v>99.7</v>
      </c>
      <c r="AC295" t="n">
        <v>0</v>
      </c>
      <c r="AD295" t="n">
        <v>0.255254243</v>
      </c>
      <c r="AE295" t="n">
        <v>40.05096572</v>
      </c>
      <c r="AF295" t="n">
        <v>40.30621985</v>
      </c>
      <c r="AG295" t="n">
        <v>29.68801831</v>
      </c>
      <c r="AH295" t="n">
        <v>21.78504165</v>
      </c>
      <c r="AI295" t="n">
        <v>100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13.0656</v>
      </c>
      <c r="AS295" t="n">
        <v>18.044</v>
      </c>
      <c r="AT295" t="n">
        <v>39.3992</v>
      </c>
      <c r="AU295" t="n">
        <v>86.63760000000001</v>
      </c>
      <c r="AV295" t="n">
        <v>0</v>
      </c>
    </row>
    <row r="296">
      <c r="A296" t="n">
        <v>295</v>
      </c>
      <c r="B296" s="15" t="n">
        <v>0.0475</v>
      </c>
      <c r="C296" t="n">
        <v>20.3926759</v>
      </c>
      <c r="D296" t="n">
        <v>9.733265073</v>
      </c>
      <c r="E296" t="n">
        <v>1.205969716</v>
      </c>
      <c r="F296" t="n">
        <v>0</v>
      </c>
      <c r="G296" t="n">
        <v>0</v>
      </c>
      <c r="H296" t="n">
        <v>0.6705673</v>
      </c>
      <c r="I296" t="n">
        <v>0</v>
      </c>
      <c r="J296" s="15" t="n">
        <v>0.0475</v>
      </c>
      <c r="K296" s="15" t="n">
        <v>0.0475</v>
      </c>
      <c r="L296" s="15" t="n">
        <v>0.0475</v>
      </c>
      <c r="M296" t="n">
        <v>0</v>
      </c>
      <c r="N296" t="n">
        <v>0</v>
      </c>
      <c r="O296" s="15" t="n">
        <v>0.0475</v>
      </c>
      <c r="P296" t="n">
        <v>1.447163691</v>
      </c>
      <c r="Q296" t="n">
        <v>0.613712</v>
      </c>
      <c r="R296" t="n">
        <v>0</v>
      </c>
      <c r="S296" t="n">
        <v>0</v>
      </c>
      <c r="T296" s="15" t="n">
        <v>3.43e-07</v>
      </c>
      <c r="U296" t="n">
        <v>8.653250412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0.2</v>
      </c>
      <c r="AB296" t="n">
        <v>99.7</v>
      </c>
      <c r="AC296" t="n">
        <v>0</v>
      </c>
      <c r="AD296" t="n">
        <v>0.236561352</v>
      </c>
      <c r="AE296" t="n">
        <v>39.81440471</v>
      </c>
      <c r="AF296" t="n">
        <v>40.05096572</v>
      </c>
      <c r="AG296" t="n">
        <v>29.37513084</v>
      </c>
      <c r="AH296" t="n">
        <v>21.5615506</v>
      </c>
      <c r="AI296" t="n">
        <v>100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13.0656</v>
      </c>
      <c r="AS296" t="n">
        <v>18.044</v>
      </c>
      <c r="AT296" t="n">
        <v>39.3992</v>
      </c>
      <c r="AU296" t="n">
        <v>86.63760000000001</v>
      </c>
      <c r="AV296" t="n">
        <v>0</v>
      </c>
    </row>
    <row r="297">
      <c r="A297" t="n">
        <v>296</v>
      </c>
      <c r="B297" t="n">
        <v>0</v>
      </c>
      <c r="C297" t="n">
        <v>19.23875059</v>
      </c>
      <c r="D297" t="n">
        <v>9.607324101</v>
      </c>
      <c r="E297" t="n">
        <v>1.078424613</v>
      </c>
      <c r="F297" t="n">
        <v>0</v>
      </c>
      <c r="G297" t="n">
        <v>0</v>
      </c>
      <c r="H297" t="n">
        <v>0.642113449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1.294109564</v>
      </c>
      <c r="Q297" t="n">
        <v>0.488386237</v>
      </c>
      <c r="R297" t="n">
        <v>0</v>
      </c>
      <c r="S297" t="n">
        <v>0</v>
      </c>
      <c r="T297" s="15" t="n">
        <v>9.85e-08</v>
      </c>
      <c r="U297" t="n">
        <v>8.164864077000001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0.2</v>
      </c>
      <c r="AB297" t="n">
        <v>99.7</v>
      </c>
      <c r="AC297" t="n">
        <v>0</v>
      </c>
      <c r="AD297" t="n">
        <v>0.220287812</v>
      </c>
      <c r="AE297" t="n">
        <v>39.59411699</v>
      </c>
      <c r="AF297" t="n">
        <v>39.81440471</v>
      </c>
      <c r="AG297" t="n">
        <v>29.80047721</v>
      </c>
      <c r="AH297" t="n">
        <v>21.86536943</v>
      </c>
      <c r="AI297" t="n">
        <v>100</v>
      </c>
      <c r="AJ297" t="n">
        <v>0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13.0656</v>
      </c>
      <c r="AS297" t="n">
        <v>18.044</v>
      </c>
      <c r="AT297" t="n">
        <v>39.3992</v>
      </c>
      <c r="AU297" t="n">
        <v>86.63760000000001</v>
      </c>
      <c r="AV297" t="n">
        <v>0</v>
      </c>
    </row>
    <row r="298">
      <c r="A298" t="n">
        <v>297</v>
      </c>
      <c r="B298" s="15" t="n">
        <v>0.0252</v>
      </c>
      <c r="C298" t="n">
        <v>17.42798433</v>
      </c>
      <c r="D298" t="n">
        <v>8.35071907</v>
      </c>
      <c r="E298" t="n">
        <v>1.260235196</v>
      </c>
      <c r="F298" t="n">
        <v>0</v>
      </c>
      <c r="G298" t="n">
        <v>0</v>
      </c>
      <c r="H298" t="n">
        <v>0.648235614</v>
      </c>
      <c r="I298" t="n">
        <v>0</v>
      </c>
      <c r="J298" s="15" t="n">
        <v>0.0252</v>
      </c>
      <c r="K298" s="15" t="n">
        <v>0.0252</v>
      </c>
      <c r="L298" s="15" t="n">
        <v>0.0252</v>
      </c>
      <c r="M298" t="n">
        <v>0</v>
      </c>
      <c r="N298" t="n">
        <v>0</v>
      </c>
      <c r="O298" s="15" t="n">
        <v>0.0252</v>
      </c>
      <c r="P298" t="n">
        <v>1.51228227</v>
      </c>
      <c r="Q298" t="n">
        <v>0.505541251</v>
      </c>
      <c r="R298" t="n">
        <v>0</v>
      </c>
      <c r="S298" t="n">
        <v>0</v>
      </c>
      <c r="T298" s="15" t="n">
        <v>2.77e-08</v>
      </c>
      <c r="U298" t="n">
        <v>7.684536511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0.2</v>
      </c>
      <c r="AB298" t="n">
        <v>99.7</v>
      </c>
      <c r="AC298" t="n">
        <v>0</v>
      </c>
      <c r="AD298" t="n">
        <v>0.205999985</v>
      </c>
      <c r="AE298" t="n">
        <v>39.38811704</v>
      </c>
      <c r="AF298" t="n">
        <v>39.59411699</v>
      </c>
      <c r="AG298" t="n">
        <v>29.70895917</v>
      </c>
      <c r="AH298" t="n">
        <v>21.79999941</v>
      </c>
      <c r="AI298" t="n">
        <v>100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13.0656</v>
      </c>
      <c r="AS298" t="n">
        <v>18.044</v>
      </c>
      <c r="AT298" t="n">
        <v>39.3992</v>
      </c>
      <c r="AU298" t="n">
        <v>86.63760000000001</v>
      </c>
      <c r="AV298" t="n">
        <v>0</v>
      </c>
    </row>
    <row r="299">
      <c r="A299" t="n">
        <v>298</v>
      </c>
      <c r="B299" s="15" t="n">
        <v>0</v>
      </c>
      <c r="C299" t="n">
        <v>15.71048867</v>
      </c>
      <c r="D299" t="n">
        <v>6.153925305</v>
      </c>
      <c r="E299" t="n">
        <v>1.062123419</v>
      </c>
      <c r="F299" t="n">
        <v>0</v>
      </c>
      <c r="G299" t="n">
        <v>0</v>
      </c>
      <c r="H299" t="n">
        <v>0.639508706</v>
      </c>
      <c r="I299" t="n">
        <v>0</v>
      </c>
      <c r="J299" s="15" t="n">
        <v>0</v>
      </c>
      <c r="K299" s="15" t="n">
        <v>0</v>
      </c>
      <c r="L299" s="15" t="n">
        <v>0</v>
      </c>
      <c r="M299" t="n">
        <v>0</v>
      </c>
      <c r="N299" t="n">
        <v>0</v>
      </c>
      <c r="O299" s="15" t="n">
        <v>0</v>
      </c>
      <c r="P299" t="n">
        <v>1.274548133</v>
      </c>
      <c r="Q299" t="n">
        <v>0.377886826</v>
      </c>
      <c r="R299" t="n">
        <v>0</v>
      </c>
      <c r="S299" t="n">
        <v>0</v>
      </c>
      <c r="T299" s="15" t="n">
        <v>7.03e-09</v>
      </c>
      <c r="U299" t="n">
        <v>7.306649678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0.2</v>
      </c>
      <c r="AB299" t="n">
        <v>99.7</v>
      </c>
      <c r="AC299" t="n">
        <v>0</v>
      </c>
      <c r="AD299" t="n">
        <v>0.193361237</v>
      </c>
      <c r="AE299" t="n">
        <v>39.19475581</v>
      </c>
      <c r="AF299" t="n">
        <v>39.38811704</v>
      </c>
      <c r="AG299" t="n">
        <v>29.83941458</v>
      </c>
      <c r="AH299" t="n">
        <v>21.89318184</v>
      </c>
      <c r="AI299" t="n">
        <v>100</v>
      </c>
      <c r="AJ299" t="n">
        <v>0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13.0656</v>
      </c>
      <c r="AS299" t="n">
        <v>18.044</v>
      </c>
      <c r="AT299" t="n">
        <v>39.3992</v>
      </c>
      <c r="AU299" t="n">
        <v>86.63760000000001</v>
      </c>
      <c r="AV299" t="n">
        <v>0</v>
      </c>
    </row>
    <row r="300">
      <c r="A300" t="n">
        <v>299</v>
      </c>
      <c r="B300" s="15" t="n">
        <v>0</v>
      </c>
      <c r="C300" t="n">
        <v>17.41048867</v>
      </c>
      <c r="D300" t="n">
        <v>3.176660042</v>
      </c>
      <c r="E300" t="n">
        <v>1.179148211</v>
      </c>
      <c r="F300" t="n">
        <v>0</v>
      </c>
      <c r="G300" t="n">
        <v>0</v>
      </c>
      <c r="H300" t="n">
        <v>0.649018071</v>
      </c>
      <c r="I300" t="n">
        <v>0</v>
      </c>
      <c r="J300" s="15" t="n">
        <v>0</v>
      </c>
      <c r="K300" s="15" t="n">
        <v>0</v>
      </c>
      <c r="L300" s="15" t="n">
        <v>0</v>
      </c>
      <c r="M300" t="n">
        <v>0</v>
      </c>
      <c r="N300" t="n">
        <v>0</v>
      </c>
      <c r="O300" s="15" t="n">
        <v>0</v>
      </c>
      <c r="P300" t="n">
        <v>1.414977887</v>
      </c>
      <c r="Q300" t="n">
        <v>0.372239734</v>
      </c>
      <c r="R300" t="n">
        <v>0</v>
      </c>
      <c r="S300" t="n">
        <v>0</v>
      </c>
      <c r="T300" s="15" t="n">
        <v>1.87e-09</v>
      </c>
      <c r="U300" t="n">
        <v>6.934409943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0.2</v>
      </c>
      <c r="AB300" t="n">
        <v>99.7</v>
      </c>
      <c r="AC300" t="n">
        <v>0</v>
      </c>
      <c r="AD300" t="n">
        <v>0.18210636</v>
      </c>
      <c r="AE300" t="n">
        <v>39.01264945</v>
      </c>
      <c r="AF300" t="n">
        <v>39.19475581</v>
      </c>
      <c r="AG300" t="n">
        <v>29.6972625</v>
      </c>
      <c r="AH300" t="n">
        <v>21.79164464</v>
      </c>
      <c r="AI300" t="n">
        <v>100</v>
      </c>
      <c r="AJ300" t="n">
        <v>0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13.0656</v>
      </c>
      <c r="AS300" t="n">
        <v>18.044</v>
      </c>
      <c r="AT300" t="n">
        <v>39.3992</v>
      </c>
      <c r="AU300" t="n">
        <v>86.63760000000001</v>
      </c>
      <c r="AV300" t="n">
        <v>0</v>
      </c>
    </row>
    <row r="301">
      <c r="A301" t="n">
        <v>300</v>
      </c>
      <c r="B301" t="n">
        <v>0.302564554</v>
      </c>
      <c r="C301" t="n">
        <v>19.72798433</v>
      </c>
      <c r="D301" t="n">
        <v>4.468851101</v>
      </c>
      <c r="E301" t="n">
        <v>1.294095953</v>
      </c>
      <c r="F301" t="n">
        <v>0</v>
      </c>
      <c r="G301" t="n">
        <v>0</v>
      </c>
      <c r="H301" t="n">
        <v>0.643400881</v>
      </c>
      <c r="I301" t="n">
        <v>0</v>
      </c>
      <c r="J301" t="n">
        <v>0.302564554</v>
      </c>
      <c r="K301" t="n">
        <v>0.302564554</v>
      </c>
      <c r="L301" t="n">
        <v>0.302564554</v>
      </c>
      <c r="M301" t="n">
        <v>0</v>
      </c>
      <c r="N301" t="n">
        <v>0</v>
      </c>
      <c r="O301" t="n">
        <v>0.302564563</v>
      </c>
      <c r="P301" t="n">
        <v>1.552915181</v>
      </c>
      <c r="Q301" t="n">
        <v>0.377721872</v>
      </c>
      <c r="R301" t="n">
        <v>0</v>
      </c>
      <c r="S301" t="n">
        <v>0</v>
      </c>
      <c r="T301" s="15" t="n">
        <v>6.64e-10</v>
      </c>
      <c r="U301" t="n">
        <v>6.859252633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0.2</v>
      </c>
      <c r="AB301" t="n">
        <v>99.7</v>
      </c>
      <c r="AC301" t="n">
        <v>0</v>
      </c>
      <c r="AD301" t="n">
        <v>0.17202367</v>
      </c>
      <c r="AE301" t="n">
        <v>38.84062578</v>
      </c>
      <c r="AF301" t="n">
        <v>39.01264945</v>
      </c>
      <c r="AG301" t="n">
        <v>29.78123185</v>
      </c>
      <c r="AH301" t="n">
        <v>21.85162275</v>
      </c>
      <c r="AI301" t="n">
        <v>100</v>
      </c>
      <c r="AJ301" t="n">
        <v>0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13.0656</v>
      </c>
      <c r="AS301" t="n">
        <v>18.044</v>
      </c>
      <c r="AT301" t="n">
        <v>39.3992</v>
      </c>
      <c r="AU301" t="n">
        <v>86.63760000000001</v>
      </c>
      <c r="AV301" t="n">
        <v>0</v>
      </c>
    </row>
    <row r="302">
      <c r="A302" t="n">
        <v>301</v>
      </c>
      <c r="B302" t="n">
        <v>0</v>
      </c>
      <c r="C302" t="n">
        <v>18.52798433</v>
      </c>
      <c r="D302" t="n">
        <v>3.968851101</v>
      </c>
      <c r="E302" t="n">
        <v>1.128423367</v>
      </c>
      <c r="F302" t="n">
        <v>0</v>
      </c>
      <c r="G302" t="n">
        <v>0</v>
      </c>
      <c r="H302" t="n">
        <v>0.6378833900000001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1.354108074</v>
      </c>
      <c r="Q302" t="n">
        <v>0.306518312</v>
      </c>
      <c r="R302" t="n">
        <v>0</v>
      </c>
      <c r="S302" t="n">
        <v>0</v>
      </c>
      <c r="T302" s="15" t="n">
        <v>3.14e-10</v>
      </c>
      <c r="U302" t="n">
        <v>6.55273432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0.2</v>
      </c>
      <c r="AB302" t="n">
        <v>99.7</v>
      </c>
      <c r="AC302" t="n">
        <v>0</v>
      </c>
      <c r="AD302" t="n">
        <v>0.162942211</v>
      </c>
      <c r="AE302" t="n">
        <v>38.67768357</v>
      </c>
      <c r="AF302" t="n">
        <v>38.84062578</v>
      </c>
      <c r="AG302" t="n">
        <v>29.86371085</v>
      </c>
      <c r="AH302" t="n">
        <v>21.91053632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0</v>
      </c>
      <c r="AO302" t="n">
        <v>0</v>
      </c>
      <c r="AP302" t="n">
        <v>1</v>
      </c>
      <c r="AQ302" t="n">
        <v>0</v>
      </c>
      <c r="AR302" t="n">
        <v>13.0656</v>
      </c>
      <c r="AS302" t="n">
        <v>18.044</v>
      </c>
      <c r="AT302" t="n">
        <v>39.3992</v>
      </c>
      <c r="AU302" t="n">
        <v>86.63760000000001</v>
      </c>
      <c r="AV302" t="n">
        <v>0</v>
      </c>
    </row>
    <row r="303">
      <c r="A303" t="n">
        <v>302</v>
      </c>
      <c r="B303" t="n">
        <v>0</v>
      </c>
      <c r="C303" t="n">
        <v>17.7640552</v>
      </c>
      <c r="D303" t="n">
        <v>4.815284568</v>
      </c>
      <c r="E303" t="n">
        <v>1.068851085</v>
      </c>
      <c r="F303" t="n">
        <v>0</v>
      </c>
      <c r="G303" t="n">
        <v>0</v>
      </c>
      <c r="H303" t="n">
        <v>0.645835674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1.282621334</v>
      </c>
      <c r="Q303" t="n">
        <v>0.258209578</v>
      </c>
      <c r="R303" t="n">
        <v>0</v>
      </c>
      <c r="S303" t="n">
        <v>0</v>
      </c>
      <c r="T303" s="15" t="n">
        <v>7.28e-11</v>
      </c>
      <c r="U303" t="n">
        <v>6.294524743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0.2</v>
      </c>
      <c r="AB303" t="n">
        <v>99.7</v>
      </c>
      <c r="AC303" t="n">
        <v>0</v>
      </c>
      <c r="AD303" t="n">
        <v>0.154722458</v>
      </c>
      <c r="AE303" t="n">
        <v>38.52296111</v>
      </c>
      <c r="AF303" t="n">
        <v>38.67768357</v>
      </c>
      <c r="AG303" t="n">
        <v>29.74483501</v>
      </c>
      <c r="AH303" t="n">
        <v>21.82562501</v>
      </c>
      <c r="AI303" t="n">
        <v>100</v>
      </c>
      <c r="AJ303" t="n">
        <v>0</v>
      </c>
      <c r="AK303" t="n">
        <v>0</v>
      </c>
      <c r="AL303" t="n">
        <v>1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13.0656</v>
      </c>
      <c r="AS303" t="n">
        <v>18.044</v>
      </c>
      <c r="AT303" t="n">
        <v>39.3992</v>
      </c>
      <c r="AU303" t="n">
        <v>86.63760000000001</v>
      </c>
      <c r="AV303" t="n">
        <v>0</v>
      </c>
    </row>
    <row r="304">
      <c r="A304" t="n">
        <v>303</v>
      </c>
      <c r="B304" s="15" t="n">
        <v>1.455518614</v>
      </c>
      <c r="C304" t="n">
        <v>14.02066023</v>
      </c>
      <c r="D304" t="n">
        <v>7.302214123</v>
      </c>
      <c r="E304" t="n">
        <v>0.69936216</v>
      </c>
      <c r="F304" t="n">
        <v>0</v>
      </c>
      <c r="G304" t="n">
        <v>0</v>
      </c>
      <c r="H304" t="n">
        <v>0.648695143</v>
      </c>
      <c r="I304" t="n">
        <v>0</v>
      </c>
      <c r="J304" s="15" t="n">
        <v>1.455518614</v>
      </c>
      <c r="K304" s="15" t="n">
        <v>1.455518614</v>
      </c>
      <c r="L304" s="15" t="n">
        <v>1.455518614</v>
      </c>
      <c r="M304" t="n">
        <v>0</v>
      </c>
      <c r="N304" t="n">
        <v>0</v>
      </c>
      <c r="O304" s="15" t="n">
        <v>1.455518657</v>
      </c>
      <c r="P304" t="n">
        <v>0.839234612</v>
      </c>
      <c r="Q304" t="n">
        <v>0.205504949</v>
      </c>
      <c r="R304" t="n">
        <v>0</v>
      </c>
      <c r="S304" t="n">
        <v>0</v>
      </c>
      <c r="T304" s="15" t="n">
        <v>1.37e-09</v>
      </c>
      <c r="U304" t="n">
        <v>7.544538449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0.2</v>
      </c>
      <c r="AB304" t="n">
        <v>99.7</v>
      </c>
      <c r="AC304" t="n">
        <v>0</v>
      </c>
      <c r="AD304" t="n">
        <v>0.147249443</v>
      </c>
      <c r="AE304" t="n">
        <v>38.37571167</v>
      </c>
      <c r="AF304" t="n">
        <v>38.52296111</v>
      </c>
      <c r="AG304" t="n">
        <v>29.70208983</v>
      </c>
      <c r="AH304" t="n">
        <v>21.79509274</v>
      </c>
      <c r="AI304" t="n">
        <v>100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0</v>
      </c>
      <c r="AP304" t="n">
        <v>1</v>
      </c>
      <c r="AQ304" t="n">
        <v>0</v>
      </c>
      <c r="AR304" t="n">
        <v>13.0656</v>
      </c>
      <c r="AS304" t="n">
        <v>18.044</v>
      </c>
      <c r="AT304" t="n">
        <v>39.3992</v>
      </c>
      <c r="AU304" t="n">
        <v>86.63760000000001</v>
      </c>
      <c r="AV304" t="n">
        <v>0</v>
      </c>
    </row>
    <row r="305">
      <c r="A305" t="n">
        <v>304</v>
      </c>
      <c r="B305" s="15" t="n">
        <v>0.0475</v>
      </c>
      <c r="C305" t="n">
        <v>13.68201949</v>
      </c>
      <c r="D305" t="n">
        <v>10.0359448</v>
      </c>
      <c r="E305" t="n">
        <v>0.610283715</v>
      </c>
      <c r="F305" t="n">
        <v>0</v>
      </c>
      <c r="G305" t="n">
        <v>0</v>
      </c>
      <c r="H305" t="n">
        <v>0.666430612</v>
      </c>
      <c r="I305" t="n">
        <v>0</v>
      </c>
      <c r="J305" s="15" t="n">
        <v>0.0475</v>
      </c>
      <c r="K305" s="15" t="n">
        <v>0.0475</v>
      </c>
      <c r="L305" s="15" t="n">
        <v>0.0475</v>
      </c>
      <c r="M305" t="n">
        <v>0</v>
      </c>
      <c r="N305" t="n">
        <v>0</v>
      </c>
      <c r="O305" s="15" t="n">
        <v>0.0475</v>
      </c>
      <c r="P305" t="n">
        <v>0.732340477</v>
      </c>
      <c r="Q305" t="n">
        <v>0.2151023</v>
      </c>
      <c r="R305" t="n">
        <v>0</v>
      </c>
      <c r="S305" t="n">
        <v>0</v>
      </c>
      <c r="T305" s="15" t="n">
        <v>5.65e-09</v>
      </c>
      <c r="U305" t="n">
        <v>7.376949404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0.2</v>
      </c>
      <c r="AB305" t="n">
        <v>99.7</v>
      </c>
      <c r="AC305" t="n">
        <v>0</v>
      </c>
      <c r="AD305" t="n">
        <v>0.140427608</v>
      </c>
      <c r="AE305" t="n">
        <v>38.23528407</v>
      </c>
      <c r="AF305" t="n">
        <v>38.37571167</v>
      </c>
      <c r="AG305" t="n">
        <v>29.4369687</v>
      </c>
      <c r="AH305" t="n">
        <v>21.6057205</v>
      </c>
      <c r="AI305" t="n">
        <v>100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13.0656</v>
      </c>
      <c r="AS305" t="n">
        <v>18.044</v>
      </c>
      <c r="AT305" t="n">
        <v>39.3992</v>
      </c>
      <c r="AU305" t="n">
        <v>86.63760000000001</v>
      </c>
      <c r="AV305" t="n">
        <v>0</v>
      </c>
    </row>
    <row r="306">
      <c r="A306" t="n">
        <v>305</v>
      </c>
      <c r="B306" s="15" t="n">
        <v>39.75071036</v>
      </c>
      <c r="C306" t="n">
        <v>11.3</v>
      </c>
      <c r="D306" t="n">
        <v>8.692675898999999</v>
      </c>
      <c r="E306" t="n">
        <v>0.444994898</v>
      </c>
      <c r="F306" t="n">
        <v>0</v>
      </c>
      <c r="G306" t="n">
        <v>0</v>
      </c>
      <c r="H306" t="n">
        <v>0.670706377</v>
      </c>
      <c r="I306" t="n">
        <v>0</v>
      </c>
      <c r="J306" s="15" t="n">
        <v>39.75071036</v>
      </c>
      <c r="K306" s="15" t="n">
        <v>39.75071036</v>
      </c>
      <c r="L306" s="15" t="n">
        <v>36.40985372</v>
      </c>
      <c r="M306" t="n">
        <v>0</v>
      </c>
      <c r="N306" t="n">
        <v>3.34085664</v>
      </c>
      <c r="O306" s="15" t="n">
        <v>36.4098548</v>
      </c>
      <c r="P306" t="n">
        <v>0.5339938910000001</v>
      </c>
      <c r="Q306" t="n">
        <v>0.53397743</v>
      </c>
      <c r="R306" t="n">
        <v>0</v>
      </c>
      <c r="S306" t="n">
        <v>0</v>
      </c>
      <c r="T306" t="n">
        <v>6.767787016</v>
      </c>
      <c r="U306" t="n">
        <v>36.48503976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0.2</v>
      </c>
      <c r="AB306" t="n">
        <v>99.7</v>
      </c>
      <c r="AC306" t="n">
        <v>0</v>
      </c>
      <c r="AD306" t="n">
        <v>0.212288223</v>
      </c>
      <c r="AE306" t="n">
        <v>44.79078286</v>
      </c>
      <c r="AF306" t="n">
        <v>38.23528407</v>
      </c>
      <c r="AG306" t="n">
        <v>29.37305182</v>
      </c>
      <c r="AH306" t="n">
        <v>21.56006559</v>
      </c>
      <c r="AI306" t="n">
        <v>100</v>
      </c>
      <c r="AJ306" t="n">
        <v>0</v>
      </c>
      <c r="AK306" t="n">
        <v>0</v>
      </c>
      <c r="AL306" t="n">
        <v>1</v>
      </c>
      <c r="AM306" t="n">
        <v>1</v>
      </c>
      <c r="AN306" t="n">
        <v>0</v>
      </c>
      <c r="AO306" t="n">
        <v>0</v>
      </c>
      <c r="AP306" t="n">
        <v>1</v>
      </c>
      <c r="AQ306" t="n">
        <v>0</v>
      </c>
      <c r="AR306" t="n">
        <v>13.0656</v>
      </c>
      <c r="AS306" t="n">
        <v>18.044</v>
      </c>
      <c r="AT306" t="n">
        <v>39.3992</v>
      </c>
      <c r="AU306" t="n">
        <v>86.63760000000001</v>
      </c>
      <c r="AV306" t="n">
        <v>0</v>
      </c>
    </row>
    <row r="307">
      <c r="A307" t="n">
        <v>306</v>
      </c>
      <c r="B307" s="15" t="n">
        <v>2.975461376</v>
      </c>
      <c r="C307" t="n">
        <v>13.38951133</v>
      </c>
      <c r="D307" t="n">
        <v>5.310488668</v>
      </c>
      <c r="E307" t="n">
        <v>0.584644615</v>
      </c>
      <c r="F307" t="n">
        <v>0</v>
      </c>
      <c r="G307" t="n">
        <v>0</v>
      </c>
      <c r="H307" t="n">
        <v>0.67864024</v>
      </c>
      <c r="I307" t="n">
        <v>0</v>
      </c>
      <c r="J307" s="15" t="n">
        <v>2.975461376</v>
      </c>
      <c r="K307" s="15" t="n">
        <v>2.975461376</v>
      </c>
      <c r="L307" s="15" t="n">
        <v>2.975461376</v>
      </c>
      <c r="M307" t="n">
        <v>0</v>
      </c>
      <c r="N307" t="n">
        <v>0</v>
      </c>
      <c r="O307" s="15" t="n">
        <v>2.975461465</v>
      </c>
      <c r="P307" t="n">
        <v>0.701573556</v>
      </c>
      <c r="Q307" t="n">
        <v>0.701573556</v>
      </c>
      <c r="R307" t="n">
        <v>0</v>
      </c>
      <c r="S307" t="n">
        <v>0</v>
      </c>
      <c r="T307" t="n">
        <v>8.731720599999999</v>
      </c>
      <c r="U307" t="n">
        <v>30.02720707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0.2</v>
      </c>
      <c r="AB307" t="n">
        <v>99.7</v>
      </c>
      <c r="AC307" t="n">
        <v>0</v>
      </c>
      <c r="AD307" t="n">
        <v>3.009182831</v>
      </c>
      <c r="AE307" t="n">
        <v>50.51332063</v>
      </c>
      <c r="AF307" t="n">
        <v>44.79078286</v>
      </c>
      <c r="AG307" t="n">
        <v>29.25445136</v>
      </c>
      <c r="AH307" t="n">
        <v>21.47535097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13.0656</v>
      </c>
      <c r="AS307" t="n">
        <v>18.044</v>
      </c>
      <c r="AT307" t="n">
        <v>39.3992</v>
      </c>
      <c r="AU307" t="n">
        <v>86.63760000000001</v>
      </c>
      <c r="AV307" t="n">
        <v>0</v>
      </c>
    </row>
    <row r="308">
      <c r="A308" t="n">
        <v>307</v>
      </c>
      <c r="B308" t="n">
        <v>23.64618842</v>
      </c>
      <c r="C308" t="n">
        <v>12.76673493</v>
      </c>
      <c r="D308" t="n">
        <v>7.225456131</v>
      </c>
      <c r="E308" t="n">
        <v>0.454891172</v>
      </c>
      <c r="F308" t="n">
        <v>0</v>
      </c>
      <c r="G308" t="n">
        <v>0</v>
      </c>
      <c r="H308" t="n">
        <v>0.671937054</v>
      </c>
      <c r="I308" t="n">
        <v>0</v>
      </c>
      <c r="J308" t="n">
        <v>23.64618842</v>
      </c>
      <c r="K308" t="n">
        <v>23.64618842</v>
      </c>
      <c r="L308" t="n">
        <v>14.41321759</v>
      </c>
      <c r="M308" t="n">
        <v>0</v>
      </c>
      <c r="N308" t="n">
        <v>9.232970835</v>
      </c>
      <c r="O308" t="n">
        <v>14.41321802</v>
      </c>
      <c r="P308" t="n">
        <v>0.54586942</v>
      </c>
      <c r="Q308" t="n">
        <v>0.54586942</v>
      </c>
      <c r="R308" t="n">
        <v>0</v>
      </c>
      <c r="S308" t="n">
        <v>0</v>
      </c>
      <c r="T308" s="15" t="n">
        <v>10.21324818</v>
      </c>
      <c r="U308" t="n">
        <v>33.68130748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0.2</v>
      </c>
      <c r="AB308" t="n">
        <v>99.7</v>
      </c>
      <c r="AC308" t="n">
        <v>0</v>
      </c>
      <c r="AD308" t="n">
        <v>5.896686872</v>
      </c>
      <c r="AE308" t="n">
        <v>54.82988194</v>
      </c>
      <c r="AF308" t="n">
        <v>50.51332063</v>
      </c>
      <c r="AG308" t="n">
        <v>29.35465488</v>
      </c>
      <c r="AH308" t="n">
        <v>21.54692491</v>
      </c>
      <c r="AI308" t="n">
        <v>100</v>
      </c>
      <c r="AJ308" t="n">
        <v>0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13.0656</v>
      </c>
      <c r="AS308" t="n">
        <v>18.044</v>
      </c>
      <c r="AT308" t="n">
        <v>39.3992</v>
      </c>
      <c r="AU308" t="n">
        <v>86.63760000000001</v>
      </c>
      <c r="AV308" t="n">
        <v>0</v>
      </c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B313" s="15" t="n"/>
      <c r="J313" s="15" t="n"/>
      <c r="K313" s="15" t="n"/>
      <c r="L313" s="15" t="n"/>
      <c r="O313" s="15" t="n"/>
      <c r="T313" s="15" t="n"/>
    </row>
    <row r="314">
      <c r="T314" s="15" t="n"/>
    </row>
    <row r="315">
      <c r="B315" s="15" t="n"/>
      <c r="J315" s="15" t="n"/>
      <c r="K315" s="15" t="n"/>
      <c r="L315" s="15" t="n"/>
      <c r="O315" s="15" t="n"/>
      <c r="T315" s="15" t="n"/>
    </row>
    <row r="316">
      <c r="B316" s="15" t="n"/>
      <c r="J316" s="15" t="n"/>
      <c r="K316" s="15" t="n"/>
      <c r="L316" s="15" t="n"/>
      <c r="O316" s="15" t="n"/>
      <c r="T316" s="15" t="n"/>
    </row>
    <row r="317">
      <c r="T317" s="15" t="n"/>
    </row>
    <row r="318">
      <c r="B318" s="15" t="n"/>
      <c r="J318" s="15" t="n"/>
      <c r="K318" s="15" t="n"/>
      <c r="L318" s="15" t="n"/>
      <c r="O318" s="15" t="n"/>
      <c r="T318" s="15" t="n"/>
    </row>
    <row r="319">
      <c r="T319" s="15" t="n"/>
    </row>
    <row r="320">
      <c r="B320" s="15" t="n"/>
      <c r="J320" s="15" t="n"/>
      <c r="K320" s="15" t="n"/>
      <c r="L320" s="15" t="n"/>
      <c r="O320" s="15" t="n"/>
      <c r="T320" s="15" t="n"/>
    </row>
    <row r="321">
      <c r="B321" s="15" t="n"/>
      <c r="J321" s="15" t="n"/>
      <c r="K321" s="15" t="n"/>
      <c r="L321" s="15" t="n"/>
      <c r="O321" s="15" t="n"/>
      <c r="T321" s="15" t="n"/>
    </row>
    <row r="322">
      <c r="T322" s="15" t="n"/>
    </row>
    <row r="323">
      <c r="B323" s="15" t="n"/>
      <c r="J323" s="15" t="n"/>
      <c r="K323" s="15" t="n"/>
      <c r="L323" s="15" t="n"/>
      <c r="O323" s="15" t="n"/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B329" s="15" t="n"/>
      <c r="J329" s="15" t="n"/>
      <c r="K329" s="15" t="n"/>
      <c r="L329" s="15" t="n"/>
      <c r="O329" s="15" t="n"/>
      <c r="T329" s="15" t="n"/>
    </row>
    <row r="330">
      <c r="T330" s="15" t="n"/>
    </row>
    <row r="331">
      <c r="B331" s="15" t="n"/>
      <c r="J331" s="15" t="n"/>
      <c r="K331" s="15" t="n"/>
      <c r="L331" s="15" t="n"/>
      <c r="O331" s="15" t="n"/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  <c r="AD335" s="15" t="n"/>
    </row>
    <row r="336">
      <c r="B336" s="15" t="n"/>
      <c r="J336" s="15" t="n"/>
      <c r="K336" s="15" t="n"/>
      <c r="L336" s="15" t="n"/>
      <c r="O336" s="15" t="n"/>
      <c r="T336" s="15" t="n"/>
      <c r="AD336" s="15" t="n"/>
    </row>
    <row r="337">
      <c r="B337" s="15" t="n"/>
      <c r="J337" s="15" t="n"/>
      <c r="K337" s="15" t="n"/>
      <c r="L337" s="15" t="n"/>
      <c r="O337" s="15" t="n"/>
      <c r="T337" s="15" t="n"/>
      <c r="AD337" s="15" t="n"/>
    </row>
    <row r="338">
      <c r="T338" s="15" t="n"/>
      <c r="AD338" s="15" t="n"/>
    </row>
    <row r="339">
      <c r="B339" s="15" t="n"/>
      <c r="J339" s="15" t="n"/>
      <c r="K339" s="15" t="n"/>
      <c r="L339" s="15" t="n"/>
      <c r="O339" s="15" t="n"/>
      <c r="T339" s="15" t="n"/>
      <c r="AD339" s="15" t="n"/>
    </row>
    <row r="340">
      <c r="B340" s="15" t="n"/>
      <c r="J340" s="15" t="n"/>
      <c r="K340" s="15" t="n"/>
      <c r="L340" s="15" t="n"/>
      <c r="O340" s="15" t="n"/>
      <c r="T340" s="15" t="n"/>
      <c r="AD340" s="15" t="n"/>
    </row>
    <row r="341">
      <c r="B341" s="15" t="n"/>
      <c r="J341" s="15" t="n"/>
      <c r="K341" s="15" t="n"/>
      <c r="L341" s="15" t="n"/>
      <c r="O341" s="15" t="n"/>
      <c r="T341" s="15" t="n"/>
      <c r="AD341" s="15" t="n"/>
    </row>
    <row r="342">
      <c r="T342" s="15" t="n"/>
      <c r="AD342" s="15" t="n"/>
    </row>
    <row r="343">
      <c r="B343" s="15" t="n"/>
      <c r="J343" s="15" t="n"/>
      <c r="K343" s="15" t="n"/>
      <c r="L343" s="15" t="n"/>
      <c r="O343" s="15" t="n"/>
      <c r="T343" s="15" t="n"/>
      <c r="AD343" s="15" t="n"/>
    </row>
    <row r="344">
      <c r="B344" s="15" t="n"/>
      <c r="J344" s="15" t="n"/>
      <c r="K344" s="15" t="n"/>
      <c r="L344" s="15" t="n"/>
      <c r="O344" s="15" t="n"/>
      <c r="T344" s="15" t="n"/>
      <c r="AD344" s="15" t="n"/>
    </row>
    <row r="345">
      <c r="B345" s="15" t="n"/>
      <c r="J345" s="15" t="n"/>
      <c r="K345" s="15" t="n"/>
      <c r="L345" s="15" t="n"/>
      <c r="O345" s="15" t="n"/>
      <c r="T345" s="15" t="n"/>
      <c r="AD345" s="15" t="n"/>
    </row>
    <row r="346">
      <c r="B346" s="15" t="n"/>
      <c r="J346" s="15" t="n"/>
      <c r="K346" s="15" t="n"/>
      <c r="L346" s="15" t="n"/>
      <c r="O346" s="15" t="n"/>
      <c r="T346" s="15" t="n"/>
      <c r="AD346" s="15" t="n"/>
    </row>
    <row r="347">
      <c r="B347" s="15" t="n"/>
      <c r="J347" s="15" t="n"/>
      <c r="K347" s="15" t="n"/>
      <c r="L347" s="15" t="n"/>
      <c r="O347" s="15" t="n"/>
      <c r="T347" s="15" t="n"/>
      <c r="AD347" s="15" t="n"/>
    </row>
    <row r="348">
      <c r="T348" s="15" t="n"/>
      <c r="AD348" s="15" t="n"/>
    </row>
    <row r="349">
      <c r="T349" s="15" t="n"/>
      <c r="AD349" s="15" t="n"/>
    </row>
    <row r="350">
      <c r="T350" s="15" t="n"/>
      <c r="AD350" s="15" t="n"/>
    </row>
    <row r="351">
      <c r="T351" s="15" t="n"/>
      <c r="AD351" s="15" t="n"/>
    </row>
    <row r="352">
      <c r="Q352" s="15" t="n"/>
      <c r="T352" s="15" t="n"/>
      <c r="AD352" s="15" t="n"/>
    </row>
    <row r="353">
      <c r="B353" s="15" t="n"/>
      <c r="J353" s="15" t="n"/>
      <c r="K353" s="15" t="n"/>
      <c r="L353" s="15" t="n"/>
      <c r="O353" s="15" t="n"/>
      <c r="T353" s="15" t="n"/>
      <c r="AD353" s="15" t="n"/>
    </row>
    <row r="354">
      <c r="Q354" s="15" t="n"/>
      <c r="T354" s="15" t="n"/>
      <c r="AD354" s="15" t="n"/>
    </row>
    <row r="355">
      <c r="B355" s="15" t="n"/>
      <c r="J355" s="15" t="n"/>
      <c r="K355" s="15" t="n"/>
      <c r="L355" s="15" t="n"/>
      <c r="O355" s="15" t="n"/>
      <c r="Q355" s="15" t="n"/>
      <c r="T355" s="15" t="n"/>
      <c r="AD355" s="15" t="n"/>
    </row>
    <row r="356">
      <c r="T356" s="15" t="n"/>
      <c r="AD356" s="15" t="n"/>
    </row>
    <row r="357">
      <c r="B357" s="15" t="n"/>
      <c r="J357" s="15" t="n"/>
      <c r="K357" s="15" t="n"/>
      <c r="L357" s="15" t="n"/>
      <c r="O357" s="15" t="n"/>
      <c r="T357" s="15" t="n"/>
      <c r="AD357" s="15" t="n"/>
    </row>
    <row r="358">
      <c r="T358" s="15" t="n"/>
      <c r="AD358" s="15" t="n"/>
    </row>
    <row r="359">
      <c r="B359" s="15" t="n"/>
      <c r="J359" s="15" t="n"/>
      <c r="K359" s="15" t="n"/>
      <c r="L359" s="15" t="n"/>
      <c r="O359" s="15" t="n"/>
      <c r="T359" s="15" t="n"/>
      <c r="AD359" s="15" t="n"/>
    </row>
    <row r="360">
      <c r="B360" s="15" t="n"/>
      <c r="J360" s="15" t="n"/>
      <c r="K360" s="15" t="n"/>
      <c r="L360" s="15" t="n"/>
      <c r="O360" s="15" t="n"/>
      <c r="T360" s="15" t="n"/>
      <c r="AD360" s="15" t="n"/>
    </row>
    <row r="361">
      <c r="B361" s="15" t="n"/>
      <c r="J361" s="15" t="n"/>
      <c r="K361" s="15" t="n"/>
      <c r="L361" s="15" t="n"/>
      <c r="O361" s="15" t="n"/>
      <c r="T361" s="15" t="n"/>
      <c r="AD361" s="15" t="n"/>
    </row>
    <row r="362">
      <c r="Q362" s="15" t="n"/>
      <c r="T362" s="15" t="n"/>
      <c r="AD362" s="15" t="n"/>
    </row>
    <row r="363">
      <c r="T363" s="15" t="n"/>
      <c r="AD363" s="15" t="n"/>
    </row>
    <row r="364">
      <c r="Q364" s="15" t="n"/>
      <c r="T364" s="15" t="n"/>
      <c r="AD364" s="15" t="n"/>
    </row>
    <row r="365">
      <c r="B365" s="15" t="n"/>
      <c r="J365" s="15" t="n"/>
      <c r="K365" s="15" t="n"/>
      <c r="L365" s="15" t="n"/>
      <c r="O365" s="15" t="n"/>
      <c r="T365" s="15" t="n"/>
      <c r="AD365" s="15" t="n"/>
    </row>
    <row r="366">
      <c r="T366" s="15" t="n"/>
      <c r="AD366" s="15" t="n"/>
    </row>
    <row r="367">
      <c r="AT367" s="3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oglio4">
    <tabColor theme="6" tint="0.5999633777886288"/>
    <outlinePr summaryBelow="1" summaryRight="1"/>
    <pageSetUpPr/>
  </sheetPr>
  <dimension ref="A1:I18"/>
  <sheetViews>
    <sheetView zoomScale="85" zoomScaleNormal="85" workbookViewId="0">
      <selection activeCell="F17" sqref="F17"/>
    </sheetView>
  </sheetViews>
  <sheetFormatPr baseColWidth="8" defaultColWidth="9.140625" defaultRowHeight="15"/>
  <cols>
    <col width="8" bestFit="1" customWidth="1" min="1" max="1"/>
    <col width="12.7109375" customWidth="1" min="2" max="2"/>
    <col width="5.140625" customWidth="1" min="3" max="3"/>
  </cols>
  <sheetData>
    <row r="1">
      <c r="A1" t="inlineStr">
        <is>
          <t>input files</t>
        </is>
      </c>
    </row>
    <row r="2">
      <c r="A2" t="inlineStr">
        <is>
          <t xml:space="preserve"> WPadj</t>
        </is>
      </c>
      <c r="B2" t="n">
        <v>0.325</v>
      </c>
      <c r="C2" t="inlineStr">
        <is>
          <t xml:space="preserve"> </t>
        </is>
      </c>
    </row>
    <row r="3">
      <c r="A3" t="inlineStr">
        <is>
          <t xml:space="preserve"> HI</t>
        </is>
      </c>
      <c r="B3" t="n">
        <v>0.45</v>
      </c>
      <c r="C3" t="inlineStr">
        <is>
          <t xml:space="preserve"> </t>
        </is>
      </c>
    </row>
    <row r="4">
      <c r="A4" t="inlineStr">
        <is>
          <t xml:space="preserve"> KyT</t>
        </is>
      </c>
      <c r="B4" t="n">
        <v>1.25</v>
      </c>
      <c r="C4" t="inlineStr">
        <is>
          <t xml:space="preserve"> </t>
        </is>
      </c>
    </row>
    <row r="5">
      <c r="A5" t="inlineStr">
        <is>
          <t xml:space="preserve"> Ky1</t>
        </is>
      </c>
      <c r="B5" t="n">
        <v>0.4</v>
      </c>
      <c r="C5" t="inlineStr">
        <is>
          <t xml:space="preserve"> </t>
        </is>
      </c>
    </row>
    <row r="6">
      <c r="A6" t="inlineStr">
        <is>
          <t xml:space="preserve"> Ky2</t>
        </is>
      </c>
      <c r="B6" t="n">
        <v>0.9</v>
      </c>
      <c r="C6" t="inlineStr">
        <is>
          <t xml:space="preserve"> </t>
        </is>
      </c>
    </row>
    <row r="7">
      <c r="A7" t="inlineStr">
        <is>
          <t xml:space="preserve"> Ky3</t>
        </is>
      </c>
      <c r="B7" t="n">
        <v>1.5</v>
      </c>
      <c r="C7" t="inlineStr">
        <is>
          <t xml:space="preserve"> </t>
        </is>
      </c>
    </row>
    <row r="8">
      <c r="A8" t="inlineStr">
        <is>
          <t xml:space="preserve"> Ky4</t>
        </is>
      </c>
      <c r="B8" t="n">
        <v>0.5</v>
      </c>
      <c r="C8" t="inlineStr">
        <is>
          <t xml:space="preserve"> </t>
        </is>
      </c>
    </row>
    <row r="9">
      <c r="A9" t="inlineStr">
        <is>
          <t xml:space="preserve"> Tcrit</t>
        </is>
      </c>
      <c r="B9" t="n">
        <v>32</v>
      </c>
      <c r="C9" t="inlineStr">
        <is>
          <t xml:space="preserve"> </t>
        </is>
      </c>
    </row>
    <row r="10">
      <c r="A10" t="inlineStr">
        <is>
          <t xml:space="preserve"> Tlim</t>
        </is>
      </c>
      <c r="B10" t="n">
        <v>40</v>
      </c>
      <c r="C10" t="inlineStr">
        <is>
          <t xml:space="preserve"> </t>
        </is>
      </c>
      <c r="I10" t="inlineStr">
        <is>
          <t xml:space="preserve"> </t>
        </is>
      </c>
    </row>
    <row r="11">
      <c r="A11" t="inlineStr">
        <is>
          <t xml:space="preserve"> Kcbmin</t>
        </is>
      </c>
      <c r="B11" t="n">
        <v>0</v>
      </c>
      <c r="C11" t="inlineStr">
        <is>
          <t xml:space="preserve"> </t>
        </is>
      </c>
    </row>
    <row r="12">
      <c r="A12" t="inlineStr">
        <is>
          <t xml:space="preserve"> Kcbini</t>
        </is>
      </c>
      <c r="B12" t="n">
        <v>0.15</v>
      </c>
      <c r="C12" t="inlineStr">
        <is>
          <t xml:space="preserve"> </t>
        </is>
      </c>
    </row>
    <row r="13">
      <c r="A13" t="inlineStr">
        <is>
          <t xml:space="preserve"> Kcbmax</t>
        </is>
      </c>
      <c r="B13" t="n">
        <v>1.046</v>
      </c>
      <c r="C13" t="inlineStr">
        <is>
          <t xml:space="preserve"> </t>
        </is>
      </c>
    </row>
    <row r="14">
      <c r="A14" t="inlineStr">
        <is>
          <t xml:space="preserve"> ii0</t>
        </is>
      </c>
      <c r="B14" t="n">
        <v>98</v>
      </c>
      <c r="C14" t="inlineStr">
        <is>
          <t xml:space="preserve"> </t>
        </is>
      </c>
    </row>
    <row r="15">
      <c r="A15" t="inlineStr">
        <is>
          <t xml:space="preserve"> iie</t>
        </is>
      </c>
      <c r="B15" t="n">
        <v>240</v>
      </c>
      <c r="C15" t="inlineStr">
        <is>
          <t xml:space="preserve"> </t>
        </is>
      </c>
    </row>
    <row r="16">
      <c r="A16" t="inlineStr">
        <is>
          <t xml:space="preserve"> iid</t>
        </is>
      </c>
      <c r="B16" t="n">
        <v>143.9020508</v>
      </c>
      <c r="C16" t="inlineStr">
        <is>
          <t xml:space="preserve"> </t>
        </is>
      </c>
    </row>
    <row r="17">
      <c r="A17" t="inlineStr">
        <is>
          <t xml:space="preserve"> dij</t>
        </is>
      </c>
      <c r="B17" t="n">
        <v>1.000680666</v>
      </c>
      <c r="C17" t="inlineStr">
        <is>
          <t xml:space="preserve"> </t>
        </is>
      </c>
    </row>
    <row r="18">
      <c r="A18" t="inlineStr">
        <is>
          <t xml:space="preserve"> irandom</t>
        </is>
      </c>
      <c r="B18" t="n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3">
    <tabColor theme="6" tint="0.5999633777886288"/>
    <outlinePr summaryBelow="1" summaryRight="1"/>
    <pageSetUpPr/>
  </sheetPr>
  <dimension ref="A1:B41"/>
  <sheetViews>
    <sheetView zoomScale="85" zoomScaleNormal="85" workbookViewId="0">
      <selection activeCell="B12" sqref="B12"/>
    </sheetView>
  </sheetViews>
  <sheetFormatPr baseColWidth="8" defaultColWidth="9.140625" defaultRowHeight="15"/>
  <cols>
    <col width="29.28515625" bestFit="1" customWidth="1" min="1" max="1"/>
    <col width="12.7109375" bestFit="1" customWidth="1" min="2" max="2"/>
  </cols>
  <sheetData>
    <row r="1">
      <c r="A1" t="inlineStr">
        <is>
          <t>input files</t>
        </is>
      </c>
    </row>
    <row r="2">
      <c r="A2" t="inlineStr">
        <is>
          <t xml:space="preserve"> Domain</t>
        </is>
      </c>
      <c r="B2" t="n">
        <v>1</v>
      </c>
    </row>
    <row r="3">
      <c r="A3" t="inlineStr">
        <is>
          <t xml:space="preserve"> Slope</t>
        </is>
      </c>
      <c r="B3" s="15" t="n">
        <v>0.001</v>
      </c>
    </row>
    <row r="4">
      <c r="A4" t="inlineStr">
        <is>
          <t xml:space="preserve"> Soil use</t>
        </is>
      </c>
      <c r="B4" t="n">
        <v>13</v>
      </c>
    </row>
    <row r="5">
      <c r="A5" t="inlineStr">
        <is>
          <t xml:space="preserve"> Irrigation subdistrict</t>
        </is>
      </c>
      <c r="B5" t="inlineStr">
        <is>
          <t xml:space="preserve"> null</t>
        </is>
      </c>
    </row>
    <row r="6">
      <c r="A6" t="inlineStr">
        <is>
          <t xml:space="preserve"> Irrigation method</t>
        </is>
      </c>
      <c r="B6" t="n">
        <v>1</v>
      </c>
    </row>
    <row r="7">
      <c r="A7" t="inlineStr">
        <is>
          <t xml:space="preserve"> Method efficiency</t>
        </is>
      </c>
      <c r="B7" t="inlineStr">
        <is>
          <t xml:space="preserve"> null</t>
        </is>
      </c>
    </row>
    <row r="8">
      <c r="A8" t="inlineStr">
        <is>
          <t xml:space="preserve"> Conveyance efficiency</t>
        </is>
      </c>
      <c r="B8" t="inlineStr">
        <is>
          <t xml:space="preserve"> null</t>
        </is>
      </c>
    </row>
    <row r="9">
      <c r="A9" t="inlineStr">
        <is>
          <t xml:space="preserve"> Hydrologic soil group</t>
        </is>
      </c>
      <c r="B9" t="n">
        <v>2</v>
      </c>
    </row>
    <row r="10">
      <c r="A10" t="inlineStr">
        <is>
          <t xml:space="preserve"> Hydrologic condition</t>
        </is>
      </c>
      <c r="B10" t="n">
        <v>1</v>
      </c>
    </row>
    <row r="11">
      <c r="A11" t="inlineStr">
        <is>
          <t xml:space="preserve"> ThetaI_sat</t>
        </is>
      </c>
      <c r="B11" t="n">
        <v>0.518024</v>
      </c>
    </row>
    <row r="12">
      <c r="A12" t="inlineStr">
        <is>
          <t xml:space="preserve"> ThetaI_fc</t>
        </is>
      </c>
      <c r="B12" t="n">
        <v>0.229209</v>
      </c>
    </row>
    <row r="13">
      <c r="A13" t="inlineStr">
        <is>
          <t xml:space="preserve"> ThetaI_wp</t>
        </is>
      </c>
      <c r="B13" s="15" t="n">
        <v>0.08309999999999999</v>
      </c>
    </row>
    <row r="14">
      <c r="A14" t="inlineStr">
        <is>
          <t xml:space="preserve"> ThetaI_r</t>
        </is>
      </c>
      <c r="B14" s="15" t="n">
        <v>0.048</v>
      </c>
    </row>
    <row r="15">
      <c r="A15" t="inlineStr">
        <is>
          <t xml:space="preserve"> ThetaII_sat</t>
        </is>
      </c>
      <c r="B15" t="n">
        <v>0.433188</v>
      </c>
    </row>
    <row r="16">
      <c r="A16" t="inlineStr">
        <is>
          <t xml:space="preserve"> ThetaII_fc</t>
        </is>
      </c>
      <c r="B16" t="n">
        <v>0.196996</v>
      </c>
    </row>
    <row r="17">
      <c r="A17" t="inlineStr">
        <is>
          <t xml:space="preserve"> ThetaII_wp</t>
        </is>
      </c>
      <c r="B17" s="15" t="n">
        <v>0.0902</v>
      </c>
    </row>
    <row r="18">
      <c r="A18" t="inlineStr">
        <is>
          <t xml:space="preserve"> ThetaII_r</t>
        </is>
      </c>
      <c r="B18" s="15" t="n">
        <v>0.0653</v>
      </c>
    </row>
    <row r="19">
      <c r="A19" t="inlineStr">
        <is>
          <t xml:space="preserve"> ksat_I</t>
        </is>
      </c>
      <c r="B19" t="n">
        <v>4.76184</v>
      </c>
    </row>
    <row r="20">
      <c r="A20" t="inlineStr">
        <is>
          <t xml:space="preserve"> ksat_II</t>
        </is>
      </c>
      <c r="B20" t="n">
        <v>4.411071</v>
      </c>
    </row>
    <row r="21">
      <c r="A21" t="inlineStr">
        <is>
          <t xml:space="preserve"> expn_I</t>
        </is>
      </c>
      <c r="B21" t="n">
        <v>9.074920059</v>
      </c>
    </row>
    <row r="22">
      <c r="A22" t="inlineStr">
        <is>
          <t xml:space="preserve"> expn_II</t>
        </is>
      </c>
      <c r="B22" t="n">
        <v>8.345373976999999</v>
      </c>
    </row>
    <row r="23">
      <c r="A23" t="inlineStr">
        <is>
          <t xml:space="preserve"> 1st layer's thickness</t>
        </is>
      </c>
      <c r="B23" t="n">
        <v>0.1</v>
      </c>
    </row>
    <row r="24">
      <c r="A24" t="inlineStr">
        <is>
          <t xml:space="preserve"> 2nd layer's max thickness</t>
        </is>
      </c>
      <c r="B24" t="n">
        <v>0.9</v>
      </c>
    </row>
    <row r="25">
      <c r="A25" t="inlineStr">
        <is>
          <t xml:space="preserve"> Simulation year</t>
        </is>
      </c>
      <c r="B25" t="n">
        <v>2021</v>
      </c>
    </row>
    <row r="26">
      <c r="A26" t="inlineStr">
        <is>
          <t xml:space="preserve"> CapFluxParam_a3</t>
        </is>
      </c>
      <c r="B26" t="inlineStr">
        <is>
          <t xml:space="preserve"> null</t>
        </is>
      </c>
    </row>
    <row r="27">
      <c r="A27" t="inlineStr">
        <is>
          <t xml:space="preserve"> CapFluxParam_a4</t>
        </is>
      </c>
      <c r="B27" t="inlineStr">
        <is>
          <t xml:space="preserve"> null</t>
        </is>
      </c>
    </row>
    <row r="28">
      <c r="A28" t="inlineStr">
        <is>
          <t xml:space="preserve"> CapFluxParam_b1</t>
        </is>
      </c>
      <c r="B28" t="inlineStr">
        <is>
          <t xml:space="preserve"> null</t>
        </is>
      </c>
    </row>
    <row r="29">
      <c r="A29" t="inlineStr">
        <is>
          <t xml:space="preserve"> CapFluxParam_b2</t>
        </is>
      </c>
      <c r="B29" t="inlineStr">
        <is>
          <t xml:space="preserve"> null</t>
        </is>
      </c>
    </row>
    <row r="30">
      <c r="A30" t="inlineStr">
        <is>
          <t xml:space="preserve"> CapFluxParam_b3</t>
        </is>
      </c>
      <c r="B30" t="inlineStr">
        <is>
          <t xml:space="preserve"> null</t>
        </is>
      </c>
    </row>
    <row r="31">
      <c r="A31" t="inlineStr">
        <is>
          <t xml:space="preserve"> CapFluxParam_b4</t>
        </is>
      </c>
      <c r="B31" t="inlineStr">
        <is>
          <t xml:space="preserve"> null</t>
        </is>
      </c>
    </row>
    <row r="32">
      <c r="A32" t="inlineStr">
        <is>
          <t xml:space="preserve"> Water depth</t>
        </is>
      </c>
      <c r="B32" t="inlineStr">
        <is>
          <t xml:space="preserve"> null</t>
        </is>
      </c>
    </row>
    <row r="33">
      <c r="A33" t="inlineStr">
        <is>
          <t xml:space="preserve"> am_perc1</t>
        </is>
      </c>
      <c r="B33" t="n">
        <v>6.876241162</v>
      </c>
    </row>
    <row r="34">
      <c r="A34" t="inlineStr">
        <is>
          <t xml:space="preserve"> am_perc2</t>
        </is>
      </c>
      <c r="B34" t="n">
        <v>6.91098613</v>
      </c>
    </row>
    <row r="35">
      <c r="A35" t="inlineStr">
        <is>
          <t xml:space="preserve"> bm_perc1</t>
        </is>
      </c>
      <c r="B35" t="n">
        <v>0.693315593</v>
      </c>
    </row>
    <row r="36">
      <c r="A36" t="inlineStr">
        <is>
          <t xml:space="preserve"> bm_perc2</t>
        </is>
      </c>
      <c r="B36" t="n">
        <v>0.681154854</v>
      </c>
    </row>
    <row r="37">
      <c r="A37" t="inlineStr">
        <is>
          <t xml:space="preserve"> Meteorological Station nr           1 </t>
        </is>
      </c>
      <c r="B37" t="n">
        <v>297.4848406</v>
      </c>
    </row>
    <row r="38">
      <c r="A38" t="inlineStr">
        <is>
          <t xml:space="preserve"> Meteorological Station nr           2 </t>
        </is>
      </c>
      <c r="B38" t="n">
        <v>50.15152451</v>
      </c>
    </row>
    <row r="39">
      <c r="A39" t="inlineStr">
        <is>
          <t xml:space="preserve"> Meteorological Station nr           3 </t>
        </is>
      </c>
      <c r="B39" t="n">
        <v>306.1396171</v>
      </c>
    </row>
    <row r="40">
      <c r="A40" t="inlineStr">
        <is>
          <t xml:space="preserve"> Meteorological Station nr           4 </t>
        </is>
      </c>
      <c r="B40" t="n">
        <v>51.12606856</v>
      </c>
    </row>
    <row r="41">
      <c r="A41" t="inlineStr">
        <is>
          <t xml:space="preserve"> Meteorological Station nr           5 </t>
        </is>
      </c>
      <c r="B41" t="n">
        <v>89.09794922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6"/>
  <sheetViews>
    <sheetView tabSelected="1" topLeftCell="R39" zoomScale="115" zoomScaleNormal="115" workbookViewId="0">
      <selection activeCell="AF43" sqref="AF43"/>
    </sheetView>
  </sheetViews>
  <sheetFormatPr baseColWidth="8" defaultRowHeight="15"/>
  <cols>
    <col width="8.7109375" bestFit="1" customWidth="1" style="1" min="1" max="1"/>
    <col width="10.140625" bestFit="1" customWidth="1" style="1" min="2" max="2"/>
    <col width="10" bestFit="1" customWidth="1" min="3" max="3"/>
    <col width="9" bestFit="1" customWidth="1" min="4" max="4"/>
    <col width="9.5703125" customWidth="1" style="1" min="5" max="5"/>
    <col width="6.5703125" customWidth="1" min="6" max="7"/>
    <col width="7.28515625" customWidth="1" style="1" min="8" max="8"/>
    <col width="7" customWidth="1" min="9" max="9"/>
    <col width="10.42578125" customWidth="1" min="10" max="10"/>
    <col width="10.28515625" bestFit="1" customWidth="1" min="11" max="11"/>
    <col width="7.28515625" bestFit="1" customWidth="1" min="12" max="12"/>
    <col width="9" bestFit="1" customWidth="1" min="13" max="18"/>
  </cols>
  <sheetData>
    <row r="1" ht="34.5" customHeight="1">
      <c r="A1" s="3" t="inlineStr">
        <is>
          <t>DOY</t>
        </is>
      </c>
      <c r="B1" s="3" t="inlineStr">
        <is>
          <t>Date</t>
        </is>
      </c>
      <c r="C1" s="3" t="inlineStr">
        <is>
          <t>Rainfall [mm]</t>
        </is>
      </c>
      <c r="D1" s="3" t="inlineStr">
        <is>
          <t>Irrigation [mm]</t>
        </is>
      </c>
      <c r="E1" s="4" t="inlineStr">
        <is>
          <t>p [-]</t>
        </is>
      </c>
      <c r="F1" s="3" t="inlineStr">
        <is>
          <t>Thickness lyr 1 [m]</t>
        </is>
      </c>
      <c r="G1" s="3" t="inlineStr">
        <is>
          <t>Thickness lyr 2 [m]</t>
        </is>
      </c>
      <c r="H1" s="3" t="inlineStr">
        <is>
          <t>wcontent lyr 1 [mm]</t>
        </is>
      </c>
      <c r="I1" s="3" t="inlineStr">
        <is>
          <t>wcontent lyr 2 [mm]</t>
        </is>
      </c>
      <c r="J1" s="3" t="inlineStr">
        <is>
          <t>wcontent used for trigger [mm]</t>
        </is>
      </c>
      <c r="K1" s="3" t="inlineStr">
        <is>
          <t>Trigger threshold [mm]</t>
        </is>
      </c>
      <c r="L1" s="3" t="inlineStr">
        <is>
          <t>is trying to irrigate</t>
        </is>
      </c>
      <c r="M1" s="3" t="inlineStr">
        <is>
          <t>wcont at FC lyr1 [mm]</t>
        </is>
      </c>
      <c r="N1" s="3" t="inlineStr">
        <is>
          <t>wcont at WP lyr1 [mm]</t>
        </is>
      </c>
      <c r="O1" s="3" t="inlineStr">
        <is>
          <t>TAW lyr1 [mm]</t>
        </is>
      </c>
      <c r="P1" s="3" t="inlineStr">
        <is>
          <t>wcont at FC lyr2 [mm]</t>
        </is>
      </c>
      <c r="Q1" s="3" t="inlineStr">
        <is>
          <t>wcont at WP lyr2 [mm]</t>
        </is>
      </c>
      <c r="R1" s="3" t="inlineStr">
        <is>
          <t>TAW lyr2 [mm]</t>
        </is>
      </c>
    </row>
    <row r="2">
      <c r="A2" s="41" t="n">
        <v>1</v>
      </c>
      <c r="B2" s="42">
        <f>DATE(Sintesi!$C$4-1,12,31)+A2</f>
        <v/>
      </c>
      <c r="C2" s="41">
        <f>'Paste cell here'!B2</f>
        <v/>
      </c>
      <c r="D2" s="41">
        <f>'Paste cell here'!I2</f>
        <v/>
      </c>
      <c r="E2" s="1">
        <f>'Paste cell here'!H2</f>
        <v/>
      </c>
      <c r="F2" s="1">
        <f>Sintesi!$C$5</f>
        <v/>
      </c>
      <c r="G2" s="1">
        <f>'Paste cell here'!AA2</f>
        <v/>
      </c>
      <c r="H2" s="43">
        <f>'Paste cell here'!U2</f>
        <v/>
      </c>
      <c r="I2" s="43">
        <f>'Paste cell here'!AE2</f>
        <v/>
      </c>
      <c r="J2" s="44" t="n"/>
      <c r="K2" s="45">
        <f>'Paste cell here'!AG2</f>
        <v/>
      </c>
      <c r="L2" s="41" t="n"/>
      <c r="M2" s="1">
        <f>(Sintesi!$C$29*F2*1000)</f>
        <v/>
      </c>
      <c r="N2" s="1">
        <f>Sintesi!$C$30*F2*1000</f>
        <v/>
      </c>
      <c r="O2" s="1">
        <f>M2-N2</f>
        <v/>
      </c>
      <c r="P2" s="1">
        <f>Sintesi!$C$33*G2*1000</f>
        <v/>
      </c>
      <c r="Q2" s="1">
        <f>Sintesi!$C$34*G2*1000</f>
        <v/>
      </c>
      <c r="R2" s="1">
        <f>P2-Q2</f>
        <v/>
      </c>
    </row>
    <row r="3">
      <c r="A3" s="41" t="n">
        <v>2</v>
      </c>
      <c r="B3" s="42">
        <f>DATE(Sintesi!$C$4-1,12,31)+A3</f>
        <v/>
      </c>
      <c r="C3" s="41">
        <f>'Paste cell here'!B3</f>
        <v/>
      </c>
      <c r="D3" s="41">
        <f>'Paste cell here'!I3</f>
        <v/>
      </c>
      <c r="E3" s="1">
        <f>'Paste cell here'!H3</f>
        <v/>
      </c>
      <c r="F3" s="1">
        <f>Sintesi!$C$5</f>
        <v/>
      </c>
      <c r="G3" s="1">
        <f>'Paste cell here'!AA3</f>
        <v/>
      </c>
      <c r="H3" s="43">
        <f>'Paste cell here'!U3</f>
        <v/>
      </c>
      <c r="I3" s="43">
        <f>'Paste cell here'!AE3</f>
        <v/>
      </c>
      <c r="J3" s="44">
        <f>'Paste cell here'!U2+'Paste cell here'!AF3</f>
        <v/>
      </c>
      <c r="K3" s="45">
        <f>'Paste cell here'!AG3</f>
        <v/>
      </c>
      <c r="L3" s="41">
        <f>IF(J3&lt;K3,"YES","NO")</f>
        <v/>
      </c>
      <c r="M3" s="1">
        <f>(Sintesi!$C$29*F3*1000)</f>
        <v/>
      </c>
      <c r="N3" s="1">
        <f>Sintesi!$C$30*F3*1000</f>
        <v/>
      </c>
      <c r="O3" s="1">
        <f>M3-N3</f>
        <v/>
      </c>
      <c r="P3" s="1">
        <f>Sintesi!$C$33*G3*1000</f>
        <v/>
      </c>
      <c r="Q3" s="1">
        <f>Sintesi!$C$34*G3*1000</f>
        <v/>
      </c>
      <c r="R3" s="1">
        <f>P3-Q3</f>
        <v/>
      </c>
    </row>
    <row r="4">
      <c r="A4" s="41" t="n">
        <v>3</v>
      </c>
      <c r="B4" s="42">
        <f>DATE(Sintesi!$C$4-1,12,31)+A4</f>
        <v/>
      </c>
      <c r="C4" s="41">
        <f>'Paste cell here'!B4</f>
        <v/>
      </c>
      <c r="D4" s="41">
        <f>'Paste cell here'!I4</f>
        <v/>
      </c>
      <c r="E4" s="1">
        <f>'Paste cell here'!H4</f>
        <v/>
      </c>
      <c r="F4" s="1">
        <f>Sintesi!$C$5</f>
        <v/>
      </c>
      <c r="G4" s="1">
        <f>'Paste cell here'!AA4</f>
        <v/>
      </c>
      <c r="H4" s="43">
        <f>'Paste cell here'!U4</f>
        <v/>
      </c>
      <c r="I4" s="43">
        <f>'Paste cell here'!AE4</f>
        <v/>
      </c>
      <c r="J4" s="44">
        <f>'Paste cell here'!U3+'Paste cell here'!AF4</f>
        <v/>
      </c>
      <c r="K4" s="45">
        <f>'Paste cell here'!AG4</f>
        <v/>
      </c>
      <c r="L4" s="41">
        <f>IF(J4&lt;K4,"YES","NO")</f>
        <v/>
      </c>
      <c r="M4" s="1">
        <f>(Sintesi!$C$29*F4*1000)</f>
        <v/>
      </c>
      <c r="N4" s="1">
        <f>Sintesi!$C$30*F4*1000</f>
        <v/>
      </c>
      <c r="O4" s="1">
        <f>M4-N4</f>
        <v/>
      </c>
      <c r="P4" s="1">
        <f>Sintesi!$C$33*G4*1000</f>
        <v/>
      </c>
      <c r="Q4" s="1">
        <f>Sintesi!$C$34*G4*1000</f>
        <v/>
      </c>
      <c r="R4" s="1">
        <f>P4-Q4</f>
        <v/>
      </c>
    </row>
    <row r="5">
      <c r="A5" s="41" t="n">
        <v>4</v>
      </c>
      <c r="B5" s="42">
        <f>DATE(Sintesi!$C$4-1,12,31)+A5</f>
        <v/>
      </c>
      <c r="C5" s="41">
        <f>'Paste cell here'!B5</f>
        <v/>
      </c>
      <c r="D5" s="41">
        <f>'Paste cell here'!I5</f>
        <v/>
      </c>
      <c r="E5" s="1">
        <f>'Paste cell here'!H5</f>
        <v/>
      </c>
      <c r="F5" s="1">
        <f>Sintesi!$C$5</f>
        <v/>
      </c>
      <c r="G5" s="1">
        <f>'Paste cell here'!AA5</f>
        <v/>
      </c>
      <c r="H5" s="43">
        <f>'Paste cell here'!U5</f>
        <v/>
      </c>
      <c r="I5" s="43">
        <f>'Paste cell here'!AE5</f>
        <v/>
      </c>
      <c r="J5" s="44">
        <f>'Paste cell here'!U4+'Paste cell here'!AF5</f>
        <v/>
      </c>
      <c r="K5" s="45">
        <f>'Paste cell here'!AG5</f>
        <v/>
      </c>
      <c r="L5" s="41">
        <f>IF(J5&lt;K5,"YES","NO")</f>
        <v/>
      </c>
      <c r="M5" s="1">
        <f>(Sintesi!$C$29*F5*1000)</f>
        <v/>
      </c>
      <c r="N5" s="1">
        <f>Sintesi!$C$30*F5*1000</f>
        <v/>
      </c>
      <c r="O5" s="1">
        <f>M5-N5</f>
        <v/>
      </c>
      <c r="P5" s="1">
        <f>Sintesi!$C$33*G5*1000</f>
        <v/>
      </c>
      <c r="Q5" s="1">
        <f>Sintesi!$C$34*G5*1000</f>
        <v/>
      </c>
      <c r="R5" s="1">
        <f>P5-Q5</f>
        <v/>
      </c>
    </row>
    <row r="6">
      <c r="A6" s="41" t="n">
        <v>5</v>
      </c>
      <c r="B6" s="42">
        <f>DATE(Sintesi!$C$4-1,12,31)+A6</f>
        <v/>
      </c>
      <c r="C6" s="41">
        <f>'Paste cell here'!B6</f>
        <v/>
      </c>
      <c r="D6" s="41">
        <f>'Paste cell here'!I6</f>
        <v/>
      </c>
      <c r="E6" s="1">
        <f>'Paste cell here'!H6</f>
        <v/>
      </c>
      <c r="F6" s="1">
        <f>Sintesi!$C$5</f>
        <v/>
      </c>
      <c r="G6" s="1">
        <f>'Paste cell here'!AA6</f>
        <v/>
      </c>
      <c r="H6" s="43">
        <f>'Paste cell here'!U6</f>
        <v/>
      </c>
      <c r="I6" s="43">
        <f>'Paste cell here'!AE6</f>
        <v/>
      </c>
      <c r="J6" s="44">
        <f>'Paste cell here'!U5+'Paste cell here'!AF6</f>
        <v/>
      </c>
      <c r="K6" s="45">
        <f>'Paste cell here'!AG6</f>
        <v/>
      </c>
      <c r="L6" s="41">
        <f>IF(J6&lt;K6,"YES","NO")</f>
        <v/>
      </c>
      <c r="M6" s="1">
        <f>(Sintesi!$C$29*F6*1000)</f>
        <v/>
      </c>
      <c r="N6" s="1">
        <f>Sintesi!$C$30*F6*1000</f>
        <v/>
      </c>
      <c r="O6" s="1">
        <f>M6-N6</f>
        <v/>
      </c>
      <c r="P6" s="1">
        <f>Sintesi!$C$33*G6*1000</f>
        <v/>
      </c>
      <c r="Q6" s="1">
        <f>Sintesi!$C$34*G6*1000</f>
        <v/>
      </c>
      <c r="R6" s="1">
        <f>P6-Q6</f>
        <v/>
      </c>
    </row>
    <row r="7">
      <c r="A7" s="41" t="n">
        <v>6</v>
      </c>
      <c r="B7" s="42">
        <f>DATE(Sintesi!$C$4-1,12,31)+A7</f>
        <v/>
      </c>
      <c r="C7" s="41">
        <f>'Paste cell here'!B7</f>
        <v/>
      </c>
      <c r="D7" s="41">
        <f>'Paste cell here'!I7</f>
        <v/>
      </c>
      <c r="E7" s="1">
        <f>'Paste cell here'!H7</f>
        <v/>
      </c>
      <c r="F7" s="1">
        <f>Sintesi!$C$5</f>
        <v/>
      </c>
      <c r="G7" s="1">
        <f>'Paste cell here'!AA7</f>
        <v/>
      </c>
      <c r="H7" s="43">
        <f>'Paste cell here'!U7</f>
        <v/>
      </c>
      <c r="I7" s="43">
        <f>'Paste cell here'!AE7</f>
        <v/>
      </c>
      <c r="J7" s="44">
        <f>'Paste cell here'!U6+'Paste cell here'!AF7</f>
        <v/>
      </c>
      <c r="K7" s="45">
        <f>'Paste cell here'!AG7</f>
        <v/>
      </c>
      <c r="L7" s="41">
        <f>IF(J7&lt;K7,"YES","NO")</f>
        <v/>
      </c>
      <c r="M7" s="1">
        <f>(Sintesi!$C$29*F7*1000)</f>
        <v/>
      </c>
      <c r="N7" s="1">
        <f>Sintesi!$C$30*F7*1000</f>
        <v/>
      </c>
      <c r="O7" s="1">
        <f>M7-N7</f>
        <v/>
      </c>
      <c r="P7" s="1">
        <f>Sintesi!$C$33*G7*1000</f>
        <v/>
      </c>
      <c r="Q7" s="1">
        <f>Sintesi!$C$34*G7*1000</f>
        <v/>
      </c>
      <c r="R7" s="1">
        <f>P7-Q7</f>
        <v/>
      </c>
    </row>
    <row r="8">
      <c r="A8" s="41" t="n">
        <v>7</v>
      </c>
      <c r="B8" s="42">
        <f>DATE(Sintesi!$C$4-1,12,31)+A8</f>
        <v/>
      </c>
      <c r="C8" s="41">
        <f>'Paste cell here'!B8</f>
        <v/>
      </c>
      <c r="D8" s="41">
        <f>'Paste cell here'!I8</f>
        <v/>
      </c>
      <c r="E8" s="1">
        <f>'Paste cell here'!H8</f>
        <v/>
      </c>
      <c r="F8" s="1">
        <f>Sintesi!$C$5</f>
        <v/>
      </c>
      <c r="G8" s="1">
        <f>'Paste cell here'!AA8</f>
        <v/>
      </c>
      <c r="H8" s="43">
        <f>'Paste cell here'!U8</f>
        <v/>
      </c>
      <c r="I8" s="43">
        <f>'Paste cell here'!AE8</f>
        <v/>
      </c>
      <c r="J8" s="44">
        <f>'Paste cell here'!U7+'Paste cell here'!AF8</f>
        <v/>
      </c>
      <c r="K8" s="45">
        <f>'Paste cell here'!AG8</f>
        <v/>
      </c>
      <c r="L8" s="41">
        <f>IF(J8&lt;K8,"YES","NO")</f>
        <v/>
      </c>
      <c r="M8" s="1">
        <f>(Sintesi!$C$29*F8*1000)</f>
        <v/>
      </c>
      <c r="N8" s="1">
        <f>Sintesi!$C$30*F8*1000</f>
        <v/>
      </c>
      <c r="O8" s="1">
        <f>M8-N8</f>
        <v/>
      </c>
      <c r="P8" s="1">
        <f>Sintesi!$C$33*G8*1000</f>
        <v/>
      </c>
      <c r="Q8" s="1">
        <f>Sintesi!$C$34*G8*1000</f>
        <v/>
      </c>
      <c r="R8" s="1">
        <f>P8-Q8</f>
        <v/>
      </c>
    </row>
    <row r="9">
      <c r="A9" s="41" t="n">
        <v>8</v>
      </c>
      <c r="B9" s="42">
        <f>DATE(Sintesi!$C$4-1,12,31)+A9</f>
        <v/>
      </c>
      <c r="C9" s="41">
        <f>'Paste cell here'!B9</f>
        <v/>
      </c>
      <c r="D9" s="41">
        <f>'Paste cell here'!I9</f>
        <v/>
      </c>
      <c r="E9" s="1">
        <f>'Paste cell here'!H9</f>
        <v/>
      </c>
      <c r="F9" s="1">
        <f>Sintesi!$C$5</f>
        <v/>
      </c>
      <c r="G9" s="1">
        <f>'Paste cell here'!AA9</f>
        <v/>
      </c>
      <c r="H9" s="43">
        <f>'Paste cell here'!U9</f>
        <v/>
      </c>
      <c r="I9" s="43">
        <f>'Paste cell here'!AE9</f>
        <v/>
      </c>
      <c r="J9" s="44">
        <f>'Paste cell here'!U8+'Paste cell here'!AF9</f>
        <v/>
      </c>
      <c r="K9" s="45">
        <f>'Paste cell here'!AG9</f>
        <v/>
      </c>
      <c r="L9" s="41">
        <f>IF(J9&lt;K9,"YES","NO")</f>
        <v/>
      </c>
      <c r="M9" s="1">
        <f>(Sintesi!$C$29*F9*1000)</f>
        <v/>
      </c>
      <c r="N9" s="1">
        <f>Sintesi!$C$30*F9*1000</f>
        <v/>
      </c>
      <c r="O9" s="1">
        <f>M9-N9</f>
        <v/>
      </c>
      <c r="P9" s="1">
        <f>Sintesi!$C$33*G9*1000</f>
        <v/>
      </c>
      <c r="Q9" s="1">
        <f>Sintesi!$C$34*G9*1000</f>
        <v/>
      </c>
      <c r="R9" s="1">
        <f>P9-Q9</f>
        <v/>
      </c>
    </row>
    <row r="10">
      <c r="A10" s="41" t="n">
        <v>9</v>
      </c>
      <c r="B10" s="42">
        <f>DATE(Sintesi!$C$4-1,12,31)+A10</f>
        <v/>
      </c>
      <c r="C10" s="41">
        <f>'Paste cell here'!B10</f>
        <v/>
      </c>
      <c r="D10" s="41">
        <f>'Paste cell here'!I10</f>
        <v/>
      </c>
      <c r="E10" s="1">
        <f>'Paste cell here'!H10</f>
        <v/>
      </c>
      <c r="F10" s="1">
        <f>Sintesi!$C$5</f>
        <v/>
      </c>
      <c r="G10" s="1">
        <f>'Paste cell here'!AA10</f>
        <v/>
      </c>
      <c r="H10" s="43">
        <f>'Paste cell here'!U10</f>
        <v/>
      </c>
      <c r="I10" s="43">
        <f>'Paste cell here'!AE10</f>
        <v/>
      </c>
      <c r="J10" s="44">
        <f>'Paste cell here'!U9+'Paste cell here'!AF10</f>
        <v/>
      </c>
      <c r="K10" s="45">
        <f>'Paste cell here'!AG10</f>
        <v/>
      </c>
      <c r="L10" s="41">
        <f>IF(J10&lt;K10,"YES","NO")</f>
        <v/>
      </c>
      <c r="M10" s="1">
        <f>(Sintesi!$C$29*F10*1000)</f>
        <v/>
      </c>
      <c r="N10" s="1">
        <f>Sintesi!$C$30*F10*1000</f>
        <v/>
      </c>
      <c r="O10" s="1">
        <f>M10-N10</f>
        <v/>
      </c>
      <c r="P10" s="1">
        <f>Sintesi!$C$33*G10*1000</f>
        <v/>
      </c>
      <c r="Q10" s="1">
        <f>Sintesi!$C$34*G10*1000</f>
        <v/>
      </c>
      <c r="R10" s="1">
        <f>P10-Q10</f>
        <v/>
      </c>
    </row>
    <row r="11">
      <c r="A11" s="41" t="n">
        <v>10</v>
      </c>
      <c r="B11" s="42">
        <f>DATE(Sintesi!$C$4-1,12,31)+A11</f>
        <v/>
      </c>
      <c r="C11" s="41">
        <f>'Paste cell here'!B11</f>
        <v/>
      </c>
      <c r="D11" s="41">
        <f>'Paste cell here'!I11</f>
        <v/>
      </c>
      <c r="E11" s="1">
        <f>'Paste cell here'!H11</f>
        <v/>
      </c>
      <c r="F11" s="1">
        <f>Sintesi!$C$5</f>
        <v/>
      </c>
      <c r="G11" s="1">
        <f>'Paste cell here'!AA11</f>
        <v/>
      </c>
      <c r="H11" s="43">
        <f>'Paste cell here'!U11</f>
        <v/>
      </c>
      <c r="I11" s="43">
        <f>'Paste cell here'!AE11</f>
        <v/>
      </c>
      <c r="J11" s="44">
        <f>'Paste cell here'!U10+'Paste cell here'!AF11</f>
        <v/>
      </c>
      <c r="K11" s="45">
        <f>'Paste cell here'!AG11</f>
        <v/>
      </c>
      <c r="L11" s="41">
        <f>IF(J11&lt;K11,"YES","NO")</f>
        <v/>
      </c>
      <c r="M11" s="1">
        <f>(Sintesi!$C$29*F11*1000)</f>
        <v/>
      </c>
      <c r="N11" s="1">
        <f>Sintesi!$C$30*F11*1000</f>
        <v/>
      </c>
      <c r="O11" s="1">
        <f>M11-N11</f>
        <v/>
      </c>
      <c r="P11" s="1">
        <f>Sintesi!$C$33*G11*1000</f>
        <v/>
      </c>
      <c r="Q11" s="1">
        <f>Sintesi!$C$34*G11*1000</f>
        <v/>
      </c>
      <c r="R11" s="1">
        <f>P11-Q11</f>
        <v/>
      </c>
    </row>
    <row r="12">
      <c r="A12" s="41" t="n">
        <v>11</v>
      </c>
      <c r="B12" s="42">
        <f>DATE(Sintesi!$C$4-1,12,31)+A12</f>
        <v/>
      </c>
      <c r="C12" s="41">
        <f>'Paste cell here'!B12</f>
        <v/>
      </c>
      <c r="D12" s="41">
        <f>'Paste cell here'!I12</f>
        <v/>
      </c>
      <c r="E12" s="1">
        <f>'Paste cell here'!H12</f>
        <v/>
      </c>
      <c r="F12" s="1">
        <f>Sintesi!$C$5</f>
        <v/>
      </c>
      <c r="G12" s="1">
        <f>'Paste cell here'!AA12</f>
        <v/>
      </c>
      <c r="H12" s="43">
        <f>'Paste cell here'!U12</f>
        <v/>
      </c>
      <c r="I12" s="43">
        <f>'Paste cell here'!AE12</f>
        <v/>
      </c>
      <c r="J12" s="44">
        <f>'Paste cell here'!U11+'Paste cell here'!AF12</f>
        <v/>
      </c>
      <c r="K12" s="45">
        <f>'Paste cell here'!AG12</f>
        <v/>
      </c>
      <c r="L12" s="41">
        <f>IF(J12&lt;K12,"YES","NO")</f>
        <v/>
      </c>
      <c r="M12" s="1">
        <f>(Sintesi!$C$29*F12*1000)</f>
        <v/>
      </c>
      <c r="N12" s="1">
        <f>Sintesi!$C$30*F12*1000</f>
        <v/>
      </c>
      <c r="O12" s="1">
        <f>M12-N12</f>
        <v/>
      </c>
      <c r="P12" s="1">
        <f>Sintesi!$C$33*G12*1000</f>
        <v/>
      </c>
      <c r="Q12" s="1">
        <f>Sintesi!$C$34*G12*1000</f>
        <v/>
      </c>
      <c r="R12" s="1">
        <f>P12-Q12</f>
        <v/>
      </c>
    </row>
    <row r="13">
      <c r="A13" s="41" t="n">
        <v>12</v>
      </c>
      <c r="B13" s="42">
        <f>DATE(Sintesi!$C$4-1,12,31)+A13</f>
        <v/>
      </c>
      <c r="C13" s="41">
        <f>'Paste cell here'!B13</f>
        <v/>
      </c>
      <c r="D13" s="41">
        <f>'Paste cell here'!I13</f>
        <v/>
      </c>
      <c r="E13" s="1">
        <f>'Paste cell here'!H13</f>
        <v/>
      </c>
      <c r="F13" s="1">
        <f>Sintesi!$C$5</f>
        <v/>
      </c>
      <c r="G13" s="1">
        <f>'Paste cell here'!AA13</f>
        <v/>
      </c>
      <c r="H13" s="43">
        <f>'Paste cell here'!U13</f>
        <v/>
      </c>
      <c r="I13" s="43">
        <f>'Paste cell here'!AE13</f>
        <v/>
      </c>
      <c r="J13" s="44">
        <f>'Paste cell here'!U12+'Paste cell here'!AF13</f>
        <v/>
      </c>
      <c r="K13" s="45">
        <f>'Paste cell here'!AG13</f>
        <v/>
      </c>
      <c r="L13" s="41">
        <f>IF(J13&lt;K13,"YES","NO")</f>
        <v/>
      </c>
      <c r="M13" s="1">
        <f>(Sintesi!$C$29*F13*1000)</f>
        <v/>
      </c>
      <c r="N13" s="1">
        <f>Sintesi!$C$30*F13*1000</f>
        <v/>
      </c>
      <c r="O13" s="1">
        <f>M13-N13</f>
        <v/>
      </c>
      <c r="P13" s="1">
        <f>Sintesi!$C$33*G13*1000</f>
        <v/>
      </c>
      <c r="Q13" s="1">
        <f>Sintesi!$C$34*G13*1000</f>
        <v/>
      </c>
      <c r="R13" s="1">
        <f>P13-Q13</f>
        <v/>
      </c>
    </row>
    <row r="14">
      <c r="A14" s="41" t="n">
        <v>13</v>
      </c>
      <c r="B14" s="42">
        <f>DATE(Sintesi!$C$4-1,12,31)+A14</f>
        <v/>
      </c>
      <c r="C14" s="41">
        <f>'Paste cell here'!B14</f>
        <v/>
      </c>
      <c r="D14" s="41">
        <f>'Paste cell here'!I14</f>
        <v/>
      </c>
      <c r="E14" s="1">
        <f>'Paste cell here'!H14</f>
        <v/>
      </c>
      <c r="F14" s="1">
        <f>Sintesi!$C$5</f>
        <v/>
      </c>
      <c r="G14" s="1">
        <f>'Paste cell here'!AA14</f>
        <v/>
      </c>
      <c r="H14" s="43">
        <f>'Paste cell here'!U14</f>
        <v/>
      </c>
      <c r="I14" s="43">
        <f>'Paste cell here'!AE14</f>
        <v/>
      </c>
      <c r="J14" s="44">
        <f>'Paste cell here'!U13+'Paste cell here'!AF14</f>
        <v/>
      </c>
      <c r="K14" s="45">
        <f>'Paste cell here'!AG14</f>
        <v/>
      </c>
      <c r="L14" s="41">
        <f>IF(J14&lt;K14,"YES","NO")</f>
        <v/>
      </c>
      <c r="M14" s="1">
        <f>(Sintesi!$C$29*F14*1000)</f>
        <v/>
      </c>
      <c r="N14" s="1">
        <f>Sintesi!$C$30*F14*1000</f>
        <v/>
      </c>
      <c r="O14" s="1">
        <f>M14-N14</f>
        <v/>
      </c>
      <c r="P14" s="1">
        <f>Sintesi!$C$33*G14*1000</f>
        <v/>
      </c>
      <c r="Q14" s="1">
        <f>Sintesi!$C$34*G14*1000</f>
        <v/>
      </c>
      <c r="R14" s="1">
        <f>P14-Q14</f>
        <v/>
      </c>
    </row>
    <row r="15">
      <c r="A15" s="41" t="n">
        <v>14</v>
      </c>
      <c r="B15" s="42">
        <f>DATE(Sintesi!$C$4-1,12,31)+A15</f>
        <v/>
      </c>
      <c r="C15" s="41">
        <f>'Paste cell here'!B15</f>
        <v/>
      </c>
      <c r="D15" s="41">
        <f>'Paste cell here'!I15</f>
        <v/>
      </c>
      <c r="E15" s="1">
        <f>'Paste cell here'!H15</f>
        <v/>
      </c>
      <c r="F15" s="1">
        <f>Sintesi!$C$5</f>
        <v/>
      </c>
      <c r="G15" s="1">
        <f>'Paste cell here'!AA15</f>
        <v/>
      </c>
      <c r="H15" s="43">
        <f>'Paste cell here'!U15</f>
        <v/>
      </c>
      <c r="I15" s="43">
        <f>'Paste cell here'!AE15</f>
        <v/>
      </c>
      <c r="J15" s="44">
        <f>'Paste cell here'!U14+'Paste cell here'!AF15</f>
        <v/>
      </c>
      <c r="K15" s="45">
        <f>'Paste cell here'!AG15</f>
        <v/>
      </c>
      <c r="L15" s="41">
        <f>IF(J15&lt;K15,"YES","NO")</f>
        <v/>
      </c>
      <c r="M15" s="1">
        <f>(Sintesi!$C$29*F15*1000)</f>
        <v/>
      </c>
      <c r="N15" s="1">
        <f>Sintesi!$C$30*F15*1000</f>
        <v/>
      </c>
      <c r="O15" s="1">
        <f>M15-N15</f>
        <v/>
      </c>
      <c r="P15" s="1">
        <f>Sintesi!$C$33*G15*1000</f>
        <v/>
      </c>
      <c r="Q15" s="1">
        <f>Sintesi!$C$34*G15*1000</f>
        <v/>
      </c>
      <c r="R15" s="1">
        <f>P15-Q15</f>
        <v/>
      </c>
    </row>
    <row r="16">
      <c r="A16" s="41" t="n">
        <v>15</v>
      </c>
      <c r="B16" s="42">
        <f>DATE(Sintesi!$C$4-1,12,31)+A16</f>
        <v/>
      </c>
      <c r="C16" s="41">
        <f>'Paste cell here'!B16</f>
        <v/>
      </c>
      <c r="D16" s="41">
        <f>'Paste cell here'!I16</f>
        <v/>
      </c>
      <c r="E16" s="1">
        <f>'Paste cell here'!H16</f>
        <v/>
      </c>
      <c r="F16" s="1">
        <f>Sintesi!$C$5</f>
        <v/>
      </c>
      <c r="G16" s="1">
        <f>'Paste cell here'!AA16</f>
        <v/>
      </c>
      <c r="H16" s="43">
        <f>'Paste cell here'!U16</f>
        <v/>
      </c>
      <c r="I16" s="43">
        <f>'Paste cell here'!AE16</f>
        <v/>
      </c>
      <c r="J16" s="44">
        <f>'Paste cell here'!U15+'Paste cell here'!AF16</f>
        <v/>
      </c>
      <c r="K16" s="45">
        <f>'Paste cell here'!AG16</f>
        <v/>
      </c>
      <c r="L16" s="41">
        <f>IF(J16&lt;K16,"YES","NO")</f>
        <v/>
      </c>
      <c r="M16" s="1">
        <f>(Sintesi!$C$29*F16*1000)</f>
        <v/>
      </c>
      <c r="N16" s="1">
        <f>Sintesi!$C$30*F16*1000</f>
        <v/>
      </c>
      <c r="O16" s="1">
        <f>M16-N16</f>
        <v/>
      </c>
      <c r="P16" s="1">
        <f>Sintesi!$C$33*G16*1000</f>
        <v/>
      </c>
      <c r="Q16" s="1">
        <f>Sintesi!$C$34*G16*1000</f>
        <v/>
      </c>
      <c r="R16" s="1">
        <f>P16-Q16</f>
        <v/>
      </c>
    </row>
    <row r="17">
      <c r="A17" s="41" t="n">
        <v>16</v>
      </c>
      <c r="B17" s="42">
        <f>DATE(Sintesi!$C$4-1,12,31)+A17</f>
        <v/>
      </c>
      <c r="C17" s="41">
        <f>'Paste cell here'!B17</f>
        <v/>
      </c>
      <c r="D17" s="41">
        <f>'Paste cell here'!I17</f>
        <v/>
      </c>
      <c r="E17" s="1">
        <f>'Paste cell here'!H17</f>
        <v/>
      </c>
      <c r="F17" s="1">
        <f>Sintesi!$C$5</f>
        <v/>
      </c>
      <c r="G17" s="1">
        <f>'Paste cell here'!AA17</f>
        <v/>
      </c>
      <c r="H17" s="43">
        <f>'Paste cell here'!U17</f>
        <v/>
      </c>
      <c r="I17" s="43">
        <f>'Paste cell here'!AE17</f>
        <v/>
      </c>
      <c r="J17" s="44">
        <f>'Paste cell here'!U16+'Paste cell here'!AF17</f>
        <v/>
      </c>
      <c r="K17" s="45">
        <f>'Paste cell here'!AG17</f>
        <v/>
      </c>
      <c r="L17" s="41">
        <f>IF(J17&lt;K17,"YES","NO")</f>
        <v/>
      </c>
      <c r="M17" s="1">
        <f>(Sintesi!$C$29*F17*1000)</f>
        <v/>
      </c>
      <c r="N17" s="1">
        <f>Sintesi!$C$30*F17*1000</f>
        <v/>
      </c>
      <c r="O17" s="1">
        <f>M17-N17</f>
        <v/>
      </c>
      <c r="P17" s="1">
        <f>Sintesi!$C$33*G17*1000</f>
        <v/>
      </c>
      <c r="Q17" s="1">
        <f>Sintesi!$C$34*G17*1000</f>
        <v/>
      </c>
      <c r="R17" s="1">
        <f>P17-Q17</f>
        <v/>
      </c>
    </row>
    <row r="18">
      <c r="A18" s="41" t="n">
        <v>17</v>
      </c>
      <c r="B18" s="42">
        <f>DATE(Sintesi!$C$4-1,12,31)+A18</f>
        <v/>
      </c>
      <c r="C18" s="41">
        <f>'Paste cell here'!B18</f>
        <v/>
      </c>
      <c r="D18" s="41">
        <f>'Paste cell here'!I18</f>
        <v/>
      </c>
      <c r="E18" s="1">
        <f>'Paste cell here'!H18</f>
        <v/>
      </c>
      <c r="F18" s="1">
        <f>Sintesi!$C$5</f>
        <v/>
      </c>
      <c r="G18" s="1">
        <f>'Paste cell here'!AA18</f>
        <v/>
      </c>
      <c r="H18" s="43">
        <f>'Paste cell here'!U18</f>
        <v/>
      </c>
      <c r="I18" s="43">
        <f>'Paste cell here'!AE18</f>
        <v/>
      </c>
      <c r="J18" s="44">
        <f>'Paste cell here'!U17+'Paste cell here'!AF18</f>
        <v/>
      </c>
      <c r="K18" s="45">
        <f>'Paste cell here'!AG18</f>
        <v/>
      </c>
      <c r="L18" s="41">
        <f>IF(J18&lt;K18,"YES","NO")</f>
        <v/>
      </c>
      <c r="M18" s="1">
        <f>(Sintesi!$C$29*F18*1000)</f>
        <v/>
      </c>
      <c r="N18" s="1">
        <f>Sintesi!$C$30*F18*1000</f>
        <v/>
      </c>
      <c r="O18" s="1">
        <f>M18-N18</f>
        <v/>
      </c>
      <c r="P18" s="1">
        <f>Sintesi!$C$33*G18*1000</f>
        <v/>
      </c>
      <c r="Q18" s="1">
        <f>Sintesi!$C$34*G18*1000</f>
        <v/>
      </c>
      <c r="R18" s="1">
        <f>P18-Q18</f>
        <v/>
      </c>
    </row>
    <row r="19">
      <c r="A19" s="41" t="n">
        <v>18</v>
      </c>
      <c r="B19" s="42">
        <f>DATE(Sintesi!$C$4-1,12,31)+A19</f>
        <v/>
      </c>
      <c r="C19" s="41">
        <f>'Paste cell here'!B19</f>
        <v/>
      </c>
      <c r="D19" s="41">
        <f>'Paste cell here'!I19</f>
        <v/>
      </c>
      <c r="E19" s="1">
        <f>'Paste cell here'!H19</f>
        <v/>
      </c>
      <c r="F19" s="1">
        <f>Sintesi!$C$5</f>
        <v/>
      </c>
      <c r="G19" s="1">
        <f>'Paste cell here'!AA19</f>
        <v/>
      </c>
      <c r="H19" s="43">
        <f>'Paste cell here'!U19</f>
        <v/>
      </c>
      <c r="I19" s="43">
        <f>'Paste cell here'!AE19</f>
        <v/>
      </c>
      <c r="J19" s="44">
        <f>'Paste cell here'!U18+'Paste cell here'!AF19</f>
        <v/>
      </c>
      <c r="K19" s="45">
        <f>'Paste cell here'!AG19</f>
        <v/>
      </c>
      <c r="L19" s="41">
        <f>IF(J19&lt;K19,"YES","NO")</f>
        <v/>
      </c>
      <c r="M19" s="1">
        <f>(Sintesi!$C$29*F19*1000)</f>
        <v/>
      </c>
      <c r="N19" s="1">
        <f>Sintesi!$C$30*F19*1000</f>
        <v/>
      </c>
      <c r="O19" s="1">
        <f>M19-N19</f>
        <v/>
      </c>
      <c r="P19" s="1">
        <f>Sintesi!$C$33*G19*1000</f>
        <v/>
      </c>
      <c r="Q19" s="1">
        <f>Sintesi!$C$34*G19*1000</f>
        <v/>
      </c>
      <c r="R19" s="1">
        <f>P19-Q19</f>
        <v/>
      </c>
    </row>
    <row r="20">
      <c r="A20" s="41" t="n">
        <v>19</v>
      </c>
      <c r="B20" s="42">
        <f>DATE(Sintesi!$C$4-1,12,31)+A20</f>
        <v/>
      </c>
      <c r="C20" s="41">
        <f>'Paste cell here'!B20</f>
        <v/>
      </c>
      <c r="D20" s="41">
        <f>'Paste cell here'!I20</f>
        <v/>
      </c>
      <c r="E20" s="1">
        <f>'Paste cell here'!H20</f>
        <v/>
      </c>
      <c r="F20" s="1">
        <f>Sintesi!$C$5</f>
        <v/>
      </c>
      <c r="G20" s="1">
        <f>'Paste cell here'!AA20</f>
        <v/>
      </c>
      <c r="H20" s="43">
        <f>'Paste cell here'!U20</f>
        <v/>
      </c>
      <c r="I20" s="43">
        <f>'Paste cell here'!AE20</f>
        <v/>
      </c>
      <c r="J20" s="44">
        <f>'Paste cell here'!U19+'Paste cell here'!AF20</f>
        <v/>
      </c>
      <c r="K20" s="45">
        <f>'Paste cell here'!AG20</f>
        <v/>
      </c>
      <c r="L20" s="41">
        <f>IF(J20&lt;K20,"YES","NO")</f>
        <v/>
      </c>
      <c r="M20" s="1">
        <f>(Sintesi!$C$29*F20*1000)</f>
        <v/>
      </c>
      <c r="N20" s="1">
        <f>Sintesi!$C$30*F20*1000</f>
        <v/>
      </c>
      <c r="O20" s="1">
        <f>M20-N20</f>
        <v/>
      </c>
      <c r="P20" s="1">
        <f>Sintesi!$C$33*G20*1000</f>
        <v/>
      </c>
      <c r="Q20" s="1">
        <f>Sintesi!$C$34*G20*1000</f>
        <v/>
      </c>
      <c r="R20" s="1">
        <f>P20-Q20</f>
        <v/>
      </c>
    </row>
    <row r="21">
      <c r="A21" s="41" t="n">
        <v>20</v>
      </c>
      <c r="B21" s="42">
        <f>DATE(Sintesi!$C$4-1,12,31)+A21</f>
        <v/>
      </c>
      <c r="C21" s="41">
        <f>'Paste cell here'!B21</f>
        <v/>
      </c>
      <c r="D21" s="41">
        <f>'Paste cell here'!I21</f>
        <v/>
      </c>
      <c r="E21" s="1">
        <f>'Paste cell here'!H21</f>
        <v/>
      </c>
      <c r="F21" s="1">
        <f>Sintesi!$C$5</f>
        <v/>
      </c>
      <c r="G21" s="1">
        <f>'Paste cell here'!AA21</f>
        <v/>
      </c>
      <c r="H21" s="43">
        <f>'Paste cell here'!U21</f>
        <v/>
      </c>
      <c r="I21" s="43">
        <f>'Paste cell here'!AE21</f>
        <v/>
      </c>
      <c r="J21" s="44">
        <f>'Paste cell here'!U20+'Paste cell here'!AF21</f>
        <v/>
      </c>
      <c r="K21" s="45">
        <f>'Paste cell here'!AG21</f>
        <v/>
      </c>
      <c r="L21" s="41">
        <f>IF(J21&lt;K21,"YES","NO")</f>
        <v/>
      </c>
      <c r="M21" s="1">
        <f>(Sintesi!$C$29*F21*1000)</f>
        <v/>
      </c>
      <c r="N21" s="1">
        <f>Sintesi!$C$30*F21*1000</f>
        <v/>
      </c>
      <c r="O21" s="1">
        <f>M21-N21</f>
        <v/>
      </c>
      <c r="P21" s="1">
        <f>Sintesi!$C$33*G21*1000</f>
        <v/>
      </c>
      <c r="Q21" s="1">
        <f>Sintesi!$C$34*G21*1000</f>
        <v/>
      </c>
      <c r="R21" s="1">
        <f>P21-Q21</f>
        <v/>
      </c>
    </row>
    <row r="22">
      <c r="A22" s="41" t="n">
        <v>21</v>
      </c>
      <c r="B22" s="42">
        <f>DATE(Sintesi!$C$4-1,12,31)+A22</f>
        <v/>
      </c>
      <c r="C22" s="41">
        <f>'Paste cell here'!B22</f>
        <v/>
      </c>
      <c r="D22" s="41">
        <f>'Paste cell here'!I22</f>
        <v/>
      </c>
      <c r="E22" s="1">
        <f>'Paste cell here'!H22</f>
        <v/>
      </c>
      <c r="F22" s="1">
        <f>Sintesi!$C$5</f>
        <v/>
      </c>
      <c r="G22" s="1">
        <f>'Paste cell here'!AA22</f>
        <v/>
      </c>
      <c r="H22" s="43">
        <f>'Paste cell here'!U22</f>
        <v/>
      </c>
      <c r="I22" s="43">
        <f>'Paste cell here'!AE22</f>
        <v/>
      </c>
      <c r="J22" s="44">
        <f>'Paste cell here'!U21+'Paste cell here'!AF22</f>
        <v/>
      </c>
      <c r="K22" s="45">
        <f>'Paste cell here'!AG22</f>
        <v/>
      </c>
      <c r="L22" s="41">
        <f>IF(J22&lt;K22,"YES","NO")</f>
        <v/>
      </c>
      <c r="M22" s="1">
        <f>(Sintesi!$C$29*F22*1000)</f>
        <v/>
      </c>
      <c r="N22" s="1">
        <f>Sintesi!$C$30*F22*1000</f>
        <v/>
      </c>
      <c r="O22" s="1">
        <f>M22-N22</f>
        <v/>
      </c>
      <c r="P22" s="1">
        <f>Sintesi!$C$33*G22*1000</f>
        <v/>
      </c>
      <c r="Q22" s="1">
        <f>Sintesi!$C$34*G22*1000</f>
        <v/>
      </c>
      <c r="R22" s="1">
        <f>P22-Q22</f>
        <v/>
      </c>
    </row>
    <row r="23">
      <c r="A23" s="41" t="n">
        <v>22</v>
      </c>
      <c r="B23" s="42">
        <f>DATE(Sintesi!$C$4-1,12,31)+A23</f>
        <v/>
      </c>
      <c r="C23" s="41">
        <f>'Paste cell here'!B23</f>
        <v/>
      </c>
      <c r="D23" s="41">
        <f>'Paste cell here'!I23</f>
        <v/>
      </c>
      <c r="E23" s="1">
        <f>'Paste cell here'!H23</f>
        <v/>
      </c>
      <c r="F23" s="1">
        <f>Sintesi!$C$5</f>
        <v/>
      </c>
      <c r="G23" s="1">
        <f>'Paste cell here'!AA23</f>
        <v/>
      </c>
      <c r="H23" s="43">
        <f>'Paste cell here'!U23</f>
        <v/>
      </c>
      <c r="I23" s="43">
        <f>'Paste cell here'!AE23</f>
        <v/>
      </c>
      <c r="J23" s="44">
        <f>'Paste cell here'!U22+'Paste cell here'!AF23</f>
        <v/>
      </c>
      <c r="K23" s="45">
        <f>'Paste cell here'!AG23</f>
        <v/>
      </c>
      <c r="L23" s="41">
        <f>IF(J23&lt;K23,"YES","NO")</f>
        <v/>
      </c>
      <c r="M23" s="1">
        <f>(Sintesi!$C$29*F23*1000)</f>
        <v/>
      </c>
      <c r="N23" s="1">
        <f>Sintesi!$C$30*F23*1000</f>
        <v/>
      </c>
      <c r="O23" s="1">
        <f>M23-N23</f>
        <v/>
      </c>
      <c r="P23" s="1">
        <f>Sintesi!$C$33*G23*1000</f>
        <v/>
      </c>
      <c r="Q23" s="1">
        <f>Sintesi!$C$34*G23*1000</f>
        <v/>
      </c>
      <c r="R23" s="1">
        <f>P23-Q23</f>
        <v/>
      </c>
    </row>
    <row r="24">
      <c r="A24" s="41" t="n">
        <v>23</v>
      </c>
      <c r="B24" s="42">
        <f>DATE(Sintesi!$C$4-1,12,31)+A24</f>
        <v/>
      </c>
      <c r="C24" s="41">
        <f>'Paste cell here'!B24</f>
        <v/>
      </c>
      <c r="D24" s="41">
        <f>'Paste cell here'!I24</f>
        <v/>
      </c>
      <c r="E24" s="1">
        <f>'Paste cell here'!H24</f>
        <v/>
      </c>
      <c r="F24" s="1">
        <f>Sintesi!$C$5</f>
        <v/>
      </c>
      <c r="G24" s="1">
        <f>'Paste cell here'!AA24</f>
        <v/>
      </c>
      <c r="H24" s="43">
        <f>'Paste cell here'!U24</f>
        <v/>
      </c>
      <c r="I24" s="43">
        <f>'Paste cell here'!AE24</f>
        <v/>
      </c>
      <c r="J24" s="44">
        <f>'Paste cell here'!U23+'Paste cell here'!AF24</f>
        <v/>
      </c>
      <c r="K24" s="45">
        <f>'Paste cell here'!AG24</f>
        <v/>
      </c>
      <c r="L24" s="41">
        <f>IF(J24&lt;K24,"YES","NO")</f>
        <v/>
      </c>
      <c r="M24" s="1">
        <f>(Sintesi!$C$29*F24*1000)</f>
        <v/>
      </c>
      <c r="N24" s="1">
        <f>Sintesi!$C$30*F24*1000</f>
        <v/>
      </c>
      <c r="O24" s="1">
        <f>M24-N24</f>
        <v/>
      </c>
      <c r="P24" s="1">
        <f>Sintesi!$C$33*G24*1000</f>
        <v/>
      </c>
      <c r="Q24" s="1">
        <f>Sintesi!$C$34*G24*1000</f>
        <v/>
      </c>
      <c r="R24" s="1">
        <f>P24-Q24</f>
        <v/>
      </c>
    </row>
    <row r="25">
      <c r="A25" s="41" t="n">
        <v>24</v>
      </c>
      <c r="B25" s="42">
        <f>DATE(Sintesi!$C$4-1,12,31)+A25</f>
        <v/>
      </c>
      <c r="C25" s="41">
        <f>'Paste cell here'!B25</f>
        <v/>
      </c>
      <c r="D25" s="41">
        <f>'Paste cell here'!I25</f>
        <v/>
      </c>
      <c r="E25" s="1">
        <f>'Paste cell here'!H25</f>
        <v/>
      </c>
      <c r="F25" s="1">
        <f>Sintesi!$C$5</f>
        <v/>
      </c>
      <c r="G25" s="1">
        <f>'Paste cell here'!AA25</f>
        <v/>
      </c>
      <c r="H25" s="43">
        <f>'Paste cell here'!U25</f>
        <v/>
      </c>
      <c r="I25" s="43">
        <f>'Paste cell here'!AE25</f>
        <v/>
      </c>
      <c r="J25" s="44">
        <f>'Paste cell here'!U24+'Paste cell here'!AF25</f>
        <v/>
      </c>
      <c r="K25" s="45">
        <f>'Paste cell here'!AG25</f>
        <v/>
      </c>
      <c r="L25" s="41">
        <f>IF(J25&lt;K25,"YES","NO")</f>
        <v/>
      </c>
      <c r="M25" s="1">
        <f>(Sintesi!$C$29*F25*1000)</f>
        <v/>
      </c>
      <c r="N25" s="1">
        <f>Sintesi!$C$30*F25*1000</f>
        <v/>
      </c>
      <c r="O25" s="1">
        <f>M25-N25</f>
        <v/>
      </c>
      <c r="P25" s="1">
        <f>Sintesi!$C$33*G25*1000</f>
        <v/>
      </c>
      <c r="Q25" s="1">
        <f>Sintesi!$C$34*G25*1000</f>
        <v/>
      </c>
      <c r="R25" s="1">
        <f>P25-Q25</f>
        <v/>
      </c>
    </row>
    <row r="26">
      <c r="A26" s="41" t="n">
        <v>25</v>
      </c>
      <c r="B26" s="42">
        <f>DATE(Sintesi!$C$4-1,12,31)+A26</f>
        <v/>
      </c>
      <c r="C26" s="41">
        <f>'Paste cell here'!B26</f>
        <v/>
      </c>
      <c r="D26" s="41">
        <f>'Paste cell here'!I26</f>
        <v/>
      </c>
      <c r="E26" s="1">
        <f>'Paste cell here'!H26</f>
        <v/>
      </c>
      <c r="F26" s="1">
        <f>Sintesi!$C$5</f>
        <v/>
      </c>
      <c r="G26" s="1">
        <f>'Paste cell here'!AA26</f>
        <v/>
      </c>
      <c r="H26" s="43">
        <f>'Paste cell here'!U26</f>
        <v/>
      </c>
      <c r="I26" s="43">
        <f>'Paste cell here'!AE26</f>
        <v/>
      </c>
      <c r="J26" s="44">
        <f>'Paste cell here'!U25+'Paste cell here'!AF26</f>
        <v/>
      </c>
      <c r="K26" s="45">
        <f>'Paste cell here'!AG26</f>
        <v/>
      </c>
      <c r="L26" s="41">
        <f>IF(J26&lt;K26,"YES","NO")</f>
        <v/>
      </c>
      <c r="M26" s="1">
        <f>(Sintesi!$C$29*F26*1000)</f>
        <v/>
      </c>
      <c r="N26" s="1">
        <f>Sintesi!$C$30*F26*1000</f>
        <v/>
      </c>
      <c r="O26" s="1">
        <f>M26-N26</f>
        <v/>
      </c>
      <c r="P26" s="1">
        <f>Sintesi!$C$33*G26*1000</f>
        <v/>
      </c>
      <c r="Q26" s="1">
        <f>Sintesi!$C$34*G26*1000</f>
        <v/>
      </c>
      <c r="R26" s="1">
        <f>P26-Q26</f>
        <v/>
      </c>
    </row>
    <row r="27">
      <c r="A27" s="41" t="n">
        <v>26</v>
      </c>
      <c r="B27" s="42">
        <f>DATE(Sintesi!$C$4-1,12,31)+A27</f>
        <v/>
      </c>
      <c r="C27" s="41">
        <f>'Paste cell here'!B27</f>
        <v/>
      </c>
      <c r="D27" s="41">
        <f>'Paste cell here'!I27</f>
        <v/>
      </c>
      <c r="E27" s="1">
        <f>'Paste cell here'!H27</f>
        <v/>
      </c>
      <c r="F27" s="1">
        <f>Sintesi!$C$5</f>
        <v/>
      </c>
      <c r="G27" s="1">
        <f>'Paste cell here'!AA27</f>
        <v/>
      </c>
      <c r="H27" s="43">
        <f>'Paste cell here'!U27</f>
        <v/>
      </c>
      <c r="I27" s="43">
        <f>'Paste cell here'!AE27</f>
        <v/>
      </c>
      <c r="J27" s="44">
        <f>'Paste cell here'!U26+'Paste cell here'!AF27</f>
        <v/>
      </c>
      <c r="K27" s="45">
        <f>'Paste cell here'!AG27</f>
        <v/>
      </c>
      <c r="L27" s="41">
        <f>IF(J27&lt;K27,"YES","NO")</f>
        <v/>
      </c>
      <c r="M27" s="1">
        <f>(Sintesi!$C$29*F27*1000)</f>
        <v/>
      </c>
      <c r="N27" s="1">
        <f>Sintesi!$C$30*F27*1000</f>
        <v/>
      </c>
      <c r="O27" s="1">
        <f>M27-N27</f>
        <v/>
      </c>
      <c r="P27" s="1">
        <f>Sintesi!$C$33*G27*1000</f>
        <v/>
      </c>
      <c r="Q27" s="1">
        <f>Sintesi!$C$34*G27*1000</f>
        <v/>
      </c>
      <c r="R27" s="1">
        <f>P27-Q27</f>
        <v/>
      </c>
    </row>
    <row r="28">
      <c r="A28" s="41" t="n">
        <v>27</v>
      </c>
      <c r="B28" s="42">
        <f>DATE(Sintesi!$C$4-1,12,31)+A28</f>
        <v/>
      </c>
      <c r="C28" s="41">
        <f>'Paste cell here'!B28</f>
        <v/>
      </c>
      <c r="D28" s="41">
        <f>'Paste cell here'!I28</f>
        <v/>
      </c>
      <c r="E28" s="1">
        <f>'Paste cell here'!H28</f>
        <v/>
      </c>
      <c r="F28" s="1">
        <f>Sintesi!$C$5</f>
        <v/>
      </c>
      <c r="G28" s="1">
        <f>'Paste cell here'!AA28</f>
        <v/>
      </c>
      <c r="H28" s="43">
        <f>'Paste cell here'!U28</f>
        <v/>
      </c>
      <c r="I28" s="43">
        <f>'Paste cell here'!AE28</f>
        <v/>
      </c>
      <c r="J28" s="44">
        <f>'Paste cell here'!U27+'Paste cell here'!AF28</f>
        <v/>
      </c>
      <c r="K28" s="45">
        <f>'Paste cell here'!AG28</f>
        <v/>
      </c>
      <c r="L28" s="41">
        <f>IF(J28&lt;K28,"YES","NO")</f>
        <v/>
      </c>
      <c r="M28" s="1">
        <f>(Sintesi!$C$29*F28*1000)</f>
        <v/>
      </c>
      <c r="N28" s="1">
        <f>Sintesi!$C$30*F28*1000</f>
        <v/>
      </c>
      <c r="O28" s="1">
        <f>M28-N28</f>
        <v/>
      </c>
      <c r="P28" s="1">
        <f>Sintesi!$C$33*G28*1000</f>
        <v/>
      </c>
      <c r="Q28" s="1">
        <f>Sintesi!$C$34*G28*1000</f>
        <v/>
      </c>
      <c r="R28" s="1">
        <f>P28-Q28</f>
        <v/>
      </c>
    </row>
    <row r="29">
      <c r="A29" s="41" t="n">
        <v>28</v>
      </c>
      <c r="B29" s="42">
        <f>DATE(Sintesi!$C$4-1,12,31)+A29</f>
        <v/>
      </c>
      <c r="C29" s="41">
        <f>'Paste cell here'!B29</f>
        <v/>
      </c>
      <c r="D29" s="41">
        <f>'Paste cell here'!I29</f>
        <v/>
      </c>
      <c r="E29" s="1">
        <f>'Paste cell here'!H29</f>
        <v/>
      </c>
      <c r="F29" s="1">
        <f>Sintesi!$C$5</f>
        <v/>
      </c>
      <c r="G29" s="1">
        <f>'Paste cell here'!AA29</f>
        <v/>
      </c>
      <c r="H29" s="43">
        <f>'Paste cell here'!U29</f>
        <v/>
      </c>
      <c r="I29" s="43">
        <f>'Paste cell here'!AE29</f>
        <v/>
      </c>
      <c r="J29" s="44">
        <f>'Paste cell here'!U28+'Paste cell here'!AF29</f>
        <v/>
      </c>
      <c r="K29" s="45">
        <f>'Paste cell here'!AG29</f>
        <v/>
      </c>
      <c r="L29" s="41">
        <f>IF(J29&lt;K29,"YES","NO")</f>
        <v/>
      </c>
      <c r="M29" s="1">
        <f>(Sintesi!$C$29*F29*1000)</f>
        <v/>
      </c>
      <c r="N29" s="1">
        <f>Sintesi!$C$30*F29*1000</f>
        <v/>
      </c>
      <c r="O29" s="1">
        <f>M29-N29</f>
        <v/>
      </c>
      <c r="P29" s="1">
        <f>Sintesi!$C$33*G29*1000</f>
        <v/>
      </c>
      <c r="Q29" s="1">
        <f>Sintesi!$C$34*G29*1000</f>
        <v/>
      </c>
      <c r="R29" s="1">
        <f>P29-Q29</f>
        <v/>
      </c>
    </row>
    <row r="30">
      <c r="A30" s="41" t="n">
        <v>29</v>
      </c>
      <c r="B30" s="42">
        <f>DATE(Sintesi!$C$4-1,12,31)+A30</f>
        <v/>
      </c>
      <c r="C30" s="41">
        <f>'Paste cell here'!B30</f>
        <v/>
      </c>
      <c r="D30" s="41">
        <f>'Paste cell here'!I30</f>
        <v/>
      </c>
      <c r="E30" s="1">
        <f>'Paste cell here'!H30</f>
        <v/>
      </c>
      <c r="F30" s="1">
        <f>Sintesi!$C$5</f>
        <v/>
      </c>
      <c r="G30" s="1">
        <f>'Paste cell here'!AA30</f>
        <v/>
      </c>
      <c r="H30" s="43">
        <f>'Paste cell here'!U30</f>
        <v/>
      </c>
      <c r="I30" s="43">
        <f>'Paste cell here'!AE30</f>
        <v/>
      </c>
      <c r="J30" s="44">
        <f>'Paste cell here'!U29+'Paste cell here'!AF30</f>
        <v/>
      </c>
      <c r="K30" s="45">
        <f>'Paste cell here'!AG30</f>
        <v/>
      </c>
      <c r="L30" s="41">
        <f>IF(J30&lt;K30,"YES","NO")</f>
        <v/>
      </c>
      <c r="M30" s="1">
        <f>(Sintesi!$C$29*F30*1000)</f>
        <v/>
      </c>
      <c r="N30" s="1">
        <f>Sintesi!$C$30*F30*1000</f>
        <v/>
      </c>
      <c r="O30" s="1">
        <f>M30-N30</f>
        <v/>
      </c>
      <c r="P30" s="1">
        <f>Sintesi!$C$33*G30*1000</f>
        <v/>
      </c>
      <c r="Q30" s="1">
        <f>Sintesi!$C$34*G30*1000</f>
        <v/>
      </c>
      <c r="R30" s="1">
        <f>P30-Q30</f>
        <v/>
      </c>
    </row>
    <row r="31">
      <c r="A31" s="41" t="n">
        <v>30</v>
      </c>
      <c r="B31" s="42">
        <f>DATE(Sintesi!$C$4-1,12,31)+A31</f>
        <v/>
      </c>
      <c r="C31" s="41">
        <f>'Paste cell here'!B31</f>
        <v/>
      </c>
      <c r="D31" s="41">
        <f>'Paste cell here'!I31</f>
        <v/>
      </c>
      <c r="E31" s="1">
        <f>'Paste cell here'!H31</f>
        <v/>
      </c>
      <c r="F31" s="1">
        <f>Sintesi!$C$5</f>
        <v/>
      </c>
      <c r="G31" s="1">
        <f>'Paste cell here'!AA31</f>
        <v/>
      </c>
      <c r="H31" s="43">
        <f>'Paste cell here'!U31</f>
        <v/>
      </c>
      <c r="I31" s="43">
        <f>'Paste cell here'!AE31</f>
        <v/>
      </c>
      <c r="J31" s="44">
        <f>'Paste cell here'!U30+'Paste cell here'!AF31</f>
        <v/>
      </c>
      <c r="K31" s="45">
        <f>'Paste cell here'!AG31</f>
        <v/>
      </c>
      <c r="L31" s="41">
        <f>IF(J31&lt;K31,"YES","NO")</f>
        <v/>
      </c>
      <c r="M31" s="1">
        <f>(Sintesi!$C$29*F31*1000)</f>
        <v/>
      </c>
      <c r="N31" s="1">
        <f>Sintesi!$C$30*F31*1000</f>
        <v/>
      </c>
      <c r="O31" s="1">
        <f>M31-N31</f>
        <v/>
      </c>
      <c r="P31" s="1">
        <f>Sintesi!$C$33*G31*1000</f>
        <v/>
      </c>
      <c r="Q31" s="1">
        <f>Sintesi!$C$34*G31*1000</f>
        <v/>
      </c>
      <c r="R31" s="1">
        <f>P31-Q31</f>
        <v/>
      </c>
    </row>
    <row r="32">
      <c r="A32" s="41" t="n">
        <v>31</v>
      </c>
      <c r="B32" s="42">
        <f>DATE(Sintesi!$C$4-1,12,31)+A32</f>
        <v/>
      </c>
      <c r="C32" s="41">
        <f>'Paste cell here'!B32</f>
        <v/>
      </c>
      <c r="D32" s="41">
        <f>'Paste cell here'!I32</f>
        <v/>
      </c>
      <c r="E32" s="1">
        <f>'Paste cell here'!H32</f>
        <v/>
      </c>
      <c r="F32" s="1">
        <f>Sintesi!$C$5</f>
        <v/>
      </c>
      <c r="G32" s="1">
        <f>'Paste cell here'!AA32</f>
        <v/>
      </c>
      <c r="H32" s="43">
        <f>'Paste cell here'!U32</f>
        <v/>
      </c>
      <c r="I32" s="43">
        <f>'Paste cell here'!AE32</f>
        <v/>
      </c>
      <c r="J32" s="44">
        <f>'Paste cell here'!U31+'Paste cell here'!AF32</f>
        <v/>
      </c>
      <c r="K32" s="45">
        <f>'Paste cell here'!AG32</f>
        <v/>
      </c>
      <c r="L32" s="41">
        <f>IF(J32&lt;K32,"YES","NO")</f>
        <v/>
      </c>
      <c r="M32" s="1">
        <f>(Sintesi!$C$29*F32*1000)</f>
        <v/>
      </c>
      <c r="N32" s="1">
        <f>Sintesi!$C$30*F32*1000</f>
        <v/>
      </c>
      <c r="O32" s="1">
        <f>M32-N32</f>
        <v/>
      </c>
      <c r="P32" s="1">
        <f>Sintesi!$C$33*G32*1000</f>
        <v/>
      </c>
      <c r="Q32" s="1">
        <f>Sintesi!$C$34*G32*1000</f>
        <v/>
      </c>
      <c r="R32" s="1">
        <f>P32-Q32</f>
        <v/>
      </c>
    </row>
    <row r="33">
      <c r="A33" s="41" t="n">
        <v>32</v>
      </c>
      <c r="B33" s="42">
        <f>DATE(Sintesi!$C$4-1,12,31)+A33</f>
        <v/>
      </c>
      <c r="C33" s="41">
        <f>'Paste cell here'!B33</f>
        <v/>
      </c>
      <c r="D33" s="41">
        <f>'Paste cell here'!I33</f>
        <v/>
      </c>
      <c r="E33" s="1">
        <f>'Paste cell here'!H33</f>
        <v/>
      </c>
      <c r="F33" s="1">
        <f>Sintesi!$C$5</f>
        <v/>
      </c>
      <c r="G33" s="1">
        <f>'Paste cell here'!AA33</f>
        <v/>
      </c>
      <c r="H33" s="43">
        <f>'Paste cell here'!U33</f>
        <v/>
      </c>
      <c r="I33" s="43">
        <f>'Paste cell here'!AE33</f>
        <v/>
      </c>
      <c r="J33" s="44">
        <f>'Paste cell here'!U32+'Paste cell here'!AF33</f>
        <v/>
      </c>
      <c r="K33" s="45">
        <f>'Paste cell here'!AG33</f>
        <v/>
      </c>
      <c r="L33" s="41">
        <f>IF(J33&lt;K33,"YES","NO")</f>
        <v/>
      </c>
      <c r="M33" s="1">
        <f>(Sintesi!$C$29*F33*1000)</f>
        <v/>
      </c>
      <c r="N33" s="1">
        <f>Sintesi!$C$30*F33*1000</f>
        <v/>
      </c>
      <c r="O33" s="1">
        <f>M33-N33</f>
        <v/>
      </c>
      <c r="P33" s="1">
        <f>Sintesi!$C$33*G33*1000</f>
        <v/>
      </c>
      <c r="Q33" s="1">
        <f>Sintesi!$C$34*G33*1000</f>
        <v/>
      </c>
      <c r="R33" s="1">
        <f>P33-Q33</f>
        <v/>
      </c>
    </row>
    <row r="34">
      <c r="A34" s="41" t="n">
        <v>33</v>
      </c>
      <c r="B34" s="42">
        <f>DATE(Sintesi!$C$4-1,12,31)+A34</f>
        <v/>
      </c>
      <c r="C34" s="41">
        <f>'Paste cell here'!B34</f>
        <v/>
      </c>
      <c r="D34" s="41">
        <f>'Paste cell here'!I34</f>
        <v/>
      </c>
      <c r="E34" s="1">
        <f>'Paste cell here'!H34</f>
        <v/>
      </c>
      <c r="F34" s="1">
        <f>Sintesi!$C$5</f>
        <v/>
      </c>
      <c r="G34" s="1">
        <f>'Paste cell here'!AA34</f>
        <v/>
      </c>
      <c r="H34" s="43">
        <f>'Paste cell here'!U34</f>
        <v/>
      </c>
      <c r="I34" s="43">
        <f>'Paste cell here'!AE34</f>
        <v/>
      </c>
      <c r="J34" s="44">
        <f>'Paste cell here'!U33+'Paste cell here'!AF34</f>
        <v/>
      </c>
      <c r="K34" s="45">
        <f>'Paste cell here'!AG34</f>
        <v/>
      </c>
      <c r="L34" s="41">
        <f>IF(J34&lt;K34,"YES","NO")</f>
        <v/>
      </c>
      <c r="M34" s="1">
        <f>(Sintesi!$C$29*F34*1000)</f>
        <v/>
      </c>
      <c r="N34" s="1">
        <f>Sintesi!$C$30*F34*1000</f>
        <v/>
      </c>
      <c r="O34" s="1">
        <f>M34-N34</f>
        <v/>
      </c>
      <c r="P34" s="1">
        <f>Sintesi!$C$33*G34*1000</f>
        <v/>
      </c>
      <c r="Q34" s="1">
        <f>Sintesi!$C$34*G34*1000</f>
        <v/>
      </c>
      <c r="R34" s="1">
        <f>P34-Q34</f>
        <v/>
      </c>
    </row>
    <row r="35">
      <c r="A35" s="41" t="n">
        <v>34</v>
      </c>
      <c r="B35" s="42">
        <f>DATE(Sintesi!$C$4-1,12,31)+A35</f>
        <v/>
      </c>
      <c r="C35" s="41">
        <f>'Paste cell here'!B35</f>
        <v/>
      </c>
      <c r="D35" s="41">
        <f>'Paste cell here'!I35</f>
        <v/>
      </c>
      <c r="E35" s="1">
        <f>'Paste cell here'!H35</f>
        <v/>
      </c>
      <c r="F35" s="1">
        <f>Sintesi!$C$5</f>
        <v/>
      </c>
      <c r="G35" s="1">
        <f>'Paste cell here'!AA35</f>
        <v/>
      </c>
      <c r="H35" s="43">
        <f>'Paste cell here'!U35</f>
        <v/>
      </c>
      <c r="I35" s="43">
        <f>'Paste cell here'!AE35</f>
        <v/>
      </c>
      <c r="J35" s="44">
        <f>'Paste cell here'!U34+'Paste cell here'!AF35</f>
        <v/>
      </c>
      <c r="K35" s="45">
        <f>'Paste cell here'!AG35</f>
        <v/>
      </c>
      <c r="L35" s="41">
        <f>IF(J35&lt;K35,"YES","NO")</f>
        <v/>
      </c>
      <c r="M35" s="1">
        <f>(Sintesi!$C$29*F35*1000)</f>
        <v/>
      </c>
      <c r="N35" s="1">
        <f>Sintesi!$C$30*F35*1000</f>
        <v/>
      </c>
      <c r="O35" s="1">
        <f>M35-N35</f>
        <v/>
      </c>
      <c r="P35" s="1">
        <f>Sintesi!$C$33*G35*1000</f>
        <v/>
      </c>
      <c r="Q35" s="1">
        <f>Sintesi!$C$34*G35*1000</f>
        <v/>
      </c>
      <c r="R35" s="1">
        <f>P35-Q35</f>
        <v/>
      </c>
    </row>
    <row r="36">
      <c r="A36" s="41" t="n">
        <v>35</v>
      </c>
      <c r="B36" s="42">
        <f>DATE(Sintesi!$C$4-1,12,31)+A36</f>
        <v/>
      </c>
      <c r="C36" s="41">
        <f>'Paste cell here'!B36</f>
        <v/>
      </c>
      <c r="D36" s="41">
        <f>'Paste cell here'!I36</f>
        <v/>
      </c>
      <c r="E36" s="1">
        <f>'Paste cell here'!H36</f>
        <v/>
      </c>
      <c r="F36" s="1">
        <f>Sintesi!$C$5</f>
        <v/>
      </c>
      <c r="G36" s="1">
        <f>'Paste cell here'!AA36</f>
        <v/>
      </c>
      <c r="H36" s="43">
        <f>'Paste cell here'!U36</f>
        <v/>
      </c>
      <c r="I36" s="43">
        <f>'Paste cell here'!AE36</f>
        <v/>
      </c>
      <c r="J36" s="44">
        <f>'Paste cell here'!U35+'Paste cell here'!AF36</f>
        <v/>
      </c>
      <c r="K36" s="45">
        <f>'Paste cell here'!AG36</f>
        <v/>
      </c>
      <c r="L36" s="41">
        <f>IF(J36&lt;K36,"YES","NO")</f>
        <v/>
      </c>
      <c r="M36" s="1">
        <f>(Sintesi!$C$29*F36*1000)</f>
        <v/>
      </c>
      <c r="N36" s="1">
        <f>Sintesi!$C$30*F36*1000</f>
        <v/>
      </c>
      <c r="O36" s="1">
        <f>M36-N36</f>
        <v/>
      </c>
      <c r="P36" s="1">
        <f>Sintesi!$C$33*G36*1000</f>
        <v/>
      </c>
      <c r="Q36" s="1">
        <f>Sintesi!$C$34*G36*1000</f>
        <v/>
      </c>
      <c r="R36" s="1">
        <f>P36-Q36</f>
        <v/>
      </c>
    </row>
    <row r="37">
      <c r="A37" s="41" t="n">
        <v>36</v>
      </c>
      <c r="B37" s="42">
        <f>DATE(Sintesi!$C$4-1,12,31)+A37</f>
        <v/>
      </c>
      <c r="C37" s="41">
        <f>'Paste cell here'!B37</f>
        <v/>
      </c>
      <c r="D37" s="41">
        <f>'Paste cell here'!I37</f>
        <v/>
      </c>
      <c r="E37" s="1">
        <f>'Paste cell here'!H37</f>
        <v/>
      </c>
      <c r="F37" s="1">
        <f>Sintesi!$C$5</f>
        <v/>
      </c>
      <c r="G37" s="1">
        <f>'Paste cell here'!AA37</f>
        <v/>
      </c>
      <c r="H37" s="43">
        <f>'Paste cell here'!U37</f>
        <v/>
      </c>
      <c r="I37" s="43">
        <f>'Paste cell here'!AE37</f>
        <v/>
      </c>
      <c r="J37" s="44">
        <f>'Paste cell here'!U36+'Paste cell here'!AF37</f>
        <v/>
      </c>
      <c r="K37" s="45">
        <f>'Paste cell here'!AG37</f>
        <v/>
      </c>
      <c r="L37" s="41">
        <f>IF(J37&lt;K37,"YES","NO")</f>
        <v/>
      </c>
      <c r="M37" s="1">
        <f>(Sintesi!$C$29*F37*1000)</f>
        <v/>
      </c>
      <c r="N37" s="1">
        <f>Sintesi!$C$30*F37*1000</f>
        <v/>
      </c>
      <c r="O37" s="1">
        <f>M37-N37</f>
        <v/>
      </c>
      <c r="P37" s="1">
        <f>Sintesi!$C$33*G37*1000</f>
        <v/>
      </c>
      <c r="Q37" s="1">
        <f>Sintesi!$C$34*G37*1000</f>
        <v/>
      </c>
      <c r="R37" s="1">
        <f>P37-Q37</f>
        <v/>
      </c>
    </row>
    <row r="38">
      <c r="A38" s="41" t="n">
        <v>37</v>
      </c>
      <c r="B38" s="42">
        <f>DATE(Sintesi!$C$4-1,12,31)+A38</f>
        <v/>
      </c>
      <c r="C38" s="41">
        <f>'Paste cell here'!B38</f>
        <v/>
      </c>
      <c r="D38" s="41">
        <f>'Paste cell here'!I38</f>
        <v/>
      </c>
      <c r="E38" s="1">
        <f>'Paste cell here'!H38</f>
        <v/>
      </c>
      <c r="F38" s="1">
        <f>Sintesi!$C$5</f>
        <v/>
      </c>
      <c r="G38" s="1">
        <f>'Paste cell here'!AA38</f>
        <v/>
      </c>
      <c r="H38" s="43">
        <f>'Paste cell here'!U38</f>
        <v/>
      </c>
      <c r="I38" s="43">
        <f>'Paste cell here'!AE38</f>
        <v/>
      </c>
      <c r="J38" s="44">
        <f>'Paste cell here'!U37+'Paste cell here'!AF38</f>
        <v/>
      </c>
      <c r="K38" s="45">
        <f>'Paste cell here'!AG38</f>
        <v/>
      </c>
      <c r="L38" s="41">
        <f>IF(J38&lt;K38,"YES","NO")</f>
        <v/>
      </c>
      <c r="M38" s="1">
        <f>(Sintesi!$C$29*F38*1000)</f>
        <v/>
      </c>
      <c r="N38" s="1">
        <f>Sintesi!$C$30*F38*1000</f>
        <v/>
      </c>
      <c r="O38" s="1">
        <f>M38-N38</f>
        <v/>
      </c>
      <c r="P38" s="1">
        <f>Sintesi!$C$33*G38*1000</f>
        <v/>
      </c>
      <c r="Q38" s="1">
        <f>Sintesi!$C$34*G38*1000</f>
        <v/>
      </c>
      <c r="R38" s="1">
        <f>P38-Q38</f>
        <v/>
      </c>
    </row>
    <row r="39">
      <c r="A39" s="41" t="n">
        <v>38</v>
      </c>
      <c r="B39" s="42">
        <f>DATE(Sintesi!$C$4-1,12,31)+A39</f>
        <v/>
      </c>
      <c r="C39" s="41">
        <f>'Paste cell here'!B39</f>
        <v/>
      </c>
      <c r="D39" s="41">
        <f>'Paste cell here'!I39</f>
        <v/>
      </c>
      <c r="E39" s="1">
        <f>'Paste cell here'!H39</f>
        <v/>
      </c>
      <c r="F39" s="1">
        <f>Sintesi!$C$5</f>
        <v/>
      </c>
      <c r="G39" s="1">
        <f>'Paste cell here'!AA39</f>
        <v/>
      </c>
      <c r="H39" s="43">
        <f>'Paste cell here'!U39</f>
        <v/>
      </c>
      <c r="I39" s="43">
        <f>'Paste cell here'!AE39</f>
        <v/>
      </c>
      <c r="J39" s="44">
        <f>'Paste cell here'!U38+'Paste cell here'!AF39</f>
        <v/>
      </c>
      <c r="K39" s="45">
        <f>'Paste cell here'!AG39</f>
        <v/>
      </c>
      <c r="L39" s="41">
        <f>IF(J39&lt;K39,"YES","NO")</f>
        <v/>
      </c>
      <c r="M39" s="1">
        <f>(Sintesi!$C$29*F39*1000)</f>
        <v/>
      </c>
      <c r="N39" s="1">
        <f>Sintesi!$C$30*F39*1000</f>
        <v/>
      </c>
      <c r="O39" s="1">
        <f>M39-N39</f>
        <v/>
      </c>
      <c r="P39" s="1">
        <f>Sintesi!$C$33*G39*1000</f>
        <v/>
      </c>
      <c r="Q39" s="1">
        <f>Sintesi!$C$34*G39*1000</f>
        <v/>
      </c>
      <c r="R39" s="1">
        <f>P39-Q39</f>
        <v/>
      </c>
    </row>
    <row r="40">
      <c r="A40" s="41" t="n">
        <v>39</v>
      </c>
      <c r="B40" s="42">
        <f>DATE(Sintesi!$C$4-1,12,31)+A40</f>
        <v/>
      </c>
      <c r="C40" s="41">
        <f>'Paste cell here'!B40</f>
        <v/>
      </c>
      <c r="D40" s="41">
        <f>'Paste cell here'!I40</f>
        <v/>
      </c>
      <c r="E40" s="1">
        <f>'Paste cell here'!H40</f>
        <v/>
      </c>
      <c r="F40" s="1">
        <f>Sintesi!$C$5</f>
        <v/>
      </c>
      <c r="G40" s="1">
        <f>'Paste cell here'!AA40</f>
        <v/>
      </c>
      <c r="H40" s="43">
        <f>'Paste cell here'!U40</f>
        <v/>
      </c>
      <c r="I40" s="43">
        <f>'Paste cell here'!AE40</f>
        <v/>
      </c>
      <c r="J40" s="44">
        <f>'Paste cell here'!U39+'Paste cell here'!AF40</f>
        <v/>
      </c>
      <c r="K40" s="45">
        <f>'Paste cell here'!AG40</f>
        <v/>
      </c>
      <c r="L40" s="41">
        <f>IF(J40&lt;K40,"YES","NO")</f>
        <v/>
      </c>
      <c r="M40" s="1">
        <f>(Sintesi!$C$29*F40*1000)</f>
        <v/>
      </c>
      <c r="N40" s="1">
        <f>Sintesi!$C$30*F40*1000</f>
        <v/>
      </c>
      <c r="O40" s="1">
        <f>M40-N40</f>
        <v/>
      </c>
      <c r="P40" s="1">
        <f>Sintesi!$C$33*G40*1000</f>
        <v/>
      </c>
      <c r="Q40" s="1">
        <f>Sintesi!$C$34*G40*1000</f>
        <v/>
      </c>
      <c r="R40" s="1">
        <f>P40-Q40</f>
        <v/>
      </c>
    </row>
    <row r="41">
      <c r="A41" s="41" t="n">
        <v>40</v>
      </c>
      <c r="B41" s="42">
        <f>DATE(Sintesi!$C$4-1,12,31)+A41</f>
        <v/>
      </c>
      <c r="C41" s="41">
        <f>'Paste cell here'!B41</f>
        <v/>
      </c>
      <c r="D41" s="41">
        <f>'Paste cell here'!I41</f>
        <v/>
      </c>
      <c r="E41" s="1">
        <f>'Paste cell here'!H41</f>
        <v/>
      </c>
      <c r="F41" s="1">
        <f>Sintesi!$C$5</f>
        <v/>
      </c>
      <c r="G41" s="1">
        <f>'Paste cell here'!AA41</f>
        <v/>
      </c>
      <c r="H41" s="43">
        <f>'Paste cell here'!U41</f>
        <v/>
      </c>
      <c r="I41" s="43">
        <f>'Paste cell here'!AE41</f>
        <v/>
      </c>
      <c r="J41" s="44">
        <f>'Paste cell here'!U40+'Paste cell here'!AF41</f>
        <v/>
      </c>
      <c r="K41" s="45">
        <f>'Paste cell here'!AG41</f>
        <v/>
      </c>
      <c r="L41" s="41">
        <f>IF(J41&lt;K41,"YES","NO")</f>
        <v/>
      </c>
      <c r="M41" s="1">
        <f>(Sintesi!$C$29*F41*1000)</f>
        <v/>
      </c>
      <c r="N41" s="1">
        <f>Sintesi!$C$30*F41*1000</f>
        <v/>
      </c>
      <c r="O41" s="1">
        <f>M41-N41</f>
        <v/>
      </c>
      <c r="P41" s="1">
        <f>Sintesi!$C$33*G41*1000</f>
        <v/>
      </c>
      <c r="Q41" s="1">
        <f>Sintesi!$C$34*G41*1000</f>
        <v/>
      </c>
      <c r="R41" s="1">
        <f>P41-Q41</f>
        <v/>
      </c>
    </row>
    <row r="42">
      <c r="A42" s="41" t="n">
        <v>41</v>
      </c>
      <c r="B42" s="42">
        <f>DATE(Sintesi!$C$4-1,12,31)+A42</f>
        <v/>
      </c>
      <c r="C42" s="41">
        <f>'Paste cell here'!B42</f>
        <v/>
      </c>
      <c r="D42" s="41">
        <f>'Paste cell here'!I42</f>
        <v/>
      </c>
      <c r="E42" s="1">
        <f>'Paste cell here'!H42</f>
        <v/>
      </c>
      <c r="F42" s="1">
        <f>Sintesi!$C$5</f>
        <v/>
      </c>
      <c r="G42" s="1">
        <f>'Paste cell here'!AA42</f>
        <v/>
      </c>
      <c r="H42" s="43">
        <f>'Paste cell here'!U42</f>
        <v/>
      </c>
      <c r="I42" s="43">
        <f>'Paste cell here'!AE42</f>
        <v/>
      </c>
      <c r="J42" s="44">
        <f>'Paste cell here'!U41+'Paste cell here'!AF42</f>
        <v/>
      </c>
      <c r="K42" s="45">
        <f>'Paste cell here'!AG42</f>
        <v/>
      </c>
      <c r="L42" s="41">
        <f>IF(J42&lt;K42,"YES","NO")</f>
        <v/>
      </c>
      <c r="M42" s="1">
        <f>(Sintesi!$C$29*F42*1000)</f>
        <v/>
      </c>
      <c r="N42" s="1">
        <f>Sintesi!$C$30*F42*1000</f>
        <v/>
      </c>
      <c r="O42" s="1">
        <f>M42-N42</f>
        <v/>
      </c>
      <c r="P42" s="1">
        <f>Sintesi!$C$33*G42*1000</f>
        <v/>
      </c>
      <c r="Q42" s="1">
        <f>Sintesi!$C$34*G42*1000</f>
        <v/>
      </c>
      <c r="R42" s="1">
        <f>P42-Q42</f>
        <v/>
      </c>
    </row>
    <row r="43">
      <c r="A43" s="41" t="n">
        <v>42</v>
      </c>
      <c r="B43" s="42">
        <f>DATE(Sintesi!$C$4-1,12,31)+A43</f>
        <v/>
      </c>
      <c r="C43" s="41">
        <f>'Paste cell here'!B43</f>
        <v/>
      </c>
      <c r="D43" s="41">
        <f>'Paste cell here'!I43</f>
        <v/>
      </c>
      <c r="E43" s="1">
        <f>'Paste cell here'!H43</f>
        <v/>
      </c>
      <c r="F43" s="1">
        <f>Sintesi!$C$5</f>
        <v/>
      </c>
      <c r="G43" s="1">
        <f>'Paste cell here'!AA43</f>
        <v/>
      </c>
      <c r="H43" s="43">
        <f>'Paste cell here'!U43</f>
        <v/>
      </c>
      <c r="I43" s="43">
        <f>'Paste cell here'!AE43</f>
        <v/>
      </c>
      <c r="J43" s="44">
        <f>'Paste cell here'!U42+'Paste cell here'!AF43</f>
        <v/>
      </c>
      <c r="K43" s="45">
        <f>'Paste cell here'!AG43</f>
        <v/>
      </c>
      <c r="L43" s="41">
        <f>IF(J43&lt;K43,"YES","NO")</f>
        <v/>
      </c>
      <c r="M43" s="1">
        <f>(Sintesi!$C$29*F43*1000)</f>
        <v/>
      </c>
      <c r="N43" s="1">
        <f>Sintesi!$C$30*F43*1000</f>
        <v/>
      </c>
      <c r="O43" s="1">
        <f>M43-N43</f>
        <v/>
      </c>
      <c r="P43" s="1">
        <f>Sintesi!$C$33*G43*1000</f>
        <v/>
      </c>
      <c r="Q43" s="1">
        <f>Sintesi!$C$34*G43*1000</f>
        <v/>
      </c>
      <c r="R43" s="1">
        <f>P43-Q43</f>
        <v/>
      </c>
    </row>
    <row r="44">
      <c r="A44" s="41" t="n">
        <v>43</v>
      </c>
      <c r="B44" s="42">
        <f>DATE(Sintesi!$C$4-1,12,31)+A44</f>
        <v/>
      </c>
      <c r="C44" s="41">
        <f>'Paste cell here'!B44</f>
        <v/>
      </c>
      <c r="D44" s="41">
        <f>'Paste cell here'!I44</f>
        <v/>
      </c>
      <c r="E44" s="1">
        <f>'Paste cell here'!H44</f>
        <v/>
      </c>
      <c r="F44" s="1">
        <f>Sintesi!$C$5</f>
        <v/>
      </c>
      <c r="G44" s="1">
        <f>'Paste cell here'!AA44</f>
        <v/>
      </c>
      <c r="H44" s="43">
        <f>'Paste cell here'!U44</f>
        <v/>
      </c>
      <c r="I44" s="43">
        <f>'Paste cell here'!AE44</f>
        <v/>
      </c>
      <c r="J44" s="44">
        <f>'Paste cell here'!U43+'Paste cell here'!AF44</f>
        <v/>
      </c>
      <c r="K44" s="45">
        <f>'Paste cell here'!AG44</f>
        <v/>
      </c>
      <c r="L44" s="41">
        <f>IF(J44&lt;K44,"YES","NO")</f>
        <v/>
      </c>
      <c r="M44" s="1">
        <f>(Sintesi!$C$29*F44*1000)</f>
        <v/>
      </c>
      <c r="N44" s="1">
        <f>Sintesi!$C$30*F44*1000</f>
        <v/>
      </c>
      <c r="O44" s="1">
        <f>M44-N44</f>
        <v/>
      </c>
      <c r="P44" s="1">
        <f>Sintesi!$C$33*G44*1000</f>
        <v/>
      </c>
      <c r="Q44" s="1">
        <f>Sintesi!$C$34*G44*1000</f>
        <v/>
      </c>
      <c r="R44" s="1">
        <f>P44-Q44</f>
        <v/>
      </c>
    </row>
    <row r="45">
      <c r="A45" s="41" t="n">
        <v>44</v>
      </c>
      <c r="B45" s="42">
        <f>DATE(Sintesi!$C$4-1,12,31)+A45</f>
        <v/>
      </c>
      <c r="C45" s="41">
        <f>'Paste cell here'!B45</f>
        <v/>
      </c>
      <c r="D45" s="41">
        <f>'Paste cell here'!I45</f>
        <v/>
      </c>
      <c r="E45" s="1">
        <f>'Paste cell here'!H45</f>
        <v/>
      </c>
      <c r="F45" s="1">
        <f>Sintesi!$C$5</f>
        <v/>
      </c>
      <c r="G45" s="1">
        <f>'Paste cell here'!AA45</f>
        <v/>
      </c>
      <c r="H45" s="43">
        <f>'Paste cell here'!U45</f>
        <v/>
      </c>
      <c r="I45" s="43">
        <f>'Paste cell here'!AE45</f>
        <v/>
      </c>
      <c r="J45" s="44">
        <f>'Paste cell here'!U44+'Paste cell here'!AF45</f>
        <v/>
      </c>
      <c r="K45" s="45">
        <f>'Paste cell here'!AG45</f>
        <v/>
      </c>
      <c r="L45" s="41">
        <f>IF(J45&lt;K45,"YES","NO")</f>
        <v/>
      </c>
      <c r="M45" s="1">
        <f>(Sintesi!$C$29*F45*1000)</f>
        <v/>
      </c>
      <c r="N45" s="1">
        <f>Sintesi!$C$30*F45*1000</f>
        <v/>
      </c>
      <c r="O45" s="1">
        <f>M45-N45</f>
        <v/>
      </c>
      <c r="P45" s="1">
        <f>Sintesi!$C$33*G45*1000</f>
        <v/>
      </c>
      <c r="Q45" s="1">
        <f>Sintesi!$C$34*G45*1000</f>
        <v/>
      </c>
      <c r="R45" s="1">
        <f>P45-Q45</f>
        <v/>
      </c>
    </row>
    <row r="46">
      <c r="A46" s="41" t="n">
        <v>45</v>
      </c>
      <c r="B46" s="42">
        <f>DATE(Sintesi!$C$4-1,12,31)+A46</f>
        <v/>
      </c>
      <c r="C46" s="41">
        <f>'Paste cell here'!B46</f>
        <v/>
      </c>
      <c r="D46" s="41">
        <f>'Paste cell here'!I46</f>
        <v/>
      </c>
      <c r="E46" s="1">
        <f>'Paste cell here'!H46</f>
        <v/>
      </c>
      <c r="F46" s="1">
        <f>Sintesi!$C$5</f>
        <v/>
      </c>
      <c r="G46" s="1">
        <f>'Paste cell here'!AA46</f>
        <v/>
      </c>
      <c r="H46" s="43">
        <f>'Paste cell here'!U46</f>
        <v/>
      </c>
      <c r="I46" s="43">
        <f>'Paste cell here'!AE46</f>
        <v/>
      </c>
      <c r="J46" s="44">
        <f>'Paste cell here'!U45+'Paste cell here'!AF46</f>
        <v/>
      </c>
      <c r="K46" s="45">
        <f>'Paste cell here'!AG46</f>
        <v/>
      </c>
      <c r="L46" s="41">
        <f>IF(J46&lt;K46,"YES","NO")</f>
        <v/>
      </c>
      <c r="M46" s="1">
        <f>(Sintesi!$C$29*F46*1000)</f>
        <v/>
      </c>
      <c r="N46" s="1">
        <f>Sintesi!$C$30*F46*1000</f>
        <v/>
      </c>
      <c r="O46" s="1">
        <f>M46-N46</f>
        <v/>
      </c>
      <c r="P46" s="1">
        <f>Sintesi!$C$33*G46*1000</f>
        <v/>
      </c>
      <c r="Q46" s="1">
        <f>Sintesi!$C$34*G46*1000</f>
        <v/>
      </c>
      <c r="R46" s="1">
        <f>P46-Q46</f>
        <v/>
      </c>
    </row>
    <row r="47">
      <c r="A47" s="41" t="n">
        <v>46</v>
      </c>
      <c r="B47" s="42">
        <f>DATE(Sintesi!$C$4-1,12,31)+A47</f>
        <v/>
      </c>
      <c r="C47" s="41">
        <f>'Paste cell here'!B47</f>
        <v/>
      </c>
      <c r="D47" s="41">
        <f>'Paste cell here'!I47</f>
        <v/>
      </c>
      <c r="E47" s="1">
        <f>'Paste cell here'!H47</f>
        <v/>
      </c>
      <c r="F47" s="1">
        <f>Sintesi!$C$5</f>
        <v/>
      </c>
      <c r="G47" s="1">
        <f>'Paste cell here'!AA47</f>
        <v/>
      </c>
      <c r="H47" s="43">
        <f>'Paste cell here'!U47</f>
        <v/>
      </c>
      <c r="I47" s="43">
        <f>'Paste cell here'!AE47</f>
        <v/>
      </c>
      <c r="J47" s="44">
        <f>'Paste cell here'!U46+'Paste cell here'!AF47</f>
        <v/>
      </c>
      <c r="K47" s="45">
        <f>'Paste cell here'!AG47</f>
        <v/>
      </c>
      <c r="L47" s="41">
        <f>IF(J47&lt;K47,"YES","NO")</f>
        <v/>
      </c>
      <c r="M47" s="1">
        <f>(Sintesi!$C$29*F47*1000)</f>
        <v/>
      </c>
      <c r="N47" s="1">
        <f>Sintesi!$C$30*F47*1000</f>
        <v/>
      </c>
      <c r="O47" s="1">
        <f>M47-N47</f>
        <v/>
      </c>
      <c r="P47" s="1">
        <f>Sintesi!$C$33*G47*1000</f>
        <v/>
      </c>
      <c r="Q47" s="1">
        <f>Sintesi!$C$34*G47*1000</f>
        <v/>
      </c>
      <c r="R47" s="1">
        <f>P47-Q47</f>
        <v/>
      </c>
    </row>
    <row r="48">
      <c r="A48" s="41" t="n">
        <v>47</v>
      </c>
      <c r="B48" s="42">
        <f>DATE(Sintesi!$C$4-1,12,31)+A48</f>
        <v/>
      </c>
      <c r="C48" s="41">
        <f>'Paste cell here'!B48</f>
        <v/>
      </c>
      <c r="D48" s="41">
        <f>'Paste cell here'!I48</f>
        <v/>
      </c>
      <c r="E48" s="1">
        <f>'Paste cell here'!H48</f>
        <v/>
      </c>
      <c r="F48" s="1">
        <f>Sintesi!$C$5</f>
        <v/>
      </c>
      <c r="G48" s="1">
        <f>'Paste cell here'!AA48</f>
        <v/>
      </c>
      <c r="H48" s="43">
        <f>'Paste cell here'!U48</f>
        <v/>
      </c>
      <c r="I48" s="43">
        <f>'Paste cell here'!AE48</f>
        <v/>
      </c>
      <c r="J48" s="44">
        <f>'Paste cell here'!U47+'Paste cell here'!AF48</f>
        <v/>
      </c>
      <c r="K48" s="45">
        <f>'Paste cell here'!AG48</f>
        <v/>
      </c>
      <c r="L48" s="41">
        <f>IF(J48&lt;K48,"YES","NO")</f>
        <v/>
      </c>
      <c r="M48" s="1">
        <f>(Sintesi!$C$29*F48*1000)</f>
        <v/>
      </c>
      <c r="N48" s="1">
        <f>Sintesi!$C$30*F48*1000</f>
        <v/>
      </c>
      <c r="O48" s="1">
        <f>M48-N48</f>
        <v/>
      </c>
      <c r="P48" s="1">
        <f>Sintesi!$C$33*G48*1000</f>
        <v/>
      </c>
      <c r="Q48" s="1">
        <f>Sintesi!$C$34*G48*1000</f>
        <v/>
      </c>
      <c r="R48" s="1">
        <f>P48-Q48</f>
        <v/>
      </c>
    </row>
    <row r="49">
      <c r="A49" s="41" t="n">
        <v>48</v>
      </c>
      <c r="B49" s="42">
        <f>DATE(Sintesi!$C$4-1,12,31)+A49</f>
        <v/>
      </c>
      <c r="C49" s="41">
        <f>'Paste cell here'!B49</f>
        <v/>
      </c>
      <c r="D49" s="41">
        <f>'Paste cell here'!I49</f>
        <v/>
      </c>
      <c r="E49" s="1">
        <f>'Paste cell here'!H49</f>
        <v/>
      </c>
      <c r="F49" s="1">
        <f>Sintesi!$C$5</f>
        <v/>
      </c>
      <c r="G49" s="1">
        <f>'Paste cell here'!AA49</f>
        <v/>
      </c>
      <c r="H49" s="43">
        <f>'Paste cell here'!U49</f>
        <v/>
      </c>
      <c r="I49" s="43">
        <f>'Paste cell here'!AE49</f>
        <v/>
      </c>
      <c r="J49" s="44">
        <f>'Paste cell here'!U48+'Paste cell here'!AF49</f>
        <v/>
      </c>
      <c r="K49" s="45">
        <f>'Paste cell here'!AG49</f>
        <v/>
      </c>
      <c r="L49" s="41">
        <f>IF(J49&lt;K49,"YES","NO")</f>
        <v/>
      </c>
      <c r="M49" s="1">
        <f>(Sintesi!$C$29*F49*1000)</f>
        <v/>
      </c>
      <c r="N49" s="1">
        <f>Sintesi!$C$30*F49*1000</f>
        <v/>
      </c>
      <c r="O49" s="1">
        <f>M49-N49</f>
        <v/>
      </c>
      <c r="P49" s="1">
        <f>Sintesi!$C$33*G49*1000</f>
        <v/>
      </c>
      <c r="Q49" s="1">
        <f>Sintesi!$C$34*G49*1000</f>
        <v/>
      </c>
      <c r="R49" s="1">
        <f>P49-Q49</f>
        <v/>
      </c>
    </row>
    <row r="50">
      <c r="A50" s="41" t="n">
        <v>49</v>
      </c>
      <c r="B50" s="42">
        <f>DATE(Sintesi!$C$4-1,12,31)+A50</f>
        <v/>
      </c>
      <c r="C50" s="41">
        <f>'Paste cell here'!B50</f>
        <v/>
      </c>
      <c r="D50" s="41">
        <f>'Paste cell here'!I50</f>
        <v/>
      </c>
      <c r="E50" s="1">
        <f>'Paste cell here'!H50</f>
        <v/>
      </c>
      <c r="F50" s="1">
        <f>Sintesi!$C$5</f>
        <v/>
      </c>
      <c r="G50" s="1">
        <f>'Paste cell here'!AA50</f>
        <v/>
      </c>
      <c r="H50" s="43">
        <f>'Paste cell here'!U50</f>
        <v/>
      </c>
      <c r="I50" s="43">
        <f>'Paste cell here'!AE50</f>
        <v/>
      </c>
      <c r="J50" s="44">
        <f>'Paste cell here'!U49+'Paste cell here'!AF50</f>
        <v/>
      </c>
      <c r="K50" s="45">
        <f>'Paste cell here'!AG50</f>
        <v/>
      </c>
      <c r="L50" s="41">
        <f>IF(J50&lt;K50,"YES","NO")</f>
        <v/>
      </c>
      <c r="M50" s="1">
        <f>(Sintesi!$C$29*F50*1000)</f>
        <v/>
      </c>
      <c r="N50" s="1">
        <f>Sintesi!$C$30*F50*1000</f>
        <v/>
      </c>
      <c r="O50" s="1">
        <f>M50-N50</f>
        <v/>
      </c>
      <c r="P50" s="1">
        <f>Sintesi!$C$33*G50*1000</f>
        <v/>
      </c>
      <c r="Q50" s="1">
        <f>Sintesi!$C$34*G50*1000</f>
        <v/>
      </c>
      <c r="R50" s="1">
        <f>P50-Q50</f>
        <v/>
      </c>
    </row>
    <row r="51">
      <c r="A51" s="41" t="n">
        <v>50</v>
      </c>
      <c r="B51" s="42">
        <f>DATE(Sintesi!$C$4-1,12,31)+A51</f>
        <v/>
      </c>
      <c r="C51" s="41">
        <f>'Paste cell here'!B51</f>
        <v/>
      </c>
      <c r="D51" s="41">
        <f>'Paste cell here'!I51</f>
        <v/>
      </c>
      <c r="E51" s="1">
        <f>'Paste cell here'!H51</f>
        <v/>
      </c>
      <c r="F51" s="1">
        <f>Sintesi!$C$5</f>
        <v/>
      </c>
      <c r="G51" s="1">
        <f>'Paste cell here'!AA51</f>
        <v/>
      </c>
      <c r="H51" s="43">
        <f>'Paste cell here'!U51</f>
        <v/>
      </c>
      <c r="I51" s="43">
        <f>'Paste cell here'!AE51</f>
        <v/>
      </c>
      <c r="J51" s="44">
        <f>'Paste cell here'!U50+'Paste cell here'!AF51</f>
        <v/>
      </c>
      <c r="K51" s="45">
        <f>'Paste cell here'!AG51</f>
        <v/>
      </c>
      <c r="L51" s="41">
        <f>IF(J51&lt;K51,"YES","NO")</f>
        <v/>
      </c>
      <c r="M51" s="1">
        <f>(Sintesi!$C$29*F51*1000)</f>
        <v/>
      </c>
      <c r="N51" s="1">
        <f>Sintesi!$C$30*F51*1000</f>
        <v/>
      </c>
      <c r="O51" s="1">
        <f>M51-N51</f>
        <v/>
      </c>
      <c r="P51" s="1">
        <f>Sintesi!$C$33*G51*1000</f>
        <v/>
      </c>
      <c r="Q51" s="1">
        <f>Sintesi!$C$34*G51*1000</f>
        <v/>
      </c>
      <c r="R51" s="1">
        <f>P51-Q51</f>
        <v/>
      </c>
    </row>
    <row r="52">
      <c r="A52" s="41" t="n">
        <v>51</v>
      </c>
      <c r="B52" s="42">
        <f>DATE(Sintesi!$C$4-1,12,31)+A52</f>
        <v/>
      </c>
      <c r="C52" s="41">
        <f>'Paste cell here'!B52</f>
        <v/>
      </c>
      <c r="D52" s="41">
        <f>'Paste cell here'!I52</f>
        <v/>
      </c>
      <c r="E52" s="1">
        <f>'Paste cell here'!H52</f>
        <v/>
      </c>
      <c r="F52" s="1">
        <f>Sintesi!$C$5</f>
        <v/>
      </c>
      <c r="G52" s="1">
        <f>'Paste cell here'!AA52</f>
        <v/>
      </c>
      <c r="H52" s="43">
        <f>'Paste cell here'!U52</f>
        <v/>
      </c>
      <c r="I52" s="43">
        <f>'Paste cell here'!AE52</f>
        <v/>
      </c>
      <c r="J52" s="44">
        <f>'Paste cell here'!U51+'Paste cell here'!AF52</f>
        <v/>
      </c>
      <c r="K52" s="45">
        <f>'Paste cell here'!AG52</f>
        <v/>
      </c>
      <c r="L52" s="41">
        <f>IF(J52&lt;K52,"YES","NO")</f>
        <v/>
      </c>
      <c r="M52" s="1">
        <f>(Sintesi!$C$29*F52*1000)</f>
        <v/>
      </c>
      <c r="N52" s="1">
        <f>Sintesi!$C$30*F52*1000</f>
        <v/>
      </c>
      <c r="O52" s="1">
        <f>M52-N52</f>
        <v/>
      </c>
      <c r="P52" s="1">
        <f>Sintesi!$C$33*G52*1000</f>
        <v/>
      </c>
      <c r="Q52" s="1">
        <f>Sintesi!$C$34*G52*1000</f>
        <v/>
      </c>
      <c r="R52" s="1">
        <f>P52-Q52</f>
        <v/>
      </c>
    </row>
    <row r="53">
      <c r="A53" s="41" t="n">
        <v>52</v>
      </c>
      <c r="B53" s="42">
        <f>DATE(Sintesi!$C$4-1,12,31)+A53</f>
        <v/>
      </c>
      <c r="C53" s="41">
        <f>'Paste cell here'!B53</f>
        <v/>
      </c>
      <c r="D53" s="41">
        <f>'Paste cell here'!I53</f>
        <v/>
      </c>
      <c r="E53" s="1">
        <f>'Paste cell here'!H53</f>
        <v/>
      </c>
      <c r="F53" s="1">
        <f>Sintesi!$C$5</f>
        <v/>
      </c>
      <c r="G53" s="1">
        <f>'Paste cell here'!AA53</f>
        <v/>
      </c>
      <c r="H53" s="43">
        <f>'Paste cell here'!U53</f>
        <v/>
      </c>
      <c r="I53" s="43">
        <f>'Paste cell here'!AE53</f>
        <v/>
      </c>
      <c r="J53" s="44">
        <f>'Paste cell here'!U52+'Paste cell here'!AF53</f>
        <v/>
      </c>
      <c r="K53" s="45">
        <f>'Paste cell here'!AG53</f>
        <v/>
      </c>
      <c r="L53" s="41">
        <f>IF(J53&lt;K53,"YES","NO")</f>
        <v/>
      </c>
      <c r="M53" s="1">
        <f>(Sintesi!$C$29*F53*1000)</f>
        <v/>
      </c>
      <c r="N53" s="1">
        <f>Sintesi!$C$30*F53*1000</f>
        <v/>
      </c>
      <c r="O53" s="1">
        <f>M53-N53</f>
        <v/>
      </c>
      <c r="P53" s="1">
        <f>Sintesi!$C$33*G53*1000</f>
        <v/>
      </c>
      <c r="Q53" s="1">
        <f>Sintesi!$C$34*G53*1000</f>
        <v/>
      </c>
      <c r="R53" s="1">
        <f>P53-Q53</f>
        <v/>
      </c>
    </row>
    <row r="54">
      <c r="A54" s="41" t="n">
        <v>53</v>
      </c>
      <c r="B54" s="42">
        <f>DATE(Sintesi!$C$4-1,12,31)+A54</f>
        <v/>
      </c>
      <c r="C54" s="41">
        <f>'Paste cell here'!B54</f>
        <v/>
      </c>
      <c r="D54" s="41">
        <f>'Paste cell here'!I54</f>
        <v/>
      </c>
      <c r="E54" s="1">
        <f>'Paste cell here'!H54</f>
        <v/>
      </c>
      <c r="F54" s="1">
        <f>Sintesi!$C$5</f>
        <v/>
      </c>
      <c r="G54" s="1">
        <f>'Paste cell here'!AA54</f>
        <v/>
      </c>
      <c r="H54" s="43">
        <f>'Paste cell here'!U54</f>
        <v/>
      </c>
      <c r="I54" s="43">
        <f>'Paste cell here'!AE54</f>
        <v/>
      </c>
      <c r="J54" s="44">
        <f>'Paste cell here'!U53+'Paste cell here'!AF54</f>
        <v/>
      </c>
      <c r="K54" s="45">
        <f>'Paste cell here'!AG54</f>
        <v/>
      </c>
      <c r="L54" s="41">
        <f>IF(J54&lt;K54,"YES","NO")</f>
        <v/>
      </c>
      <c r="M54" s="1">
        <f>(Sintesi!$C$29*F54*1000)</f>
        <v/>
      </c>
      <c r="N54" s="1">
        <f>Sintesi!$C$30*F54*1000</f>
        <v/>
      </c>
      <c r="O54" s="1">
        <f>M54-N54</f>
        <v/>
      </c>
      <c r="P54" s="1">
        <f>Sintesi!$C$33*G54*1000</f>
        <v/>
      </c>
      <c r="Q54" s="1">
        <f>Sintesi!$C$34*G54*1000</f>
        <v/>
      </c>
      <c r="R54" s="1">
        <f>P54-Q54</f>
        <v/>
      </c>
    </row>
    <row r="55">
      <c r="A55" s="41" t="n">
        <v>54</v>
      </c>
      <c r="B55" s="42">
        <f>DATE(Sintesi!$C$4-1,12,31)+A55</f>
        <v/>
      </c>
      <c r="C55" s="41">
        <f>'Paste cell here'!B55</f>
        <v/>
      </c>
      <c r="D55" s="41">
        <f>'Paste cell here'!I55</f>
        <v/>
      </c>
      <c r="E55" s="1">
        <f>'Paste cell here'!H55</f>
        <v/>
      </c>
      <c r="F55" s="1">
        <f>Sintesi!$C$5</f>
        <v/>
      </c>
      <c r="G55" s="1">
        <f>'Paste cell here'!AA55</f>
        <v/>
      </c>
      <c r="H55" s="43">
        <f>'Paste cell here'!U55</f>
        <v/>
      </c>
      <c r="I55" s="43">
        <f>'Paste cell here'!AE55</f>
        <v/>
      </c>
      <c r="J55" s="44">
        <f>'Paste cell here'!U54+'Paste cell here'!AF55</f>
        <v/>
      </c>
      <c r="K55" s="45">
        <f>'Paste cell here'!AG55</f>
        <v/>
      </c>
      <c r="L55" s="41">
        <f>IF(J55&lt;K55,"YES","NO")</f>
        <v/>
      </c>
      <c r="M55" s="1">
        <f>(Sintesi!$C$29*F55*1000)</f>
        <v/>
      </c>
      <c r="N55" s="1">
        <f>Sintesi!$C$30*F55*1000</f>
        <v/>
      </c>
      <c r="O55" s="1">
        <f>M55-N55</f>
        <v/>
      </c>
      <c r="P55" s="1">
        <f>Sintesi!$C$33*G55*1000</f>
        <v/>
      </c>
      <c r="Q55" s="1">
        <f>Sintesi!$C$34*G55*1000</f>
        <v/>
      </c>
      <c r="R55" s="1">
        <f>P55-Q55</f>
        <v/>
      </c>
    </row>
    <row r="56">
      <c r="A56" s="41" t="n">
        <v>55</v>
      </c>
      <c r="B56" s="42">
        <f>DATE(Sintesi!$C$4-1,12,31)+A56</f>
        <v/>
      </c>
      <c r="C56" s="41">
        <f>'Paste cell here'!B56</f>
        <v/>
      </c>
      <c r="D56" s="41">
        <f>'Paste cell here'!I56</f>
        <v/>
      </c>
      <c r="E56" s="1">
        <f>'Paste cell here'!H56</f>
        <v/>
      </c>
      <c r="F56" s="1">
        <f>Sintesi!$C$5</f>
        <v/>
      </c>
      <c r="G56" s="1">
        <f>'Paste cell here'!AA56</f>
        <v/>
      </c>
      <c r="H56" s="43">
        <f>'Paste cell here'!U56</f>
        <v/>
      </c>
      <c r="I56" s="43">
        <f>'Paste cell here'!AE56</f>
        <v/>
      </c>
      <c r="J56" s="44">
        <f>'Paste cell here'!U55+'Paste cell here'!AF56</f>
        <v/>
      </c>
      <c r="K56" s="45">
        <f>'Paste cell here'!AG56</f>
        <v/>
      </c>
      <c r="L56" s="41">
        <f>IF(J56&lt;K56,"YES","NO")</f>
        <v/>
      </c>
      <c r="M56" s="1">
        <f>(Sintesi!$C$29*F56*1000)</f>
        <v/>
      </c>
      <c r="N56" s="1">
        <f>Sintesi!$C$30*F56*1000</f>
        <v/>
      </c>
      <c r="O56" s="1">
        <f>M56-N56</f>
        <v/>
      </c>
      <c r="P56" s="1">
        <f>Sintesi!$C$33*G56*1000</f>
        <v/>
      </c>
      <c r="Q56" s="1">
        <f>Sintesi!$C$34*G56*1000</f>
        <v/>
      </c>
      <c r="R56" s="1">
        <f>P56-Q56</f>
        <v/>
      </c>
    </row>
    <row r="57">
      <c r="A57" s="41" t="n">
        <v>56</v>
      </c>
      <c r="B57" s="42">
        <f>DATE(Sintesi!$C$4-1,12,31)+A57</f>
        <v/>
      </c>
      <c r="C57" s="41">
        <f>'Paste cell here'!B57</f>
        <v/>
      </c>
      <c r="D57" s="41">
        <f>'Paste cell here'!I57</f>
        <v/>
      </c>
      <c r="E57" s="1">
        <f>'Paste cell here'!H57</f>
        <v/>
      </c>
      <c r="F57" s="1">
        <f>Sintesi!$C$5</f>
        <v/>
      </c>
      <c r="G57" s="1">
        <f>'Paste cell here'!AA57</f>
        <v/>
      </c>
      <c r="H57" s="43">
        <f>'Paste cell here'!U57</f>
        <v/>
      </c>
      <c r="I57" s="43">
        <f>'Paste cell here'!AE57</f>
        <v/>
      </c>
      <c r="J57" s="44">
        <f>'Paste cell here'!U56+'Paste cell here'!AF57</f>
        <v/>
      </c>
      <c r="K57" s="45">
        <f>'Paste cell here'!AG57</f>
        <v/>
      </c>
      <c r="L57" s="41">
        <f>IF(J57&lt;K57,"YES","NO")</f>
        <v/>
      </c>
      <c r="M57" s="1">
        <f>(Sintesi!$C$29*F57*1000)</f>
        <v/>
      </c>
      <c r="N57" s="1">
        <f>Sintesi!$C$30*F57*1000</f>
        <v/>
      </c>
      <c r="O57" s="1">
        <f>M57-N57</f>
        <v/>
      </c>
      <c r="P57" s="1">
        <f>Sintesi!$C$33*G57*1000</f>
        <v/>
      </c>
      <c r="Q57" s="1">
        <f>Sintesi!$C$34*G57*1000</f>
        <v/>
      </c>
      <c r="R57" s="1">
        <f>P57-Q57</f>
        <v/>
      </c>
    </row>
    <row r="58">
      <c r="A58" s="41" t="n">
        <v>57</v>
      </c>
      <c r="B58" s="42">
        <f>DATE(Sintesi!$C$4-1,12,31)+A58</f>
        <v/>
      </c>
      <c r="C58" s="41">
        <f>'Paste cell here'!B58</f>
        <v/>
      </c>
      <c r="D58" s="41">
        <f>'Paste cell here'!I58</f>
        <v/>
      </c>
      <c r="E58" s="1">
        <f>'Paste cell here'!H58</f>
        <v/>
      </c>
      <c r="F58" s="1">
        <f>Sintesi!$C$5</f>
        <v/>
      </c>
      <c r="G58" s="1">
        <f>'Paste cell here'!AA58</f>
        <v/>
      </c>
      <c r="H58" s="43">
        <f>'Paste cell here'!U58</f>
        <v/>
      </c>
      <c r="I58" s="43">
        <f>'Paste cell here'!AE58</f>
        <v/>
      </c>
      <c r="J58" s="44">
        <f>'Paste cell here'!U57+'Paste cell here'!AF58</f>
        <v/>
      </c>
      <c r="K58" s="45">
        <f>'Paste cell here'!AG58</f>
        <v/>
      </c>
      <c r="L58" s="41">
        <f>IF(J58&lt;K58,"YES","NO")</f>
        <v/>
      </c>
      <c r="M58" s="1">
        <f>(Sintesi!$C$29*F58*1000)</f>
        <v/>
      </c>
      <c r="N58" s="1">
        <f>Sintesi!$C$30*F58*1000</f>
        <v/>
      </c>
      <c r="O58" s="1">
        <f>M58-N58</f>
        <v/>
      </c>
      <c r="P58" s="1">
        <f>Sintesi!$C$33*G58*1000</f>
        <v/>
      </c>
      <c r="Q58" s="1">
        <f>Sintesi!$C$34*G58*1000</f>
        <v/>
      </c>
      <c r="R58" s="1">
        <f>P58-Q58</f>
        <v/>
      </c>
    </row>
    <row r="59">
      <c r="A59" s="41" t="n">
        <v>58</v>
      </c>
      <c r="B59" s="42">
        <f>DATE(Sintesi!$C$4-1,12,31)+A59</f>
        <v/>
      </c>
      <c r="C59" s="41">
        <f>'Paste cell here'!B59</f>
        <v/>
      </c>
      <c r="D59" s="41">
        <f>'Paste cell here'!I59</f>
        <v/>
      </c>
      <c r="E59" s="1">
        <f>'Paste cell here'!H59</f>
        <v/>
      </c>
      <c r="F59" s="1">
        <f>Sintesi!$C$5</f>
        <v/>
      </c>
      <c r="G59" s="1">
        <f>'Paste cell here'!AA59</f>
        <v/>
      </c>
      <c r="H59" s="43">
        <f>'Paste cell here'!U59</f>
        <v/>
      </c>
      <c r="I59" s="43">
        <f>'Paste cell here'!AE59</f>
        <v/>
      </c>
      <c r="J59" s="44">
        <f>'Paste cell here'!U58+'Paste cell here'!AF59</f>
        <v/>
      </c>
      <c r="K59" s="45">
        <f>'Paste cell here'!AG59</f>
        <v/>
      </c>
      <c r="L59" s="41">
        <f>IF(J59&lt;K59,"YES","NO")</f>
        <v/>
      </c>
      <c r="M59" s="1">
        <f>(Sintesi!$C$29*F59*1000)</f>
        <v/>
      </c>
      <c r="N59" s="1">
        <f>Sintesi!$C$30*F59*1000</f>
        <v/>
      </c>
      <c r="O59" s="1">
        <f>M59-N59</f>
        <v/>
      </c>
      <c r="P59" s="1">
        <f>Sintesi!$C$33*G59*1000</f>
        <v/>
      </c>
      <c r="Q59" s="1">
        <f>Sintesi!$C$34*G59*1000</f>
        <v/>
      </c>
      <c r="R59" s="1">
        <f>P59-Q59</f>
        <v/>
      </c>
    </row>
    <row r="60">
      <c r="A60" s="41" t="n">
        <v>59</v>
      </c>
      <c r="B60" s="42">
        <f>DATE(Sintesi!$C$4-1,12,31)+A60</f>
        <v/>
      </c>
      <c r="C60" s="41">
        <f>'Paste cell here'!B60</f>
        <v/>
      </c>
      <c r="D60" s="41">
        <f>'Paste cell here'!I60</f>
        <v/>
      </c>
      <c r="E60" s="1">
        <f>'Paste cell here'!H60</f>
        <v/>
      </c>
      <c r="F60" s="1">
        <f>Sintesi!$C$5</f>
        <v/>
      </c>
      <c r="G60" s="1">
        <f>'Paste cell here'!AA60</f>
        <v/>
      </c>
      <c r="H60" s="43">
        <f>'Paste cell here'!U60</f>
        <v/>
      </c>
      <c r="I60" s="43">
        <f>'Paste cell here'!AE60</f>
        <v/>
      </c>
      <c r="J60" s="44">
        <f>'Paste cell here'!U59+'Paste cell here'!AF60</f>
        <v/>
      </c>
      <c r="K60" s="45">
        <f>'Paste cell here'!AG60</f>
        <v/>
      </c>
      <c r="L60" s="41">
        <f>IF(J60&lt;K60,"YES","NO")</f>
        <v/>
      </c>
      <c r="M60" s="1">
        <f>(Sintesi!$C$29*F60*1000)</f>
        <v/>
      </c>
      <c r="N60" s="1">
        <f>Sintesi!$C$30*F60*1000</f>
        <v/>
      </c>
      <c r="O60" s="1">
        <f>M60-N60</f>
        <v/>
      </c>
      <c r="P60" s="1">
        <f>Sintesi!$C$33*G60*1000</f>
        <v/>
      </c>
      <c r="Q60" s="1">
        <f>Sintesi!$C$34*G60*1000</f>
        <v/>
      </c>
      <c r="R60" s="1">
        <f>P60-Q60</f>
        <v/>
      </c>
    </row>
    <row r="61">
      <c r="A61" s="41" t="n">
        <v>60</v>
      </c>
      <c r="B61" s="42">
        <f>DATE(Sintesi!$C$4-1,12,31)+A61</f>
        <v/>
      </c>
      <c r="C61" s="41">
        <f>'Paste cell here'!B61</f>
        <v/>
      </c>
      <c r="D61" s="41">
        <f>'Paste cell here'!I61</f>
        <v/>
      </c>
      <c r="E61" s="1">
        <f>'Paste cell here'!H61</f>
        <v/>
      </c>
      <c r="F61" s="1">
        <f>Sintesi!$C$5</f>
        <v/>
      </c>
      <c r="G61" s="1">
        <f>'Paste cell here'!AA61</f>
        <v/>
      </c>
      <c r="H61" s="43">
        <f>'Paste cell here'!U61</f>
        <v/>
      </c>
      <c r="I61" s="43">
        <f>'Paste cell here'!AE61</f>
        <v/>
      </c>
      <c r="J61" s="44">
        <f>'Paste cell here'!U60+'Paste cell here'!AF61</f>
        <v/>
      </c>
      <c r="K61" s="45">
        <f>'Paste cell here'!AG61</f>
        <v/>
      </c>
      <c r="L61" s="41">
        <f>IF(J61&lt;K61,"YES","NO")</f>
        <v/>
      </c>
      <c r="M61" s="1">
        <f>(Sintesi!$C$29*F61*1000)</f>
        <v/>
      </c>
      <c r="N61" s="1">
        <f>Sintesi!$C$30*F61*1000</f>
        <v/>
      </c>
      <c r="O61" s="1">
        <f>M61-N61</f>
        <v/>
      </c>
      <c r="P61" s="1">
        <f>Sintesi!$C$33*G61*1000</f>
        <v/>
      </c>
      <c r="Q61" s="1">
        <f>Sintesi!$C$34*G61*1000</f>
        <v/>
      </c>
      <c r="R61" s="1">
        <f>P61-Q61</f>
        <v/>
      </c>
    </row>
    <row r="62">
      <c r="A62" s="41" t="n">
        <v>61</v>
      </c>
      <c r="B62" s="42">
        <f>DATE(Sintesi!$C$4-1,12,31)+A62</f>
        <v/>
      </c>
      <c r="C62" s="41">
        <f>'Paste cell here'!B62</f>
        <v/>
      </c>
      <c r="D62" s="41">
        <f>'Paste cell here'!I62</f>
        <v/>
      </c>
      <c r="E62" s="1">
        <f>'Paste cell here'!H62</f>
        <v/>
      </c>
      <c r="F62" s="1">
        <f>Sintesi!$C$5</f>
        <v/>
      </c>
      <c r="G62" s="1">
        <f>'Paste cell here'!AA62</f>
        <v/>
      </c>
      <c r="H62" s="43">
        <f>'Paste cell here'!U62</f>
        <v/>
      </c>
      <c r="I62" s="43">
        <f>'Paste cell here'!AE62</f>
        <v/>
      </c>
      <c r="J62" s="44">
        <f>'Paste cell here'!U61+'Paste cell here'!AF62</f>
        <v/>
      </c>
      <c r="K62" s="45">
        <f>'Paste cell here'!AG62</f>
        <v/>
      </c>
      <c r="L62" s="41">
        <f>IF(J62&lt;K62,"YES","NO")</f>
        <v/>
      </c>
      <c r="M62" s="1">
        <f>(Sintesi!$C$29*F62*1000)</f>
        <v/>
      </c>
      <c r="N62" s="1">
        <f>Sintesi!$C$30*F62*1000</f>
        <v/>
      </c>
      <c r="O62" s="1">
        <f>M62-N62</f>
        <v/>
      </c>
      <c r="P62" s="1">
        <f>Sintesi!$C$33*G62*1000</f>
        <v/>
      </c>
      <c r="Q62" s="1">
        <f>Sintesi!$C$34*G62*1000</f>
        <v/>
      </c>
      <c r="R62" s="1">
        <f>P62-Q62</f>
        <v/>
      </c>
    </row>
    <row r="63">
      <c r="A63" s="41" t="n">
        <v>62</v>
      </c>
      <c r="B63" s="42">
        <f>DATE(Sintesi!$C$4-1,12,31)+A63</f>
        <v/>
      </c>
      <c r="C63" s="41">
        <f>'Paste cell here'!B63</f>
        <v/>
      </c>
      <c r="D63" s="41">
        <f>'Paste cell here'!I63</f>
        <v/>
      </c>
      <c r="E63" s="1">
        <f>'Paste cell here'!H63</f>
        <v/>
      </c>
      <c r="F63" s="1">
        <f>Sintesi!$C$5</f>
        <v/>
      </c>
      <c r="G63" s="1">
        <f>'Paste cell here'!AA63</f>
        <v/>
      </c>
      <c r="H63" s="43">
        <f>'Paste cell here'!U63</f>
        <v/>
      </c>
      <c r="I63" s="43">
        <f>'Paste cell here'!AE63</f>
        <v/>
      </c>
      <c r="J63" s="44">
        <f>'Paste cell here'!U62+'Paste cell here'!AF63</f>
        <v/>
      </c>
      <c r="K63" s="45">
        <f>'Paste cell here'!AG63</f>
        <v/>
      </c>
      <c r="L63" s="41">
        <f>IF(J63&lt;K63,"YES","NO")</f>
        <v/>
      </c>
      <c r="M63" s="1">
        <f>(Sintesi!$C$29*F63*1000)</f>
        <v/>
      </c>
      <c r="N63" s="1">
        <f>Sintesi!$C$30*F63*1000</f>
        <v/>
      </c>
      <c r="O63" s="1">
        <f>M63-N63</f>
        <v/>
      </c>
      <c r="P63" s="1">
        <f>Sintesi!$C$33*G63*1000</f>
        <v/>
      </c>
      <c r="Q63" s="1">
        <f>Sintesi!$C$34*G63*1000</f>
        <v/>
      </c>
      <c r="R63" s="1">
        <f>P63-Q63</f>
        <v/>
      </c>
    </row>
    <row r="64">
      <c r="A64" s="41" t="n">
        <v>63</v>
      </c>
      <c r="B64" s="42">
        <f>DATE(Sintesi!$C$4-1,12,31)+A64</f>
        <v/>
      </c>
      <c r="C64" s="41">
        <f>'Paste cell here'!B64</f>
        <v/>
      </c>
      <c r="D64" s="41">
        <f>'Paste cell here'!I64</f>
        <v/>
      </c>
      <c r="E64" s="1">
        <f>'Paste cell here'!H64</f>
        <v/>
      </c>
      <c r="F64" s="1">
        <f>Sintesi!$C$5</f>
        <v/>
      </c>
      <c r="G64" s="1">
        <f>'Paste cell here'!AA64</f>
        <v/>
      </c>
      <c r="H64" s="43">
        <f>'Paste cell here'!U64</f>
        <v/>
      </c>
      <c r="I64" s="43">
        <f>'Paste cell here'!AE64</f>
        <v/>
      </c>
      <c r="J64" s="44">
        <f>'Paste cell here'!U63+'Paste cell here'!AF64</f>
        <v/>
      </c>
      <c r="K64" s="45">
        <f>'Paste cell here'!AG64</f>
        <v/>
      </c>
      <c r="L64" s="41">
        <f>IF(J64&lt;K64,"YES","NO")</f>
        <v/>
      </c>
      <c r="M64" s="1">
        <f>(Sintesi!$C$29*F64*1000)</f>
        <v/>
      </c>
      <c r="N64" s="1">
        <f>Sintesi!$C$30*F64*1000</f>
        <v/>
      </c>
      <c r="O64" s="1">
        <f>M64-N64</f>
        <v/>
      </c>
      <c r="P64" s="1">
        <f>Sintesi!$C$33*G64*1000</f>
        <v/>
      </c>
      <c r="Q64" s="1">
        <f>Sintesi!$C$34*G64*1000</f>
        <v/>
      </c>
      <c r="R64" s="1">
        <f>P64-Q64</f>
        <v/>
      </c>
    </row>
    <row r="65">
      <c r="A65" s="41" t="n">
        <v>64</v>
      </c>
      <c r="B65" s="42">
        <f>DATE(Sintesi!$C$4-1,12,31)+A65</f>
        <v/>
      </c>
      <c r="C65" s="41">
        <f>'Paste cell here'!B65</f>
        <v/>
      </c>
      <c r="D65" s="41">
        <f>'Paste cell here'!I65</f>
        <v/>
      </c>
      <c r="E65" s="1">
        <f>'Paste cell here'!H65</f>
        <v/>
      </c>
      <c r="F65" s="1">
        <f>Sintesi!$C$5</f>
        <v/>
      </c>
      <c r="G65" s="1">
        <f>'Paste cell here'!AA65</f>
        <v/>
      </c>
      <c r="H65" s="43">
        <f>'Paste cell here'!U65</f>
        <v/>
      </c>
      <c r="I65" s="43">
        <f>'Paste cell here'!AE65</f>
        <v/>
      </c>
      <c r="J65" s="44">
        <f>'Paste cell here'!U64+'Paste cell here'!AF65</f>
        <v/>
      </c>
      <c r="K65" s="45">
        <f>'Paste cell here'!AG65</f>
        <v/>
      </c>
      <c r="L65" s="41">
        <f>IF(J65&lt;K65,"YES","NO")</f>
        <v/>
      </c>
      <c r="M65" s="1">
        <f>(Sintesi!$C$29*F65*1000)</f>
        <v/>
      </c>
      <c r="N65" s="1">
        <f>Sintesi!$C$30*F65*1000</f>
        <v/>
      </c>
      <c r="O65" s="1">
        <f>M65-N65</f>
        <v/>
      </c>
      <c r="P65" s="1">
        <f>Sintesi!$C$33*G65*1000</f>
        <v/>
      </c>
      <c r="Q65" s="1">
        <f>Sintesi!$C$34*G65*1000</f>
        <v/>
      </c>
      <c r="R65" s="1">
        <f>P65-Q65</f>
        <v/>
      </c>
    </row>
    <row r="66">
      <c r="A66" s="41" t="n">
        <v>65</v>
      </c>
      <c r="B66" s="42">
        <f>DATE(Sintesi!$C$4-1,12,31)+A66</f>
        <v/>
      </c>
      <c r="C66" s="41">
        <f>'Paste cell here'!B66</f>
        <v/>
      </c>
      <c r="D66" s="41">
        <f>'Paste cell here'!I66</f>
        <v/>
      </c>
      <c r="E66" s="1">
        <f>'Paste cell here'!H66</f>
        <v/>
      </c>
      <c r="F66" s="1">
        <f>Sintesi!$C$5</f>
        <v/>
      </c>
      <c r="G66" s="1">
        <f>'Paste cell here'!AA66</f>
        <v/>
      </c>
      <c r="H66" s="43">
        <f>'Paste cell here'!U66</f>
        <v/>
      </c>
      <c r="I66" s="43">
        <f>'Paste cell here'!AE66</f>
        <v/>
      </c>
      <c r="J66" s="44">
        <f>'Paste cell here'!U65+'Paste cell here'!AF66</f>
        <v/>
      </c>
      <c r="K66" s="45">
        <f>'Paste cell here'!AG66</f>
        <v/>
      </c>
      <c r="L66" s="41">
        <f>IF(J66&lt;K66,"YES","NO")</f>
        <v/>
      </c>
      <c r="M66" s="1">
        <f>(Sintesi!$C$29*F66*1000)</f>
        <v/>
      </c>
      <c r="N66" s="1">
        <f>Sintesi!$C$30*F66*1000</f>
        <v/>
      </c>
      <c r="O66" s="1">
        <f>M66-N66</f>
        <v/>
      </c>
      <c r="P66" s="1">
        <f>Sintesi!$C$33*G66*1000</f>
        <v/>
      </c>
      <c r="Q66" s="1">
        <f>Sintesi!$C$34*G66*1000</f>
        <v/>
      </c>
      <c r="R66" s="1">
        <f>P66-Q66</f>
        <v/>
      </c>
    </row>
    <row r="67">
      <c r="A67" s="41" t="n">
        <v>66</v>
      </c>
      <c r="B67" s="42">
        <f>DATE(Sintesi!$C$4-1,12,31)+A67</f>
        <v/>
      </c>
      <c r="C67" s="41">
        <f>'Paste cell here'!B67</f>
        <v/>
      </c>
      <c r="D67" s="41">
        <f>'Paste cell here'!I67</f>
        <v/>
      </c>
      <c r="E67" s="1">
        <f>'Paste cell here'!H67</f>
        <v/>
      </c>
      <c r="F67" s="1">
        <f>Sintesi!$C$5</f>
        <v/>
      </c>
      <c r="G67" s="1">
        <f>'Paste cell here'!AA67</f>
        <v/>
      </c>
      <c r="H67" s="43">
        <f>'Paste cell here'!U67</f>
        <v/>
      </c>
      <c r="I67" s="43">
        <f>'Paste cell here'!AE67</f>
        <v/>
      </c>
      <c r="J67" s="44">
        <f>'Paste cell here'!U66+'Paste cell here'!AF67</f>
        <v/>
      </c>
      <c r="K67" s="45">
        <f>'Paste cell here'!AG67</f>
        <v/>
      </c>
      <c r="L67" s="41">
        <f>IF(J67&lt;K67,"YES","NO")</f>
        <v/>
      </c>
      <c r="M67" s="1">
        <f>(Sintesi!$C$29*F67*1000)</f>
        <v/>
      </c>
      <c r="N67" s="1">
        <f>Sintesi!$C$30*F67*1000</f>
        <v/>
      </c>
      <c r="O67" s="1">
        <f>M67-N67</f>
        <v/>
      </c>
      <c r="P67" s="1">
        <f>Sintesi!$C$33*G67*1000</f>
        <v/>
      </c>
      <c r="Q67" s="1">
        <f>Sintesi!$C$34*G67*1000</f>
        <v/>
      </c>
      <c r="R67" s="1">
        <f>P67-Q67</f>
        <v/>
      </c>
    </row>
    <row r="68">
      <c r="A68" s="41" t="n">
        <v>67</v>
      </c>
      <c r="B68" s="42">
        <f>DATE(Sintesi!$C$4-1,12,31)+A68</f>
        <v/>
      </c>
      <c r="C68" s="41">
        <f>'Paste cell here'!B68</f>
        <v/>
      </c>
      <c r="D68" s="41">
        <f>'Paste cell here'!I68</f>
        <v/>
      </c>
      <c r="E68" s="1">
        <f>'Paste cell here'!H68</f>
        <v/>
      </c>
      <c r="F68" s="1">
        <f>Sintesi!$C$5</f>
        <v/>
      </c>
      <c r="G68" s="1">
        <f>'Paste cell here'!AA68</f>
        <v/>
      </c>
      <c r="H68" s="43">
        <f>'Paste cell here'!U68</f>
        <v/>
      </c>
      <c r="I68" s="43">
        <f>'Paste cell here'!AE68</f>
        <v/>
      </c>
      <c r="J68" s="44">
        <f>'Paste cell here'!U67+'Paste cell here'!AF68</f>
        <v/>
      </c>
      <c r="K68" s="45">
        <f>'Paste cell here'!AG68</f>
        <v/>
      </c>
      <c r="L68" s="41">
        <f>IF(J68&lt;K68,"YES","NO")</f>
        <v/>
      </c>
      <c r="M68" s="1">
        <f>(Sintesi!$C$29*F68*1000)</f>
        <v/>
      </c>
      <c r="N68" s="1">
        <f>Sintesi!$C$30*F68*1000</f>
        <v/>
      </c>
      <c r="O68" s="1">
        <f>M68-N68</f>
        <v/>
      </c>
      <c r="P68" s="1">
        <f>Sintesi!$C$33*G68*1000</f>
        <v/>
      </c>
      <c r="Q68" s="1">
        <f>Sintesi!$C$34*G68*1000</f>
        <v/>
      </c>
      <c r="R68" s="1">
        <f>P68-Q68</f>
        <v/>
      </c>
    </row>
    <row r="69">
      <c r="A69" s="41" t="n">
        <v>68</v>
      </c>
      <c r="B69" s="42">
        <f>DATE(Sintesi!$C$4-1,12,31)+A69</f>
        <v/>
      </c>
      <c r="C69" s="41">
        <f>'Paste cell here'!B69</f>
        <v/>
      </c>
      <c r="D69" s="41">
        <f>'Paste cell here'!I69</f>
        <v/>
      </c>
      <c r="E69" s="1">
        <f>'Paste cell here'!H69</f>
        <v/>
      </c>
      <c r="F69" s="1">
        <f>Sintesi!$C$5</f>
        <v/>
      </c>
      <c r="G69" s="1">
        <f>'Paste cell here'!AA69</f>
        <v/>
      </c>
      <c r="H69" s="43">
        <f>'Paste cell here'!U69</f>
        <v/>
      </c>
      <c r="I69" s="43">
        <f>'Paste cell here'!AE69</f>
        <v/>
      </c>
      <c r="J69" s="44">
        <f>'Paste cell here'!U68+'Paste cell here'!AF69</f>
        <v/>
      </c>
      <c r="K69" s="45">
        <f>'Paste cell here'!AG69</f>
        <v/>
      </c>
      <c r="L69" s="41">
        <f>IF(J69&lt;K69,"YES","NO")</f>
        <v/>
      </c>
      <c r="M69" s="1">
        <f>(Sintesi!$C$29*F69*1000)</f>
        <v/>
      </c>
      <c r="N69" s="1">
        <f>Sintesi!$C$30*F69*1000</f>
        <v/>
      </c>
      <c r="O69" s="1">
        <f>M69-N69</f>
        <v/>
      </c>
      <c r="P69" s="1">
        <f>Sintesi!$C$33*G69*1000</f>
        <v/>
      </c>
      <c r="Q69" s="1">
        <f>Sintesi!$C$34*G69*1000</f>
        <v/>
      </c>
      <c r="R69" s="1">
        <f>P69-Q69</f>
        <v/>
      </c>
    </row>
    <row r="70">
      <c r="A70" s="41" t="n">
        <v>69</v>
      </c>
      <c r="B70" s="42">
        <f>DATE(Sintesi!$C$4-1,12,31)+A70</f>
        <v/>
      </c>
      <c r="C70" s="41">
        <f>'Paste cell here'!B70</f>
        <v/>
      </c>
      <c r="D70" s="41">
        <f>'Paste cell here'!I70</f>
        <v/>
      </c>
      <c r="E70" s="1">
        <f>'Paste cell here'!H70</f>
        <v/>
      </c>
      <c r="F70" s="1">
        <f>Sintesi!$C$5</f>
        <v/>
      </c>
      <c r="G70" s="1">
        <f>'Paste cell here'!AA70</f>
        <v/>
      </c>
      <c r="H70" s="43">
        <f>'Paste cell here'!U70</f>
        <v/>
      </c>
      <c r="I70" s="43">
        <f>'Paste cell here'!AE70</f>
        <v/>
      </c>
      <c r="J70" s="44">
        <f>'Paste cell here'!U69+'Paste cell here'!AF70</f>
        <v/>
      </c>
      <c r="K70" s="45">
        <f>'Paste cell here'!AG70</f>
        <v/>
      </c>
      <c r="L70" s="41">
        <f>IF(J70&lt;K70,"YES","NO")</f>
        <v/>
      </c>
      <c r="M70" s="1">
        <f>(Sintesi!$C$29*F70*1000)</f>
        <v/>
      </c>
      <c r="N70" s="1">
        <f>Sintesi!$C$30*F70*1000</f>
        <v/>
      </c>
      <c r="O70" s="1">
        <f>M70-N70</f>
        <v/>
      </c>
      <c r="P70" s="1">
        <f>Sintesi!$C$33*G70*1000</f>
        <v/>
      </c>
      <c r="Q70" s="1">
        <f>Sintesi!$C$34*G70*1000</f>
        <v/>
      </c>
      <c r="R70" s="1">
        <f>P70-Q70</f>
        <v/>
      </c>
    </row>
    <row r="71">
      <c r="A71" s="41" t="n">
        <v>70</v>
      </c>
      <c r="B71" s="42">
        <f>DATE(Sintesi!$C$4-1,12,31)+A71</f>
        <v/>
      </c>
      <c r="C71" s="41">
        <f>'Paste cell here'!B71</f>
        <v/>
      </c>
      <c r="D71" s="41">
        <f>'Paste cell here'!I71</f>
        <v/>
      </c>
      <c r="E71" s="1">
        <f>'Paste cell here'!H71</f>
        <v/>
      </c>
      <c r="F71" s="1">
        <f>Sintesi!$C$5</f>
        <v/>
      </c>
      <c r="G71" s="1">
        <f>'Paste cell here'!AA71</f>
        <v/>
      </c>
      <c r="H71" s="43">
        <f>'Paste cell here'!U71</f>
        <v/>
      </c>
      <c r="I71" s="43">
        <f>'Paste cell here'!AE71</f>
        <v/>
      </c>
      <c r="J71" s="44">
        <f>'Paste cell here'!U70+'Paste cell here'!AF71</f>
        <v/>
      </c>
      <c r="K71" s="45">
        <f>'Paste cell here'!AG71</f>
        <v/>
      </c>
      <c r="L71" s="41">
        <f>IF(J71&lt;K71,"YES","NO")</f>
        <v/>
      </c>
      <c r="M71" s="1">
        <f>(Sintesi!$C$29*F71*1000)</f>
        <v/>
      </c>
      <c r="N71" s="1">
        <f>Sintesi!$C$30*F71*1000</f>
        <v/>
      </c>
      <c r="O71" s="1">
        <f>M71-N71</f>
        <v/>
      </c>
      <c r="P71" s="1">
        <f>Sintesi!$C$33*G71*1000</f>
        <v/>
      </c>
      <c r="Q71" s="1">
        <f>Sintesi!$C$34*G71*1000</f>
        <v/>
      </c>
      <c r="R71" s="1">
        <f>P71-Q71</f>
        <v/>
      </c>
    </row>
    <row r="72">
      <c r="A72" s="41" t="n">
        <v>71</v>
      </c>
      <c r="B72" s="42">
        <f>DATE(Sintesi!$C$4-1,12,31)+A72</f>
        <v/>
      </c>
      <c r="C72" s="41">
        <f>'Paste cell here'!B72</f>
        <v/>
      </c>
      <c r="D72" s="41">
        <f>'Paste cell here'!I72</f>
        <v/>
      </c>
      <c r="E72" s="1">
        <f>'Paste cell here'!H72</f>
        <v/>
      </c>
      <c r="F72" s="1">
        <f>Sintesi!$C$5</f>
        <v/>
      </c>
      <c r="G72" s="1">
        <f>'Paste cell here'!AA72</f>
        <v/>
      </c>
      <c r="H72" s="43">
        <f>'Paste cell here'!U72</f>
        <v/>
      </c>
      <c r="I72" s="43">
        <f>'Paste cell here'!AE72</f>
        <v/>
      </c>
      <c r="J72" s="44">
        <f>'Paste cell here'!U71+'Paste cell here'!AF72</f>
        <v/>
      </c>
      <c r="K72" s="45">
        <f>'Paste cell here'!AG72</f>
        <v/>
      </c>
      <c r="L72" s="41">
        <f>IF(J72&lt;K72,"YES","NO")</f>
        <v/>
      </c>
      <c r="M72" s="1">
        <f>(Sintesi!$C$29*F72*1000)</f>
        <v/>
      </c>
      <c r="N72" s="1">
        <f>Sintesi!$C$30*F72*1000</f>
        <v/>
      </c>
      <c r="O72" s="1">
        <f>M72-N72</f>
        <v/>
      </c>
      <c r="P72" s="1">
        <f>Sintesi!$C$33*G72*1000</f>
        <v/>
      </c>
      <c r="Q72" s="1">
        <f>Sintesi!$C$34*G72*1000</f>
        <v/>
      </c>
      <c r="R72" s="1">
        <f>P72-Q72</f>
        <v/>
      </c>
    </row>
    <row r="73">
      <c r="A73" s="41" t="n">
        <v>72</v>
      </c>
      <c r="B73" s="42">
        <f>DATE(Sintesi!$C$4-1,12,31)+A73</f>
        <v/>
      </c>
      <c r="C73" s="41">
        <f>'Paste cell here'!B73</f>
        <v/>
      </c>
      <c r="D73" s="41">
        <f>'Paste cell here'!I73</f>
        <v/>
      </c>
      <c r="E73" s="1">
        <f>'Paste cell here'!H73</f>
        <v/>
      </c>
      <c r="F73" s="1">
        <f>Sintesi!$C$5</f>
        <v/>
      </c>
      <c r="G73" s="1">
        <f>'Paste cell here'!AA73</f>
        <v/>
      </c>
      <c r="H73" s="43">
        <f>'Paste cell here'!U73</f>
        <v/>
      </c>
      <c r="I73" s="43">
        <f>'Paste cell here'!AE73</f>
        <v/>
      </c>
      <c r="J73" s="44">
        <f>'Paste cell here'!U72+'Paste cell here'!AF73</f>
        <v/>
      </c>
      <c r="K73" s="45">
        <f>'Paste cell here'!AG73</f>
        <v/>
      </c>
      <c r="L73" s="41">
        <f>IF(J73&lt;K73,"YES","NO")</f>
        <v/>
      </c>
      <c r="M73" s="1">
        <f>(Sintesi!$C$29*F73*1000)</f>
        <v/>
      </c>
      <c r="N73" s="1">
        <f>Sintesi!$C$30*F73*1000</f>
        <v/>
      </c>
      <c r="O73" s="1">
        <f>M73-N73</f>
        <v/>
      </c>
      <c r="P73" s="1">
        <f>Sintesi!$C$33*G73*1000</f>
        <v/>
      </c>
      <c r="Q73" s="1">
        <f>Sintesi!$C$34*G73*1000</f>
        <v/>
      </c>
      <c r="R73" s="1">
        <f>P73-Q73</f>
        <v/>
      </c>
    </row>
    <row r="74">
      <c r="A74" s="41" t="n">
        <v>73</v>
      </c>
      <c r="B74" s="42">
        <f>DATE(Sintesi!$C$4-1,12,31)+A74</f>
        <v/>
      </c>
      <c r="C74" s="41">
        <f>'Paste cell here'!B74</f>
        <v/>
      </c>
      <c r="D74" s="41">
        <f>'Paste cell here'!I74</f>
        <v/>
      </c>
      <c r="E74" s="1">
        <f>'Paste cell here'!H74</f>
        <v/>
      </c>
      <c r="F74" s="1">
        <f>Sintesi!$C$5</f>
        <v/>
      </c>
      <c r="G74" s="1">
        <f>'Paste cell here'!AA74</f>
        <v/>
      </c>
      <c r="H74" s="43">
        <f>'Paste cell here'!U74</f>
        <v/>
      </c>
      <c r="I74" s="43">
        <f>'Paste cell here'!AE74</f>
        <v/>
      </c>
      <c r="J74" s="44">
        <f>'Paste cell here'!U73+'Paste cell here'!AF74</f>
        <v/>
      </c>
      <c r="K74" s="45">
        <f>'Paste cell here'!AG74</f>
        <v/>
      </c>
      <c r="L74" s="41">
        <f>IF(J74&lt;K74,"YES","NO")</f>
        <v/>
      </c>
      <c r="M74" s="1">
        <f>(Sintesi!$C$29*F74*1000)</f>
        <v/>
      </c>
      <c r="N74" s="1">
        <f>Sintesi!$C$30*F74*1000</f>
        <v/>
      </c>
      <c r="O74" s="1">
        <f>M74-N74</f>
        <v/>
      </c>
      <c r="P74" s="1">
        <f>Sintesi!$C$33*G74*1000</f>
        <v/>
      </c>
      <c r="Q74" s="1">
        <f>Sintesi!$C$34*G74*1000</f>
        <v/>
      </c>
      <c r="R74" s="1">
        <f>P74-Q74</f>
        <v/>
      </c>
    </row>
    <row r="75">
      <c r="A75" s="41" t="n">
        <v>74</v>
      </c>
      <c r="B75" s="42">
        <f>DATE(Sintesi!$C$4-1,12,31)+A75</f>
        <v/>
      </c>
      <c r="C75" s="41">
        <f>'Paste cell here'!B75</f>
        <v/>
      </c>
      <c r="D75" s="41">
        <f>'Paste cell here'!I75</f>
        <v/>
      </c>
      <c r="E75" s="1">
        <f>'Paste cell here'!H75</f>
        <v/>
      </c>
      <c r="F75" s="1">
        <f>Sintesi!$C$5</f>
        <v/>
      </c>
      <c r="G75" s="1">
        <f>'Paste cell here'!AA75</f>
        <v/>
      </c>
      <c r="H75" s="43">
        <f>'Paste cell here'!U75</f>
        <v/>
      </c>
      <c r="I75" s="43">
        <f>'Paste cell here'!AE75</f>
        <v/>
      </c>
      <c r="J75" s="44">
        <f>'Paste cell here'!U74+'Paste cell here'!AF75</f>
        <v/>
      </c>
      <c r="K75" s="45">
        <f>'Paste cell here'!AG75</f>
        <v/>
      </c>
      <c r="L75" s="41">
        <f>IF(J75&lt;K75,"YES","NO")</f>
        <v/>
      </c>
      <c r="M75" s="1">
        <f>(Sintesi!$C$29*F75*1000)</f>
        <v/>
      </c>
      <c r="N75" s="1">
        <f>Sintesi!$C$30*F75*1000</f>
        <v/>
      </c>
      <c r="O75" s="1">
        <f>M75-N75</f>
        <v/>
      </c>
      <c r="P75" s="1">
        <f>Sintesi!$C$33*G75*1000</f>
        <v/>
      </c>
      <c r="Q75" s="1">
        <f>Sintesi!$C$34*G75*1000</f>
        <v/>
      </c>
      <c r="R75" s="1">
        <f>P75-Q75</f>
        <v/>
      </c>
    </row>
    <row r="76">
      <c r="A76" s="41" t="n">
        <v>75</v>
      </c>
      <c r="B76" s="42">
        <f>DATE(Sintesi!$C$4-1,12,31)+A76</f>
        <v/>
      </c>
      <c r="C76" s="41">
        <f>'Paste cell here'!B76</f>
        <v/>
      </c>
      <c r="D76" s="41">
        <f>'Paste cell here'!I76</f>
        <v/>
      </c>
      <c r="E76" s="1">
        <f>'Paste cell here'!H76</f>
        <v/>
      </c>
      <c r="F76" s="1">
        <f>Sintesi!$C$5</f>
        <v/>
      </c>
      <c r="G76" s="1">
        <f>'Paste cell here'!AA76</f>
        <v/>
      </c>
      <c r="H76" s="43">
        <f>'Paste cell here'!U76</f>
        <v/>
      </c>
      <c r="I76" s="43">
        <f>'Paste cell here'!AE76</f>
        <v/>
      </c>
      <c r="J76" s="44">
        <f>'Paste cell here'!U75+'Paste cell here'!AF76</f>
        <v/>
      </c>
      <c r="K76" s="45">
        <f>'Paste cell here'!AG76</f>
        <v/>
      </c>
      <c r="L76" s="41">
        <f>IF(J76&lt;K76,"YES","NO")</f>
        <v/>
      </c>
      <c r="M76" s="1">
        <f>(Sintesi!$C$29*F76*1000)</f>
        <v/>
      </c>
      <c r="N76" s="1">
        <f>Sintesi!$C$30*F76*1000</f>
        <v/>
      </c>
      <c r="O76" s="1">
        <f>M76-N76</f>
        <v/>
      </c>
      <c r="P76" s="1">
        <f>Sintesi!$C$33*G76*1000</f>
        <v/>
      </c>
      <c r="Q76" s="1">
        <f>Sintesi!$C$34*G76*1000</f>
        <v/>
      </c>
      <c r="R76" s="1">
        <f>P76-Q76</f>
        <v/>
      </c>
    </row>
    <row r="77">
      <c r="A77" s="41" t="n">
        <v>76</v>
      </c>
      <c r="B77" s="42">
        <f>DATE(Sintesi!$C$4-1,12,31)+A77</f>
        <v/>
      </c>
      <c r="C77" s="41">
        <f>'Paste cell here'!B77</f>
        <v/>
      </c>
      <c r="D77" s="41">
        <f>'Paste cell here'!I77</f>
        <v/>
      </c>
      <c r="E77" s="1">
        <f>'Paste cell here'!H77</f>
        <v/>
      </c>
      <c r="F77" s="1">
        <f>Sintesi!$C$5</f>
        <v/>
      </c>
      <c r="G77" s="1">
        <f>'Paste cell here'!AA77</f>
        <v/>
      </c>
      <c r="H77" s="43">
        <f>'Paste cell here'!U77</f>
        <v/>
      </c>
      <c r="I77" s="43">
        <f>'Paste cell here'!AE77</f>
        <v/>
      </c>
      <c r="J77" s="44">
        <f>'Paste cell here'!U76+'Paste cell here'!AF77</f>
        <v/>
      </c>
      <c r="K77" s="45">
        <f>'Paste cell here'!AG77</f>
        <v/>
      </c>
      <c r="L77" s="41">
        <f>IF(J77&lt;K77,"YES","NO")</f>
        <v/>
      </c>
      <c r="M77" s="1">
        <f>(Sintesi!$C$29*F77*1000)</f>
        <v/>
      </c>
      <c r="N77" s="1">
        <f>Sintesi!$C$30*F77*1000</f>
        <v/>
      </c>
      <c r="O77" s="1">
        <f>M77-N77</f>
        <v/>
      </c>
      <c r="P77" s="1">
        <f>Sintesi!$C$33*G77*1000</f>
        <v/>
      </c>
      <c r="Q77" s="1">
        <f>Sintesi!$C$34*G77*1000</f>
        <v/>
      </c>
      <c r="R77" s="1">
        <f>P77-Q77</f>
        <v/>
      </c>
    </row>
    <row r="78">
      <c r="A78" s="41" t="n">
        <v>77</v>
      </c>
      <c r="B78" s="42">
        <f>DATE(Sintesi!$C$4-1,12,31)+A78</f>
        <v/>
      </c>
      <c r="C78" s="41">
        <f>'Paste cell here'!B78</f>
        <v/>
      </c>
      <c r="D78" s="41">
        <f>'Paste cell here'!I78</f>
        <v/>
      </c>
      <c r="E78" s="1">
        <f>'Paste cell here'!H78</f>
        <v/>
      </c>
      <c r="F78" s="1">
        <f>Sintesi!$C$5</f>
        <v/>
      </c>
      <c r="G78" s="1">
        <f>'Paste cell here'!AA78</f>
        <v/>
      </c>
      <c r="H78" s="43">
        <f>'Paste cell here'!U78</f>
        <v/>
      </c>
      <c r="I78" s="43">
        <f>'Paste cell here'!AE78</f>
        <v/>
      </c>
      <c r="J78" s="44">
        <f>'Paste cell here'!U77+'Paste cell here'!AF78</f>
        <v/>
      </c>
      <c r="K78" s="45">
        <f>'Paste cell here'!AG78</f>
        <v/>
      </c>
      <c r="L78" s="41">
        <f>IF(J78&lt;K78,"YES","NO")</f>
        <v/>
      </c>
      <c r="M78" s="1">
        <f>(Sintesi!$C$29*F78*1000)</f>
        <v/>
      </c>
      <c r="N78" s="1">
        <f>Sintesi!$C$30*F78*1000</f>
        <v/>
      </c>
      <c r="O78" s="1">
        <f>M78-N78</f>
        <v/>
      </c>
      <c r="P78" s="1">
        <f>Sintesi!$C$33*G78*1000</f>
        <v/>
      </c>
      <c r="Q78" s="1">
        <f>Sintesi!$C$34*G78*1000</f>
        <v/>
      </c>
      <c r="R78" s="1">
        <f>P78-Q78</f>
        <v/>
      </c>
    </row>
    <row r="79">
      <c r="A79" s="41" t="n">
        <v>78</v>
      </c>
      <c r="B79" s="42">
        <f>DATE(Sintesi!$C$4-1,12,31)+A79</f>
        <v/>
      </c>
      <c r="C79" s="41">
        <f>'Paste cell here'!B79</f>
        <v/>
      </c>
      <c r="D79" s="41">
        <f>'Paste cell here'!I79</f>
        <v/>
      </c>
      <c r="E79" s="1">
        <f>'Paste cell here'!H79</f>
        <v/>
      </c>
      <c r="F79" s="1">
        <f>Sintesi!$C$5</f>
        <v/>
      </c>
      <c r="G79" s="1">
        <f>'Paste cell here'!AA79</f>
        <v/>
      </c>
      <c r="H79" s="43">
        <f>'Paste cell here'!U79</f>
        <v/>
      </c>
      <c r="I79" s="43">
        <f>'Paste cell here'!AE79</f>
        <v/>
      </c>
      <c r="J79" s="44">
        <f>'Paste cell here'!U78+'Paste cell here'!AF79</f>
        <v/>
      </c>
      <c r="K79" s="45">
        <f>'Paste cell here'!AG79</f>
        <v/>
      </c>
      <c r="L79" s="41">
        <f>IF(J79&lt;K79,"YES","NO")</f>
        <v/>
      </c>
      <c r="M79" s="1">
        <f>(Sintesi!$C$29*F79*1000)</f>
        <v/>
      </c>
      <c r="N79" s="1">
        <f>Sintesi!$C$30*F79*1000</f>
        <v/>
      </c>
      <c r="O79" s="1">
        <f>M79-N79</f>
        <v/>
      </c>
      <c r="P79" s="1">
        <f>Sintesi!$C$33*G79*1000</f>
        <v/>
      </c>
      <c r="Q79" s="1">
        <f>Sintesi!$C$34*G79*1000</f>
        <v/>
      </c>
      <c r="R79" s="1">
        <f>P79-Q79</f>
        <v/>
      </c>
    </row>
    <row r="80">
      <c r="A80" s="41" t="n">
        <v>79</v>
      </c>
      <c r="B80" s="42">
        <f>DATE(Sintesi!$C$4-1,12,31)+A80</f>
        <v/>
      </c>
      <c r="C80" s="41">
        <f>'Paste cell here'!B80</f>
        <v/>
      </c>
      <c r="D80" s="41">
        <f>'Paste cell here'!I80</f>
        <v/>
      </c>
      <c r="E80" s="1">
        <f>'Paste cell here'!H80</f>
        <v/>
      </c>
      <c r="F80" s="1">
        <f>Sintesi!$C$5</f>
        <v/>
      </c>
      <c r="G80" s="1">
        <f>'Paste cell here'!AA80</f>
        <v/>
      </c>
      <c r="H80" s="43">
        <f>'Paste cell here'!U80</f>
        <v/>
      </c>
      <c r="I80" s="43">
        <f>'Paste cell here'!AE80</f>
        <v/>
      </c>
      <c r="J80" s="44">
        <f>'Paste cell here'!U79+'Paste cell here'!AF80</f>
        <v/>
      </c>
      <c r="K80" s="45">
        <f>'Paste cell here'!AG80</f>
        <v/>
      </c>
      <c r="L80" s="41">
        <f>IF(J80&lt;K80,"YES","NO")</f>
        <v/>
      </c>
      <c r="M80" s="1">
        <f>(Sintesi!$C$29*F80*1000)</f>
        <v/>
      </c>
      <c r="N80" s="1">
        <f>Sintesi!$C$30*F80*1000</f>
        <v/>
      </c>
      <c r="O80" s="1">
        <f>M80-N80</f>
        <v/>
      </c>
      <c r="P80" s="1">
        <f>Sintesi!$C$33*G80*1000</f>
        <v/>
      </c>
      <c r="Q80" s="1">
        <f>Sintesi!$C$34*G80*1000</f>
        <v/>
      </c>
      <c r="R80" s="1">
        <f>P80-Q80</f>
        <v/>
      </c>
    </row>
    <row r="81">
      <c r="A81" s="41" t="n">
        <v>80</v>
      </c>
      <c r="B81" s="42">
        <f>DATE(Sintesi!$C$4-1,12,31)+A81</f>
        <v/>
      </c>
      <c r="C81" s="41">
        <f>'Paste cell here'!B81</f>
        <v/>
      </c>
      <c r="D81" s="41">
        <f>'Paste cell here'!I81</f>
        <v/>
      </c>
      <c r="E81" s="1">
        <f>'Paste cell here'!H81</f>
        <v/>
      </c>
      <c r="F81" s="1">
        <f>Sintesi!$C$5</f>
        <v/>
      </c>
      <c r="G81" s="1">
        <f>'Paste cell here'!AA81</f>
        <v/>
      </c>
      <c r="H81" s="43">
        <f>'Paste cell here'!U81</f>
        <v/>
      </c>
      <c r="I81" s="43">
        <f>'Paste cell here'!AE81</f>
        <v/>
      </c>
      <c r="J81" s="44">
        <f>'Paste cell here'!U80+'Paste cell here'!AF81</f>
        <v/>
      </c>
      <c r="K81" s="45">
        <f>'Paste cell here'!AG81</f>
        <v/>
      </c>
      <c r="L81" s="41">
        <f>IF(J81&lt;K81,"YES","NO")</f>
        <v/>
      </c>
      <c r="M81" s="1">
        <f>(Sintesi!$C$29*F81*1000)</f>
        <v/>
      </c>
      <c r="N81" s="1">
        <f>Sintesi!$C$30*F81*1000</f>
        <v/>
      </c>
      <c r="O81" s="1">
        <f>M81-N81</f>
        <v/>
      </c>
      <c r="P81" s="1">
        <f>Sintesi!$C$33*G81*1000</f>
        <v/>
      </c>
      <c r="Q81" s="1">
        <f>Sintesi!$C$34*G81*1000</f>
        <v/>
      </c>
      <c r="R81" s="1">
        <f>P81-Q81</f>
        <v/>
      </c>
    </row>
    <row r="82">
      <c r="A82" s="41" t="n">
        <v>81</v>
      </c>
      <c r="B82" s="42">
        <f>DATE(Sintesi!$C$4-1,12,31)+A82</f>
        <v/>
      </c>
      <c r="C82" s="41">
        <f>'Paste cell here'!B82</f>
        <v/>
      </c>
      <c r="D82" s="41">
        <f>'Paste cell here'!I82</f>
        <v/>
      </c>
      <c r="E82" s="1">
        <f>'Paste cell here'!H82</f>
        <v/>
      </c>
      <c r="F82" s="1">
        <f>Sintesi!$C$5</f>
        <v/>
      </c>
      <c r="G82" s="1">
        <f>'Paste cell here'!AA82</f>
        <v/>
      </c>
      <c r="H82" s="43">
        <f>'Paste cell here'!U82</f>
        <v/>
      </c>
      <c r="I82" s="43">
        <f>'Paste cell here'!AE82</f>
        <v/>
      </c>
      <c r="J82" s="44">
        <f>'Paste cell here'!U81+'Paste cell here'!AF82</f>
        <v/>
      </c>
      <c r="K82" s="45">
        <f>'Paste cell here'!AG82</f>
        <v/>
      </c>
      <c r="L82" s="41">
        <f>IF(J82&lt;K82,"YES","NO")</f>
        <v/>
      </c>
      <c r="M82" s="1">
        <f>(Sintesi!$C$29*F82*1000)</f>
        <v/>
      </c>
      <c r="N82" s="1">
        <f>Sintesi!$C$30*F82*1000</f>
        <v/>
      </c>
      <c r="O82" s="1">
        <f>M82-N82</f>
        <v/>
      </c>
      <c r="P82" s="1">
        <f>Sintesi!$C$33*G82*1000</f>
        <v/>
      </c>
      <c r="Q82" s="1">
        <f>Sintesi!$C$34*G82*1000</f>
        <v/>
      </c>
      <c r="R82" s="1">
        <f>P82-Q82</f>
        <v/>
      </c>
    </row>
    <row r="83">
      <c r="A83" s="41" t="n">
        <v>82</v>
      </c>
      <c r="B83" s="42">
        <f>DATE(Sintesi!$C$4-1,12,31)+A83</f>
        <v/>
      </c>
      <c r="C83" s="41">
        <f>'Paste cell here'!B83</f>
        <v/>
      </c>
      <c r="D83" s="41">
        <f>'Paste cell here'!I83</f>
        <v/>
      </c>
      <c r="E83" s="1">
        <f>'Paste cell here'!H83</f>
        <v/>
      </c>
      <c r="F83" s="1">
        <f>Sintesi!$C$5</f>
        <v/>
      </c>
      <c r="G83" s="1">
        <f>'Paste cell here'!AA83</f>
        <v/>
      </c>
      <c r="H83" s="43">
        <f>'Paste cell here'!U83</f>
        <v/>
      </c>
      <c r="I83" s="43">
        <f>'Paste cell here'!AE83</f>
        <v/>
      </c>
      <c r="J83" s="44">
        <f>'Paste cell here'!U82+'Paste cell here'!AF83</f>
        <v/>
      </c>
      <c r="K83" s="45">
        <f>'Paste cell here'!AG83</f>
        <v/>
      </c>
      <c r="L83" s="41">
        <f>IF(J83&lt;K83,"YES","NO")</f>
        <v/>
      </c>
      <c r="M83" s="1">
        <f>(Sintesi!$C$29*F83*1000)</f>
        <v/>
      </c>
      <c r="N83" s="1">
        <f>Sintesi!$C$30*F83*1000</f>
        <v/>
      </c>
      <c r="O83" s="1">
        <f>M83-N83</f>
        <v/>
      </c>
      <c r="P83" s="1">
        <f>Sintesi!$C$33*G83*1000</f>
        <v/>
      </c>
      <c r="Q83" s="1">
        <f>Sintesi!$C$34*G83*1000</f>
        <v/>
      </c>
      <c r="R83" s="1">
        <f>P83-Q83</f>
        <v/>
      </c>
    </row>
    <row r="84">
      <c r="A84" s="41" t="n">
        <v>83</v>
      </c>
      <c r="B84" s="42">
        <f>DATE(Sintesi!$C$4-1,12,31)+A84</f>
        <v/>
      </c>
      <c r="C84" s="41">
        <f>'Paste cell here'!B84</f>
        <v/>
      </c>
      <c r="D84" s="41">
        <f>'Paste cell here'!I84</f>
        <v/>
      </c>
      <c r="E84" s="1">
        <f>'Paste cell here'!H84</f>
        <v/>
      </c>
      <c r="F84" s="1">
        <f>Sintesi!$C$5</f>
        <v/>
      </c>
      <c r="G84" s="1">
        <f>'Paste cell here'!AA84</f>
        <v/>
      </c>
      <c r="H84" s="43">
        <f>'Paste cell here'!U84</f>
        <v/>
      </c>
      <c r="I84" s="43">
        <f>'Paste cell here'!AE84</f>
        <v/>
      </c>
      <c r="J84" s="44">
        <f>'Paste cell here'!U83+'Paste cell here'!AF84</f>
        <v/>
      </c>
      <c r="K84" s="45">
        <f>'Paste cell here'!AG84</f>
        <v/>
      </c>
      <c r="L84" s="41">
        <f>IF(J84&lt;K84,"YES","NO")</f>
        <v/>
      </c>
      <c r="M84" s="1">
        <f>(Sintesi!$C$29*F84*1000)</f>
        <v/>
      </c>
      <c r="N84" s="1">
        <f>Sintesi!$C$30*F84*1000</f>
        <v/>
      </c>
      <c r="O84" s="1">
        <f>M84-N84</f>
        <v/>
      </c>
      <c r="P84" s="1">
        <f>Sintesi!$C$33*G84*1000</f>
        <v/>
      </c>
      <c r="Q84" s="1">
        <f>Sintesi!$C$34*G84*1000</f>
        <v/>
      </c>
      <c r="R84" s="1">
        <f>P84-Q84</f>
        <v/>
      </c>
    </row>
    <row r="85">
      <c r="A85" s="41" t="n">
        <v>84</v>
      </c>
      <c r="B85" s="42">
        <f>DATE(Sintesi!$C$4-1,12,31)+A85</f>
        <v/>
      </c>
      <c r="C85" s="41">
        <f>'Paste cell here'!B85</f>
        <v/>
      </c>
      <c r="D85" s="41">
        <f>'Paste cell here'!I85</f>
        <v/>
      </c>
      <c r="E85" s="1">
        <f>'Paste cell here'!H85</f>
        <v/>
      </c>
      <c r="F85" s="1">
        <f>Sintesi!$C$5</f>
        <v/>
      </c>
      <c r="G85" s="1">
        <f>'Paste cell here'!AA85</f>
        <v/>
      </c>
      <c r="H85" s="43">
        <f>'Paste cell here'!U85</f>
        <v/>
      </c>
      <c r="I85" s="43">
        <f>'Paste cell here'!AE85</f>
        <v/>
      </c>
      <c r="J85" s="44">
        <f>'Paste cell here'!U84+'Paste cell here'!AF85</f>
        <v/>
      </c>
      <c r="K85" s="45">
        <f>'Paste cell here'!AG85</f>
        <v/>
      </c>
      <c r="L85" s="41">
        <f>IF(J85&lt;K85,"YES","NO")</f>
        <v/>
      </c>
      <c r="M85" s="1">
        <f>(Sintesi!$C$29*F85*1000)</f>
        <v/>
      </c>
      <c r="N85" s="1">
        <f>Sintesi!$C$30*F85*1000</f>
        <v/>
      </c>
      <c r="O85" s="1">
        <f>M85-N85</f>
        <v/>
      </c>
      <c r="P85" s="1">
        <f>Sintesi!$C$33*G85*1000</f>
        <v/>
      </c>
      <c r="Q85" s="1">
        <f>Sintesi!$C$34*G85*1000</f>
        <v/>
      </c>
      <c r="R85" s="1">
        <f>P85-Q85</f>
        <v/>
      </c>
    </row>
    <row r="86">
      <c r="A86" s="41" t="n">
        <v>85</v>
      </c>
      <c r="B86" s="42">
        <f>DATE(Sintesi!$C$4-1,12,31)+A86</f>
        <v/>
      </c>
      <c r="C86" s="41">
        <f>'Paste cell here'!B86</f>
        <v/>
      </c>
      <c r="D86" s="41">
        <f>'Paste cell here'!I86</f>
        <v/>
      </c>
      <c r="E86" s="1">
        <f>'Paste cell here'!H86</f>
        <v/>
      </c>
      <c r="F86" s="1">
        <f>Sintesi!$C$5</f>
        <v/>
      </c>
      <c r="G86" s="1">
        <f>'Paste cell here'!AA86</f>
        <v/>
      </c>
      <c r="H86" s="43">
        <f>'Paste cell here'!U86</f>
        <v/>
      </c>
      <c r="I86" s="43">
        <f>'Paste cell here'!AE86</f>
        <v/>
      </c>
      <c r="J86" s="44">
        <f>'Paste cell here'!U85+'Paste cell here'!AF86</f>
        <v/>
      </c>
      <c r="K86" s="45">
        <f>'Paste cell here'!AG86</f>
        <v/>
      </c>
      <c r="L86" s="41">
        <f>IF(J86&lt;K86,"YES","NO")</f>
        <v/>
      </c>
      <c r="M86" s="1">
        <f>(Sintesi!$C$29*F86*1000)</f>
        <v/>
      </c>
      <c r="N86" s="1">
        <f>Sintesi!$C$30*F86*1000</f>
        <v/>
      </c>
      <c r="O86" s="1">
        <f>M86-N86</f>
        <v/>
      </c>
      <c r="P86" s="1">
        <f>Sintesi!$C$33*G86*1000</f>
        <v/>
      </c>
      <c r="Q86" s="1">
        <f>Sintesi!$C$34*G86*1000</f>
        <v/>
      </c>
      <c r="R86" s="1">
        <f>P86-Q86</f>
        <v/>
      </c>
    </row>
    <row r="87">
      <c r="A87" s="41" t="n">
        <v>86</v>
      </c>
      <c r="B87" s="42">
        <f>DATE(Sintesi!$C$4-1,12,31)+A87</f>
        <v/>
      </c>
      <c r="C87" s="41">
        <f>'Paste cell here'!B87</f>
        <v/>
      </c>
      <c r="D87" s="41">
        <f>'Paste cell here'!I87</f>
        <v/>
      </c>
      <c r="E87" s="1">
        <f>'Paste cell here'!H87</f>
        <v/>
      </c>
      <c r="F87" s="1">
        <f>Sintesi!$C$5</f>
        <v/>
      </c>
      <c r="G87" s="1">
        <f>'Paste cell here'!AA87</f>
        <v/>
      </c>
      <c r="H87" s="43">
        <f>'Paste cell here'!U87</f>
        <v/>
      </c>
      <c r="I87" s="43">
        <f>'Paste cell here'!AE87</f>
        <v/>
      </c>
      <c r="J87" s="44">
        <f>'Paste cell here'!U86+'Paste cell here'!AF87</f>
        <v/>
      </c>
      <c r="K87" s="45">
        <f>'Paste cell here'!AG87</f>
        <v/>
      </c>
      <c r="L87" s="41">
        <f>IF(J87&lt;K87,"YES","NO")</f>
        <v/>
      </c>
      <c r="M87" s="1">
        <f>(Sintesi!$C$29*F87*1000)</f>
        <v/>
      </c>
      <c r="N87" s="1">
        <f>Sintesi!$C$30*F87*1000</f>
        <v/>
      </c>
      <c r="O87" s="1">
        <f>M87-N87</f>
        <v/>
      </c>
      <c r="P87" s="1">
        <f>Sintesi!$C$33*G87*1000</f>
        <v/>
      </c>
      <c r="Q87" s="1">
        <f>Sintesi!$C$34*G87*1000</f>
        <v/>
      </c>
      <c r="R87" s="1">
        <f>P87-Q87</f>
        <v/>
      </c>
    </row>
    <row r="88">
      <c r="A88" s="41" t="n">
        <v>87</v>
      </c>
      <c r="B88" s="42">
        <f>DATE(Sintesi!$C$4-1,12,31)+A88</f>
        <v/>
      </c>
      <c r="C88" s="41">
        <f>'Paste cell here'!B88</f>
        <v/>
      </c>
      <c r="D88" s="41">
        <f>'Paste cell here'!I88</f>
        <v/>
      </c>
      <c r="E88" s="1">
        <f>'Paste cell here'!H88</f>
        <v/>
      </c>
      <c r="F88" s="1">
        <f>Sintesi!$C$5</f>
        <v/>
      </c>
      <c r="G88" s="1">
        <f>'Paste cell here'!AA88</f>
        <v/>
      </c>
      <c r="H88" s="43">
        <f>'Paste cell here'!U88</f>
        <v/>
      </c>
      <c r="I88" s="43">
        <f>'Paste cell here'!AE88</f>
        <v/>
      </c>
      <c r="J88" s="44">
        <f>'Paste cell here'!U87+'Paste cell here'!AF88</f>
        <v/>
      </c>
      <c r="K88" s="45">
        <f>'Paste cell here'!AG88</f>
        <v/>
      </c>
      <c r="L88" s="41">
        <f>IF(J88&lt;K88,"YES","NO")</f>
        <v/>
      </c>
      <c r="M88" s="1">
        <f>(Sintesi!$C$29*F88*1000)</f>
        <v/>
      </c>
      <c r="N88" s="1">
        <f>Sintesi!$C$30*F88*1000</f>
        <v/>
      </c>
      <c r="O88" s="1">
        <f>M88-N88</f>
        <v/>
      </c>
      <c r="P88" s="1">
        <f>Sintesi!$C$33*G88*1000</f>
        <v/>
      </c>
      <c r="Q88" s="1">
        <f>Sintesi!$C$34*G88*1000</f>
        <v/>
      </c>
      <c r="R88" s="1">
        <f>P88-Q88</f>
        <v/>
      </c>
    </row>
    <row r="89">
      <c r="A89" s="41" t="n">
        <v>88</v>
      </c>
      <c r="B89" s="42">
        <f>DATE(Sintesi!$C$4-1,12,31)+A89</f>
        <v/>
      </c>
      <c r="C89" s="41">
        <f>'Paste cell here'!B89</f>
        <v/>
      </c>
      <c r="D89" s="41">
        <f>'Paste cell here'!I89</f>
        <v/>
      </c>
      <c r="E89" s="1">
        <f>'Paste cell here'!H89</f>
        <v/>
      </c>
      <c r="F89" s="1">
        <f>Sintesi!$C$5</f>
        <v/>
      </c>
      <c r="G89" s="1">
        <f>'Paste cell here'!AA89</f>
        <v/>
      </c>
      <c r="H89" s="43">
        <f>'Paste cell here'!U89</f>
        <v/>
      </c>
      <c r="I89" s="43">
        <f>'Paste cell here'!AE89</f>
        <v/>
      </c>
      <c r="J89" s="44">
        <f>'Paste cell here'!U88+'Paste cell here'!AF89</f>
        <v/>
      </c>
      <c r="K89" s="45">
        <f>'Paste cell here'!AG89</f>
        <v/>
      </c>
      <c r="L89" s="41">
        <f>IF(J89&lt;K89,"YES","NO")</f>
        <v/>
      </c>
      <c r="M89" s="1">
        <f>(Sintesi!$C$29*F89*1000)</f>
        <v/>
      </c>
      <c r="N89" s="1">
        <f>Sintesi!$C$30*F89*1000</f>
        <v/>
      </c>
      <c r="O89" s="1">
        <f>M89-N89</f>
        <v/>
      </c>
      <c r="P89" s="1">
        <f>Sintesi!$C$33*G89*1000</f>
        <v/>
      </c>
      <c r="Q89" s="1">
        <f>Sintesi!$C$34*G89*1000</f>
        <v/>
      </c>
      <c r="R89" s="1">
        <f>P89-Q89</f>
        <v/>
      </c>
    </row>
    <row r="90">
      <c r="A90" s="41" t="n">
        <v>89</v>
      </c>
      <c r="B90" s="42">
        <f>DATE(Sintesi!$C$4-1,12,31)+A90</f>
        <v/>
      </c>
      <c r="C90" s="41">
        <f>'Paste cell here'!B90</f>
        <v/>
      </c>
      <c r="D90" s="41">
        <f>'Paste cell here'!I90</f>
        <v/>
      </c>
      <c r="E90" s="1">
        <f>'Paste cell here'!H90</f>
        <v/>
      </c>
      <c r="F90" s="1">
        <f>Sintesi!$C$5</f>
        <v/>
      </c>
      <c r="G90" s="1">
        <f>'Paste cell here'!AA90</f>
        <v/>
      </c>
      <c r="H90" s="43">
        <f>'Paste cell here'!U90</f>
        <v/>
      </c>
      <c r="I90" s="43">
        <f>'Paste cell here'!AE90</f>
        <v/>
      </c>
      <c r="J90" s="44">
        <f>'Paste cell here'!U89+'Paste cell here'!AF90</f>
        <v/>
      </c>
      <c r="K90" s="45">
        <f>'Paste cell here'!AG90</f>
        <v/>
      </c>
      <c r="L90" s="41">
        <f>IF(J90&lt;K90,"YES","NO")</f>
        <v/>
      </c>
      <c r="M90" s="1">
        <f>(Sintesi!$C$29*F90*1000)</f>
        <v/>
      </c>
      <c r="N90" s="1">
        <f>Sintesi!$C$30*F90*1000</f>
        <v/>
      </c>
      <c r="O90" s="1">
        <f>M90-N90</f>
        <v/>
      </c>
      <c r="P90" s="1">
        <f>Sintesi!$C$33*G90*1000</f>
        <v/>
      </c>
      <c r="Q90" s="1">
        <f>Sintesi!$C$34*G90*1000</f>
        <v/>
      </c>
      <c r="R90" s="1">
        <f>P90-Q90</f>
        <v/>
      </c>
    </row>
    <row r="91">
      <c r="A91" s="41" t="n">
        <v>90</v>
      </c>
      <c r="B91" s="42">
        <f>DATE(Sintesi!$C$4-1,12,31)+A91</f>
        <v/>
      </c>
      <c r="C91" s="41">
        <f>'Paste cell here'!B91</f>
        <v/>
      </c>
      <c r="D91" s="41">
        <f>'Paste cell here'!I91</f>
        <v/>
      </c>
      <c r="E91" s="1">
        <f>'Paste cell here'!H91</f>
        <v/>
      </c>
      <c r="F91" s="1">
        <f>Sintesi!$C$5</f>
        <v/>
      </c>
      <c r="G91" s="1">
        <f>'Paste cell here'!AA91</f>
        <v/>
      </c>
      <c r="H91" s="43">
        <f>'Paste cell here'!U91</f>
        <v/>
      </c>
      <c r="I91" s="43">
        <f>'Paste cell here'!AE91</f>
        <v/>
      </c>
      <c r="J91" s="44">
        <f>'Paste cell here'!U90+'Paste cell here'!AF91</f>
        <v/>
      </c>
      <c r="K91" s="45">
        <f>'Paste cell here'!AG91</f>
        <v/>
      </c>
      <c r="L91" s="41">
        <f>IF(J91&lt;K91,"YES","NO")</f>
        <v/>
      </c>
      <c r="M91" s="1">
        <f>(Sintesi!$C$29*F91*1000)</f>
        <v/>
      </c>
      <c r="N91" s="1">
        <f>Sintesi!$C$30*F91*1000</f>
        <v/>
      </c>
      <c r="O91" s="1">
        <f>M91-N91</f>
        <v/>
      </c>
      <c r="P91" s="1">
        <f>Sintesi!$C$33*G91*1000</f>
        <v/>
      </c>
      <c r="Q91" s="1">
        <f>Sintesi!$C$34*G91*1000</f>
        <v/>
      </c>
      <c r="R91" s="1">
        <f>P91-Q91</f>
        <v/>
      </c>
    </row>
    <row r="92">
      <c r="A92" s="41" t="n">
        <v>91</v>
      </c>
      <c r="B92" s="42">
        <f>DATE(Sintesi!$C$4-1,12,31)+A92</f>
        <v/>
      </c>
      <c r="C92" s="41">
        <f>'Paste cell here'!B92</f>
        <v/>
      </c>
      <c r="D92" s="41">
        <f>'Paste cell here'!I92</f>
        <v/>
      </c>
      <c r="E92" s="1">
        <f>'Paste cell here'!H92</f>
        <v/>
      </c>
      <c r="F92" s="1">
        <f>Sintesi!$C$5</f>
        <v/>
      </c>
      <c r="G92" s="1">
        <f>'Paste cell here'!AA92</f>
        <v/>
      </c>
      <c r="H92" s="43">
        <f>'Paste cell here'!U92</f>
        <v/>
      </c>
      <c r="I92" s="43">
        <f>'Paste cell here'!AE92</f>
        <v/>
      </c>
      <c r="J92" s="44">
        <f>'Paste cell here'!U91+'Paste cell here'!AF92</f>
        <v/>
      </c>
      <c r="K92" s="45">
        <f>'Paste cell here'!AG92</f>
        <v/>
      </c>
      <c r="L92" s="41">
        <f>IF(J92&lt;K92,"YES","NO")</f>
        <v/>
      </c>
      <c r="M92" s="1">
        <f>(Sintesi!$C$29*F92*1000)</f>
        <v/>
      </c>
      <c r="N92" s="1">
        <f>Sintesi!$C$30*F92*1000</f>
        <v/>
      </c>
      <c r="O92" s="1">
        <f>M92-N92</f>
        <v/>
      </c>
      <c r="P92" s="1">
        <f>Sintesi!$C$33*G92*1000</f>
        <v/>
      </c>
      <c r="Q92" s="1">
        <f>Sintesi!$C$34*G92*1000</f>
        <v/>
      </c>
      <c r="R92" s="1">
        <f>P92-Q92</f>
        <v/>
      </c>
    </row>
    <row r="93">
      <c r="A93" s="41" t="n">
        <v>92</v>
      </c>
      <c r="B93" s="42">
        <f>DATE(Sintesi!$C$4-1,12,31)+A93</f>
        <v/>
      </c>
      <c r="C93" s="41">
        <f>'Paste cell here'!B93</f>
        <v/>
      </c>
      <c r="D93" s="41">
        <f>'Paste cell here'!I93</f>
        <v/>
      </c>
      <c r="E93" s="1">
        <f>'Paste cell here'!H93</f>
        <v/>
      </c>
      <c r="F93" s="1">
        <f>Sintesi!$C$5</f>
        <v/>
      </c>
      <c r="G93" s="1">
        <f>'Paste cell here'!AA93</f>
        <v/>
      </c>
      <c r="H93" s="43">
        <f>'Paste cell here'!U93</f>
        <v/>
      </c>
      <c r="I93" s="43">
        <f>'Paste cell here'!AE93</f>
        <v/>
      </c>
      <c r="J93" s="44">
        <f>'Paste cell here'!U92+'Paste cell here'!AF93</f>
        <v/>
      </c>
      <c r="K93" s="45">
        <f>'Paste cell here'!AG93</f>
        <v/>
      </c>
      <c r="L93" s="41">
        <f>IF(J93&lt;K93,"YES","NO")</f>
        <v/>
      </c>
      <c r="M93" s="1">
        <f>(Sintesi!$C$29*F93*1000)</f>
        <v/>
      </c>
      <c r="N93" s="1">
        <f>Sintesi!$C$30*F93*1000</f>
        <v/>
      </c>
      <c r="O93" s="1">
        <f>M93-N93</f>
        <v/>
      </c>
      <c r="P93" s="1">
        <f>Sintesi!$C$33*G93*1000</f>
        <v/>
      </c>
      <c r="Q93" s="1">
        <f>Sintesi!$C$34*G93*1000</f>
        <v/>
      </c>
      <c r="R93" s="1">
        <f>P93-Q93</f>
        <v/>
      </c>
    </row>
    <row r="94">
      <c r="A94" s="41" t="n">
        <v>93</v>
      </c>
      <c r="B94" s="42">
        <f>DATE(Sintesi!$C$4-1,12,31)+A94</f>
        <v/>
      </c>
      <c r="C94" s="41">
        <f>'Paste cell here'!B94</f>
        <v/>
      </c>
      <c r="D94" s="41">
        <f>'Paste cell here'!I94</f>
        <v/>
      </c>
      <c r="E94" s="1">
        <f>'Paste cell here'!H94</f>
        <v/>
      </c>
      <c r="F94" s="1">
        <f>Sintesi!$C$5</f>
        <v/>
      </c>
      <c r="G94" s="1">
        <f>'Paste cell here'!AA94</f>
        <v/>
      </c>
      <c r="H94" s="43">
        <f>'Paste cell here'!U94</f>
        <v/>
      </c>
      <c r="I94" s="43">
        <f>'Paste cell here'!AE94</f>
        <v/>
      </c>
      <c r="J94" s="44">
        <f>'Paste cell here'!U93+'Paste cell here'!AF94</f>
        <v/>
      </c>
      <c r="K94" s="45">
        <f>'Paste cell here'!AG94</f>
        <v/>
      </c>
      <c r="L94" s="41">
        <f>IF(J94&lt;K94,"YES","NO")</f>
        <v/>
      </c>
      <c r="M94" s="1">
        <f>(Sintesi!$C$29*F94*1000)</f>
        <v/>
      </c>
      <c r="N94" s="1">
        <f>Sintesi!$C$30*F94*1000</f>
        <v/>
      </c>
      <c r="O94" s="1">
        <f>M94-N94</f>
        <v/>
      </c>
      <c r="P94" s="1">
        <f>Sintesi!$C$33*G94*1000</f>
        <v/>
      </c>
      <c r="Q94" s="1">
        <f>Sintesi!$C$34*G94*1000</f>
        <v/>
      </c>
      <c r="R94" s="1">
        <f>P94-Q94</f>
        <v/>
      </c>
    </row>
    <row r="95">
      <c r="A95" s="41" t="n">
        <v>94</v>
      </c>
      <c r="B95" s="42">
        <f>DATE(Sintesi!$C$4-1,12,31)+A95</f>
        <v/>
      </c>
      <c r="C95" s="41">
        <f>'Paste cell here'!B95</f>
        <v/>
      </c>
      <c r="D95" s="41">
        <f>'Paste cell here'!I95</f>
        <v/>
      </c>
      <c r="E95" s="1">
        <f>'Paste cell here'!H95</f>
        <v/>
      </c>
      <c r="F95" s="1">
        <f>Sintesi!$C$5</f>
        <v/>
      </c>
      <c r="G95" s="1">
        <f>'Paste cell here'!AA95</f>
        <v/>
      </c>
      <c r="H95" s="43">
        <f>'Paste cell here'!U95</f>
        <v/>
      </c>
      <c r="I95" s="43">
        <f>'Paste cell here'!AE95</f>
        <v/>
      </c>
      <c r="J95" s="44">
        <f>'Paste cell here'!U94+'Paste cell here'!AF95</f>
        <v/>
      </c>
      <c r="K95" s="45">
        <f>'Paste cell here'!AG95</f>
        <v/>
      </c>
      <c r="L95" s="41">
        <f>IF(J95&lt;K95,"YES","NO")</f>
        <v/>
      </c>
      <c r="M95" s="1">
        <f>(Sintesi!$C$29*F95*1000)</f>
        <v/>
      </c>
      <c r="N95" s="1">
        <f>Sintesi!$C$30*F95*1000</f>
        <v/>
      </c>
      <c r="O95" s="1">
        <f>M95-N95</f>
        <v/>
      </c>
      <c r="P95" s="1">
        <f>Sintesi!$C$33*G95*1000</f>
        <v/>
      </c>
      <c r="Q95" s="1">
        <f>Sintesi!$C$34*G95*1000</f>
        <v/>
      </c>
      <c r="R95" s="1">
        <f>P95-Q95</f>
        <v/>
      </c>
    </row>
    <row r="96">
      <c r="A96" s="41" t="n">
        <v>95</v>
      </c>
      <c r="B96" s="42">
        <f>DATE(Sintesi!$C$4-1,12,31)+A96</f>
        <v/>
      </c>
      <c r="C96" s="41">
        <f>'Paste cell here'!B96</f>
        <v/>
      </c>
      <c r="D96" s="41">
        <f>'Paste cell here'!I96</f>
        <v/>
      </c>
      <c r="E96" s="1">
        <f>'Paste cell here'!H96</f>
        <v/>
      </c>
      <c r="F96" s="1">
        <f>Sintesi!$C$5</f>
        <v/>
      </c>
      <c r="G96" s="1">
        <f>'Paste cell here'!AA96</f>
        <v/>
      </c>
      <c r="H96" s="43">
        <f>'Paste cell here'!U96</f>
        <v/>
      </c>
      <c r="I96" s="43">
        <f>'Paste cell here'!AE96</f>
        <v/>
      </c>
      <c r="J96" s="44">
        <f>'Paste cell here'!U95+'Paste cell here'!AF96</f>
        <v/>
      </c>
      <c r="K96" s="45">
        <f>'Paste cell here'!AG96</f>
        <v/>
      </c>
      <c r="L96" s="41">
        <f>IF(J96&lt;K96,"YES","NO")</f>
        <v/>
      </c>
      <c r="M96" s="1">
        <f>(Sintesi!$C$29*F96*1000)</f>
        <v/>
      </c>
      <c r="N96" s="1">
        <f>Sintesi!$C$30*F96*1000</f>
        <v/>
      </c>
      <c r="O96" s="1">
        <f>M96-N96</f>
        <v/>
      </c>
      <c r="P96" s="1">
        <f>Sintesi!$C$33*G96*1000</f>
        <v/>
      </c>
      <c r="Q96" s="1">
        <f>Sintesi!$C$34*G96*1000</f>
        <v/>
      </c>
      <c r="R96" s="1">
        <f>P96-Q96</f>
        <v/>
      </c>
    </row>
    <row r="97">
      <c r="A97" s="41" t="n">
        <v>96</v>
      </c>
      <c r="B97" s="42">
        <f>DATE(Sintesi!$C$4-1,12,31)+A97</f>
        <v/>
      </c>
      <c r="C97" s="41">
        <f>'Paste cell here'!B97</f>
        <v/>
      </c>
      <c r="D97" s="41">
        <f>'Paste cell here'!I97</f>
        <v/>
      </c>
      <c r="E97" s="1">
        <f>'Paste cell here'!H97</f>
        <v/>
      </c>
      <c r="F97" s="1">
        <f>Sintesi!$C$5</f>
        <v/>
      </c>
      <c r="G97" s="1">
        <f>'Paste cell here'!AA97</f>
        <v/>
      </c>
      <c r="H97" s="43">
        <f>'Paste cell here'!U97</f>
        <v/>
      </c>
      <c r="I97" s="43">
        <f>'Paste cell here'!AE97</f>
        <v/>
      </c>
      <c r="J97" s="44">
        <f>'Paste cell here'!U96+'Paste cell here'!AF97</f>
        <v/>
      </c>
      <c r="K97" s="45">
        <f>'Paste cell here'!AG97</f>
        <v/>
      </c>
      <c r="L97" s="41">
        <f>IF(J97&lt;K97,"YES","NO")</f>
        <v/>
      </c>
      <c r="M97" s="1">
        <f>(Sintesi!$C$29*F97*1000)</f>
        <v/>
      </c>
      <c r="N97" s="1">
        <f>Sintesi!$C$30*F97*1000</f>
        <v/>
      </c>
      <c r="O97" s="1">
        <f>M97-N97</f>
        <v/>
      </c>
      <c r="P97" s="1">
        <f>Sintesi!$C$33*G97*1000</f>
        <v/>
      </c>
      <c r="Q97" s="1">
        <f>Sintesi!$C$34*G97*1000</f>
        <v/>
      </c>
      <c r="R97" s="1">
        <f>P97-Q97</f>
        <v/>
      </c>
    </row>
    <row r="98">
      <c r="A98" s="41" t="n">
        <v>97</v>
      </c>
      <c r="B98" s="42">
        <f>DATE(Sintesi!$C$4-1,12,31)+A98</f>
        <v/>
      </c>
      <c r="C98" s="41">
        <f>'Paste cell here'!B98</f>
        <v/>
      </c>
      <c r="D98" s="41">
        <f>'Paste cell here'!I98</f>
        <v/>
      </c>
      <c r="E98" s="1">
        <f>'Paste cell here'!H98</f>
        <v/>
      </c>
      <c r="F98" s="1">
        <f>Sintesi!$C$5</f>
        <v/>
      </c>
      <c r="G98" s="1">
        <f>'Paste cell here'!AA98</f>
        <v/>
      </c>
      <c r="H98" s="43">
        <f>'Paste cell here'!U98</f>
        <v/>
      </c>
      <c r="I98" s="43">
        <f>'Paste cell here'!AE98</f>
        <v/>
      </c>
      <c r="J98" s="44">
        <f>'Paste cell here'!U97+'Paste cell here'!AF98</f>
        <v/>
      </c>
      <c r="K98" s="45">
        <f>'Paste cell here'!AG98</f>
        <v/>
      </c>
      <c r="L98" s="41">
        <f>IF(J98&lt;K98,"YES","NO")</f>
        <v/>
      </c>
      <c r="M98" s="1">
        <f>(Sintesi!$C$29*F98*1000)</f>
        <v/>
      </c>
      <c r="N98" s="1">
        <f>Sintesi!$C$30*F98*1000</f>
        <v/>
      </c>
      <c r="O98" s="1">
        <f>M98-N98</f>
        <v/>
      </c>
      <c r="P98" s="1">
        <f>Sintesi!$C$33*G98*1000</f>
        <v/>
      </c>
      <c r="Q98" s="1">
        <f>Sintesi!$C$34*G98*1000</f>
        <v/>
      </c>
      <c r="R98" s="1">
        <f>P98-Q98</f>
        <v/>
      </c>
    </row>
    <row r="99">
      <c r="A99" s="41" t="n">
        <v>98</v>
      </c>
      <c r="B99" s="42">
        <f>DATE(Sintesi!$C$4-1,12,31)+A99</f>
        <v/>
      </c>
      <c r="C99" s="41">
        <f>'Paste cell here'!B99</f>
        <v/>
      </c>
      <c r="D99" s="41">
        <f>'Paste cell here'!I99</f>
        <v/>
      </c>
      <c r="E99" s="1">
        <f>'Paste cell here'!H99</f>
        <v/>
      </c>
      <c r="F99" s="1">
        <f>Sintesi!$C$5</f>
        <v/>
      </c>
      <c r="G99" s="1">
        <f>'Paste cell here'!AA99</f>
        <v/>
      </c>
      <c r="H99" s="43">
        <f>'Paste cell here'!U99</f>
        <v/>
      </c>
      <c r="I99" s="43">
        <f>'Paste cell here'!AE99</f>
        <v/>
      </c>
      <c r="J99" s="44">
        <f>'Paste cell here'!U98+'Paste cell here'!AF99</f>
        <v/>
      </c>
      <c r="K99" s="45">
        <f>'Paste cell here'!AG99</f>
        <v/>
      </c>
      <c r="L99" s="41">
        <f>IF(J99&lt;K99,"YES","NO")</f>
        <v/>
      </c>
      <c r="M99" s="1">
        <f>(Sintesi!$C$29*F99*1000)</f>
        <v/>
      </c>
      <c r="N99" s="1">
        <f>Sintesi!$C$30*F99*1000</f>
        <v/>
      </c>
      <c r="O99" s="1">
        <f>M99-N99</f>
        <v/>
      </c>
      <c r="P99" s="1">
        <f>Sintesi!$C$33*G99*1000</f>
        <v/>
      </c>
      <c r="Q99" s="1">
        <f>Sintesi!$C$34*G99*1000</f>
        <v/>
      </c>
      <c r="R99" s="1">
        <f>P99-Q99</f>
        <v/>
      </c>
    </row>
    <row r="100">
      <c r="A100" s="41" t="n">
        <v>99</v>
      </c>
      <c r="B100" s="42">
        <f>DATE(Sintesi!$C$4-1,12,31)+A100</f>
        <v/>
      </c>
      <c r="C100" s="41">
        <f>'Paste cell here'!B100</f>
        <v/>
      </c>
      <c r="D100" s="41">
        <f>'Paste cell here'!I100</f>
        <v/>
      </c>
      <c r="E100" s="1">
        <f>'Paste cell here'!H100</f>
        <v/>
      </c>
      <c r="F100" s="1">
        <f>Sintesi!$C$5</f>
        <v/>
      </c>
      <c r="G100" s="1">
        <f>'Paste cell here'!AA100</f>
        <v/>
      </c>
      <c r="H100" s="43">
        <f>'Paste cell here'!U100</f>
        <v/>
      </c>
      <c r="I100" s="43">
        <f>'Paste cell here'!AE100</f>
        <v/>
      </c>
      <c r="J100" s="44">
        <f>'Paste cell here'!U99+'Paste cell here'!AF100</f>
        <v/>
      </c>
      <c r="K100" s="45">
        <f>'Paste cell here'!AG100</f>
        <v/>
      </c>
      <c r="L100" s="41">
        <f>IF(J100&lt;K100,"YES","NO")</f>
        <v/>
      </c>
      <c r="M100" s="1">
        <f>(Sintesi!$C$29*F100*1000)</f>
        <v/>
      </c>
      <c r="N100" s="1">
        <f>Sintesi!$C$30*F100*1000</f>
        <v/>
      </c>
      <c r="O100" s="1">
        <f>M100-N100</f>
        <v/>
      </c>
      <c r="P100" s="1">
        <f>Sintesi!$C$33*G100*1000</f>
        <v/>
      </c>
      <c r="Q100" s="1">
        <f>Sintesi!$C$34*G100*1000</f>
        <v/>
      </c>
      <c r="R100" s="1">
        <f>P100-Q100</f>
        <v/>
      </c>
    </row>
    <row r="101">
      <c r="A101" s="41" t="n">
        <v>100</v>
      </c>
      <c r="B101" s="42">
        <f>DATE(Sintesi!$C$4-1,12,31)+A101</f>
        <v/>
      </c>
      <c r="C101" s="41">
        <f>'Paste cell here'!B101</f>
        <v/>
      </c>
      <c r="D101" s="41">
        <f>'Paste cell here'!I101</f>
        <v/>
      </c>
      <c r="E101" s="1">
        <f>'Paste cell here'!H101</f>
        <v/>
      </c>
      <c r="F101" s="1">
        <f>Sintesi!$C$5</f>
        <v/>
      </c>
      <c r="G101" s="1">
        <f>'Paste cell here'!AA101</f>
        <v/>
      </c>
      <c r="H101" s="43">
        <f>'Paste cell here'!U101</f>
        <v/>
      </c>
      <c r="I101" s="43">
        <f>'Paste cell here'!AE101</f>
        <v/>
      </c>
      <c r="J101" s="44">
        <f>'Paste cell here'!U100+'Paste cell here'!AF101</f>
        <v/>
      </c>
      <c r="K101" s="45">
        <f>'Paste cell here'!AG101</f>
        <v/>
      </c>
      <c r="L101" s="41">
        <f>IF(J101&lt;K101,"YES","NO")</f>
        <v/>
      </c>
      <c r="M101" s="1">
        <f>(Sintesi!$C$29*F101*1000)</f>
        <v/>
      </c>
      <c r="N101" s="1">
        <f>Sintesi!$C$30*F101*1000</f>
        <v/>
      </c>
      <c r="O101" s="1">
        <f>M101-N101</f>
        <v/>
      </c>
      <c r="P101" s="1">
        <f>Sintesi!$C$33*G101*1000</f>
        <v/>
      </c>
      <c r="Q101" s="1">
        <f>Sintesi!$C$34*G101*1000</f>
        <v/>
      </c>
      <c r="R101" s="1">
        <f>P101-Q101</f>
        <v/>
      </c>
    </row>
    <row r="102">
      <c r="A102" s="41" t="n">
        <v>101</v>
      </c>
      <c r="B102" s="42">
        <f>DATE(Sintesi!$C$4-1,12,31)+A102</f>
        <v/>
      </c>
      <c r="C102" s="41">
        <f>'Paste cell here'!B102</f>
        <v/>
      </c>
      <c r="D102" s="41">
        <f>'Paste cell here'!I102</f>
        <v/>
      </c>
      <c r="E102" s="1">
        <f>'Paste cell here'!H102</f>
        <v/>
      </c>
      <c r="F102" s="1">
        <f>Sintesi!$C$5</f>
        <v/>
      </c>
      <c r="G102" s="1">
        <f>'Paste cell here'!AA102</f>
        <v/>
      </c>
      <c r="H102" s="43">
        <f>'Paste cell here'!U102</f>
        <v/>
      </c>
      <c r="I102" s="43">
        <f>'Paste cell here'!AE102</f>
        <v/>
      </c>
      <c r="J102" s="44">
        <f>'Paste cell here'!U101+'Paste cell here'!AF102</f>
        <v/>
      </c>
      <c r="K102" s="45">
        <f>'Paste cell here'!AG102</f>
        <v/>
      </c>
      <c r="L102" s="41">
        <f>IF(J102&lt;K102,"YES","NO")</f>
        <v/>
      </c>
      <c r="M102" s="1">
        <f>(Sintesi!$C$29*F102*1000)</f>
        <v/>
      </c>
      <c r="N102" s="1">
        <f>Sintesi!$C$30*F102*1000</f>
        <v/>
      </c>
      <c r="O102" s="1">
        <f>M102-N102</f>
        <v/>
      </c>
      <c r="P102" s="1">
        <f>Sintesi!$C$33*G102*1000</f>
        <v/>
      </c>
      <c r="Q102" s="1">
        <f>Sintesi!$C$34*G102*1000</f>
        <v/>
      </c>
      <c r="R102" s="1">
        <f>P102-Q102</f>
        <v/>
      </c>
    </row>
    <row r="103">
      <c r="A103" s="41" t="n">
        <v>102</v>
      </c>
      <c r="B103" s="42">
        <f>DATE(Sintesi!$C$4-1,12,31)+A103</f>
        <v/>
      </c>
      <c r="C103" s="41">
        <f>'Paste cell here'!B103</f>
        <v/>
      </c>
      <c r="D103" s="41">
        <f>'Paste cell here'!I103</f>
        <v/>
      </c>
      <c r="E103" s="1">
        <f>'Paste cell here'!H103</f>
        <v/>
      </c>
      <c r="F103" s="1">
        <f>Sintesi!$C$5</f>
        <v/>
      </c>
      <c r="G103" s="1">
        <f>'Paste cell here'!AA103</f>
        <v/>
      </c>
      <c r="H103" s="43">
        <f>'Paste cell here'!U103</f>
        <v/>
      </c>
      <c r="I103" s="43">
        <f>'Paste cell here'!AE103</f>
        <v/>
      </c>
      <c r="J103" s="44">
        <f>'Paste cell here'!U102+'Paste cell here'!AF103</f>
        <v/>
      </c>
      <c r="K103" s="45">
        <f>'Paste cell here'!AG103</f>
        <v/>
      </c>
      <c r="L103" s="41">
        <f>IF(J103&lt;K103,"YES","NO")</f>
        <v/>
      </c>
      <c r="M103" s="1">
        <f>(Sintesi!$C$29*F103*1000)</f>
        <v/>
      </c>
      <c r="N103" s="1">
        <f>Sintesi!$C$30*F103*1000</f>
        <v/>
      </c>
      <c r="O103" s="1">
        <f>M103-N103</f>
        <v/>
      </c>
      <c r="P103" s="1">
        <f>Sintesi!$C$33*G103*1000</f>
        <v/>
      </c>
      <c r="Q103" s="1">
        <f>Sintesi!$C$34*G103*1000</f>
        <v/>
      </c>
      <c r="R103" s="1">
        <f>P103-Q103</f>
        <v/>
      </c>
    </row>
    <row r="104">
      <c r="A104" s="41" t="n">
        <v>103</v>
      </c>
      <c r="B104" s="42">
        <f>DATE(Sintesi!$C$4-1,12,31)+A104</f>
        <v/>
      </c>
      <c r="C104" s="41">
        <f>'Paste cell here'!B104</f>
        <v/>
      </c>
      <c r="D104" s="41">
        <f>'Paste cell here'!I104</f>
        <v/>
      </c>
      <c r="E104" s="1">
        <f>'Paste cell here'!H104</f>
        <v/>
      </c>
      <c r="F104" s="1">
        <f>Sintesi!$C$5</f>
        <v/>
      </c>
      <c r="G104" s="1">
        <f>'Paste cell here'!AA104</f>
        <v/>
      </c>
      <c r="H104" s="43">
        <f>'Paste cell here'!U104</f>
        <v/>
      </c>
      <c r="I104" s="43">
        <f>'Paste cell here'!AE104</f>
        <v/>
      </c>
      <c r="J104" s="44">
        <f>'Paste cell here'!U103+'Paste cell here'!AF104</f>
        <v/>
      </c>
      <c r="K104" s="45">
        <f>'Paste cell here'!AG104</f>
        <v/>
      </c>
      <c r="L104" s="41">
        <f>IF(J104&lt;K104,"YES","NO")</f>
        <v/>
      </c>
      <c r="M104" s="1">
        <f>(Sintesi!$C$29*F104*1000)</f>
        <v/>
      </c>
      <c r="N104" s="1">
        <f>Sintesi!$C$30*F104*1000</f>
        <v/>
      </c>
      <c r="O104" s="1">
        <f>M104-N104</f>
        <v/>
      </c>
      <c r="P104" s="1">
        <f>Sintesi!$C$33*G104*1000</f>
        <v/>
      </c>
      <c r="Q104" s="1">
        <f>Sintesi!$C$34*G104*1000</f>
        <v/>
      </c>
      <c r="R104" s="1">
        <f>P104-Q104</f>
        <v/>
      </c>
    </row>
    <row r="105">
      <c r="A105" s="41" t="n">
        <v>104</v>
      </c>
      <c r="B105" s="42">
        <f>DATE(Sintesi!$C$4-1,12,31)+A105</f>
        <v/>
      </c>
      <c r="C105" s="41">
        <f>'Paste cell here'!B105</f>
        <v/>
      </c>
      <c r="D105" s="41">
        <f>'Paste cell here'!I105</f>
        <v/>
      </c>
      <c r="E105" s="1">
        <f>'Paste cell here'!H105</f>
        <v/>
      </c>
      <c r="F105" s="1">
        <f>Sintesi!$C$5</f>
        <v/>
      </c>
      <c r="G105" s="1">
        <f>'Paste cell here'!AA105</f>
        <v/>
      </c>
      <c r="H105" s="43">
        <f>'Paste cell here'!U105</f>
        <v/>
      </c>
      <c r="I105" s="43">
        <f>'Paste cell here'!AE105</f>
        <v/>
      </c>
      <c r="J105" s="44">
        <f>'Paste cell here'!U104+'Paste cell here'!AF105</f>
        <v/>
      </c>
      <c r="K105" s="45">
        <f>'Paste cell here'!AG105</f>
        <v/>
      </c>
      <c r="L105" s="41">
        <f>IF(J105&lt;K105,"YES","NO")</f>
        <v/>
      </c>
      <c r="M105" s="1">
        <f>(Sintesi!$C$29*F105*1000)</f>
        <v/>
      </c>
      <c r="N105" s="1">
        <f>Sintesi!$C$30*F105*1000</f>
        <v/>
      </c>
      <c r="O105" s="1">
        <f>M105-N105</f>
        <v/>
      </c>
      <c r="P105" s="1">
        <f>Sintesi!$C$33*G105*1000</f>
        <v/>
      </c>
      <c r="Q105" s="1">
        <f>Sintesi!$C$34*G105*1000</f>
        <v/>
      </c>
      <c r="R105" s="1">
        <f>P105-Q105</f>
        <v/>
      </c>
    </row>
    <row r="106">
      <c r="A106" s="41" t="n">
        <v>105</v>
      </c>
      <c r="B106" s="42">
        <f>DATE(Sintesi!$C$4-1,12,31)+A106</f>
        <v/>
      </c>
      <c r="C106" s="41">
        <f>'Paste cell here'!B106</f>
        <v/>
      </c>
      <c r="D106" s="41">
        <f>'Paste cell here'!I106</f>
        <v/>
      </c>
      <c r="E106" s="1">
        <f>'Paste cell here'!H106</f>
        <v/>
      </c>
      <c r="F106" s="1">
        <f>Sintesi!$C$5</f>
        <v/>
      </c>
      <c r="G106" s="1">
        <f>'Paste cell here'!AA106</f>
        <v/>
      </c>
      <c r="H106" s="43">
        <f>'Paste cell here'!U106</f>
        <v/>
      </c>
      <c r="I106" s="43">
        <f>'Paste cell here'!AE106</f>
        <v/>
      </c>
      <c r="J106" s="44">
        <f>'Paste cell here'!U105+'Paste cell here'!AF106</f>
        <v/>
      </c>
      <c r="K106" s="45">
        <f>'Paste cell here'!AG106</f>
        <v/>
      </c>
      <c r="L106" s="41">
        <f>IF(J106&lt;K106,"YES","NO")</f>
        <v/>
      </c>
      <c r="M106" s="1">
        <f>(Sintesi!$C$29*F106*1000)</f>
        <v/>
      </c>
      <c r="N106" s="1">
        <f>Sintesi!$C$30*F106*1000</f>
        <v/>
      </c>
      <c r="O106" s="1">
        <f>M106-N106</f>
        <v/>
      </c>
      <c r="P106" s="1">
        <f>Sintesi!$C$33*G106*1000</f>
        <v/>
      </c>
      <c r="Q106" s="1">
        <f>Sintesi!$C$34*G106*1000</f>
        <v/>
      </c>
      <c r="R106" s="1">
        <f>P106-Q106</f>
        <v/>
      </c>
    </row>
    <row r="107">
      <c r="A107" s="41" t="n">
        <v>106</v>
      </c>
      <c r="B107" s="42">
        <f>DATE(Sintesi!$C$4-1,12,31)+A107</f>
        <v/>
      </c>
      <c r="C107" s="41">
        <f>'Paste cell here'!B107</f>
        <v/>
      </c>
      <c r="D107" s="41">
        <f>'Paste cell here'!I107</f>
        <v/>
      </c>
      <c r="E107" s="1">
        <f>'Paste cell here'!H107</f>
        <v/>
      </c>
      <c r="F107" s="1">
        <f>Sintesi!$C$5</f>
        <v/>
      </c>
      <c r="G107" s="1">
        <f>'Paste cell here'!AA107</f>
        <v/>
      </c>
      <c r="H107" s="43">
        <f>'Paste cell here'!U107</f>
        <v/>
      </c>
      <c r="I107" s="43">
        <f>'Paste cell here'!AE107</f>
        <v/>
      </c>
      <c r="J107" s="44">
        <f>'Paste cell here'!U106+'Paste cell here'!AF107</f>
        <v/>
      </c>
      <c r="K107" s="45">
        <f>'Paste cell here'!AG107</f>
        <v/>
      </c>
      <c r="L107" s="41">
        <f>IF(J107&lt;K107,"YES","NO")</f>
        <v/>
      </c>
      <c r="M107" s="1">
        <f>(Sintesi!$C$29*F107*1000)</f>
        <v/>
      </c>
      <c r="N107" s="1">
        <f>Sintesi!$C$30*F107*1000</f>
        <v/>
      </c>
      <c r="O107" s="1">
        <f>M107-N107</f>
        <v/>
      </c>
      <c r="P107" s="1">
        <f>Sintesi!$C$33*G107*1000</f>
        <v/>
      </c>
      <c r="Q107" s="1">
        <f>Sintesi!$C$34*G107*1000</f>
        <v/>
      </c>
      <c r="R107" s="1">
        <f>P107-Q107</f>
        <v/>
      </c>
    </row>
    <row r="108">
      <c r="A108" s="41" t="n">
        <v>107</v>
      </c>
      <c r="B108" s="42">
        <f>DATE(Sintesi!$C$4-1,12,31)+A108</f>
        <v/>
      </c>
      <c r="C108" s="41">
        <f>'Paste cell here'!B108</f>
        <v/>
      </c>
      <c r="D108" s="41">
        <f>'Paste cell here'!I108</f>
        <v/>
      </c>
      <c r="E108" s="1">
        <f>'Paste cell here'!H108</f>
        <v/>
      </c>
      <c r="F108" s="1">
        <f>Sintesi!$C$5</f>
        <v/>
      </c>
      <c r="G108" s="1">
        <f>'Paste cell here'!AA108</f>
        <v/>
      </c>
      <c r="H108" s="43">
        <f>'Paste cell here'!U108</f>
        <v/>
      </c>
      <c r="I108" s="43">
        <f>'Paste cell here'!AE108</f>
        <v/>
      </c>
      <c r="J108" s="44">
        <f>'Paste cell here'!U107+'Paste cell here'!AF108</f>
        <v/>
      </c>
      <c r="K108" s="45">
        <f>'Paste cell here'!AG108</f>
        <v/>
      </c>
      <c r="L108" s="41">
        <f>IF(J108&lt;K108,"YES","NO")</f>
        <v/>
      </c>
      <c r="M108" s="1">
        <f>(Sintesi!$C$29*F108*1000)</f>
        <v/>
      </c>
      <c r="N108" s="1">
        <f>Sintesi!$C$30*F108*1000</f>
        <v/>
      </c>
      <c r="O108" s="1">
        <f>M108-N108</f>
        <v/>
      </c>
      <c r="P108" s="1">
        <f>Sintesi!$C$33*G108*1000</f>
        <v/>
      </c>
      <c r="Q108" s="1">
        <f>Sintesi!$C$34*G108*1000</f>
        <v/>
      </c>
      <c r="R108" s="1">
        <f>P108-Q108</f>
        <v/>
      </c>
    </row>
    <row r="109">
      <c r="A109" s="41" t="n">
        <v>108</v>
      </c>
      <c r="B109" s="42">
        <f>DATE(Sintesi!$C$4-1,12,31)+A109</f>
        <v/>
      </c>
      <c r="C109" s="41">
        <f>'Paste cell here'!B109</f>
        <v/>
      </c>
      <c r="D109" s="41">
        <f>'Paste cell here'!I109</f>
        <v/>
      </c>
      <c r="E109" s="1">
        <f>'Paste cell here'!H109</f>
        <v/>
      </c>
      <c r="F109" s="1">
        <f>Sintesi!$C$5</f>
        <v/>
      </c>
      <c r="G109" s="1">
        <f>'Paste cell here'!AA109</f>
        <v/>
      </c>
      <c r="H109" s="43">
        <f>'Paste cell here'!U109</f>
        <v/>
      </c>
      <c r="I109" s="43">
        <f>'Paste cell here'!AE109</f>
        <v/>
      </c>
      <c r="J109" s="44">
        <f>'Paste cell here'!U108+'Paste cell here'!AF109</f>
        <v/>
      </c>
      <c r="K109" s="45">
        <f>'Paste cell here'!AG109</f>
        <v/>
      </c>
      <c r="L109" s="41">
        <f>IF(J109&lt;K109,"YES","NO")</f>
        <v/>
      </c>
      <c r="M109" s="1">
        <f>(Sintesi!$C$29*F109*1000)</f>
        <v/>
      </c>
      <c r="N109" s="1">
        <f>Sintesi!$C$30*F109*1000</f>
        <v/>
      </c>
      <c r="O109" s="1">
        <f>M109-N109</f>
        <v/>
      </c>
      <c r="P109" s="1">
        <f>Sintesi!$C$33*G109*1000</f>
        <v/>
      </c>
      <c r="Q109" s="1">
        <f>Sintesi!$C$34*G109*1000</f>
        <v/>
      </c>
      <c r="R109" s="1">
        <f>P109-Q109</f>
        <v/>
      </c>
    </row>
    <row r="110">
      <c r="A110" s="41" t="n">
        <v>109</v>
      </c>
      <c r="B110" s="42">
        <f>DATE(Sintesi!$C$4-1,12,31)+A110</f>
        <v/>
      </c>
      <c r="C110" s="41">
        <f>'Paste cell here'!B110</f>
        <v/>
      </c>
      <c r="D110" s="41">
        <f>'Paste cell here'!I110</f>
        <v/>
      </c>
      <c r="E110" s="1">
        <f>'Paste cell here'!H110</f>
        <v/>
      </c>
      <c r="F110" s="1">
        <f>Sintesi!$C$5</f>
        <v/>
      </c>
      <c r="G110" s="1">
        <f>'Paste cell here'!AA110</f>
        <v/>
      </c>
      <c r="H110" s="43">
        <f>'Paste cell here'!U110</f>
        <v/>
      </c>
      <c r="I110" s="43">
        <f>'Paste cell here'!AE110</f>
        <v/>
      </c>
      <c r="J110" s="44">
        <f>'Paste cell here'!U109+'Paste cell here'!AF110</f>
        <v/>
      </c>
      <c r="K110" s="45">
        <f>'Paste cell here'!AG110</f>
        <v/>
      </c>
      <c r="L110" s="41">
        <f>IF(J110&lt;K110,"YES","NO")</f>
        <v/>
      </c>
      <c r="M110" s="1">
        <f>(Sintesi!$C$29*F110*1000)</f>
        <v/>
      </c>
      <c r="N110" s="1">
        <f>Sintesi!$C$30*F110*1000</f>
        <v/>
      </c>
      <c r="O110" s="1">
        <f>M110-N110</f>
        <v/>
      </c>
      <c r="P110" s="1">
        <f>Sintesi!$C$33*G110*1000</f>
        <v/>
      </c>
      <c r="Q110" s="1">
        <f>Sintesi!$C$34*G110*1000</f>
        <v/>
      </c>
      <c r="R110" s="1">
        <f>P110-Q110</f>
        <v/>
      </c>
    </row>
    <row r="111">
      <c r="A111" s="41" t="n">
        <v>110</v>
      </c>
      <c r="B111" s="42">
        <f>DATE(Sintesi!$C$4-1,12,31)+A111</f>
        <v/>
      </c>
      <c r="C111" s="41">
        <f>'Paste cell here'!B111</f>
        <v/>
      </c>
      <c r="D111" s="41">
        <f>'Paste cell here'!I111</f>
        <v/>
      </c>
      <c r="E111" s="1">
        <f>'Paste cell here'!H111</f>
        <v/>
      </c>
      <c r="F111" s="1">
        <f>Sintesi!$C$5</f>
        <v/>
      </c>
      <c r="G111" s="1">
        <f>'Paste cell here'!AA111</f>
        <v/>
      </c>
      <c r="H111" s="43">
        <f>'Paste cell here'!U111</f>
        <v/>
      </c>
      <c r="I111" s="43">
        <f>'Paste cell here'!AE111</f>
        <v/>
      </c>
      <c r="J111" s="44">
        <f>'Paste cell here'!U110+'Paste cell here'!AF111</f>
        <v/>
      </c>
      <c r="K111" s="45">
        <f>'Paste cell here'!AG111</f>
        <v/>
      </c>
      <c r="L111" s="41">
        <f>IF(J111&lt;K111,"YES","NO")</f>
        <v/>
      </c>
      <c r="M111" s="1">
        <f>(Sintesi!$C$29*F111*1000)</f>
        <v/>
      </c>
      <c r="N111" s="1">
        <f>Sintesi!$C$30*F111*1000</f>
        <v/>
      </c>
      <c r="O111" s="1">
        <f>M111-N111</f>
        <v/>
      </c>
      <c r="P111" s="1">
        <f>Sintesi!$C$33*G111*1000</f>
        <v/>
      </c>
      <c r="Q111" s="1">
        <f>Sintesi!$C$34*G111*1000</f>
        <v/>
      </c>
      <c r="R111" s="1">
        <f>P111-Q111</f>
        <v/>
      </c>
    </row>
    <row r="112">
      <c r="A112" s="41" t="n">
        <v>111</v>
      </c>
      <c r="B112" s="42">
        <f>DATE(Sintesi!$C$4-1,12,31)+A112</f>
        <v/>
      </c>
      <c r="C112" s="41">
        <f>'Paste cell here'!B112</f>
        <v/>
      </c>
      <c r="D112" s="41">
        <f>'Paste cell here'!I112</f>
        <v/>
      </c>
      <c r="E112" s="1">
        <f>'Paste cell here'!H112</f>
        <v/>
      </c>
      <c r="F112" s="1">
        <f>Sintesi!$C$5</f>
        <v/>
      </c>
      <c r="G112" s="1">
        <f>'Paste cell here'!AA112</f>
        <v/>
      </c>
      <c r="H112" s="43">
        <f>'Paste cell here'!U112</f>
        <v/>
      </c>
      <c r="I112" s="43">
        <f>'Paste cell here'!AE112</f>
        <v/>
      </c>
      <c r="J112" s="44">
        <f>'Paste cell here'!U111+'Paste cell here'!AF112</f>
        <v/>
      </c>
      <c r="K112" s="45">
        <f>'Paste cell here'!AG112</f>
        <v/>
      </c>
      <c r="L112" s="41">
        <f>IF(J112&lt;K112,"YES","NO")</f>
        <v/>
      </c>
      <c r="M112" s="1">
        <f>(Sintesi!$C$29*F112*1000)</f>
        <v/>
      </c>
      <c r="N112" s="1">
        <f>Sintesi!$C$30*F112*1000</f>
        <v/>
      </c>
      <c r="O112" s="1">
        <f>M112-N112</f>
        <v/>
      </c>
      <c r="P112" s="1">
        <f>Sintesi!$C$33*G112*1000</f>
        <v/>
      </c>
      <c r="Q112" s="1">
        <f>Sintesi!$C$34*G112*1000</f>
        <v/>
      </c>
      <c r="R112" s="1">
        <f>P112-Q112</f>
        <v/>
      </c>
    </row>
    <row r="113">
      <c r="A113" s="41" t="n">
        <v>112</v>
      </c>
      <c r="B113" s="42">
        <f>DATE(Sintesi!$C$4-1,12,31)+A113</f>
        <v/>
      </c>
      <c r="C113" s="41">
        <f>'Paste cell here'!B113</f>
        <v/>
      </c>
      <c r="D113" s="41">
        <f>'Paste cell here'!I113</f>
        <v/>
      </c>
      <c r="E113" s="1">
        <f>'Paste cell here'!H113</f>
        <v/>
      </c>
      <c r="F113" s="1">
        <f>Sintesi!$C$5</f>
        <v/>
      </c>
      <c r="G113" s="1">
        <f>'Paste cell here'!AA113</f>
        <v/>
      </c>
      <c r="H113" s="43">
        <f>'Paste cell here'!U113</f>
        <v/>
      </c>
      <c r="I113" s="43">
        <f>'Paste cell here'!AE113</f>
        <v/>
      </c>
      <c r="J113" s="44">
        <f>'Paste cell here'!U112+'Paste cell here'!AF113</f>
        <v/>
      </c>
      <c r="K113" s="45">
        <f>'Paste cell here'!AG113</f>
        <v/>
      </c>
      <c r="L113" s="41">
        <f>IF(J113&lt;K113,"YES","NO")</f>
        <v/>
      </c>
      <c r="M113" s="1">
        <f>(Sintesi!$C$29*F113*1000)</f>
        <v/>
      </c>
      <c r="N113" s="1">
        <f>Sintesi!$C$30*F113*1000</f>
        <v/>
      </c>
      <c r="O113" s="1">
        <f>M113-N113</f>
        <v/>
      </c>
      <c r="P113" s="1">
        <f>Sintesi!$C$33*G113*1000</f>
        <v/>
      </c>
      <c r="Q113" s="1">
        <f>Sintesi!$C$34*G113*1000</f>
        <v/>
      </c>
      <c r="R113" s="1">
        <f>P113-Q113</f>
        <v/>
      </c>
    </row>
    <row r="114">
      <c r="A114" s="41" t="n">
        <v>113</v>
      </c>
      <c r="B114" s="42">
        <f>DATE(Sintesi!$C$4-1,12,31)+A114</f>
        <v/>
      </c>
      <c r="C114" s="41">
        <f>'Paste cell here'!B114</f>
        <v/>
      </c>
      <c r="D114" s="41">
        <f>'Paste cell here'!I114</f>
        <v/>
      </c>
      <c r="E114" s="1">
        <f>'Paste cell here'!H114</f>
        <v/>
      </c>
      <c r="F114" s="1">
        <f>Sintesi!$C$5</f>
        <v/>
      </c>
      <c r="G114" s="1">
        <f>'Paste cell here'!AA114</f>
        <v/>
      </c>
      <c r="H114" s="43">
        <f>'Paste cell here'!U114</f>
        <v/>
      </c>
      <c r="I114" s="43">
        <f>'Paste cell here'!AE114</f>
        <v/>
      </c>
      <c r="J114" s="44">
        <f>'Paste cell here'!U113+'Paste cell here'!AF114</f>
        <v/>
      </c>
      <c r="K114" s="45">
        <f>'Paste cell here'!AG114</f>
        <v/>
      </c>
      <c r="L114" s="41">
        <f>IF(J114&lt;K114,"YES","NO")</f>
        <v/>
      </c>
      <c r="M114" s="1">
        <f>(Sintesi!$C$29*F114*1000)</f>
        <v/>
      </c>
      <c r="N114" s="1">
        <f>Sintesi!$C$30*F114*1000</f>
        <v/>
      </c>
      <c r="O114" s="1">
        <f>M114-N114</f>
        <v/>
      </c>
      <c r="P114" s="1">
        <f>Sintesi!$C$33*G114*1000</f>
        <v/>
      </c>
      <c r="Q114" s="1">
        <f>Sintesi!$C$34*G114*1000</f>
        <v/>
      </c>
      <c r="R114" s="1">
        <f>P114-Q114</f>
        <v/>
      </c>
    </row>
    <row r="115">
      <c r="A115" s="41" t="n">
        <v>114</v>
      </c>
      <c r="B115" s="42">
        <f>DATE(Sintesi!$C$4-1,12,31)+A115</f>
        <v/>
      </c>
      <c r="C115" s="41">
        <f>'Paste cell here'!B115</f>
        <v/>
      </c>
      <c r="D115" s="41">
        <f>'Paste cell here'!I115</f>
        <v/>
      </c>
      <c r="E115" s="1">
        <f>'Paste cell here'!H115</f>
        <v/>
      </c>
      <c r="F115" s="1">
        <f>Sintesi!$C$5</f>
        <v/>
      </c>
      <c r="G115" s="1">
        <f>'Paste cell here'!AA115</f>
        <v/>
      </c>
      <c r="H115" s="43">
        <f>'Paste cell here'!U115</f>
        <v/>
      </c>
      <c r="I115" s="43">
        <f>'Paste cell here'!AE115</f>
        <v/>
      </c>
      <c r="J115" s="44">
        <f>'Paste cell here'!U114+'Paste cell here'!AF115</f>
        <v/>
      </c>
      <c r="K115" s="45">
        <f>'Paste cell here'!AG115</f>
        <v/>
      </c>
      <c r="L115" s="41">
        <f>IF(J115&lt;K115,"YES","NO")</f>
        <v/>
      </c>
      <c r="M115" s="1">
        <f>(Sintesi!$C$29*F115*1000)</f>
        <v/>
      </c>
      <c r="N115" s="1">
        <f>Sintesi!$C$30*F115*1000</f>
        <v/>
      </c>
      <c r="O115" s="1">
        <f>M115-N115</f>
        <v/>
      </c>
      <c r="P115" s="1">
        <f>Sintesi!$C$33*G115*1000</f>
        <v/>
      </c>
      <c r="Q115" s="1">
        <f>Sintesi!$C$34*G115*1000</f>
        <v/>
      </c>
      <c r="R115" s="1">
        <f>P115-Q115</f>
        <v/>
      </c>
    </row>
    <row r="116">
      <c r="A116" s="41" t="n">
        <v>115</v>
      </c>
      <c r="B116" s="42">
        <f>DATE(Sintesi!$C$4-1,12,31)+A116</f>
        <v/>
      </c>
      <c r="C116" s="41">
        <f>'Paste cell here'!B116</f>
        <v/>
      </c>
      <c r="D116" s="41">
        <f>'Paste cell here'!I116</f>
        <v/>
      </c>
      <c r="E116" s="1">
        <f>'Paste cell here'!H116</f>
        <v/>
      </c>
      <c r="F116" s="1">
        <f>Sintesi!$C$5</f>
        <v/>
      </c>
      <c r="G116" s="1">
        <f>'Paste cell here'!AA116</f>
        <v/>
      </c>
      <c r="H116" s="43">
        <f>'Paste cell here'!U116</f>
        <v/>
      </c>
      <c r="I116" s="43">
        <f>'Paste cell here'!AE116</f>
        <v/>
      </c>
      <c r="J116" s="44">
        <f>'Paste cell here'!U115+'Paste cell here'!AF116</f>
        <v/>
      </c>
      <c r="K116" s="45">
        <f>'Paste cell here'!AG116</f>
        <v/>
      </c>
      <c r="L116" s="41">
        <f>IF(J116&lt;K116,"YES","NO")</f>
        <v/>
      </c>
      <c r="M116" s="1">
        <f>(Sintesi!$C$29*F116*1000)</f>
        <v/>
      </c>
      <c r="N116" s="1">
        <f>Sintesi!$C$30*F116*1000</f>
        <v/>
      </c>
      <c r="O116" s="1">
        <f>M116-N116</f>
        <v/>
      </c>
      <c r="P116" s="1">
        <f>Sintesi!$C$33*G116*1000</f>
        <v/>
      </c>
      <c r="Q116" s="1">
        <f>Sintesi!$C$34*G116*1000</f>
        <v/>
      </c>
      <c r="R116" s="1">
        <f>P116-Q116</f>
        <v/>
      </c>
    </row>
    <row r="117">
      <c r="A117" s="41" t="n">
        <v>116</v>
      </c>
      <c r="B117" s="42">
        <f>DATE(Sintesi!$C$4-1,12,31)+A117</f>
        <v/>
      </c>
      <c r="C117" s="41">
        <f>'Paste cell here'!B117</f>
        <v/>
      </c>
      <c r="D117" s="41">
        <f>'Paste cell here'!I117</f>
        <v/>
      </c>
      <c r="E117" s="1">
        <f>'Paste cell here'!H117</f>
        <v/>
      </c>
      <c r="F117" s="1">
        <f>Sintesi!$C$5</f>
        <v/>
      </c>
      <c r="G117" s="1">
        <f>'Paste cell here'!AA117</f>
        <v/>
      </c>
      <c r="H117" s="43">
        <f>'Paste cell here'!U117</f>
        <v/>
      </c>
      <c r="I117" s="43">
        <f>'Paste cell here'!AE117</f>
        <v/>
      </c>
      <c r="J117" s="44">
        <f>'Paste cell here'!U116+'Paste cell here'!AF117</f>
        <v/>
      </c>
      <c r="K117" s="45">
        <f>'Paste cell here'!AG117</f>
        <v/>
      </c>
      <c r="L117" s="41">
        <f>IF(J117&lt;K117,"YES","NO")</f>
        <v/>
      </c>
      <c r="M117" s="1">
        <f>(Sintesi!$C$29*F117*1000)</f>
        <v/>
      </c>
      <c r="N117" s="1">
        <f>Sintesi!$C$30*F117*1000</f>
        <v/>
      </c>
      <c r="O117" s="1">
        <f>M117-N117</f>
        <v/>
      </c>
      <c r="P117" s="1">
        <f>Sintesi!$C$33*G117*1000</f>
        <v/>
      </c>
      <c r="Q117" s="1">
        <f>Sintesi!$C$34*G117*1000</f>
        <v/>
      </c>
      <c r="R117" s="1">
        <f>P117-Q117</f>
        <v/>
      </c>
    </row>
    <row r="118">
      <c r="A118" s="41" t="n">
        <v>117</v>
      </c>
      <c r="B118" s="42">
        <f>DATE(Sintesi!$C$4-1,12,31)+A118</f>
        <v/>
      </c>
      <c r="C118" s="41">
        <f>'Paste cell here'!B118</f>
        <v/>
      </c>
      <c r="D118" s="41">
        <f>'Paste cell here'!I118</f>
        <v/>
      </c>
      <c r="E118" s="1">
        <f>'Paste cell here'!H118</f>
        <v/>
      </c>
      <c r="F118" s="1">
        <f>Sintesi!$C$5</f>
        <v/>
      </c>
      <c r="G118" s="1">
        <f>'Paste cell here'!AA118</f>
        <v/>
      </c>
      <c r="H118" s="43">
        <f>'Paste cell here'!U118</f>
        <v/>
      </c>
      <c r="I118" s="43">
        <f>'Paste cell here'!AE118</f>
        <v/>
      </c>
      <c r="J118" s="44">
        <f>'Paste cell here'!U117+'Paste cell here'!AF118</f>
        <v/>
      </c>
      <c r="K118" s="45">
        <f>'Paste cell here'!AG118</f>
        <v/>
      </c>
      <c r="L118" s="41">
        <f>IF(J118&lt;K118,"YES","NO")</f>
        <v/>
      </c>
      <c r="M118" s="1">
        <f>(Sintesi!$C$29*F118*1000)</f>
        <v/>
      </c>
      <c r="N118" s="1">
        <f>Sintesi!$C$30*F118*1000</f>
        <v/>
      </c>
      <c r="O118" s="1">
        <f>M118-N118</f>
        <v/>
      </c>
      <c r="P118" s="1">
        <f>Sintesi!$C$33*G118*1000</f>
        <v/>
      </c>
      <c r="Q118" s="1">
        <f>Sintesi!$C$34*G118*1000</f>
        <v/>
      </c>
      <c r="R118" s="1">
        <f>P118-Q118</f>
        <v/>
      </c>
    </row>
    <row r="119">
      <c r="A119" s="41" t="n">
        <v>118</v>
      </c>
      <c r="B119" s="42">
        <f>DATE(Sintesi!$C$4-1,12,31)+A119</f>
        <v/>
      </c>
      <c r="C119" s="41">
        <f>'Paste cell here'!B119</f>
        <v/>
      </c>
      <c r="D119" s="41">
        <f>'Paste cell here'!I119</f>
        <v/>
      </c>
      <c r="E119" s="1">
        <f>'Paste cell here'!H119</f>
        <v/>
      </c>
      <c r="F119" s="1">
        <f>Sintesi!$C$5</f>
        <v/>
      </c>
      <c r="G119" s="1">
        <f>'Paste cell here'!AA119</f>
        <v/>
      </c>
      <c r="H119" s="43">
        <f>'Paste cell here'!U119</f>
        <v/>
      </c>
      <c r="I119" s="43">
        <f>'Paste cell here'!AE119</f>
        <v/>
      </c>
      <c r="J119" s="44">
        <f>'Paste cell here'!U118+'Paste cell here'!AF119</f>
        <v/>
      </c>
      <c r="K119" s="45">
        <f>'Paste cell here'!AG119</f>
        <v/>
      </c>
      <c r="L119" s="41">
        <f>IF(J119&lt;K119,"YES","NO")</f>
        <v/>
      </c>
      <c r="M119" s="1">
        <f>(Sintesi!$C$29*F119*1000)</f>
        <v/>
      </c>
      <c r="N119" s="1">
        <f>Sintesi!$C$30*F119*1000</f>
        <v/>
      </c>
      <c r="O119" s="1">
        <f>M119-N119</f>
        <v/>
      </c>
      <c r="P119" s="1">
        <f>Sintesi!$C$33*G119*1000</f>
        <v/>
      </c>
      <c r="Q119" s="1">
        <f>Sintesi!$C$34*G119*1000</f>
        <v/>
      </c>
      <c r="R119" s="1">
        <f>P119-Q119</f>
        <v/>
      </c>
    </row>
    <row r="120">
      <c r="A120" s="41" t="n">
        <v>119</v>
      </c>
      <c r="B120" s="42">
        <f>DATE(Sintesi!$C$4-1,12,31)+A120</f>
        <v/>
      </c>
      <c r="C120" s="41">
        <f>'Paste cell here'!B120</f>
        <v/>
      </c>
      <c r="D120" s="41">
        <f>'Paste cell here'!I120</f>
        <v/>
      </c>
      <c r="E120" s="1">
        <f>'Paste cell here'!H120</f>
        <v/>
      </c>
      <c r="F120" s="1">
        <f>Sintesi!$C$5</f>
        <v/>
      </c>
      <c r="G120" s="1">
        <f>'Paste cell here'!AA120</f>
        <v/>
      </c>
      <c r="H120" s="43">
        <f>'Paste cell here'!U120</f>
        <v/>
      </c>
      <c r="I120" s="43">
        <f>'Paste cell here'!AE120</f>
        <v/>
      </c>
      <c r="J120" s="44">
        <f>'Paste cell here'!U119+'Paste cell here'!AF120</f>
        <v/>
      </c>
      <c r="K120" s="45">
        <f>'Paste cell here'!AG120</f>
        <v/>
      </c>
      <c r="L120" s="41">
        <f>IF(J120&lt;K120,"YES","NO")</f>
        <v/>
      </c>
      <c r="M120" s="1">
        <f>(Sintesi!$C$29*F120*1000)</f>
        <v/>
      </c>
      <c r="N120" s="1">
        <f>Sintesi!$C$30*F120*1000</f>
        <v/>
      </c>
      <c r="O120" s="1">
        <f>M120-N120</f>
        <v/>
      </c>
      <c r="P120" s="1">
        <f>Sintesi!$C$33*G120*1000</f>
        <v/>
      </c>
      <c r="Q120" s="1">
        <f>Sintesi!$C$34*G120*1000</f>
        <v/>
      </c>
      <c r="R120" s="1">
        <f>P120-Q120</f>
        <v/>
      </c>
    </row>
    <row r="121">
      <c r="A121" s="41" t="n">
        <v>120</v>
      </c>
      <c r="B121" s="42">
        <f>DATE(Sintesi!$C$4-1,12,31)+A121</f>
        <v/>
      </c>
      <c r="C121" s="41">
        <f>'Paste cell here'!B121</f>
        <v/>
      </c>
      <c r="D121" s="41">
        <f>'Paste cell here'!I121</f>
        <v/>
      </c>
      <c r="E121" s="1">
        <f>'Paste cell here'!H121</f>
        <v/>
      </c>
      <c r="F121" s="1">
        <f>Sintesi!$C$5</f>
        <v/>
      </c>
      <c r="G121" s="1">
        <f>'Paste cell here'!AA121</f>
        <v/>
      </c>
      <c r="H121" s="43">
        <f>'Paste cell here'!U121</f>
        <v/>
      </c>
      <c r="I121" s="43">
        <f>'Paste cell here'!AE121</f>
        <v/>
      </c>
      <c r="J121" s="44">
        <f>'Paste cell here'!U120+'Paste cell here'!AF121</f>
        <v/>
      </c>
      <c r="K121" s="45">
        <f>'Paste cell here'!AG121</f>
        <v/>
      </c>
      <c r="L121" s="41">
        <f>IF(J121&lt;K121,"YES","NO")</f>
        <v/>
      </c>
      <c r="M121" s="1">
        <f>(Sintesi!$C$29*F121*1000)</f>
        <v/>
      </c>
      <c r="N121" s="1">
        <f>Sintesi!$C$30*F121*1000</f>
        <v/>
      </c>
      <c r="O121" s="1">
        <f>M121-N121</f>
        <v/>
      </c>
      <c r="P121" s="1">
        <f>Sintesi!$C$33*G121*1000</f>
        <v/>
      </c>
      <c r="Q121" s="1">
        <f>Sintesi!$C$34*G121*1000</f>
        <v/>
      </c>
      <c r="R121" s="1">
        <f>P121-Q121</f>
        <v/>
      </c>
    </row>
    <row r="122">
      <c r="A122" s="41" t="n">
        <v>121</v>
      </c>
      <c r="B122" s="42">
        <f>DATE(Sintesi!$C$4-1,12,31)+A122</f>
        <v/>
      </c>
      <c r="C122" s="41">
        <f>'Paste cell here'!B122</f>
        <v/>
      </c>
      <c r="D122" s="41">
        <f>'Paste cell here'!I122</f>
        <v/>
      </c>
      <c r="E122" s="1">
        <f>'Paste cell here'!H122</f>
        <v/>
      </c>
      <c r="F122" s="1">
        <f>Sintesi!$C$5</f>
        <v/>
      </c>
      <c r="G122" s="1">
        <f>'Paste cell here'!AA122</f>
        <v/>
      </c>
      <c r="H122" s="43">
        <f>'Paste cell here'!U122</f>
        <v/>
      </c>
      <c r="I122" s="43">
        <f>'Paste cell here'!AE122</f>
        <v/>
      </c>
      <c r="J122" s="44">
        <f>'Paste cell here'!U121+'Paste cell here'!AF122</f>
        <v/>
      </c>
      <c r="K122" s="45">
        <f>'Paste cell here'!AG122</f>
        <v/>
      </c>
      <c r="L122" s="41">
        <f>IF(J122&lt;K122,"YES","NO")</f>
        <v/>
      </c>
      <c r="M122" s="1">
        <f>(Sintesi!$C$29*F122*1000)</f>
        <v/>
      </c>
      <c r="N122" s="1">
        <f>Sintesi!$C$30*F122*1000</f>
        <v/>
      </c>
      <c r="O122" s="1">
        <f>M122-N122</f>
        <v/>
      </c>
      <c r="P122" s="1">
        <f>Sintesi!$C$33*G122*1000</f>
        <v/>
      </c>
      <c r="Q122" s="1">
        <f>Sintesi!$C$34*G122*1000</f>
        <v/>
      </c>
      <c r="R122" s="1">
        <f>P122-Q122</f>
        <v/>
      </c>
    </row>
    <row r="123">
      <c r="A123" s="41" t="n">
        <v>122</v>
      </c>
      <c r="B123" s="42">
        <f>DATE(Sintesi!$C$4-1,12,31)+A123</f>
        <v/>
      </c>
      <c r="C123" s="41">
        <f>'Paste cell here'!B123</f>
        <v/>
      </c>
      <c r="D123" s="41">
        <f>'Paste cell here'!I123</f>
        <v/>
      </c>
      <c r="E123" s="1">
        <f>'Paste cell here'!H123</f>
        <v/>
      </c>
      <c r="F123" s="1">
        <f>Sintesi!$C$5</f>
        <v/>
      </c>
      <c r="G123" s="1">
        <f>'Paste cell here'!AA123</f>
        <v/>
      </c>
      <c r="H123" s="43">
        <f>'Paste cell here'!U123</f>
        <v/>
      </c>
      <c r="I123" s="43">
        <f>'Paste cell here'!AE123</f>
        <v/>
      </c>
      <c r="J123" s="44">
        <f>'Paste cell here'!U122+'Paste cell here'!AF123</f>
        <v/>
      </c>
      <c r="K123" s="45">
        <f>'Paste cell here'!AG123</f>
        <v/>
      </c>
      <c r="L123" s="41">
        <f>IF(J123&lt;K123,"YES","NO")</f>
        <v/>
      </c>
      <c r="M123" s="1">
        <f>(Sintesi!$C$29*F123*1000)</f>
        <v/>
      </c>
      <c r="N123" s="1">
        <f>Sintesi!$C$30*F123*1000</f>
        <v/>
      </c>
      <c r="O123" s="1">
        <f>M123-N123</f>
        <v/>
      </c>
      <c r="P123" s="1">
        <f>Sintesi!$C$33*G123*1000</f>
        <v/>
      </c>
      <c r="Q123" s="1">
        <f>Sintesi!$C$34*G123*1000</f>
        <v/>
      </c>
      <c r="R123" s="1">
        <f>P123-Q123</f>
        <v/>
      </c>
    </row>
    <row r="124">
      <c r="A124" s="41" t="n">
        <v>123</v>
      </c>
      <c r="B124" s="42">
        <f>DATE(Sintesi!$C$4-1,12,31)+A124</f>
        <v/>
      </c>
      <c r="C124" s="41">
        <f>'Paste cell here'!B124</f>
        <v/>
      </c>
      <c r="D124" s="41">
        <f>'Paste cell here'!I124</f>
        <v/>
      </c>
      <c r="E124" s="1">
        <f>'Paste cell here'!H124</f>
        <v/>
      </c>
      <c r="F124" s="1">
        <f>Sintesi!$C$5</f>
        <v/>
      </c>
      <c r="G124" s="1">
        <f>'Paste cell here'!AA124</f>
        <v/>
      </c>
      <c r="H124" s="43">
        <f>'Paste cell here'!U124</f>
        <v/>
      </c>
      <c r="I124" s="43">
        <f>'Paste cell here'!AE124</f>
        <v/>
      </c>
      <c r="J124" s="44">
        <f>'Paste cell here'!U123+'Paste cell here'!AF124</f>
        <v/>
      </c>
      <c r="K124" s="45">
        <f>'Paste cell here'!AG124</f>
        <v/>
      </c>
      <c r="L124" s="41">
        <f>IF(J124&lt;K124,"YES","NO")</f>
        <v/>
      </c>
      <c r="M124" s="1">
        <f>(Sintesi!$C$29*F124*1000)</f>
        <v/>
      </c>
      <c r="N124" s="1">
        <f>Sintesi!$C$30*F124*1000</f>
        <v/>
      </c>
      <c r="O124" s="1">
        <f>M124-N124</f>
        <v/>
      </c>
      <c r="P124" s="1">
        <f>Sintesi!$C$33*G124*1000</f>
        <v/>
      </c>
      <c r="Q124" s="1">
        <f>Sintesi!$C$34*G124*1000</f>
        <v/>
      </c>
      <c r="R124" s="1">
        <f>P124-Q124</f>
        <v/>
      </c>
    </row>
    <row r="125">
      <c r="A125" s="41" t="n">
        <v>124</v>
      </c>
      <c r="B125" s="42">
        <f>DATE(Sintesi!$C$4-1,12,31)+A125</f>
        <v/>
      </c>
      <c r="C125" s="41">
        <f>'Paste cell here'!B125</f>
        <v/>
      </c>
      <c r="D125" s="41">
        <f>'Paste cell here'!I125</f>
        <v/>
      </c>
      <c r="E125" s="1">
        <f>'Paste cell here'!H125</f>
        <v/>
      </c>
      <c r="F125" s="1">
        <f>Sintesi!$C$5</f>
        <v/>
      </c>
      <c r="G125" s="1">
        <f>'Paste cell here'!AA125</f>
        <v/>
      </c>
      <c r="H125" s="43">
        <f>'Paste cell here'!U125</f>
        <v/>
      </c>
      <c r="I125" s="43">
        <f>'Paste cell here'!AE125</f>
        <v/>
      </c>
      <c r="J125" s="44">
        <f>'Paste cell here'!U124+'Paste cell here'!AF125</f>
        <v/>
      </c>
      <c r="K125" s="45">
        <f>'Paste cell here'!AG125</f>
        <v/>
      </c>
      <c r="L125" s="41">
        <f>IF(J125&lt;K125,"YES","NO")</f>
        <v/>
      </c>
      <c r="M125" s="1">
        <f>(Sintesi!$C$29*F125*1000)</f>
        <v/>
      </c>
      <c r="N125" s="1">
        <f>Sintesi!$C$30*F125*1000</f>
        <v/>
      </c>
      <c r="O125" s="1">
        <f>M125-N125</f>
        <v/>
      </c>
      <c r="P125" s="1">
        <f>Sintesi!$C$33*G125*1000</f>
        <v/>
      </c>
      <c r="Q125" s="1">
        <f>Sintesi!$C$34*G125*1000</f>
        <v/>
      </c>
      <c r="R125" s="1">
        <f>P125-Q125</f>
        <v/>
      </c>
    </row>
    <row r="126">
      <c r="A126" s="41" t="n">
        <v>125</v>
      </c>
      <c r="B126" s="42">
        <f>DATE(Sintesi!$C$4-1,12,31)+A126</f>
        <v/>
      </c>
      <c r="C126" s="41">
        <f>'Paste cell here'!B126</f>
        <v/>
      </c>
      <c r="D126" s="41">
        <f>'Paste cell here'!I126</f>
        <v/>
      </c>
      <c r="E126" s="1">
        <f>'Paste cell here'!H126</f>
        <v/>
      </c>
      <c r="F126" s="1">
        <f>Sintesi!$C$5</f>
        <v/>
      </c>
      <c r="G126" s="1">
        <f>'Paste cell here'!AA126</f>
        <v/>
      </c>
      <c r="H126" s="43">
        <f>'Paste cell here'!U126</f>
        <v/>
      </c>
      <c r="I126" s="43">
        <f>'Paste cell here'!AE126</f>
        <v/>
      </c>
      <c r="J126" s="44">
        <f>'Paste cell here'!U125+'Paste cell here'!AF126</f>
        <v/>
      </c>
      <c r="K126" s="45">
        <f>'Paste cell here'!AG126</f>
        <v/>
      </c>
      <c r="L126" s="41">
        <f>IF(J126&lt;K126,"YES","NO")</f>
        <v/>
      </c>
      <c r="M126" s="1">
        <f>(Sintesi!$C$29*F126*1000)</f>
        <v/>
      </c>
      <c r="N126" s="1">
        <f>Sintesi!$C$30*F126*1000</f>
        <v/>
      </c>
      <c r="O126" s="1">
        <f>M126-N126</f>
        <v/>
      </c>
      <c r="P126" s="1">
        <f>Sintesi!$C$33*G126*1000</f>
        <v/>
      </c>
      <c r="Q126" s="1">
        <f>Sintesi!$C$34*G126*1000</f>
        <v/>
      </c>
      <c r="R126" s="1">
        <f>P126-Q126</f>
        <v/>
      </c>
    </row>
    <row r="127">
      <c r="A127" s="41" t="n">
        <v>126</v>
      </c>
      <c r="B127" s="42">
        <f>DATE(Sintesi!$C$4-1,12,31)+A127</f>
        <v/>
      </c>
      <c r="C127" s="41">
        <f>'Paste cell here'!B127</f>
        <v/>
      </c>
      <c r="D127" s="41">
        <f>'Paste cell here'!I127</f>
        <v/>
      </c>
      <c r="E127" s="1">
        <f>'Paste cell here'!H127</f>
        <v/>
      </c>
      <c r="F127" s="1">
        <f>Sintesi!$C$5</f>
        <v/>
      </c>
      <c r="G127" s="1">
        <f>'Paste cell here'!AA127</f>
        <v/>
      </c>
      <c r="H127" s="43">
        <f>'Paste cell here'!U127</f>
        <v/>
      </c>
      <c r="I127" s="43">
        <f>'Paste cell here'!AE127</f>
        <v/>
      </c>
      <c r="J127" s="44">
        <f>'Paste cell here'!U126+'Paste cell here'!AF127</f>
        <v/>
      </c>
      <c r="K127" s="45">
        <f>'Paste cell here'!AG127</f>
        <v/>
      </c>
      <c r="L127" s="41">
        <f>IF(J127&lt;K127,"YES","NO")</f>
        <v/>
      </c>
      <c r="M127" s="1">
        <f>(Sintesi!$C$29*F127*1000)</f>
        <v/>
      </c>
      <c r="N127" s="1">
        <f>Sintesi!$C$30*F127*1000</f>
        <v/>
      </c>
      <c r="O127" s="1">
        <f>M127-N127</f>
        <v/>
      </c>
      <c r="P127" s="1">
        <f>Sintesi!$C$33*G127*1000</f>
        <v/>
      </c>
      <c r="Q127" s="1">
        <f>Sintesi!$C$34*G127*1000</f>
        <v/>
      </c>
      <c r="R127" s="1">
        <f>P127-Q127</f>
        <v/>
      </c>
    </row>
    <row r="128">
      <c r="A128" s="41" t="n">
        <v>127</v>
      </c>
      <c r="B128" s="42">
        <f>DATE(Sintesi!$C$4-1,12,31)+A128</f>
        <v/>
      </c>
      <c r="C128" s="41">
        <f>'Paste cell here'!B128</f>
        <v/>
      </c>
      <c r="D128" s="41">
        <f>'Paste cell here'!I128</f>
        <v/>
      </c>
      <c r="E128" s="1">
        <f>'Paste cell here'!H128</f>
        <v/>
      </c>
      <c r="F128" s="1">
        <f>Sintesi!$C$5</f>
        <v/>
      </c>
      <c r="G128" s="1">
        <f>'Paste cell here'!AA128</f>
        <v/>
      </c>
      <c r="H128" s="43">
        <f>'Paste cell here'!U128</f>
        <v/>
      </c>
      <c r="I128" s="43">
        <f>'Paste cell here'!AE128</f>
        <v/>
      </c>
      <c r="J128" s="44">
        <f>'Paste cell here'!U127+'Paste cell here'!AF128</f>
        <v/>
      </c>
      <c r="K128" s="45">
        <f>'Paste cell here'!AG128</f>
        <v/>
      </c>
      <c r="L128" s="41">
        <f>IF(J128&lt;K128,"YES","NO")</f>
        <v/>
      </c>
      <c r="M128" s="1">
        <f>(Sintesi!$C$29*F128*1000)</f>
        <v/>
      </c>
      <c r="N128" s="1">
        <f>Sintesi!$C$30*F128*1000</f>
        <v/>
      </c>
      <c r="O128" s="1">
        <f>M128-N128</f>
        <v/>
      </c>
      <c r="P128" s="1">
        <f>Sintesi!$C$33*G128*1000</f>
        <v/>
      </c>
      <c r="Q128" s="1">
        <f>Sintesi!$C$34*G128*1000</f>
        <v/>
      </c>
      <c r="R128" s="1">
        <f>P128-Q128</f>
        <v/>
      </c>
    </row>
    <row r="129">
      <c r="A129" s="41" t="n">
        <v>128</v>
      </c>
      <c r="B129" s="42">
        <f>DATE(Sintesi!$C$4-1,12,31)+A129</f>
        <v/>
      </c>
      <c r="C129" s="41">
        <f>'Paste cell here'!B129</f>
        <v/>
      </c>
      <c r="D129" s="41">
        <f>'Paste cell here'!I129</f>
        <v/>
      </c>
      <c r="E129" s="1">
        <f>'Paste cell here'!H129</f>
        <v/>
      </c>
      <c r="F129" s="1">
        <f>Sintesi!$C$5</f>
        <v/>
      </c>
      <c r="G129" s="1">
        <f>'Paste cell here'!AA129</f>
        <v/>
      </c>
      <c r="H129" s="43">
        <f>'Paste cell here'!U129</f>
        <v/>
      </c>
      <c r="I129" s="43">
        <f>'Paste cell here'!AE129</f>
        <v/>
      </c>
      <c r="J129" s="44">
        <f>'Paste cell here'!U128+'Paste cell here'!AF129</f>
        <v/>
      </c>
      <c r="K129" s="45">
        <f>'Paste cell here'!AG129</f>
        <v/>
      </c>
      <c r="L129" s="41">
        <f>IF(J129&lt;K129,"YES","NO")</f>
        <v/>
      </c>
      <c r="M129" s="1">
        <f>(Sintesi!$C$29*F129*1000)</f>
        <v/>
      </c>
      <c r="N129" s="1">
        <f>Sintesi!$C$30*F129*1000</f>
        <v/>
      </c>
      <c r="O129" s="1">
        <f>M129-N129</f>
        <v/>
      </c>
      <c r="P129" s="1">
        <f>Sintesi!$C$33*G129*1000</f>
        <v/>
      </c>
      <c r="Q129" s="1">
        <f>Sintesi!$C$34*G129*1000</f>
        <v/>
      </c>
      <c r="R129" s="1">
        <f>P129-Q129</f>
        <v/>
      </c>
    </row>
    <row r="130">
      <c r="A130" s="41" t="n">
        <v>129</v>
      </c>
      <c r="B130" s="42">
        <f>DATE(Sintesi!$C$4-1,12,31)+A130</f>
        <v/>
      </c>
      <c r="C130" s="41">
        <f>'Paste cell here'!B130</f>
        <v/>
      </c>
      <c r="D130" s="41">
        <f>'Paste cell here'!I130</f>
        <v/>
      </c>
      <c r="E130" s="1">
        <f>'Paste cell here'!H130</f>
        <v/>
      </c>
      <c r="F130" s="1">
        <f>Sintesi!$C$5</f>
        <v/>
      </c>
      <c r="G130" s="1">
        <f>'Paste cell here'!AA130</f>
        <v/>
      </c>
      <c r="H130" s="43">
        <f>'Paste cell here'!U130</f>
        <v/>
      </c>
      <c r="I130" s="43">
        <f>'Paste cell here'!AE130</f>
        <v/>
      </c>
      <c r="J130" s="44">
        <f>'Paste cell here'!U129+'Paste cell here'!AF130</f>
        <v/>
      </c>
      <c r="K130" s="45">
        <f>'Paste cell here'!AG130</f>
        <v/>
      </c>
      <c r="L130" s="41">
        <f>IF(J130&lt;K130,"YES","NO")</f>
        <v/>
      </c>
      <c r="M130" s="1">
        <f>(Sintesi!$C$29*F130*1000)</f>
        <v/>
      </c>
      <c r="N130" s="1">
        <f>Sintesi!$C$30*F130*1000</f>
        <v/>
      </c>
      <c r="O130" s="1">
        <f>M130-N130</f>
        <v/>
      </c>
      <c r="P130" s="1">
        <f>Sintesi!$C$33*G130*1000</f>
        <v/>
      </c>
      <c r="Q130" s="1">
        <f>Sintesi!$C$34*G130*1000</f>
        <v/>
      </c>
      <c r="R130" s="1">
        <f>P130-Q130</f>
        <v/>
      </c>
    </row>
    <row r="131">
      <c r="A131" s="41" t="n">
        <v>130</v>
      </c>
      <c r="B131" s="42">
        <f>DATE(Sintesi!$C$4-1,12,31)+A131</f>
        <v/>
      </c>
      <c r="C131" s="41">
        <f>'Paste cell here'!B131</f>
        <v/>
      </c>
      <c r="D131" s="41">
        <f>'Paste cell here'!I131</f>
        <v/>
      </c>
      <c r="E131" s="1">
        <f>'Paste cell here'!H131</f>
        <v/>
      </c>
      <c r="F131" s="1">
        <f>Sintesi!$C$5</f>
        <v/>
      </c>
      <c r="G131" s="1">
        <f>'Paste cell here'!AA131</f>
        <v/>
      </c>
      <c r="H131" s="43">
        <f>'Paste cell here'!U131</f>
        <v/>
      </c>
      <c r="I131" s="43">
        <f>'Paste cell here'!AE131</f>
        <v/>
      </c>
      <c r="J131" s="44">
        <f>'Paste cell here'!U130+'Paste cell here'!AF131</f>
        <v/>
      </c>
      <c r="K131" s="45">
        <f>'Paste cell here'!AG131</f>
        <v/>
      </c>
      <c r="L131" s="41">
        <f>IF(J131&lt;K131,"YES","NO")</f>
        <v/>
      </c>
      <c r="M131" s="1">
        <f>(Sintesi!$C$29*F131*1000)</f>
        <v/>
      </c>
      <c r="N131" s="1">
        <f>Sintesi!$C$30*F131*1000</f>
        <v/>
      </c>
      <c r="O131" s="1">
        <f>M131-N131</f>
        <v/>
      </c>
      <c r="P131" s="1">
        <f>Sintesi!$C$33*G131*1000</f>
        <v/>
      </c>
      <c r="Q131" s="1">
        <f>Sintesi!$C$34*G131*1000</f>
        <v/>
      </c>
      <c r="R131" s="1">
        <f>P131-Q131</f>
        <v/>
      </c>
    </row>
    <row r="132">
      <c r="A132" s="41" t="n">
        <v>131</v>
      </c>
      <c r="B132" s="42">
        <f>DATE(Sintesi!$C$4-1,12,31)+A132</f>
        <v/>
      </c>
      <c r="C132" s="41">
        <f>'Paste cell here'!B132</f>
        <v/>
      </c>
      <c r="D132" s="41">
        <f>'Paste cell here'!I132</f>
        <v/>
      </c>
      <c r="E132" s="1">
        <f>'Paste cell here'!H132</f>
        <v/>
      </c>
      <c r="F132" s="1">
        <f>Sintesi!$C$5</f>
        <v/>
      </c>
      <c r="G132" s="1">
        <f>'Paste cell here'!AA132</f>
        <v/>
      </c>
      <c r="H132" s="43">
        <f>'Paste cell here'!U132</f>
        <v/>
      </c>
      <c r="I132" s="43">
        <f>'Paste cell here'!AE132</f>
        <v/>
      </c>
      <c r="J132" s="44">
        <f>'Paste cell here'!U131+'Paste cell here'!AF132</f>
        <v/>
      </c>
      <c r="K132" s="45">
        <f>'Paste cell here'!AG132</f>
        <v/>
      </c>
      <c r="L132" s="41">
        <f>IF(J132&lt;K132,"YES","NO")</f>
        <v/>
      </c>
      <c r="M132" s="1">
        <f>(Sintesi!$C$29*F132*1000)</f>
        <v/>
      </c>
      <c r="N132" s="1">
        <f>Sintesi!$C$30*F132*1000</f>
        <v/>
      </c>
      <c r="O132" s="1">
        <f>M132-N132</f>
        <v/>
      </c>
      <c r="P132" s="1">
        <f>Sintesi!$C$33*G132*1000</f>
        <v/>
      </c>
      <c r="Q132" s="1">
        <f>Sintesi!$C$34*G132*1000</f>
        <v/>
      </c>
      <c r="R132" s="1">
        <f>P132-Q132</f>
        <v/>
      </c>
    </row>
    <row r="133">
      <c r="A133" s="41" t="n">
        <v>132</v>
      </c>
      <c r="B133" s="42">
        <f>DATE(Sintesi!$C$4-1,12,31)+A133</f>
        <v/>
      </c>
      <c r="C133" s="41">
        <f>'Paste cell here'!B133</f>
        <v/>
      </c>
      <c r="D133" s="41">
        <f>'Paste cell here'!I133</f>
        <v/>
      </c>
      <c r="E133" s="1">
        <f>'Paste cell here'!H133</f>
        <v/>
      </c>
      <c r="F133" s="1">
        <f>Sintesi!$C$5</f>
        <v/>
      </c>
      <c r="G133" s="1">
        <f>'Paste cell here'!AA133</f>
        <v/>
      </c>
      <c r="H133" s="43">
        <f>'Paste cell here'!U133</f>
        <v/>
      </c>
      <c r="I133" s="43">
        <f>'Paste cell here'!AE133</f>
        <v/>
      </c>
      <c r="J133" s="44">
        <f>'Paste cell here'!U132+'Paste cell here'!AF133</f>
        <v/>
      </c>
      <c r="K133" s="45">
        <f>'Paste cell here'!AG133</f>
        <v/>
      </c>
      <c r="L133" s="41">
        <f>IF(J133&lt;K133,"YES","NO")</f>
        <v/>
      </c>
      <c r="M133" s="1">
        <f>(Sintesi!$C$29*F133*1000)</f>
        <v/>
      </c>
      <c r="N133" s="1">
        <f>Sintesi!$C$30*F133*1000</f>
        <v/>
      </c>
      <c r="O133" s="1">
        <f>M133-N133</f>
        <v/>
      </c>
      <c r="P133" s="1">
        <f>Sintesi!$C$33*G133*1000</f>
        <v/>
      </c>
      <c r="Q133" s="1">
        <f>Sintesi!$C$34*G133*1000</f>
        <v/>
      </c>
      <c r="R133" s="1">
        <f>P133-Q133</f>
        <v/>
      </c>
    </row>
    <row r="134">
      <c r="A134" s="41" t="n">
        <v>133</v>
      </c>
      <c r="B134" s="42">
        <f>DATE(Sintesi!$C$4-1,12,31)+A134</f>
        <v/>
      </c>
      <c r="C134" s="41">
        <f>'Paste cell here'!B134</f>
        <v/>
      </c>
      <c r="D134" s="41">
        <f>'Paste cell here'!I134</f>
        <v/>
      </c>
      <c r="E134" s="1">
        <f>'Paste cell here'!H134</f>
        <v/>
      </c>
      <c r="F134" s="1">
        <f>Sintesi!$C$5</f>
        <v/>
      </c>
      <c r="G134" s="1">
        <f>'Paste cell here'!AA134</f>
        <v/>
      </c>
      <c r="H134" s="43">
        <f>'Paste cell here'!U134</f>
        <v/>
      </c>
      <c r="I134" s="43">
        <f>'Paste cell here'!AE134</f>
        <v/>
      </c>
      <c r="J134" s="44">
        <f>'Paste cell here'!U133+'Paste cell here'!AF134</f>
        <v/>
      </c>
      <c r="K134" s="45">
        <f>'Paste cell here'!AG134</f>
        <v/>
      </c>
      <c r="L134" s="41">
        <f>IF(J134&lt;K134,"YES","NO")</f>
        <v/>
      </c>
      <c r="M134" s="1">
        <f>(Sintesi!$C$29*F134*1000)</f>
        <v/>
      </c>
      <c r="N134" s="1">
        <f>Sintesi!$C$30*F134*1000</f>
        <v/>
      </c>
      <c r="O134" s="1">
        <f>M134-N134</f>
        <v/>
      </c>
      <c r="P134" s="1">
        <f>Sintesi!$C$33*G134*1000</f>
        <v/>
      </c>
      <c r="Q134" s="1">
        <f>Sintesi!$C$34*G134*1000</f>
        <v/>
      </c>
      <c r="R134" s="1">
        <f>P134-Q134</f>
        <v/>
      </c>
    </row>
    <row r="135">
      <c r="A135" s="41" t="n">
        <v>134</v>
      </c>
      <c r="B135" s="42">
        <f>DATE(Sintesi!$C$4-1,12,31)+A135</f>
        <v/>
      </c>
      <c r="C135" s="41">
        <f>'Paste cell here'!B135</f>
        <v/>
      </c>
      <c r="D135" s="41">
        <f>'Paste cell here'!I135</f>
        <v/>
      </c>
      <c r="E135" s="1">
        <f>'Paste cell here'!H135</f>
        <v/>
      </c>
      <c r="F135" s="1">
        <f>Sintesi!$C$5</f>
        <v/>
      </c>
      <c r="G135" s="1">
        <f>'Paste cell here'!AA135</f>
        <v/>
      </c>
      <c r="H135" s="43">
        <f>'Paste cell here'!U135</f>
        <v/>
      </c>
      <c r="I135" s="43">
        <f>'Paste cell here'!AE135</f>
        <v/>
      </c>
      <c r="J135" s="44">
        <f>'Paste cell here'!U134+'Paste cell here'!AF135</f>
        <v/>
      </c>
      <c r="K135" s="45">
        <f>'Paste cell here'!AG135</f>
        <v/>
      </c>
      <c r="L135" s="41">
        <f>IF(J135&lt;K135,"YES","NO")</f>
        <v/>
      </c>
      <c r="M135" s="1">
        <f>(Sintesi!$C$29*F135*1000)</f>
        <v/>
      </c>
      <c r="N135" s="1">
        <f>Sintesi!$C$30*F135*1000</f>
        <v/>
      </c>
      <c r="O135" s="1">
        <f>M135-N135</f>
        <v/>
      </c>
      <c r="P135" s="1">
        <f>Sintesi!$C$33*G135*1000</f>
        <v/>
      </c>
      <c r="Q135" s="1">
        <f>Sintesi!$C$34*G135*1000</f>
        <v/>
      </c>
      <c r="R135" s="1">
        <f>P135-Q135</f>
        <v/>
      </c>
    </row>
    <row r="136">
      <c r="A136" s="41" t="n">
        <v>135</v>
      </c>
      <c r="B136" s="42">
        <f>DATE(Sintesi!$C$4-1,12,31)+A136</f>
        <v/>
      </c>
      <c r="C136" s="41">
        <f>'Paste cell here'!B136</f>
        <v/>
      </c>
      <c r="D136" s="41">
        <f>'Paste cell here'!I136</f>
        <v/>
      </c>
      <c r="E136" s="1">
        <f>'Paste cell here'!H136</f>
        <v/>
      </c>
      <c r="F136" s="1">
        <f>Sintesi!$C$5</f>
        <v/>
      </c>
      <c r="G136" s="1">
        <f>'Paste cell here'!AA136</f>
        <v/>
      </c>
      <c r="H136" s="43">
        <f>'Paste cell here'!U136</f>
        <v/>
      </c>
      <c r="I136" s="43">
        <f>'Paste cell here'!AE136</f>
        <v/>
      </c>
      <c r="J136" s="44">
        <f>'Paste cell here'!U135+'Paste cell here'!AF136</f>
        <v/>
      </c>
      <c r="K136" s="45">
        <f>'Paste cell here'!AG136</f>
        <v/>
      </c>
      <c r="L136" s="41">
        <f>IF(J136&lt;K136,"YES","NO")</f>
        <v/>
      </c>
      <c r="M136" s="1">
        <f>(Sintesi!$C$29*F136*1000)</f>
        <v/>
      </c>
      <c r="N136" s="1">
        <f>Sintesi!$C$30*F136*1000</f>
        <v/>
      </c>
      <c r="O136" s="1">
        <f>M136-N136</f>
        <v/>
      </c>
      <c r="P136" s="1">
        <f>Sintesi!$C$33*G136*1000</f>
        <v/>
      </c>
      <c r="Q136" s="1">
        <f>Sintesi!$C$34*G136*1000</f>
        <v/>
      </c>
      <c r="R136" s="1">
        <f>P136-Q136</f>
        <v/>
      </c>
    </row>
    <row r="137">
      <c r="A137" s="41" t="n">
        <v>136</v>
      </c>
      <c r="B137" s="42">
        <f>DATE(Sintesi!$C$4-1,12,31)+A137</f>
        <v/>
      </c>
      <c r="C137" s="41">
        <f>'Paste cell here'!B137</f>
        <v/>
      </c>
      <c r="D137" s="41">
        <f>'Paste cell here'!I137</f>
        <v/>
      </c>
      <c r="E137" s="1">
        <f>'Paste cell here'!H137</f>
        <v/>
      </c>
      <c r="F137" s="1">
        <f>Sintesi!$C$5</f>
        <v/>
      </c>
      <c r="G137" s="1">
        <f>'Paste cell here'!AA137</f>
        <v/>
      </c>
      <c r="H137" s="43">
        <f>'Paste cell here'!U137</f>
        <v/>
      </c>
      <c r="I137" s="43">
        <f>'Paste cell here'!AE137</f>
        <v/>
      </c>
      <c r="J137" s="44">
        <f>'Paste cell here'!U136+'Paste cell here'!AF137</f>
        <v/>
      </c>
      <c r="K137" s="45">
        <f>'Paste cell here'!AG137</f>
        <v/>
      </c>
      <c r="L137" s="41">
        <f>IF(J137&lt;K137,"YES","NO")</f>
        <v/>
      </c>
      <c r="M137" s="1">
        <f>(Sintesi!$C$29*F137*1000)</f>
        <v/>
      </c>
      <c r="N137" s="1">
        <f>Sintesi!$C$30*F137*1000</f>
        <v/>
      </c>
      <c r="O137" s="1">
        <f>M137-N137</f>
        <v/>
      </c>
      <c r="P137" s="1">
        <f>Sintesi!$C$33*G137*1000</f>
        <v/>
      </c>
      <c r="Q137" s="1">
        <f>Sintesi!$C$34*G137*1000</f>
        <v/>
      </c>
      <c r="R137" s="1">
        <f>P137-Q137</f>
        <v/>
      </c>
    </row>
    <row r="138">
      <c r="A138" s="41" t="n">
        <v>137</v>
      </c>
      <c r="B138" s="42">
        <f>DATE(Sintesi!$C$4-1,12,31)+A138</f>
        <v/>
      </c>
      <c r="C138" s="41">
        <f>'Paste cell here'!B138</f>
        <v/>
      </c>
      <c r="D138" s="41">
        <f>'Paste cell here'!I138</f>
        <v/>
      </c>
      <c r="E138" s="1">
        <f>'Paste cell here'!H138</f>
        <v/>
      </c>
      <c r="F138" s="1">
        <f>Sintesi!$C$5</f>
        <v/>
      </c>
      <c r="G138" s="1">
        <f>'Paste cell here'!AA138</f>
        <v/>
      </c>
      <c r="H138" s="43">
        <f>'Paste cell here'!U138</f>
        <v/>
      </c>
      <c r="I138" s="43">
        <f>'Paste cell here'!AE138</f>
        <v/>
      </c>
      <c r="J138" s="44">
        <f>'Paste cell here'!U137+'Paste cell here'!AF138</f>
        <v/>
      </c>
      <c r="K138" s="45">
        <f>'Paste cell here'!AG138</f>
        <v/>
      </c>
      <c r="L138" s="41">
        <f>IF(J138&lt;K138,"YES","NO")</f>
        <v/>
      </c>
      <c r="M138" s="1">
        <f>(Sintesi!$C$29*F138*1000)</f>
        <v/>
      </c>
      <c r="N138" s="1">
        <f>Sintesi!$C$30*F138*1000</f>
        <v/>
      </c>
      <c r="O138" s="1">
        <f>M138-N138</f>
        <v/>
      </c>
      <c r="P138" s="1">
        <f>Sintesi!$C$33*G138*1000</f>
        <v/>
      </c>
      <c r="Q138" s="1">
        <f>Sintesi!$C$34*G138*1000</f>
        <v/>
      </c>
      <c r="R138" s="1">
        <f>P138-Q138</f>
        <v/>
      </c>
    </row>
    <row r="139">
      <c r="A139" s="41" t="n">
        <v>138</v>
      </c>
      <c r="B139" s="42">
        <f>DATE(Sintesi!$C$4-1,12,31)+A139</f>
        <v/>
      </c>
      <c r="C139" s="41">
        <f>'Paste cell here'!B139</f>
        <v/>
      </c>
      <c r="D139" s="41">
        <f>'Paste cell here'!I139</f>
        <v/>
      </c>
      <c r="E139" s="1">
        <f>'Paste cell here'!H139</f>
        <v/>
      </c>
      <c r="F139" s="1">
        <f>Sintesi!$C$5</f>
        <v/>
      </c>
      <c r="G139" s="1">
        <f>'Paste cell here'!AA139</f>
        <v/>
      </c>
      <c r="H139" s="43">
        <f>'Paste cell here'!U139</f>
        <v/>
      </c>
      <c r="I139" s="43">
        <f>'Paste cell here'!AE139</f>
        <v/>
      </c>
      <c r="J139" s="44">
        <f>'Paste cell here'!U138+'Paste cell here'!AF139</f>
        <v/>
      </c>
      <c r="K139" s="45">
        <f>'Paste cell here'!AG139</f>
        <v/>
      </c>
      <c r="L139" s="41">
        <f>IF(J139&lt;K139,"YES","NO")</f>
        <v/>
      </c>
      <c r="M139" s="1">
        <f>(Sintesi!$C$29*F139*1000)</f>
        <v/>
      </c>
      <c r="N139" s="1">
        <f>Sintesi!$C$30*F139*1000</f>
        <v/>
      </c>
      <c r="O139" s="1">
        <f>M139-N139</f>
        <v/>
      </c>
      <c r="P139" s="1">
        <f>Sintesi!$C$33*G139*1000</f>
        <v/>
      </c>
      <c r="Q139" s="1">
        <f>Sintesi!$C$34*G139*1000</f>
        <v/>
      </c>
      <c r="R139" s="1">
        <f>P139-Q139</f>
        <v/>
      </c>
    </row>
    <row r="140">
      <c r="A140" s="41" t="n">
        <v>139</v>
      </c>
      <c r="B140" s="42">
        <f>DATE(Sintesi!$C$4-1,12,31)+A140</f>
        <v/>
      </c>
      <c r="C140" s="41">
        <f>'Paste cell here'!B140</f>
        <v/>
      </c>
      <c r="D140" s="41">
        <f>'Paste cell here'!I140</f>
        <v/>
      </c>
      <c r="E140" s="1">
        <f>'Paste cell here'!H140</f>
        <v/>
      </c>
      <c r="F140" s="1">
        <f>Sintesi!$C$5</f>
        <v/>
      </c>
      <c r="G140" s="1">
        <f>'Paste cell here'!AA140</f>
        <v/>
      </c>
      <c r="H140" s="43">
        <f>'Paste cell here'!U140</f>
        <v/>
      </c>
      <c r="I140" s="43">
        <f>'Paste cell here'!AE140</f>
        <v/>
      </c>
      <c r="J140" s="44">
        <f>'Paste cell here'!U139+'Paste cell here'!AF140</f>
        <v/>
      </c>
      <c r="K140" s="45">
        <f>'Paste cell here'!AG140</f>
        <v/>
      </c>
      <c r="L140" s="41">
        <f>IF(J140&lt;K140,"YES","NO")</f>
        <v/>
      </c>
      <c r="M140" s="1">
        <f>(Sintesi!$C$29*F140*1000)</f>
        <v/>
      </c>
      <c r="N140" s="1">
        <f>Sintesi!$C$30*F140*1000</f>
        <v/>
      </c>
      <c r="O140" s="1">
        <f>M140-N140</f>
        <v/>
      </c>
      <c r="P140" s="1">
        <f>Sintesi!$C$33*G140*1000</f>
        <v/>
      </c>
      <c r="Q140" s="1">
        <f>Sintesi!$C$34*G140*1000</f>
        <v/>
      </c>
      <c r="R140" s="1">
        <f>P140-Q140</f>
        <v/>
      </c>
    </row>
    <row r="141">
      <c r="A141" s="41" t="n">
        <v>140</v>
      </c>
      <c r="B141" s="42">
        <f>DATE(Sintesi!$C$4-1,12,31)+A141</f>
        <v/>
      </c>
      <c r="C141" s="41">
        <f>'Paste cell here'!B141</f>
        <v/>
      </c>
      <c r="D141" s="41">
        <f>'Paste cell here'!I141</f>
        <v/>
      </c>
      <c r="E141" s="1">
        <f>'Paste cell here'!H141</f>
        <v/>
      </c>
      <c r="F141" s="1">
        <f>Sintesi!$C$5</f>
        <v/>
      </c>
      <c r="G141" s="1">
        <f>'Paste cell here'!AA141</f>
        <v/>
      </c>
      <c r="H141" s="43">
        <f>'Paste cell here'!U141</f>
        <v/>
      </c>
      <c r="I141" s="43">
        <f>'Paste cell here'!AE141</f>
        <v/>
      </c>
      <c r="J141" s="44">
        <f>'Paste cell here'!U140+'Paste cell here'!AF141</f>
        <v/>
      </c>
      <c r="K141" s="45">
        <f>'Paste cell here'!AG141</f>
        <v/>
      </c>
      <c r="L141" s="41">
        <f>IF(J141&lt;K141,"YES","NO")</f>
        <v/>
      </c>
      <c r="M141" s="1">
        <f>(Sintesi!$C$29*F141*1000)</f>
        <v/>
      </c>
      <c r="N141" s="1">
        <f>Sintesi!$C$30*F141*1000</f>
        <v/>
      </c>
      <c r="O141" s="1">
        <f>M141-N141</f>
        <v/>
      </c>
      <c r="P141" s="1">
        <f>Sintesi!$C$33*G141*1000</f>
        <v/>
      </c>
      <c r="Q141" s="1">
        <f>Sintesi!$C$34*G141*1000</f>
        <v/>
      </c>
      <c r="R141" s="1">
        <f>P141-Q141</f>
        <v/>
      </c>
    </row>
    <row r="142">
      <c r="A142" s="41" t="n">
        <v>141</v>
      </c>
      <c r="B142" s="42">
        <f>DATE(Sintesi!$C$4-1,12,31)+A142</f>
        <v/>
      </c>
      <c r="C142" s="41">
        <f>'Paste cell here'!B142</f>
        <v/>
      </c>
      <c r="D142" s="41">
        <f>'Paste cell here'!I142</f>
        <v/>
      </c>
      <c r="E142" s="1">
        <f>'Paste cell here'!H142</f>
        <v/>
      </c>
      <c r="F142" s="1">
        <f>Sintesi!$C$5</f>
        <v/>
      </c>
      <c r="G142" s="1">
        <f>'Paste cell here'!AA142</f>
        <v/>
      </c>
      <c r="H142" s="43">
        <f>'Paste cell here'!U142</f>
        <v/>
      </c>
      <c r="I142" s="43">
        <f>'Paste cell here'!AE142</f>
        <v/>
      </c>
      <c r="J142" s="44">
        <f>'Paste cell here'!U141+'Paste cell here'!AF142</f>
        <v/>
      </c>
      <c r="K142" s="45">
        <f>'Paste cell here'!AG142</f>
        <v/>
      </c>
      <c r="L142" s="41">
        <f>IF(J142&lt;K142,"YES","NO")</f>
        <v/>
      </c>
      <c r="M142" s="1">
        <f>(Sintesi!$C$29*F142*1000)</f>
        <v/>
      </c>
      <c r="N142" s="1">
        <f>Sintesi!$C$30*F142*1000</f>
        <v/>
      </c>
      <c r="O142" s="1">
        <f>M142-N142</f>
        <v/>
      </c>
      <c r="P142" s="1">
        <f>Sintesi!$C$33*G142*1000</f>
        <v/>
      </c>
      <c r="Q142" s="1">
        <f>Sintesi!$C$34*G142*1000</f>
        <v/>
      </c>
      <c r="R142" s="1">
        <f>P142-Q142</f>
        <v/>
      </c>
    </row>
    <row r="143">
      <c r="A143" s="41" t="n">
        <v>142</v>
      </c>
      <c r="B143" s="42">
        <f>DATE(Sintesi!$C$4-1,12,31)+A143</f>
        <v/>
      </c>
      <c r="C143" s="41">
        <f>'Paste cell here'!B143</f>
        <v/>
      </c>
      <c r="D143" s="41">
        <f>'Paste cell here'!I143</f>
        <v/>
      </c>
      <c r="E143" s="1">
        <f>'Paste cell here'!H143</f>
        <v/>
      </c>
      <c r="F143" s="1">
        <f>Sintesi!$C$5</f>
        <v/>
      </c>
      <c r="G143" s="1">
        <f>'Paste cell here'!AA143</f>
        <v/>
      </c>
      <c r="H143" s="43">
        <f>'Paste cell here'!U143</f>
        <v/>
      </c>
      <c r="I143" s="43">
        <f>'Paste cell here'!AE143</f>
        <v/>
      </c>
      <c r="J143" s="44">
        <f>'Paste cell here'!U142+'Paste cell here'!AF143</f>
        <v/>
      </c>
      <c r="K143" s="45">
        <f>'Paste cell here'!AG143</f>
        <v/>
      </c>
      <c r="L143" s="41">
        <f>IF(J143&lt;K143,"YES","NO")</f>
        <v/>
      </c>
      <c r="M143" s="1">
        <f>(Sintesi!$C$29*F143*1000)</f>
        <v/>
      </c>
      <c r="N143" s="1">
        <f>Sintesi!$C$30*F143*1000</f>
        <v/>
      </c>
      <c r="O143" s="1">
        <f>M143-N143</f>
        <v/>
      </c>
      <c r="P143" s="1">
        <f>Sintesi!$C$33*G143*1000</f>
        <v/>
      </c>
      <c r="Q143" s="1">
        <f>Sintesi!$C$34*G143*1000</f>
        <v/>
      </c>
      <c r="R143" s="1">
        <f>P143-Q143</f>
        <v/>
      </c>
    </row>
    <row r="144">
      <c r="A144" s="41" t="n">
        <v>143</v>
      </c>
      <c r="B144" s="42">
        <f>DATE(Sintesi!$C$4-1,12,31)+A144</f>
        <v/>
      </c>
      <c r="C144" s="41">
        <f>'Paste cell here'!B144</f>
        <v/>
      </c>
      <c r="D144" s="41">
        <f>'Paste cell here'!I144</f>
        <v/>
      </c>
      <c r="E144" s="1">
        <f>'Paste cell here'!H144</f>
        <v/>
      </c>
      <c r="F144" s="1">
        <f>Sintesi!$C$5</f>
        <v/>
      </c>
      <c r="G144" s="1">
        <f>'Paste cell here'!AA144</f>
        <v/>
      </c>
      <c r="H144" s="43">
        <f>'Paste cell here'!U144</f>
        <v/>
      </c>
      <c r="I144" s="43">
        <f>'Paste cell here'!AE144</f>
        <v/>
      </c>
      <c r="J144" s="44">
        <f>'Paste cell here'!U143+'Paste cell here'!AF144</f>
        <v/>
      </c>
      <c r="K144" s="45">
        <f>'Paste cell here'!AG144</f>
        <v/>
      </c>
      <c r="L144" s="41">
        <f>IF(J144&lt;K144,"YES","NO")</f>
        <v/>
      </c>
      <c r="M144" s="1">
        <f>(Sintesi!$C$29*F144*1000)</f>
        <v/>
      </c>
      <c r="N144" s="1">
        <f>Sintesi!$C$30*F144*1000</f>
        <v/>
      </c>
      <c r="O144" s="1">
        <f>M144-N144</f>
        <v/>
      </c>
      <c r="P144" s="1">
        <f>Sintesi!$C$33*G144*1000</f>
        <v/>
      </c>
      <c r="Q144" s="1">
        <f>Sintesi!$C$34*G144*1000</f>
        <v/>
      </c>
      <c r="R144" s="1">
        <f>P144-Q144</f>
        <v/>
      </c>
    </row>
    <row r="145">
      <c r="A145" s="41" t="n">
        <v>144</v>
      </c>
      <c r="B145" s="42">
        <f>DATE(Sintesi!$C$4-1,12,31)+A145</f>
        <v/>
      </c>
      <c r="C145" s="41">
        <f>'Paste cell here'!B145</f>
        <v/>
      </c>
      <c r="D145" s="41">
        <f>'Paste cell here'!I145</f>
        <v/>
      </c>
      <c r="E145" s="1">
        <f>'Paste cell here'!H145</f>
        <v/>
      </c>
      <c r="F145" s="1">
        <f>Sintesi!$C$5</f>
        <v/>
      </c>
      <c r="G145" s="1">
        <f>'Paste cell here'!AA145</f>
        <v/>
      </c>
      <c r="H145" s="43">
        <f>'Paste cell here'!U145</f>
        <v/>
      </c>
      <c r="I145" s="43">
        <f>'Paste cell here'!AE145</f>
        <v/>
      </c>
      <c r="J145" s="44">
        <f>'Paste cell here'!U144+'Paste cell here'!AF145</f>
        <v/>
      </c>
      <c r="K145" s="45">
        <f>'Paste cell here'!AG145</f>
        <v/>
      </c>
      <c r="L145" s="41">
        <f>IF(J145&lt;K145,"YES","NO")</f>
        <v/>
      </c>
      <c r="M145" s="1">
        <f>(Sintesi!$C$29*F145*1000)</f>
        <v/>
      </c>
      <c r="N145" s="1">
        <f>Sintesi!$C$30*F145*1000</f>
        <v/>
      </c>
      <c r="O145" s="1">
        <f>M145-N145</f>
        <v/>
      </c>
      <c r="P145" s="1">
        <f>Sintesi!$C$33*G145*1000</f>
        <v/>
      </c>
      <c r="Q145" s="1">
        <f>Sintesi!$C$34*G145*1000</f>
        <v/>
      </c>
      <c r="R145" s="1">
        <f>P145-Q145</f>
        <v/>
      </c>
    </row>
    <row r="146">
      <c r="A146" s="41" t="n">
        <v>145</v>
      </c>
      <c r="B146" s="42">
        <f>DATE(Sintesi!$C$4-1,12,31)+A146</f>
        <v/>
      </c>
      <c r="C146" s="41">
        <f>'Paste cell here'!B146</f>
        <v/>
      </c>
      <c r="D146" s="41">
        <f>'Paste cell here'!I146</f>
        <v/>
      </c>
      <c r="E146" s="1">
        <f>'Paste cell here'!H146</f>
        <v/>
      </c>
      <c r="F146" s="1">
        <f>Sintesi!$C$5</f>
        <v/>
      </c>
      <c r="G146" s="1">
        <f>'Paste cell here'!AA146</f>
        <v/>
      </c>
      <c r="H146" s="43">
        <f>'Paste cell here'!U146</f>
        <v/>
      </c>
      <c r="I146" s="43">
        <f>'Paste cell here'!AE146</f>
        <v/>
      </c>
      <c r="J146" s="44">
        <f>'Paste cell here'!U145+'Paste cell here'!AF146</f>
        <v/>
      </c>
      <c r="K146" s="45">
        <f>'Paste cell here'!AG146</f>
        <v/>
      </c>
      <c r="L146" s="41">
        <f>IF(J146&lt;K146,"YES","NO")</f>
        <v/>
      </c>
      <c r="M146" s="1">
        <f>(Sintesi!$C$29*F146*1000)</f>
        <v/>
      </c>
      <c r="N146" s="1">
        <f>Sintesi!$C$30*F146*1000</f>
        <v/>
      </c>
      <c r="O146" s="1">
        <f>M146-N146</f>
        <v/>
      </c>
      <c r="P146" s="1">
        <f>Sintesi!$C$33*G146*1000</f>
        <v/>
      </c>
      <c r="Q146" s="1">
        <f>Sintesi!$C$34*G146*1000</f>
        <v/>
      </c>
      <c r="R146" s="1">
        <f>P146-Q146</f>
        <v/>
      </c>
    </row>
    <row r="147">
      <c r="A147" s="41" t="n">
        <v>146</v>
      </c>
      <c r="B147" s="42">
        <f>DATE(Sintesi!$C$4-1,12,31)+A147</f>
        <v/>
      </c>
      <c r="C147" s="41">
        <f>'Paste cell here'!B147</f>
        <v/>
      </c>
      <c r="D147" s="41">
        <f>'Paste cell here'!I147</f>
        <v/>
      </c>
      <c r="E147" s="1">
        <f>'Paste cell here'!H147</f>
        <v/>
      </c>
      <c r="F147" s="1">
        <f>Sintesi!$C$5</f>
        <v/>
      </c>
      <c r="G147" s="1">
        <f>'Paste cell here'!AA147</f>
        <v/>
      </c>
      <c r="H147" s="43">
        <f>'Paste cell here'!U147</f>
        <v/>
      </c>
      <c r="I147" s="43">
        <f>'Paste cell here'!AE147</f>
        <v/>
      </c>
      <c r="J147" s="44">
        <f>'Paste cell here'!U146+'Paste cell here'!AF147</f>
        <v/>
      </c>
      <c r="K147" s="45">
        <f>'Paste cell here'!AG147</f>
        <v/>
      </c>
      <c r="L147" s="41">
        <f>IF(J147&lt;K147,"YES","NO")</f>
        <v/>
      </c>
      <c r="M147" s="1">
        <f>(Sintesi!$C$29*F147*1000)</f>
        <v/>
      </c>
      <c r="N147" s="1">
        <f>Sintesi!$C$30*F147*1000</f>
        <v/>
      </c>
      <c r="O147" s="1">
        <f>M147-N147</f>
        <v/>
      </c>
      <c r="P147" s="1">
        <f>Sintesi!$C$33*G147*1000</f>
        <v/>
      </c>
      <c r="Q147" s="1">
        <f>Sintesi!$C$34*G147*1000</f>
        <v/>
      </c>
      <c r="R147" s="1">
        <f>P147-Q147</f>
        <v/>
      </c>
    </row>
    <row r="148">
      <c r="A148" s="41" t="n">
        <v>147</v>
      </c>
      <c r="B148" s="42">
        <f>DATE(Sintesi!$C$4-1,12,31)+A148</f>
        <v/>
      </c>
      <c r="C148" s="41">
        <f>'Paste cell here'!B148</f>
        <v/>
      </c>
      <c r="D148" s="41">
        <f>'Paste cell here'!I148</f>
        <v/>
      </c>
      <c r="E148" s="1">
        <f>'Paste cell here'!H148</f>
        <v/>
      </c>
      <c r="F148" s="1">
        <f>Sintesi!$C$5</f>
        <v/>
      </c>
      <c r="G148" s="1">
        <f>'Paste cell here'!AA148</f>
        <v/>
      </c>
      <c r="H148" s="43">
        <f>'Paste cell here'!U148</f>
        <v/>
      </c>
      <c r="I148" s="43">
        <f>'Paste cell here'!AE148</f>
        <v/>
      </c>
      <c r="J148" s="44">
        <f>'Paste cell here'!U147+'Paste cell here'!AF148</f>
        <v/>
      </c>
      <c r="K148" s="45">
        <f>'Paste cell here'!AG148</f>
        <v/>
      </c>
      <c r="L148" s="41">
        <f>IF(J148&lt;K148,"YES","NO")</f>
        <v/>
      </c>
      <c r="M148" s="1">
        <f>(Sintesi!$C$29*F148*1000)</f>
        <v/>
      </c>
      <c r="N148" s="1">
        <f>Sintesi!$C$30*F148*1000</f>
        <v/>
      </c>
      <c r="O148" s="1">
        <f>M148-N148</f>
        <v/>
      </c>
      <c r="P148" s="1">
        <f>Sintesi!$C$33*G148*1000</f>
        <v/>
      </c>
      <c r="Q148" s="1">
        <f>Sintesi!$C$34*G148*1000</f>
        <v/>
      </c>
      <c r="R148" s="1">
        <f>P148-Q148</f>
        <v/>
      </c>
    </row>
    <row r="149">
      <c r="A149" s="41" t="n">
        <v>148</v>
      </c>
      <c r="B149" s="42">
        <f>DATE(Sintesi!$C$4-1,12,31)+A149</f>
        <v/>
      </c>
      <c r="C149" s="41">
        <f>'Paste cell here'!B149</f>
        <v/>
      </c>
      <c r="D149" s="41">
        <f>'Paste cell here'!I149</f>
        <v/>
      </c>
      <c r="E149" s="1">
        <f>'Paste cell here'!H149</f>
        <v/>
      </c>
      <c r="F149" s="1">
        <f>Sintesi!$C$5</f>
        <v/>
      </c>
      <c r="G149" s="1">
        <f>'Paste cell here'!AA149</f>
        <v/>
      </c>
      <c r="H149" s="43">
        <f>'Paste cell here'!U149</f>
        <v/>
      </c>
      <c r="I149" s="43">
        <f>'Paste cell here'!AE149</f>
        <v/>
      </c>
      <c r="J149" s="44">
        <f>'Paste cell here'!U148+'Paste cell here'!AF149</f>
        <v/>
      </c>
      <c r="K149" s="45">
        <f>'Paste cell here'!AG149</f>
        <v/>
      </c>
      <c r="L149" s="41">
        <f>IF(J149&lt;K149,"YES","NO")</f>
        <v/>
      </c>
      <c r="M149" s="1">
        <f>(Sintesi!$C$29*F149*1000)</f>
        <v/>
      </c>
      <c r="N149" s="1">
        <f>Sintesi!$C$30*F149*1000</f>
        <v/>
      </c>
      <c r="O149" s="1">
        <f>M149-N149</f>
        <v/>
      </c>
      <c r="P149" s="1">
        <f>Sintesi!$C$33*G149*1000</f>
        <v/>
      </c>
      <c r="Q149" s="1">
        <f>Sintesi!$C$34*G149*1000</f>
        <v/>
      </c>
      <c r="R149" s="1">
        <f>P149-Q149</f>
        <v/>
      </c>
    </row>
    <row r="150">
      <c r="A150" s="41" t="n">
        <v>149</v>
      </c>
      <c r="B150" s="42">
        <f>DATE(Sintesi!$C$4-1,12,31)+A150</f>
        <v/>
      </c>
      <c r="C150" s="41">
        <f>'Paste cell here'!B150</f>
        <v/>
      </c>
      <c r="D150" s="41">
        <f>'Paste cell here'!I150</f>
        <v/>
      </c>
      <c r="E150" s="1">
        <f>'Paste cell here'!H150</f>
        <v/>
      </c>
      <c r="F150" s="1">
        <f>Sintesi!$C$5</f>
        <v/>
      </c>
      <c r="G150" s="1">
        <f>'Paste cell here'!AA150</f>
        <v/>
      </c>
      <c r="H150" s="43">
        <f>'Paste cell here'!U150</f>
        <v/>
      </c>
      <c r="I150" s="43">
        <f>'Paste cell here'!AE150</f>
        <v/>
      </c>
      <c r="J150" s="44">
        <f>'Paste cell here'!U149+'Paste cell here'!AF150</f>
        <v/>
      </c>
      <c r="K150" s="45">
        <f>'Paste cell here'!AG150</f>
        <v/>
      </c>
      <c r="L150" s="41">
        <f>IF(J150&lt;K150,"YES","NO")</f>
        <v/>
      </c>
      <c r="M150" s="1">
        <f>(Sintesi!$C$29*F150*1000)</f>
        <v/>
      </c>
      <c r="N150" s="1">
        <f>Sintesi!$C$30*F150*1000</f>
        <v/>
      </c>
      <c r="O150" s="1">
        <f>M150-N150</f>
        <v/>
      </c>
      <c r="P150" s="1">
        <f>Sintesi!$C$33*G150*1000</f>
        <v/>
      </c>
      <c r="Q150" s="1">
        <f>Sintesi!$C$34*G150*1000</f>
        <v/>
      </c>
      <c r="R150" s="1">
        <f>P150-Q150</f>
        <v/>
      </c>
    </row>
    <row r="151">
      <c r="A151" s="41" t="n">
        <v>150</v>
      </c>
      <c r="B151" s="42">
        <f>DATE(Sintesi!$C$4-1,12,31)+A151</f>
        <v/>
      </c>
      <c r="C151" s="41">
        <f>'Paste cell here'!B151</f>
        <v/>
      </c>
      <c r="D151" s="41">
        <f>'Paste cell here'!I151</f>
        <v/>
      </c>
      <c r="E151" s="1">
        <f>'Paste cell here'!H151</f>
        <v/>
      </c>
      <c r="F151" s="1">
        <f>Sintesi!$C$5</f>
        <v/>
      </c>
      <c r="G151" s="1">
        <f>'Paste cell here'!AA151</f>
        <v/>
      </c>
      <c r="H151" s="43">
        <f>'Paste cell here'!U151</f>
        <v/>
      </c>
      <c r="I151" s="43">
        <f>'Paste cell here'!AE151</f>
        <v/>
      </c>
      <c r="J151" s="44">
        <f>'Paste cell here'!U150+'Paste cell here'!AF151</f>
        <v/>
      </c>
      <c r="K151" s="45">
        <f>'Paste cell here'!AG151</f>
        <v/>
      </c>
      <c r="L151" s="41">
        <f>IF(J151&lt;K151,"YES","NO")</f>
        <v/>
      </c>
      <c r="M151" s="1">
        <f>(Sintesi!$C$29*F151*1000)</f>
        <v/>
      </c>
      <c r="N151" s="1">
        <f>Sintesi!$C$30*F151*1000</f>
        <v/>
      </c>
      <c r="O151" s="1">
        <f>M151-N151</f>
        <v/>
      </c>
      <c r="P151" s="1">
        <f>Sintesi!$C$33*G151*1000</f>
        <v/>
      </c>
      <c r="Q151" s="1">
        <f>Sintesi!$C$34*G151*1000</f>
        <v/>
      </c>
      <c r="R151" s="1">
        <f>P151-Q151</f>
        <v/>
      </c>
    </row>
    <row r="152">
      <c r="A152" s="41" t="n">
        <v>151</v>
      </c>
      <c r="B152" s="42">
        <f>DATE(Sintesi!$C$4-1,12,31)+A152</f>
        <v/>
      </c>
      <c r="C152" s="41">
        <f>'Paste cell here'!B152</f>
        <v/>
      </c>
      <c r="D152" s="41">
        <f>'Paste cell here'!I152</f>
        <v/>
      </c>
      <c r="E152" s="1">
        <f>'Paste cell here'!H152</f>
        <v/>
      </c>
      <c r="F152" s="1">
        <f>Sintesi!$C$5</f>
        <v/>
      </c>
      <c r="G152" s="1">
        <f>'Paste cell here'!AA152</f>
        <v/>
      </c>
      <c r="H152" s="43">
        <f>'Paste cell here'!U152</f>
        <v/>
      </c>
      <c r="I152" s="43">
        <f>'Paste cell here'!AE152</f>
        <v/>
      </c>
      <c r="J152" s="44">
        <f>'Paste cell here'!U151+'Paste cell here'!AF152</f>
        <v/>
      </c>
      <c r="K152" s="45">
        <f>'Paste cell here'!AG152</f>
        <v/>
      </c>
      <c r="L152" s="41">
        <f>IF(J152&lt;K152,"YES","NO")</f>
        <v/>
      </c>
      <c r="M152" s="1">
        <f>(Sintesi!$C$29*F152*1000)</f>
        <v/>
      </c>
      <c r="N152" s="1">
        <f>Sintesi!$C$30*F152*1000</f>
        <v/>
      </c>
      <c r="O152" s="1">
        <f>M152-N152</f>
        <v/>
      </c>
      <c r="P152" s="1">
        <f>Sintesi!$C$33*G152*1000</f>
        <v/>
      </c>
      <c r="Q152" s="1">
        <f>Sintesi!$C$34*G152*1000</f>
        <v/>
      </c>
      <c r="R152" s="1">
        <f>P152-Q152</f>
        <v/>
      </c>
    </row>
    <row r="153">
      <c r="A153" s="41" t="n">
        <v>152</v>
      </c>
      <c r="B153" s="42">
        <f>DATE(Sintesi!$C$4-1,12,31)+A153</f>
        <v/>
      </c>
      <c r="C153" s="41">
        <f>'Paste cell here'!B153</f>
        <v/>
      </c>
      <c r="D153" s="41">
        <f>'Paste cell here'!I153</f>
        <v/>
      </c>
      <c r="E153" s="1">
        <f>'Paste cell here'!H153</f>
        <v/>
      </c>
      <c r="F153" s="1">
        <f>Sintesi!$C$5</f>
        <v/>
      </c>
      <c r="G153" s="1">
        <f>'Paste cell here'!AA153</f>
        <v/>
      </c>
      <c r="H153" s="43">
        <f>'Paste cell here'!U153</f>
        <v/>
      </c>
      <c r="I153" s="43">
        <f>'Paste cell here'!AE153</f>
        <v/>
      </c>
      <c r="J153" s="44">
        <f>'Paste cell here'!U152+'Paste cell here'!AF153</f>
        <v/>
      </c>
      <c r="K153" s="45">
        <f>'Paste cell here'!AG153</f>
        <v/>
      </c>
      <c r="L153" s="41">
        <f>IF(J153&lt;K153,"YES","NO")</f>
        <v/>
      </c>
      <c r="M153" s="1">
        <f>(Sintesi!$C$29*F153*1000)</f>
        <v/>
      </c>
      <c r="N153" s="1">
        <f>Sintesi!$C$30*F153*1000</f>
        <v/>
      </c>
      <c r="O153" s="1">
        <f>M153-N153</f>
        <v/>
      </c>
      <c r="P153" s="1">
        <f>Sintesi!$C$33*G153*1000</f>
        <v/>
      </c>
      <c r="Q153" s="1">
        <f>Sintesi!$C$34*G153*1000</f>
        <v/>
      </c>
      <c r="R153" s="1">
        <f>P153-Q153</f>
        <v/>
      </c>
    </row>
    <row r="154">
      <c r="A154" s="41" t="n">
        <v>153</v>
      </c>
      <c r="B154" s="42">
        <f>DATE(Sintesi!$C$4-1,12,31)+A154</f>
        <v/>
      </c>
      <c r="C154" s="41">
        <f>'Paste cell here'!B154</f>
        <v/>
      </c>
      <c r="D154" s="41">
        <f>'Paste cell here'!I154</f>
        <v/>
      </c>
      <c r="E154" s="1">
        <f>'Paste cell here'!H154</f>
        <v/>
      </c>
      <c r="F154" s="1">
        <f>Sintesi!$C$5</f>
        <v/>
      </c>
      <c r="G154" s="1">
        <f>'Paste cell here'!AA154</f>
        <v/>
      </c>
      <c r="H154" s="43">
        <f>'Paste cell here'!U154</f>
        <v/>
      </c>
      <c r="I154" s="43">
        <f>'Paste cell here'!AE154</f>
        <v/>
      </c>
      <c r="J154" s="44">
        <f>'Paste cell here'!U153+'Paste cell here'!AF154</f>
        <v/>
      </c>
      <c r="K154" s="45">
        <f>'Paste cell here'!AG154</f>
        <v/>
      </c>
      <c r="L154" s="41">
        <f>IF(J154&lt;K154,"YES","NO")</f>
        <v/>
      </c>
      <c r="M154" s="1">
        <f>(Sintesi!$C$29*F154*1000)</f>
        <v/>
      </c>
      <c r="N154" s="1">
        <f>Sintesi!$C$30*F154*1000</f>
        <v/>
      </c>
      <c r="O154" s="1">
        <f>M154-N154</f>
        <v/>
      </c>
      <c r="P154" s="1">
        <f>Sintesi!$C$33*G154*1000</f>
        <v/>
      </c>
      <c r="Q154" s="1">
        <f>Sintesi!$C$34*G154*1000</f>
        <v/>
      </c>
      <c r="R154" s="1">
        <f>P154-Q154</f>
        <v/>
      </c>
    </row>
    <row r="155">
      <c r="A155" s="41" t="n">
        <v>154</v>
      </c>
      <c r="B155" s="42">
        <f>DATE(Sintesi!$C$4-1,12,31)+A155</f>
        <v/>
      </c>
      <c r="C155" s="41">
        <f>'Paste cell here'!B155</f>
        <v/>
      </c>
      <c r="D155" s="41">
        <f>'Paste cell here'!I155</f>
        <v/>
      </c>
      <c r="E155" s="1">
        <f>'Paste cell here'!H155</f>
        <v/>
      </c>
      <c r="F155" s="1">
        <f>Sintesi!$C$5</f>
        <v/>
      </c>
      <c r="G155" s="1">
        <f>'Paste cell here'!AA155</f>
        <v/>
      </c>
      <c r="H155" s="43">
        <f>'Paste cell here'!U155</f>
        <v/>
      </c>
      <c r="I155" s="43">
        <f>'Paste cell here'!AE155</f>
        <v/>
      </c>
      <c r="J155" s="44">
        <f>'Paste cell here'!U154+'Paste cell here'!AF155</f>
        <v/>
      </c>
      <c r="K155" s="45">
        <f>'Paste cell here'!AG155</f>
        <v/>
      </c>
      <c r="L155" s="41">
        <f>IF(J155&lt;K155,"YES","NO")</f>
        <v/>
      </c>
      <c r="M155" s="1">
        <f>(Sintesi!$C$29*F155*1000)</f>
        <v/>
      </c>
      <c r="N155" s="1">
        <f>Sintesi!$C$30*F155*1000</f>
        <v/>
      </c>
      <c r="O155" s="1">
        <f>M155-N155</f>
        <v/>
      </c>
      <c r="P155" s="1">
        <f>Sintesi!$C$33*G155*1000</f>
        <v/>
      </c>
      <c r="Q155" s="1">
        <f>Sintesi!$C$34*G155*1000</f>
        <v/>
      </c>
      <c r="R155" s="1">
        <f>P155-Q155</f>
        <v/>
      </c>
    </row>
    <row r="156">
      <c r="A156" s="41" t="n">
        <v>155</v>
      </c>
      <c r="B156" s="42">
        <f>DATE(Sintesi!$C$4-1,12,31)+A156</f>
        <v/>
      </c>
      <c r="C156" s="41">
        <f>'Paste cell here'!B156</f>
        <v/>
      </c>
      <c r="D156" s="41">
        <f>'Paste cell here'!I156</f>
        <v/>
      </c>
      <c r="E156" s="1">
        <f>'Paste cell here'!H156</f>
        <v/>
      </c>
      <c r="F156" s="1">
        <f>Sintesi!$C$5</f>
        <v/>
      </c>
      <c r="G156" s="1">
        <f>'Paste cell here'!AA156</f>
        <v/>
      </c>
      <c r="H156" s="43">
        <f>'Paste cell here'!U156</f>
        <v/>
      </c>
      <c r="I156" s="43">
        <f>'Paste cell here'!AE156</f>
        <v/>
      </c>
      <c r="J156" s="44">
        <f>'Paste cell here'!U155+'Paste cell here'!AF156</f>
        <v/>
      </c>
      <c r="K156" s="45">
        <f>'Paste cell here'!AG156</f>
        <v/>
      </c>
      <c r="L156" s="41">
        <f>IF(J156&lt;K156,"YES","NO")</f>
        <v/>
      </c>
      <c r="M156" s="1">
        <f>(Sintesi!$C$29*F156*1000)</f>
        <v/>
      </c>
      <c r="N156" s="1">
        <f>Sintesi!$C$30*F156*1000</f>
        <v/>
      </c>
      <c r="O156" s="1">
        <f>M156-N156</f>
        <v/>
      </c>
      <c r="P156" s="1">
        <f>Sintesi!$C$33*G156*1000</f>
        <v/>
      </c>
      <c r="Q156" s="1">
        <f>Sintesi!$C$34*G156*1000</f>
        <v/>
      </c>
      <c r="R156" s="1">
        <f>P156-Q156</f>
        <v/>
      </c>
    </row>
    <row r="157">
      <c r="A157" s="41" t="n">
        <v>156</v>
      </c>
      <c r="B157" s="42">
        <f>DATE(Sintesi!$C$4-1,12,31)+A157</f>
        <v/>
      </c>
      <c r="C157" s="41">
        <f>'Paste cell here'!B157</f>
        <v/>
      </c>
      <c r="D157" s="41">
        <f>'Paste cell here'!I157</f>
        <v/>
      </c>
      <c r="E157" s="1">
        <f>'Paste cell here'!H157</f>
        <v/>
      </c>
      <c r="F157" s="1">
        <f>Sintesi!$C$5</f>
        <v/>
      </c>
      <c r="G157" s="1">
        <f>'Paste cell here'!AA157</f>
        <v/>
      </c>
      <c r="H157" s="43">
        <f>'Paste cell here'!U157</f>
        <v/>
      </c>
      <c r="I157" s="43">
        <f>'Paste cell here'!AE157</f>
        <v/>
      </c>
      <c r="J157" s="44">
        <f>'Paste cell here'!U156+'Paste cell here'!AF157</f>
        <v/>
      </c>
      <c r="K157" s="45">
        <f>'Paste cell here'!AG157</f>
        <v/>
      </c>
      <c r="L157" s="41">
        <f>IF(J157&lt;K157,"YES","NO")</f>
        <v/>
      </c>
      <c r="M157" s="1">
        <f>(Sintesi!$C$29*F157*1000)</f>
        <v/>
      </c>
      <c r="N157" s="1">
        <f>Sintesi!$C$30*F157*1000</f>
        <v/>
      </c>
      <c r="O157" s="1">
        <f>M157-N157</f>
        <v/>
      </c>
      <c r="P157" s="1">
        <f>Sintesi!$C$33*G157*1000</f>
        <v/>
      </c>
      <c r="Q157" s="1">
        <f>Sintesi!$C$34*G157*1000</f>
        <v/>
      </c>
      <c r="R157" s="1">
        <f>P157-Q157</f>
        <v/>
      </c>
    </row>
    <row r="158">
      <c r="A158" s="41" t="n">
        <v>157</v>
      </c>
      <c r="B158" s="42">
        <f>DATE(Sintesi!$C$4-1,12,31)+A158</f>
        <v/>
      </c>
      <c r="C158" s="41">
        <f>'Paste cell here'!B158</f>
        <v/>
      </c>
      <c r="D158" s="41">
        <f>'Paste cell here'!I158</f>
        <v/>
      </c>
      <c r="E158" s="1">
        <f>'Paste cell here'!H158</f>
        <v/>
      </c>
      <c r="F158" s="1">
        <f>Sintesi!$C$5</f>
        <v/>
      </c>
      <c r="G158" s="1">
        <f>'Paste cell here'!AA158</f>
        <v/>
      </c>
      <c r="H158" s="43">
        <f>'Paste cell here'!U158</f>
        <v/>
      </c>
      <c r="I158" s="43">
        <f>'Paste cell here'!AE158</f>
        <v/>
      </c>
      <c r="J158" s="44">
        <f>'Paste cell here'!U157+'Paste cell here'!AF158</f>
        <v/>
      </c>
      <c r="K158" s="45">
        <f>'Paste cell here'!AG158</f>
        <v/>
      </c>
      <c r="L158" s="41">
        <f>IF(J158&lt;K158,"YES","NO")</f>
        <v/>
      </c>
      <c r="M158" s="1">
        <f>(Sintesi!$C$29*F158*1000)</f>
        <v/>
      </c>
      <c r="N158" s="1">
        <f>Sintesi!$C$30*F158*1000</f>
        <v/>
      </c>
      <c r="O158" s="1">
        <f>M158-N158</f>
        <v/>
      </c>
      <c r="P158" s="1">
        <f>Sintesi!$C$33*G158*1000</f>
        <v/>
      </c>
      <c r="Q158" s="1">
        <f>Sintesi!$C$34*G158*1000</f>
        <v/>
      </c>
      <c r="R158" s="1">
        <f>P158-Q158</f>
        <v/>
      </c>
    </row>
    <row r="159">
      <c r="A159" s="41" t="n">
        <v>158</v>
      </c>
      <c r="B159" s="42">
        <f>DATE(Sintesi!$C$4-1,12,31)+A159</f>
        <v/>
      </c>
      <c r="C159" s="41">
        <f>'Paste cell here'!B159</f>
        <v/>
      </c>
      <c r="D159" s="41">
        <f>'Paste cell here'!I159</f>
        <v/>
      </c>
      <c r="E159" s="1">
        <f>'Paste cell here'!H159</f>
        <v/>
      </c>
      <c r="F159" s="1">
        <f>Sintesi!$C$5</f>
        <v/>
      </c>
      <c r="G159" s="1">
        <f>'Paste cell here'!AA159</f>
        <v/>
      </c>
      <c r="H159" s="43">
        <f>'Paste cell here'!U159</f>
        <v/>
      </c>
      <c r="I159" s="43">
        <f>'Paste cell here'!AE159</f>
        <v/>
      </c>
      <c r="J159" s="44">
        <f>'Paste cell here'!U158+'Paste cell here'!AF159</f>
        <v/>
      </c>
      <c r="K159" s="45">
        <f>'Paste cell here'!AG159</f>
        <v/>
      </c>
      <c r="L159" s="41">
        <f>IF(J159&lt;K159,"YES","NO")</f>
        <v/>
      </c>
      <c r="M159" s="1">
        <f>(Sintesi!$C$29*F159*1000)</f>
        <v/>
      </c>
      <c r="N159" s="1">
        <f>Sintesi!$C$30*F159*1000</f>
        <v/>
      </c>
      <c r="O159" s="1">
        <f>M159-N159</f>
        <v/>
      </c>
      <c r="P159" s="1">
        <f>Sintesi!$C$33*G159*1000</f>
        <v/>
      </c>
      <c r="Q159" s="1">
        <f>Sintesi!$C$34*G159*1000</f>
        <v/>
      </c>
      <c r="R159" s="1">
        <f>P159-Q159</f>
        <v/>
      </c>
    </row>
    <row r="160">
      <c r="A160" s="41" t="n">
        <v>159</v>
      </c>
      <c r="B160" s="42">
        <f>DATE(Sintesi!$C$4-1,12,31)+A160</f>
        <v/>
      </c>
      <c r="C160" s="41">
        <f>'Paste cell here'!B160</f>
        <v/>
      </c>
      <c r="D160" s="41">
        <f>'Paste cell here'!I160</f>
        <v/>
      </c>
      <c r="E160" s="1">
        <f>'Paste cell here'!H160</f>
        <v/>
      </c>
      <c r="F160" s="1">
        <f>Sintesi!$C$5</f>
        <v/>
      </c>
      <c r="G160" s="1">
        <f>'Paste cell here'!AA160</f>
        <v/>
      </c>
      <c r="H160" s="43">
        <f>'Paste cell here'!U160</f>
        <v/>
      </c>
      <c r="I160" s="43">
        <f>'Paste cell here'!AE160</f>
        <v/>
      </c>
      <c r="J160" s="44">
        <f>'Paste cell here'!U159+'Paste cell here'!AF160</f>
        <v/>
      </c>
      <c r="K160" s="45">
        <f>'Paste cell here'!AG160</f>
        <v/>
      </c>
      <c r="L160" s="41">
        <f>IF(J160&lt;K160,"YES","NO")</f>
        <v/>
      </c>
      <c r="M160" s="1">
        <f>(Sintesi!$C$29*F160*1000)</f>
        <v/>
      </c>
      <c r="N160" s="1">
        <f>Sintesi!$C$30*F160*1000</f>
        <v/>
      </c>
      <c r="O160" s="1">
        <f>M160-N160</f>
        <v/>
      </c>
      <c r="P160" s="1">
        <f>Sintesi!$C$33*G160*1000</f>
        <v/>
      </c>
      <c r="Q160" s="1">
        <f>Sintesi!$C$34*G160*1000</f>
        <v/>
      </c>
      <c r="R160" s="1">
        <f>P160-Q160</f>
        <v/>
      </c>
    </row>
    <row r="161">
      <c r="A161" s="41" t="n">
        <v>160</v>
      </c>
      <c r="B161" s="42">
        <f>DATE(Sintesi!$C$4-1,12,31)+A161</f>
        <v/>
      </c>
      <c r="C161" s="41">
        <f>'Paste cell here'!B161</f>
        <v/>
      </c>
      <c r="D161" s="41">
        <f>'Paste cell here'!I161</f>
        <v/>
      </c>
      <c r="E161" s="1">
        <f>'Paste cell here'!H161</f>
        <v/>
      </c>
      <c r="F161" s="1">
        <f>Sintesi!$C$5</f>
        <v/>
      </c>
      <c r="G161" s="1">
        <f>'Paste cell here'!AA161</f>
        <v/>
      </c>
      <c r="H161" s="43">
        <f>'Paste cell here'!U161</f>
        <v/>
      </c>
      <c r="I161" s="43">
        <f>'Paste cell here'!AE161</f>
        <v/>
      </c>
      <c r="J161" s="44">
        <f>'Paste cell here'!U160+'Paste cell here'!AF161</f>
        <v/>
      </c>
      <c r="K161" s="45">
        <f>'Paste cell here'!AG161</f>
        <v/>
      </c>
      <c r="L161" s="41">
        <f>IF(J161&lt;K161,"YES","NO")</f>
        <v/>
      </c>
      <c r="M161" s="1">
        <f>(Sintesi!$C$29*F161*1000)</f>
        <v/>
      </c>
      <c r="N161" s="1">
        <f>Sintesi!$C$30*F161*1000</f>
        <v/>
      </c>
      <c r="O161" s="1">
        <f>M161-N161</f>
        <v/>
      </c>
      <c r="P161" s="1">
        <f>Sintesi!$C$33*G161*1000</f>
        <v/>
      </c>
      <c r="Q161" s="1">
        <f>Sintesi!$C$34*G161*1000</f>
        <v/>
      </c>
      <c r="R161" s="1">
        <f>P161-Q161</f>
        <v/>
      </c>
    </row>
    <row r="162">
      <c r="A162" s="41" t="n">
        <v>161</v>
      </c>
      <c r="B162" s="42">
        <f>DATE(Sintesi!$C$4-1,12,31)+A162</f>
        <v/>
      </c>
      <c r="C162" s="41">
        <f>'Paste cell here'!B162</f>
        <v/>
      </c>
      <c r="D162" s="41">
        <f>'Paste cell here'!I162</f>
        <v/>
      </c>
      <c r="E162" s="1">
        <f>'Paste cell here'!H162</f>
        <v/>
      </c>
      <c r="F162" s="1">
        <f>Sintesi!$C$5</f>
        <v/>
      </c>
      <c r="G162" s="1">
        <f>'Paste cell here'!AA162</f>
        <v/>
      </c>
      <c r="H162" s="43">
        <f>'Paste cell here'!U162</f>
        <v/>
      </c>
      <c r="I162" s="43">
        <f>'Paste cell here'!AE162</f>
        <v/>
      </c>
      <c r="J162" s="44">
        <f>'Paste cell here'!U161+'Paste cell here'!AF162</f>
        <v/>
      </c>
      <c r="K162" s="45">
        <f>'Paste cell here'!AG162</f>
        <v/>
      </c>
      <c r="L162" s="41">
        <f>IF(J162&lt;K162,"YES","NO")</f>
        <v/>
      </c>
      <c r="M162" s="1">
        <f>(Sintesi!$C$29*F162*1000)</f>
        <v/>
      </c>
      <c r="N162" s="1">
        <f>Sintesi!$C$30*F162*1000</f>
        <v/>
      </c>
      <c r="O162" s="1">
        <f>M162-N162</f>
        <v/>
      </c>
      <c r="P162" s="1">
        <f>Sintesi!$C$33*G162*1000</f>
        <v/>
      </c>
      <c r="Q162" s="1">
        <f>Sintesi!$C$34*G162*1000</f>
        <v/>
      </c>
      <c r="R162" s="1">
        <f>P162-Q162</f>
        <v/>
      </c>
    </row>
    <row r="163">
      <c r="A163" s="41" t="n">
        <v>162</v>
      </c>
      <c r="B163" s="42">
        <f>DATE(Sintesi!$C$4-1,12,31)+A163</f>
        <v/>
      </c>
      <c r="C163" s="41">
        <f>'Paste cell here'!B163</f>
        <v/>
      </c>
      <c r="D163" s="41">
        <f>'Paste cell here'!I163</f>
        <v/>
      </c>
      <c r="E163" s="1">
        <f>'Paste cell here'!H163</f>
        <v/>
      </c>
      <c r="F163" s="1">
        <f>Sintesi!$C$5</f>
        <v/>
      </c>
      <c r="G163" s="1">
        <f>'Paste cell here'!AA163</f>
        <v/>
      </c>
      <c r="H163" s="43">
        <f>'Paste cell here'!U163</f>
        <v/>
      </c>
      <c r="I163" s="43">
        <f>'Paste cell here'!AE163</f>
        <v/>
      </c>
      <c r="J163" s="44">
        <f>'Paste cell here'!U162+'Paste cell here'!AF163</f>
        <v/>
      </c>
      <c r="K163" s="45">
        <f>'Paste cell here'!AG163</f>
        <v/>
      </c>
      <c r="L163" s="41">
        <f>IF(J163&lt;K163,"YES","NO")</f>
        <v/>
      </c>
      <c r="M163" s="1">
        <f>(Sintesi!$C$29*F163*1000)</f>
        <v/>
      </c>
      <c r="N163" s="1">
        <f>Sintesi!$C$30*F163*1000</f>
        <v/>
      </c>
      <c r="O163" s="1">
        <f>M163-N163</f>
        <v/>
      </c>
      <c r="P163" s="1">
        <f>Sintesi!$C$33*G163*1000</f>
        <v/>
      </c>
      <c r="Q163" s="1">
        <f>Sintesi!$C$34*G163*1000</f>
        <v/>
      </c>
      <c r="R163" s="1">
        <f>P163-Q163</f>
        <v/>
      </c>
    </row>
    <row r="164">
      <c r="A164" s="41" t="n">
        <v>163</v>
      </c>
      <c r="B164" s="42">
        <f>DATE(Sintesi!$C$4-1,12,31)+A164</f>
        <v/>
      </c>
      <c r="C164" s="41">
        <f>'Paste cell here'!B164</f>
        <v/>
      </c>
      <c r="D164" s="41">
        <f>'Paste cell here'!I164</f>
        <v/>
      </c>
      <c r="E164" s="1">
        <f>'Paste cell here'!H164</f>
        <v/>
      </c>
      <c r="F164" s="1">
        <f>Sintesi!$C$5</f>
        <v/>
      </c>
      <c r="G164" s="1">
        <f>'Paste cell here'!AA164</f>
        <v/>
      </c>
      <c r="H164" s="43">
        <f>'Paste cell here'!U164</f>
        <v/>
      </c>
      <c r="I164" s="43">
        <f>'Paste cell here'!AE164</f>
        <v/>
      </c>
      <c r="J164" s="44">
        <f>'Paste cell here'!U163+'Paste cell here'!AF164</f>
        <v/>
      </c>
      <c r="K164" s="45">
        <f>'Paste cell here'!AG164</f>
        <v/>
      </c>
      <c r="L164" s="41">
        <f>IF(J164&lt;K164,"YES","NO")</f>
        <v/>
      </c>
      <c r="M164" s="1">
        <f>(Sintesi!$C$29*F164*1000)</f>
        <v/>
      </c>
      <c r="N164" s="1">
        <f>Sintesi!$C$30*F164*1000</f>
        <v/>
      </c>
      <c r="O164" s="1">
        <f>M164-N164</f>
        <v/>
      </c>
      <c r="P164" s="1">
        <f>Sintesi!$C$33*G164*1000</f>
        <v/>
      </c>
      <c r="Q164" s="1">
        <f>Sintesi!$C$34*G164*1000</f>
        <v/>
      </c>
      <c r="R164" s="1">
        <f>P164-Q164</f>
        <v/>
      </c>
    </row>
    <row r="165">
      <c r="A165" s="41" t="n">
        <v>164</v>
      </c>
      <c r="B165" s="42">
        <f>DATE(Sintesi!$C$4-1,12,31)+A165</f>
        <v/>
      </c>
      <c r="C165" s="41">
        <f>'Paste cell here'!B165</f>
        <v/>
      </c>
      <c r="D165" s="41">
        <f>'Paste cell here'!I165</f>
        <v/>
      </c>
      <c r="E165" s="1">
        <f>'Paste cell here'!H165</f>
        <v/>
      </c>
      <c r="F165" s="1">
        <f>Sintesi!$C$5</f>
        <v/>
      </c>
      <c r="G165" s="1">
        <f>'Paste cell here'!AA165</f>
        <v/>
      </c>
      <c r="H165" s="43">
        <f>'Paste cell here'!U165</f>
        <v/>
      </c>
      <c r="I165" s="43">
        <f>'Paste cell here'!AE165</f>
        <v/>
      </c>
      <c r="J165" s="44">
        <f>'Paste cell here'!U164+'Paste cell here'!AF165</f>
        <v/>
      </c>
      <c r="K165" s="45">
        <f>'Paste cell here'!AG165</f>
        <v/>
      </c>
      <c r="L165" s="41">
        <f>IF(J165&lt;K165,"YES","NO")</f>
        <v/>
      </c>
      <c r="M165" s="1">
        <f>(Sintesi!$C$29*F165*1000)</f>
        <v/>
      </c>
      <c r="N165" s="1">
        <f>Sintesi!$C$30*F165*1000</f>
        <v/>
      </c>
      <c r="O165" s="1">
        <f>M165-N165</f>
        <v/>
      </c>
      <c r="P165" s="1">
        <f>Sintesi!$C$33*G165*1000</f>
        <v/>
      </c>
      <c r="Q165" s="1">
        <f>Sintesi!$C$34*G165*1000</f>
        <v/>
      </c>
      <c r="R165" s="1">
        <f>P165-Q165</f>
        <v/>
      </c>
    </row>
    <row r="166">
      <c r="A166" s="41" t="n">
        <v>165</v>
      </c>
      <c r="B166" s="42">
        <f>DATE(Sintesi!$C$4-1,12,31)+A166</f>
        <v/>
      </c>
      <c r="C166" s="41">
        <f>'Paste cell here'!B166</f>
        <v/>
      </c>
      <c r="D166" s="41">
        <f>'Paste cell here'!I166</f>
        <v/>
      </c>
      <c r="E166" s="1">
        <f>'Paste cell here'!H166</f>
        <v/>
      </c>
      <c r="F166" s="1">
        <f>Sintesi!$C$5</f>
        <v/>
      </c>
      <c r="G166" s="1">
        <f>'Paste cell here'!AA166</f>
        <v/>
      </c>
      <c r="H166" s="43">
        <f>'Paste cell here'!U166</f>
        <v/>
      </c>
      <c r="I166" s="43">
        <f>'Paste cell here'!AE166</f>
        <v/>
      </c>
      <c r="J166" s="44">
        <f>'Paste cell here'!U165+'Paste cell here'!AF166</f>
        <v/>
      </c>
      <c r="K166" s="45">
        <f>'Paste cell here'!AG166</f>
        <v/>
      </c>
      <c r="L166" s="41">
        <f>IF(J166&lt;K166,"YES","NO")</f>
        <v/>
      </c>
      <c r="M166" s="1">
        <f>(Sintesi!$C$29*F166*1000)</f>
        <v/>
      </c>
      <c r="N166" s="1">
        <f>Sintesi!$C$30*F166*1000</f>
        <v/>
      </c>
      <c r="O166" s="1">
        <f>M166-N166</f>
        <v/>
      </c>
      <c r="P166" s="1">
        <f>Sintesi!$C$33*G166*1000</f>
        <v/>
      </c>
      <c r="Q166" s="1">
        <f>Sintesi!$C$34*G166*1000</f>
        <v/>
      </c>
      <c r="R166" s="1">
        <f>P166-Q166</f>
        <v/>
      </c>
    </row>
    <row r="167">
      <c r="A167" s="41" t="n">
        <v>166</v>
      </c>
      <c r="B167" s="42">
        <f>DATE(Sintesi!$C$4-1,12,31)+A167</f>
        <v/>
      </c>
      <c r="C167" s="41">
        <f>'Paste cell here'!B167</f>
        <v/>
      </c>
      <c r="D167" s="41">
        <f>'Paste cell here'!I167</f>
        <v/>
      </c>
      <c r="E167" s="1">
        <f>'Paste cell here'!H167</f>
        <v/>
      </c>
      <c r="F167" s="1">
        <f>Sintesi!$C$5</f>
        <v/>
      </c>
      <c r="G167" s="1">
        <f>'Paste cell here'!AA167</f>
        <v/>
      </c>
      <c r="H167" s="43">
        <f>'Paste cell here'!U167</f>
        <v/>
      </c>
      <c r="I167" s="43">
        <f>'Paste cell here'!AE167</f>
        <v/>
      </c>
      <c r="J167" s="44">
        <f>'Paste cell here'!U166+'Paste cell here'!AF167</f>
        <v/>
      </c>
      <c r="K167" s="45">
        <f>'Paste cell here'!AG167</f>
        <v/>
      </c>
      <c r="L167" s="41">
        <f>IF(J167&lt;K167,"YES","NO")</f>
        <v/>
      </c>
      <c r="M167" s="1">
        <f>(Sintesi!$C$29*F167*1000)</f>
        <v/>
      </c>
      <c r="N167" s="1">
        <f>Sintesi!$C$30*F167*1000</f>
        <v/>
      </c>
      <c r="O167" s="1">
        <f>M167-N167</f>
        <v/>
      </c>
      <c r="P167" s="1">
        <f>Sintesi!$C$33*G167*1000</f>
        <v/>
      </c>
      <c r="Q167" s="1">
        <f>Sintesi!$C$34*G167*1000</f>
        <v/>
      </c>
      <c r="R167" s="1">
        <f>P167-Q167</f>
        <v/>
      </c>
    </row>
    <row r="168">
      <c r="A168" s="41" t="n">
        <v>167</v>
      </c>
      <c r="B168" s="42">
        <f>DATE(Sintesi!$C$4-1,12,31)+A168</f>
        <v/>
      </c>
      <c r="C168" s="41">
        <f>'Paste cell here'!B168</f>
        <v/>
      </c>
      <c r="D168" s="41">
        <f>'Paste cell here'!I168</f>
        <v/>
      </c>
      <c r="E168" s="1">
        <f>'Paste cell here'!H168</f>
        <v/>
      </c>
      <c r="F168" s="1">
        <f>Sintesi!$C$5</f>
        <v/>
      </c>
      <c r="G168" s="1">
        <f>'Paste cell here'!AA168</f>
        <v/>
      </c>
      <c r="H168" s="43">
        <f>'Paste cell here'!U168</f>
        <v/>
      </c>
      <c r="I168" s="43">
        <f>'Paste cell here'!AE168</f>
        <v/>
      </c>
      <c r="J168" s="44">
        <f>'Paste cell here'!U167+'Paste cell here'!AF168</f>
        <v/>
      </c>
      <c r="K168" s="45">
        <f>'Paste cell here'!AG168</f>
        <v/>
      </c>
      <c r="L168" s="41">
        <f>IF(J168&lt;K168,"YES","NO")</f>
        <v/>
      </c>
      <c r="M168" s="1">
        <f>(Sintesi!$C$29*F168*1000)</f>
        <v/>
      </c>
      <c r="N168" s="1">
        <f>Sintesi!$C$30*F168*1000</f>
        <v/>
      </c>
      <c r="O168" s="1">
        <f>M168-N168</f>
        <v/>
      </c>
      <c r="P168" s="1">
        <f>Sintesi!$C$33*G168*1000</f>
        <v/>
      </c>
      <c r="Q168" s="1">
        <f>Sintesi!$C$34*G168*1000</f>
        <v/>
      </c>
      <c r="R168" s="1">
        <f>P168-Q168</f>
        <v/>
      </c>
    </row>
    <row r="169">
      <c r="A169" s="41" t="n">
        <v>168</v>
      </c>
      <c r="B169" s="42">
        <f>DATE(Sintesi!$C$4-1,12,31)+A169</f>
        <v/>
      </c>
      <c r="C169" s="41">
        <f>'Paste cell here'!B169</f>
        <v/>
      </c>
      <c r="D169" s="41">
        <f>'Paste cell here'!I169</f>
        <v/>
      </c>
      <c r="E169" s="1">
        <f>'Paste cell here'!H169</f>
        <v/>
      </c>
      <c r="F169" s="1">
        <f>Sintesi!$C$5</f>
        <v/>
      </c>
      <c r="G169" s="1">
        <f>'Paste cell here'!AA169</f>
        <v/>
      </c>
      <c r="H169" s="43">
        <f>'Paste cell here'!U169</f>
        <v/>
      </c>
      <c r="I169" s="43">
        <f>'Paste cell here'!AE169</f>
        <v/>
      </c>
      <c r="J169" s="44">
        <f>'Paste cell here'!U168+'Paste cell here'!AF169</f>
        <v/>
      </c>
      <c r="K169" s="45">
        <f>'Paste cell here'!AG169</f>
        <v/>
      </c>
      <c r="L169" s="41">
        <f>IF(J169&lt;K169,"YES","NO")</f>
        <v/>
      </c>
      <c r="M169" s="1">
        <f>(Sintesi!$C$29*F169*1000)</f>
        <v/>
      </c>
      <c r="N169" s="1">
        <f>Sintesi!$C$30*F169*1000</f>
        <v/>
      </c>
      <c r="O169" s="1">
        <f>M169-N169</f>
        <v/>
      </c>
      <c r="P169" s="1">
        <f>Sintesi!$C$33*G169*1000</f>
        <v/>
      </c>
      <c r="Q169" s="1">
        <f>Sintesi!$C$34*G169*1000</f>
        <v/>
      </c>
      <c r="R169" s="1">
        <f>P169-Q169</f>
        <v/>
      </c>
    </row>
    <row r="170">
      <c r="A170" s="41" t="n">
        <v>169</v>
      </c>
      <c r="B170" s="42">
        <f>DATE(Sintesi!$C$4-1,12,31)+A170</f>
        <v/>
      </c>
      <c r="C170" s="41">
        <f>'Paste cell here'!B170</f>
        <v/>
      </c>
      <c r="D170" s="41">
        <f>'Paste cell here'!I170</f>
        <v/>
      </c>
      <c r="E170" s="1">
        <f>'Paste cell here'!H170</f>
        <v/>
      </c>
      <c r="F170" s="1">
        <f>Sintesi!$C$5</f>
        <v/>
      </c>
      <c r="G170" s="1">
        <f>'Paste cell here'!AA170</f>
        <v/>
      </c>
      <c r="H170" s="43">
        <f>'Paste cell here'!U170</f>
        <v/>
      </c>
      <c r="I170" s="43">
        <f>'Paste cell here'!AE170</f>
        <v/>
      </c>
      <c r="J170" s="44">
        <f>'Paste cell here'!U169+'Paste cell here'!AF170</f>
        <v/>
      </c>
      <c r="K170" s="45">
        <f>'Paste cell here'!AG170</f>
        <v/>
      </c>
      <c r="L170" s="41">
        <f>IF(J170&lt;K170,"YES","NO")</f>
        <v/>
      </c>
      <c r="M170" s="1">
        <f>(Sintesi!$C$29*F170*1000)</f>
        <v/>
      </c>
      <c r="N170" s="1">
        <f>Sintesi!$C$30*F170*1000</f>
        <v/>
      </c>
      <c r="O170" s="1">
        <f>M170-N170</f>
        <v/>
      </c>
      <c r="P170" s="1">
        <f>Sintesi!$C$33*G170*1000</f>
        <v/>
      </c>
      <c r="Q170" s="1">
        <f>Sintesi!$C$34*G170*1000</f>
        <v/>
      </c>
      <c r="R170" s="1">
        <f>P170-Q170</f>
        <v/>
      </c>
    </row>
    <row r="171">
      <c r="A171" s="41" t="n">
        <v>170</v>
      </c>
      <c r="B171" s="42">
        <f>DATE(Sintesi!$C$4-1,12,31)+A171</f>
        <v/>
      </c>
      <c r="C171" s="41">
        <f>'Paste cell here'!B171</f>
        <v/>
      </c>
      <c r="D171" s="41">
        <f>'Paste cell here'!I171</f>
        <v/>
      </c>
      <c r="E171" s="1">
        <f>'Paste cell here'!H171</f>
        <v/>
      </c>
      <c r="F171" s="1">
        <f>Sintesi!$C$5</f>
        <v/>
      </c>
      <c r="G171" s="1">
        <f>'Paste cell here'!AA171</f>
        <v/>
      </c>
      <c r="H171" s="43">
        <f>'Paste cell here'!U171</f>
        <v/>
      </c>
      <c r="I171" s="43">
        <f>'Paste cell here'!AE171</f>
        <v/>
      </c>
      <c r="J171" s="44">
        <f>'Paste cell here'!U170+'Paste cell here'!AF171</f>
        <v/>
      </c>
      <c r="K171" s="45">
        <f>'Paste cell here'!AG171</f>
        <v/>
      </c>
      <c r="L171" s="41">
        <f>IF(J171&lt;K171,"YES","NO")</f>
        <v/>
      </c>
      <c r="M171" s="1">
        <f>(Sintesi!$C$29*F171*1000)</f>
        <v/>
      </c>
      <c r="N171" s="1">
        <f>Sintesi!$C$30*F171*1000</f>
        <v/>
      </c>
      <c r="O171" s="1">
        <f>M171-N171</f>
        <v/>
      </c>
      <c r="P171" s="1">
        <f>Sintesi!$C$33*G171*1000</f>
        <v/>
      </c>
      <c r="Q171" s="1">
        <f>Sintesi!$C$34*G171*1000</f>
        <v/>
      </c>
      <c r="R171" s="1">
        <f>P171-Q171</f>
        <v/>
      </c>
    </row>
    <row r="172">
      <c r="A172" s="41" t="n">
        <v>171</v>
      </c>
      <c r="B172" s="42">
        <f>DATE(Sintesi!$C$4-1,12,31)+A172</f>
        <v/>
      </c>
      <c r="C172" s="41">
        <f>'Paste cell here'!B172</f>
        <v/>
      </c>
      <c r="D172" s="41">
        <f>'Paste cell here'!I172</f>
        <v/>
      </c>
      <c r="E172" s="1">
        <f>'Paste cell here'!H172</f>
        <v/>
      </c>
      <c r="F172" s="1">
        <f>Sintesi!$C$5</f>
        <v/>
      </c>
      <c r="G172" s="1">
        <f>'Paste cell here'!AA172</f>
        <v/>
      </c>
      <c r="H172" s="43">
        <f>'Paste cell here'!U172</f>
        <v/>
      </c>
      <c r="I172" s="43">
        <f>'Paste cell here'!AE172</f>
        <v/>
      </c>
      <c r="J172" s="44">
        <f>'Paste cell here'!U171+'Paste cell here'!AF172</f>
        <v/>
      </c>
      <c r="K172" s="45">
        <f>'Paste cell here'!AG172</f>
        <v/>
      </c>
      <c r="L172" s="41">
        <f>IF(J172&lt;K172,"YES","NO")</f>
        <v/>
      </c>
      <c r="M172" s="1">
        <f>(Sintesi!$C$29*F172*1000)</f>
        <v/>
      </c>
      <c r="N172" s="1">
        <f>Sintesi!$C$30*F172*1000</f>
        <v/>
      </c>
      <c r="O172" s="1">
        <f>M172-N172</f>
        <v/>
      </c>
      <c r="P172" s="1">
        <f>Sintesi!$C$33*G172*1000</f>
        <v/>
      </c>
      <c r="Q172" s="1">
        <f>Sintesi!$C$34*G172*1000</f>
        <v/>
      </c>
      <c r="R172" s="1">
        <f>P172-Q172</f>
        <v/>
      </c>
    </row>
    <row r="173">
      <c r="A173" s="41" t="n">
        <v>172</v>
      </c>
      <c r="B173" s="42">
        <f>DATE(Sintesi!$C$4-1,12,31)+A173</f>
        <v/>
      </c>
      <c r="C173" s="41">
        <f>'Paste cell here'!B173</f>
        <v/>
      </c>
      <c r="D173" s="41">
        <f>'Paste cell here'!I173</f>
        <v/>
      </c>
      <c r="E173" s="1">
        <f>'Paste cell here'!H173</f>
        <v/>
      </c>
      <c r="F173" s="1">
        <f>Sintesi!$C$5</f>
        <v/>
      </c>
      <c r="G173" s="1">
        <f>'Paste cell here'!AA173</f>
        <v/>
      </c>
      <c r="H173" s="43">
        <f>'Paste cell here'!U173</f>
        <v/>
      </c>
      <c r="I173" s="43">
        <f>'Paste cell here'!AE173</f>
        <v/>
      </c>
      <c r="J173" s="44">
        <f>'Paste cell here'!U172+'Paste cell here'!AF173</f>
        <v/>
      </c>
      <c r="K173" s="45">
        <f>'Paste cell here'!AG173</f>
        <v/>
      </c>
      <c r="L173" s="41">
        <f>IF(J173&lt;K173,"YES","NO")</f>
        <v/>
      </c>
      <c r="M173" s="1">
        <f>(Sintesi!$C$29*F173*1000)</f>
        <v/>
      </c>
      <c r="N173" s="1">
        <f>Sintesi!$C$30*F173*1000</f>
        <v/>
      </c>
      <c r="O173" s="1">
        <f>M173-N173</f>
        <v/>
      </c>
      <c r="P173" s="1">
        <f>Sintesi!$C$33*G173*1000</f>
        <v/>
      </c>
      <c r="Q173" s="1">
        <f>Sintesi!$C$34*G173*1000</f>
        <v/>
      </c>
      <c r="R173" s="1">
        <f>P173-Q173</f>
        <v/>
      </c>
    </row>
    <row r="174">
      <c r="A174" s="41" t="n">
        <v>173</v>
      </c>
      <c r="B174" s="42">
        <f>DATE(Sintesi!$C$4-1,12,31)+A174</f>
        <v/>
      </c>
      <c r="C174" s="41">
        <f>'Paste cell here'!B174</f>
        <v/>
      </c>
      <c r="D174" s="41">
        <f>'Paste cell here'!I174</f>
        <v/>
      </c>
      <c r="E174" s="1">
        <f>'Paste cell here'!H174</f>
        <v/>
      </c>
      <c r="F174" s="1">
        <f>Sintesi!$C$5</f>
        <v/>
      </c>
      <c r="G174" s="1">
        <f>'Paste cell here'!AA174</f>
        <v/>
      </c>
      <c r="H174" s="43">
        <f>'Paste cell here'!U174</f>
        <v/>
      </c>
      <c r="I174" s="43">
        <f>'Paste cell here'!AE174</f>
        <v/>
      </c>
      <c r="J174" s="44">
        <f>'Paste cell here'!U173+'Paste cell here'!AF174</f>
        <v/>
      </c>
      <c r="K174" s="45">
        <f>'Paste cell here'!AG174</f>
        <v/>
      </c>
      <c r="L174" s="41">
        <f>IF(J174&lt;K174,"YES","NO")</f>
        <v/>
      </c>
      <c r="M174" s="1">
        <f>(Sintesi!$C$29*F174*1000)</f>
        <v/>
      </c>
      <c r="N174" s="1">
        <f>Sintesi!$C$30*F174*1000</f>
        <v/>
      </c>
      <c r="O174" s="1">
        <f>M174-N174</f>
        <v/>
      </c>
      <c r="P174" s="1">
        <f>Sintesi!$C$33*G174*1000</f>
        <v/>
      </c>
      <c r="Q174" s="1">
        <f>Sintesi!$C$34*G174*1000</f>
        <v/>
      </c>
      <c r="R174" s="1">
        <f>P174-Q174</f>
        <v/>
      </c>
    </row>
    <row r="175">
      <c r="A175" s="41" t="n">
        <v>174</v>
      </c>
      <c r="B175" s="42">
        <f>DATE(Sintesi!$C$4-1,12,31)+A175</f>
        <v/>
      </c>
      <c r="C175" s="41">
        <f>'Paste cell here'!B175</f>
        <v/>
      </c>
      <c r="D175" s="41">
        <f>'Paste cell here'!I175</f>
        <v/>
      </c>
      <c r="E175" s="1">
        <f>'Paste cell here'!H175</f>
        <v/>
      </c>
      <c r="F175" s="1">
        <f>Sintesi!$C$5</f>
        <v/>
      </c>
      <c r="G175" s="1">
        <f>'Paste cell here'!AA175</f>
        <v/>
      </c>
      <c r="H175" s="43">
        <f>'Paste cell here'!U175</f>
        <v/>
      </c>
      <c r="I175" s="43">
        <f>'Paste cell here'!AE175</f>
        <v/>
      </c>
      <c r="J175" s="44">
        <f>'Paste cell here'!U174+'Paste cell here'!AF175</f>
        <v/>
      </c>
      <c r="K175" s="45">
        <f>'Paste cell here'!AG175</f>
        <v/>
      </c>
      <c r="L175" s="41">
        <f>IF(J175&lt;K175,"YES","NO")</f>
        <v/>
      </c>
      <c r="M175" s="1">
        <f>(Sintesi!$C$29*F175*1000)</f>
        <v/>
      </c>
      <c r="N175" s="1">
        <f>Sintesi!$C$30*F175*1000</f>
        <v/>
      </c>
      <c r="O175" s="1">
        <f>M175-N175</f>
        <v/>
      </c>
      <c r="P175" s="1">
        <f>Sintesi!$C$33*G175*1000</f>
        <v/>
      </c>
      <c r="Q175" s="1">
        <f>Sintesi!$C$34*G175*1000</f>
        <v/>
      </c>
      <c r="R175" s="1">
        <f>P175-Q175</f>
        <v/>
      </c>
    </row>
    <row r="176">
      <c r="A176" s="41" t="n">
        <v>175</v>
      </c>
      <c r="B176" s="42">
        <f>DATE(Sintesi!$C$4-1,12,31)+A176</f>
        <v/>
      </c>
      <c r="C176" s="41">
        <f>'Paste cell here'!B176</f>
        <v/>
      </c>
      <c r="D176" s="41">
        <f>'Paste cell here'!I176</f>
        <v/>
      </c>
      <c r="E176" s="1">
        <f>'Paste cell here'!H176</f>
        <v/>
      </c>
      <c r="F176" s="1">
        <f>Sintesi!$C$5</f>
        <v/>
      </c>
      <c r="G176" s="1">
        <f>'Paste cell here'!AA176</f>
        <v/>
      </c>
      <c r="H176" s="43">
        <f>'Paste cell here'!U176</f>
        <v/>
      </c>
      <c r="I176" s="43">
        <f>'Paste cell here'!AE176</f>
        <v/>
      </c>
      <c r="J176" s="44">
        <f>'Paste cell here'!U175+'Paste cell here'!AF176</f>
        <v/>
      </c>
      <c r="K176" s="45">
        <f>'Paste cell here'!AG176</f>
        <v/>
      </c>
      <c r="L176" s="41">
        <f>IF(J176&lt;K176,"YES","NO")</f>
        <v/>
      </c>
      <c r="M176" s="1">
        <f>(Sintesi!$C$29*F176*1000)</f>
        <v/>
      </c>
      <c r="N176" s="1">
        <f>Sintesi!$C$30*F176*1000</f>
        <v/>
      </c>
      <c r="O176" s="1">
        <f>M176-N176</f>
        <v/>
      </c>
      <c r="P176" s="1">
        <f>Sintesi!$C$33*G176*1000</f>
        <v/>
      </c>
      <c r="Q176" s="1">
        <f>Sintesi!$C$34*G176*1000</f>
        <v/>
      </c>
      <c r="R176" s="1">
        <f>P176-Q176</f>
        <v/>
      </c>
    </row>
    <row r="177">
      <c r="A177" s="41" t="n">
        <v>176</v>
      </c>
      <c r="B177" s="42">
        <f>DATE(Sintesi!$C$4-1,12,31)+A177</f>
        <v/>
      </c>
      <c r="C177" s="41">
        <f>'Paste cell here'!B177</f>
        <v/>
      </c>
      <c r="D177" s="41">
        <f>'Paste cell here'!I177</f>
        <v/>
      </c>
      <c r="E177" s="1">
        <f>'Paste cell here'!H177</f>
        <v/>
      </c>
      <c r="F177" s="1">
        <f>Sintesi!$C$5</f>
        <v/>
      </c>
      <c r="G177" s="1">
        <f>'Paste cell here'!AA177</f>
        <v/>
      </c>
      <c r="H177" s="43">
        <f>'Paste cell here'!U177</f>
        <v/>
      </c>
      <c r="I177" s="43">
        <f>'Paste cell here'!AE177</f>
        <v/>
      </c>
      <c r="J177" s="44">
        <f>'Paste cell here'!U176+'Paste cell here'!AF177</f>
        <v/>
      </c>
      <c r="K177" s="45">
        <f>'Paste cell here'!AG177</f>
        <v/>
      </c>
      <c r="L177" s="41">
        <f>IF(J177&lt;K177,"YES","NO")</f>
        <v/>
      </c>
      <c r="M177" s="1">
        <f>(Sintesi!$C$29*F177*1000)</f>
        <v/>
      </c>
      <c r="N177" s="1">
        <f>Sintesi!$C$30*F177*1000</f>
        <v/>
      </c>
      <c r="O177" s="1">
        <f>M177-N177</f>
        <v/>
      </c>
      <c r="P177" s="1">
        <f>Sintesi!$C$33*G177*1000</f>
        <v/>
      </c>
      <c r="Q177" s="1">
        <f>Sintesi!$C$34*G177*1000</f>
        <v/>
      </c>
      <c r="R177" s="1">
        <f>P177-Q177</f>
        <v/>
      </c>
    </row>
    <row r="178">
      <c r="A178" s="41" t="n">
        <v>177</v>
      </c>
      <c r="B178" s="42">
        <f>DATE(Sintesi!$C$4-1,12,31)+A178</f>
        <v/>
      </c>
      <c r="C178" s="41">
        <f>'Paste cell here'!B178</f>
        <v/>
      </c>
      <c r="D178" s="41">
        <f>'Paste cell here'!I178</f>
        <v/>
      </c>
      <c r="E178" s="1">
        <f>'Paste cell here'!H178</f>
        <v/>
      </c>
      <c r="F178" s="1">
        <f>Sintesi!$C$5</f>
        <v/>
      </c>
      <c r="G178" s="1">
        <f>'Paste cell here'!AA178</f>
        <v/>
      </c>
      <c r="H178" s="43">
        <f>'Paste cell here'!U178</f>
        <v/>
      </c>
      <c r="I178" s="43">
        <f>'Paste cell here'!AE178</f>
        <v/>
      </c>
      <c r="J178" s="44">
        <f>'Paste cell here'!U177+'Paste cell here'!AF178</f>
        <v/>
      </c>
      <c r="K178" s="45">
        <f>'Paste cell here'!AG178</f>
        <v/>
      </c>
      <c r="L178" s="41">
        <f>IF(J178&lt;K178,"YES","NO")</f>
        <v/>
      </c>
      <c r="M178" s="1">
        <f>(Sintesi!$C$29*F178*1000)</f>
        <v/>
      </c>
      <c r="N178" s="1">
        <f>Sintesi!$C$30*F178*1000</f>
        <v/>
      </c>
      <c r="O178" s="1">
        <f>M178-N178</f>
        <v/>
      </c>
      <c r="P178" s="1">
        <f>Sintesi!$C$33*G178*1000</f>
        <v/>
      </c>
      <c r="Q178" s="1">
        <f>Sintesi!$C$34*G178*1000</f>
        <v/>
      </c>
      <c r="R178" s="1">
        <f>P178-Q178</f>
        <v/>
      </c>
    </row>
    <row r="179">
      <c r="A179" s="41" t="n">
        <v>178</v>
      </c>
      <c r="B179" s="42">
        <f>DATE(Sintesi!$C$4-1,12,31)+A179</f>
        <v/>
      </c>
      <c r="C179" s="41">
        <f>'Paste cell here'!B179</f>
        <v/>
      </c>
      <c r="D179" s="41">
        <f>'Paste cell here'!I179</f>
        <v/>
      </c>
      <c r="E179" s="1">
        <f>'Paste cell here'!H179</f>
        <v/>
      </c>
      <c r="F179" s="1">
        <f>Sintesi!$C$5</f>
        <v/>
      </c>
      <c r="G179" s="1">
        <f>'Paste cell here'!AA179</f>
        <v/>
      </c>
      <c r="H179" s="43">
        <f>'Paste cell here'!U179</f>
        <v/>
      </c>
      <c r="I179" s="43">
        <f>'Paste cell here'!AE179</f>
        <v/>
      </c>
      <c r="J179" s="44">
        <f>'Paste cell here'!U178+'Paste cell here'!AF179</f>
        <v/>
      </c>
      <c r="K179" s="45">
        <f>'Paste cell here'!AG179</f>
        <v/>
      </c>
      <c r="L179" s="41">
        <f>IF(J179&lt;K179,"YES","NO")</f>
        <v/>
      </c>
      <c r="M179" s="1">
        <f>(Sintesi!$C$29*F179*1000)</f>
        <v/>
      </c>
      <c r="N179" s="1">
        <f>Sintesi!$C$30*F179*1000</f>
        <v/>
      </c>
      <c r="O179" s="1">
        <f>M179-N179</f>
        <v/>
      </c>
      <c r="P179" s="1">
        <f>Sintesi!$C$33*G179*1000</f>
        <v/>
      </c>
      <c r="Q179" s="1">
        <f>Sintesi!$C$34*G179*1000</f>
        <v/>
      </c>
      <c r="R179" s="1">
        <f>P179-Q179</f>
        <v/>
      </c>
    </row>
    <row r="180">
      <c r="A180" s="41" t="n">
        <v>179</v>
      </c>
      <c r="B180" s="42">
        <f>DATE(Sintesi!$C$4-1,12,31)+A180</f>
        <v/>
      </c>
      <c r="C180" s="41">
        <f>'Paste cell here'!B180</f>
        <v/>
      </c>
      <c r="D180" s="41">
        <f>'Paste cell here'!I180</f>
        <v/>
      </c>
      <c r="E180" s="1">
        <f>'Paste cell here'!H180</f>
        <v/>
      </c>
      <c r="F180" s="1">
        <f>Sintesi!$C$5</f>
        <v/>
      </c>
      <c r="G180" s="1">
        <f>'Paste cell here'!AA180</f>
        <v/>
      </c>
      <c r="H180" s="43">
        <f>'Paste cell here'!U180</f>
        <v/>
      </c>
      <c r="I180" s="43">
        <f>'Paste cell here'!AE180</f>
        <v/>
      </c>
      <c r="J180" s="44">
        <f>'Paste cell here'!U179+'Paste cell here'!AF180</f>
        <v/>
      </c>
      <c r="K180" s="45">
        <f>'Paste cell here'!AG180</f>
        <v/>
      </c>
      <c r="L180" s="41">
        <f>IF(J180&lt;K180,"YES","NO")</f>
        <v/>
      </c>
      <c r="M180" s="1">
        <f>(Sintesi!$C$29*F180*1000)</f>
        <v/>
      </c>
      <c r="N180" s="1">
        <f>Sintesi!$C$30*F180*1000</f>
        <v/>
      </c>
      <c r="O180" s="1">
        <f>M180-N180</f>
        <v/>
      </c>
      <c r="P180" s="1">
        <f>Sintesi!$C$33*G180*1000</f>
        <v/>
      </c>
      <c r="Q180" s="1">
        <f>Sintesi!$C$34*G180*1000</f>
        <v/>
      </c>
      <c r="R180" s="1">
        <f>P180-Q180</f>
        <v/>
      </c>
    </row>
    <row r="181">
      <c r="A181" s="41" t="n">
        <v>180</v>
      </c>
      <c r="B181" s="42">
        <f>DATE(Sintesi!$C$4-1,12,31)+A181</f>
        <v/>
      </c>
      <c r="C181" s="41">
        <f>'Paste cell here'!B181</f>
        <v/>
      </c>
      <c r="D181" s="41">
        <f>'Paste cell here'!I181</f>
        <v/>
      </c>
      <c r="E181" s="1">
        <f>'Paste cell here'!H181</f>
        <v/>
      </c>
      <c r="F181" s="1">
        <f>Sintesi!$C$5</f>
        <v/>
      </c>
      <c r="G181" s="1">
        <f>'Paste cell here'!AA181</f>
        <v/>
      </c>
      <c r="H181" s="43">
        <f>'Paste cell here'!U181</f>
        <v/>
      </c>
      <c r="I181" s="43">
        <f>'Paste cell here'!AE181</f>
        <v/>
      </c>
      <c r="J181" s="44">
        <f>'Paste cell here'!U180+'Paste cell here'!AF181</f>
        <v/>
      </c>
      <c r="K181" s="45">
        <f>'Paste cell here'!AG181</f>
        <v/>
      </c>
      <c r="L181" s="41">
        <f>IF(J181&lt;K181,"YES","NO")</f>
        <v/>
      </c>
      <c r="M181" s="1">
        <f>(Sintesi!$C$29*F181*1000)</f>
        <v/>
      </c>
      <c r="N181" s="1">
        <f>Sintesi!$C$30*F181*1000</f>
        <v/>
      </c>
      <c r="O181" s="1">
        <f>M181-N181</f>
        <v/>
      </c>
      <c r="P181" s="1">
        <f>Sintesi!$C$33*G181*1000</f>
        <v/>
      </c>
      <c r="Q181" s="1">
        <f>Sintesi!$C$34*G181*1000</f>
        <v/>
      </c>
      <c r="R181" s="1">
        <f>P181-Q181</f>
        <v/>
      </c>
    </row>
    <row r="182">
      <c r="A182" s="41" t="n">
        <v>181</v>
      </c>
      <c r="B182" s="42">
        <f>DATE(Sintesi!$C$4-1,12,31)+A182</f>
        <v/>
      </c>
      <c r="C182" s="41">
        <f>'Paste cell here'!B182</f>
        <v/>
      </c>
      <c r="D182" s="41">
        <f>'Paste cell here'!I182</f>
        <v/>
      </c>
      <c r="E182" s="1">
        <f>'Paste cell here'!H182</f>
        <v/>
      </c>
      <c r="F182" s="1">
        <f>Sintesi!$C$5</f>
        <v/>
      </c>
      <c r="G182" s="1">
        <f>'Paste cell here'!AA182</f>
        <v/>
      </c>
      <c r="H182" s="43">
        <f>'Paste cell here'!U182</f>
        <v/>
      </c>
      <c r="I182" s="43">
        <f>'Paste cell here'!AE182</f>
        <v/>
      </c>
      <c r="J182" s="44">
        <f>'Paste cell here'!U181+'Paste cell here'!AF182</f>
        <v/>
      </c>
      <c r="K182" s="45">
        <f>'Paste cell here'!AG182</f>
        <v/>
      </c>
      <c r="L182" s="41">
        <f>IF(J182&lt;K182,"YES","NO")</f>
        <v/>
      </c>
      <c r="M182" s="1">
        <f>(Sintesi!$C$29*F182*1000)</f>
        <v/>
      </c>
      <c r="N182" s="1">
        <f>Sintesi!$C$30*F182*1000</f>
        <v/>
      </c>
      <c r="O182" s="1">
        <f>M182-N182</f>
        <v/>
      </c>
      <c r="P182" s="1">
        <f>Sintesi!$C$33*G182*1000</f>
        <v/>
      </c>
      <c r="Q182" s="1">
        <f>Sintesi!$C$34*G182*1000</f>
        <v/>
      </c>
      <c r="R182" s="1">
        <f>P182-Q182</f>
        <v/>
      </c>
    </row>
    <row r="183">
      <c r="A183" s="41" t="n">
        <v>182</v>
      </c>
      <c r="B183" s="42">
        <f>DATE(Sintesi!$C$4-1,12,31)+A183</f>
        <v/>
      </c>
      <c r="C183" s="41">
        <f>'Paste cell here'!B183</f>
        <v/>
      </c>
      <c r="D183" s="41">
        <f>'Paste cell here'!I183</f>
        <v/>
      </c>
      <c r="E183" s="1">
        <f>'Paste cell here'!H183</f>
        <v/>
      </c>
      <c r="F183" s="1">
        <f>Sintesi!$C$5</f>
        <v/>
      </c>
      <c r="G183" s="1">
        <f>'Paste cell here'!AA183</f>
        <v/>
      </c>
      <c r="H183" s="43">
        <f>'Paste cell here'!U183</f>
        <v/>
      </c>
      <c r="I183" s="43">
        <f>'Paste cell here'!AE183</f>
        <v/>
      </c>
      <c r="J183" s="44">
        <f>'Paste cell here'!U182+'Paste cell here'!AF183</f>
        <v/>
      </c>
      <c r="K183" s="45">
        <f>'Paste cell here'!AG183</f>
        <v/>
      </c>
      <c r="L183" s="41">
        <f>IF(J183&lt;K183,"YES","NO")</f>
        <v/>
      </c>
      <c r="M183" s="1">
        <f>(Sintesi!$C$29*F183*1000)</f>
        <v/>
      </c>
      <c r="N183" s="1">
        <f>Sintesi!$C$30*F183*1000</f>
        <v/>
      </c>
      <c r="O183" s="1">
        <f>M183-N183</f>
        <v/>
      </c>
      <c r="P183" s="1">
        <f>Sintesi!$C$33*G183*1000</f>
        <v/>
      </c>
      <c r="Q183" s="1">
        <f>Sintesi!$C$34*G183*1000</f>
        <v/>
      </c>
      <c r="R183" s="1">
        <f>P183-Q183</f>
        <v/>
      </c>
    </row>
    <row r="184">
      <c r="A184" s="41" t="n">
        <v>183</v>
      </c>
      <c r="B184" s="42">
        <f>DATE(Sintesi!$C$4-1,12,31)+A184</f>
        <v/>
      </c>
      <c r="C184" s="41">
        <f>'Paste cell here'!B184</f>
        <v/>
      </c>
      <c r="D184" s="41">
        <f>'Paste cell here'!I184</f>
        <v/>
      </c>
      <c r="E184" s="1">
        <f>'Paste cell here'!H184</f>
        <v/>
      </c>
      <c r="F184" s="1">
        <f>Sintesi!$C$5</f>
        <v/>
      </c>
      <c r="G184" s="1">
        <f>'Paste cell here'!AA184</f>
        <v/>
      </c>
      <c r="H184" s="43">
        <f>'Paste cell here'!U184</f>
        <v/>
      </c>
      <c r="I184" s="43">
        <f>'Paste cell here'!AE184</f>
        <v/>
      </c>
      <c r="J184" s="44">
        <f>'Paste cell here'!U183+'Paste cell here'!AF184</f>
        <v/>
      </c>
      <c r="K184" s="45">
        <f>'Paste cell here'!AG184</f>
        <v/>
      </c>
      <c r="L184" s="41">
        <f>IF(J184&lt;K184,"YES","NO")</f>
        <v/>
      </c>
      <c r="M184" s="1">
        <f>(Sintesi!$C$29*F184*1000)</f>
        <v/>
      </c>
      <c r="N184" s="1">
        <f>Sintesi!$C$30*F184*1000</f>
        <v/>
      </c>
      <c r="O184" s="1">
        <f>M184-N184</f>
        <v/>
      </c>
      <c r="P184" s="1">
        <f>Sintesi!$C$33*G184*1000</f>
        <v/>
      </c>
      <c r="Q184" s="1">
        <f>Sintesi!$C$34*G184*1000</f>
        <v/>
      </c>
      <c r="R184" s="1">
        <f>P184-Q184</f>
        <v/>
      </c>
    </row>
    <row r="185">
      <c r="A185" s="41" t="n">
        <v>184</v>
      </c>
      <c r="B185" s="42">
        <f>DATE(Sintesi!$C$4-1,12,31)+A185</f>
        <v/>
      </c>
      <c r="C185" s="41">
        <f>'Paste cell here'!B185</f>
        <v/>
      </c>
      <c r="D185" s="41">
        <f>'Paste cell here'!I185</f>
        <v/>
      </c>
      <c r="E185" s="1">
        <f>'Paste cell here'!H185</f>
        <v/>
      </c>
      <c r="F185" s="1">
        <f>Sintesi!$C$5</f>
        <v/>
      </c>
      <c r="G185" s="1">
        <f>'Paste cell here'!AA185</f>
        <v/>
      </c>
      <c r="H185" s="43">
        <f>'Paste cell here'!U185</f>
        <v/>
      </c>
      <c r="I185" s="43">
        <f>'Paste cell here'!AE185</f>
        <v/>
      </c>
      <c r="J185" s="44">
        <f>'Paste cell here'!U184+'Paste cell here'!AF185</f>
        <v/>
      </c>
      <c r="K185" s="45">
        <f>'Paste cell here'!AG185</f>
        <v/>
      </c>
      <c r="L185" s="41">
        <f>IF(J185&lt;K185,"YES","NO")</f>
        <v/>
      </c>
      <c r="M185" s="1">
        <f>(Sintesi!$C$29*F185*1000)</f>
        <v/>
      </c>
      <c r="N185" s="1">
        <f>Sintesi!$C$30*F185*1000</f>
        <v/>
      </c>
      <c r="O185" s="1">
        <f>M185-N185</f>
        <v/>
      </c>
      <c r="P185" s="1">
        <f>Sintesi!$C$33*G185*1000</f>
        <v/>
      </c>
      <c r="Q185" s="1">
        <f>Sintesi!$C$34*G185*1000</f>
        <v/>
      </c>
      <c r="R185" s="1">
        <f>P185-Q185</f>
        <v/>
      </c>
    </row>
    <row r="186">
      <c r="A186" s="41" t="n">
        <v>185</v>
      </c>
      <c r="B186" s="42">
        <f>DATE(Sintesi!$C$4-1,12,31)+A186</f>
        <v/>
      </c>
      <c r="C186" s="41">
        <f>'Paste cell here'!B186</f>
        <v/>
      </c>
      <c r="D186" s="41">
        <f>'Paste cell here'!I186</f>
        <v/>
      </c>
      <c r="E186" s="1">
        <f>'Paste cell here'!H186</f>
        <v/>
      </c>
      <c r="F186" s="1">
        <f>Sintesi!$C$5</f>
        <v/>
      </c>
      <c r="G186" s="1">
        <f>'Paste cell here'!AA186</f>
        <v/>
      </c>
      <c r="H186" s="43">
        <f>'Paste cell here'!U186</f>
        <v/>
      </c>
      <c r="I186" s="43">
        <f>'Paste cell here'!AE186</f>
        <v/>
      </c>
      <c r="J186" s="44">
        <f>'Paste cell here'!U185+'Paste cell here'!AF186</f>
        <v/>
      </c>
      <c r="K186" s="45">
        <f>'Paste cell here'!AG186</f>
        <v/>
      </c>
      <c r="L186" s="41">
        <f>IF(J186&lt;K186,"YES","NO")</f>
        <v/>
      </c>
      <c r="M186" s="1">
        <f>(Sintesi!$C$29*F186*1000)</f>
        <v/>
      </c>
      <c r="N186" s="1">
        <f>Sintesi!$C$30*F186*1000</f>
        <v/>
      </c>
      <c r="O186" s="1">
        <f>M186-N186</f>
        <v/>
      </c>
      <c r="P186" s="1">
        <f>Sintesi!$C$33*G186*1000</f>
        <v/>
      </c>
      <c r="Q186" s="1">
        <f>Sintesi!$C$34*G186*1000</f>
        <v/>
      </c>
      <c r="R186" s="1">
        <f>P186-Q186</f>
        <v/>
      </c>
    </row>
    <row r="187">
      <c r="A187" s="41" t="n">
        <v>186</v>
      </c>
      <c r="B187" s="42">
        <f>DATE(Sintesi!$C$4-1,12,31)+A187</f>
        <v/>
      </c>
      <c r="C187" s="41">
        <f>'Paste cell here'!B187</f>
        <v/>
      </c>
      <c r="D187" s="41">
        <f>'Paste cell here'!I187</f>
        <v/>
      </c>
      <c r="E187" s="1">
        <f>'Paste cell here'!H187</f>
        <v/>
      </c>
      <c r="F187" s="1">
        <f>Sintesi!$C$5</f>
        <v/>
      </c>
      <c r="G187" s="1">
        <f>'Paste cell here'!AA187</f>
        <v/>
      </c>
      <c r="H187" s="43">
        <f>'Paste cell here'!U187</f>
        <v/>
      </c>
      <c r="I187" s="43">
        <f>'Paste cell here'!AE187</f>
        <v/>
      </c>
      <c r="J187" s="44">
        <f>'Paste cell here'!U186+'Paste cell here'!AF187</f>
        <v/>
      </c>
      <c r="K187" s="45">
        <f>'Paste cell here'!AG187</f>
        <v/>
      </c>
      <c r="L187" s="41">
        <f>IF(J187&lt;K187,"YES","NO")</f>
        <v/>
      </c>
      <c r="M187" s="1">
        <f>(Sintesi!$C$29*F187*1000)</f>
        <v/>
      </c>
      <c r="N187" s="1">
        <f>Sintesi!$C$30*F187*1000</f>
        <v/>
      </c>
      <c r="O187" s="1">
        <f>M187-N187</f>
        <v/>
      </c>
      <c r="P187" s="1">
        <f>Sintesi!$C$33*G187*1000</f>
        <v/>
      </c>
      <c r="Q187" s="1">
        <f>Sintesi!$C$34*G187*1000</f>
        <v/>
      </c>
      <c r="R187" s="1">
        <f>P187-Q187</f>
        <v/>
      </c>
    </row>
    <row r="188">
      <c r="A188" s="41" t="n">
        <v>187</v>
      </c>
      <c r="B188" s="42">
        <f>DATE(Sintesi!$C$4-1,12,31)+A188</f>
        <v/>
      </c>
      <c r="C188" s="41">
        <f>'Paste cell here'!B188</f>
        <v/>
      </c>
      <c r="D188" s="41">
        <f>'Paste cell here'!I188</f>
        <v/>
      </c>
      <c r="E188" s="1">
        <f>'Paste cell here'!H188</f>
        <v/>
      </c>
      <c r="F188" s="1">
        <f>Sintesi!$C$5</f>
        <v/>
      </c>
      <c r="G188" s="1">
        <f>'Paste cell here'!AA188</f>
        <v/>
      </c>
      <c r="H188" s="43">
        <f>'Paste cell here'!U188</f>
        <v/>
      </c>
      <c r="I188" s="43">
        <f>'Paste cell here'!AE188</f>
        <v/>
      </c>
      <c r="J188" s="44">
        <f>'Paste cell here'!U187+'Paste cell here'!AF188</f>
        <v/>
      </c>
      <c r="K188" s="45">
        <f>'Paste cell here'!AG188</f>
        <v/>
      </c>
      <c r="L188" s="41">
        <f>IF(J188&lt;K188,"YES","NO")</f>
        <v/>
      </c>
      <c r="M188" s="1">
        <f>(Sintesi!$C$29*F188*1000)</f>
        <v/>
      </c>
      <c r="N188" s="1">
        <f>Sintesi!$C$30*F188*1000</f>
        <v/>
      </c>
      <c r="O188" s="1">
        <f>M188-N188</f>
        <v/>
      </c>
      <c r="P188" s="1">
        <f>Sintesi!$C$33*G188*1000</f>
        <v/>
      </c>
      <c r="Q188" s="1">
        <f>Sintesi!$C$34*G188*1000</f>
        <v/>
      </c>
      <c r="R188" s="1">
        <f>P188-Q188</f>
        <v/>
      </c>
    </row>
    <row r="189">
      <c r="A189" s="41" t="n">
        <v>188</v>
      </c>
      <c r="B189" s="42">
        <f>DATE(Sintesi!$C$4-1,12,31)+A189</f>
        <v/>
      </c>
      <c r="C189" s="41">
        <f>'Paste cell here'!B189</f>
        <v/>
      </c>
      <c r="D189" s="41">
        <f>'Paste cell here'!I189</f>
        <v/>
      </c>
      <c r="E189" s="1">
        <f>'Paste cell here'!H189</f>
        <v/>
      </c>
      <c r="F189" s="1">
        <f>Sintesi!$C$5</f>
        <v/>
      </c>
      <c r="G189" s="1">
        <f>'Paste cell here'!AA189</f>
        <v/>
      </c>
      <c r="H189" s="43">
        <f>'Paste cell here'!U189</f>
        <v/>
      </c>
      <c r="I189" s="43">
        <f>'Paste cell here'!AE189</f>
        <v/>
      </c>
      <c r="J189" s="44">
        <f>'Paste cell here'!U188+'Paste cell here'!AF189</f>
        <v/>
      </c>
      <c r="K189" s="45">
        <f>'Paste cell here'!AG189</f>
        <v/>
      </c>
      <c r="L189" s="41">
        <f>IF(J189&lt;K189,"YES","NO")</f>
        <v/>
      </c>
      <c r="M189" s="1">
        <f>(Sintesi!$C$29*F189*1000)</f>
        <v/>
      </c>
      <c r="N189" s="1">
        <f>Sintesi!$C$30*F189*1000</f>
        <v/>
      </c>
      <c r="O189" s="1">
        <f>M189-N189</f>
        <v/>
      </c>
      <c r="P189" s="1">
        <f>Sintesi!$C$33*G189*1000</f>
        <v/>
      </c>
      <c r="Q189" s="1">
        <f>Sintesi!$C$34*G189*1000</f>
        <v/>
      </c>
      <c r="R189" s="1">
        <f>P189-Q189</f>
        <v/>
      </c>
    </row>
    <row r="190">
      <c r="A190" s="41" t="n">
        <v>189</v>
      </c>
      <c r="B190" s="42">
        <f>DATE(Sintesi!$C$4-1,12,31)+A190</f>
        <v/>
      </c>
      <c r="C190" s="41">
        <f>'Paste cell here'!B190</f>
        <v/>
      </c>
      <c r="D190" s="41">
        <f>'Paste cell here'!I190</f>
        <v/>
      </c>
      <c r="E190" s="1">
        <f>'Paste cell here'!H190</f>
        <v/>
      </c>
      <c r="F190" s="1">
        <f>Sintesi!$C$5</f>
        <v/>
      </c>
      <c r="G190" s="1">
        <f>'Paste cell here'!AA190</f>
        <v/>
      </c>
      <c r="H190" s="43">
        <f>'Paste cell here'!U190</f>
        <v/>
      </c>
      <c r="I190" s="43">
        <f>'Paste cell here'!AE190</f>
        <v/>
      </c>
      <c r="J190" s="44">
        <f>'Paste cell here'!U189+'Paste cell here'!AF190</f>
        <v/>
      </c>
      <c r="K190" s="45">
        <f>'Paste cell here'!AG190</f>
        <v/>
      </c>
      <c r="L190" s="41">
        <f>IF(J190&lt;K190,"YES","NO")</f>
        <v/>
      </c>
      <c r="M190" s="1">
        <f>(Sintesi!$C$29*F190*1000)</f>
        <v/>
      </c>
      <c r="N190" s="1">
        <f>Sintesi!$C$30*F190*1000</f>
        <v/>
      </c>
      <c r="O190" s="1">
        <f>M190-N190</f>
        <v/>
      </c>
      <c r="P190" s="1">
        <f>Sintesi!$C$33*G190*1000</f>
        <v/>
      </c>
      <c r="Q190" s="1">
        <f>Sintesi!$C$34*G190*1000</f>
        <v/>
      </c>
      <c r="R190" s="1">
        <f>P190-Q190</f>
        <v/>
      </c>
    </row>
    <row r="191">
      <c r="A191" s="41" t="n">
        <v>190</v>
      </c>
      <c r="B191" s="42">
        <f>DATE(Sintesi!$C$4-1,12,31)+A191</f>
        <v/>
      </c>
      <c r="C191" s="41">
        <f>'Paste cell here'!B191</f>
        <v/>
      </c>
      <c r="D191" s="41">
        <f>'Paste cell here'!I191</f>
        <v/>
      </c>
      <c r="E191" s="1">
        <f>'Paste cell here'!H191</f>
        <v/>
      </c>
      <c r="F191" s="1">
        <f>Sintesi!$C$5</f>
        <v/>
      </c>
      <c r="G191" s="1">
        <f>'Paste cell here'!AA191</f>
        <v/>
      </c>
      <c r="H191" s="43">
        <f>'Paste cell here'!U191</f>
        <v/>
      </c>
      <c r="I191" s="43">
        <f>'Paste cell here'!AE191</f>
        <v/>
      </c>
      <c r="J191" s="44">
        <f>'Paste cell here'!U190+'Paste cell here'!AF191</f>
        <v/>
      </c>
      <c r="K191" s="45">
        <f>'Paste cell here'!AG191</f>
        <v/>
      </c>
      <c r="L191" s="41">
        <f>IF(J191&lt;K191,"YES","NO")</f>
        <v/>
      </c>
      <c r="M191" s="1">
        <f>(Sintesi!$C$29*F191*1000)</f>
        <v/>
      </c>
      <c r="N191" s="1">
        <f>Sintesi!$C$30*F191*1000</f>
        <v/>
      </c>
      <c r="O191" s="1">
        <f>M191-N191</f>
        <v/>
      </c>
      <c r="P191" s="1">
        <f>Sintesi!$C$33*G191*1000</f>
        <v/>
      </c>
      <c r="Q191" s="1">
        <f>Sintesi!$C$34*G191*1000</f>
        <v/>
      </c>
      <c r="R191" s="1">
        <f>P191-Q191</f>
        <v/>
      </c>
    </row>
    <row r="192">
      <c r="A192" s="41" t="n">
        <v>191</v>
      </c>
      <c r="B192" s="42">
        <f>DATE(Sintesi!$C$4-1,12,31)+A192</f>
        <v/>
      </c>
      <c r="C192" s="41">
        <f>'Paste cell here'!B192</f>
        <v/>
      </c>
      <c r="D192" s="41">
        <f>'Paste cell here'!I192</f>
        <v/>
      </c>
      <c r="E192" s="1">
        <f>'Paste cell here'!H192</f>
        <v/>
      </c>
      <c r="F192" s="1">
        <f>Sintesi!$C$5</f>
        <v/>
      </c>
      <c r="G192" s="1">
        <f>'Paste cell here'!AA192</f>
        <v/>
      </c>
      <c r="H192" s="43">
        <f>'Paste cell here'!U192</f>
        <v/>
      </c>
      <c r="I192" s="43">
        <f>'Paste cell here'!AE192</f>
        <v/>
      </c>
      <c r="J192" s="44">
        <f>'Paste cell here'!U191+'Paste cell here'!AF192</f>
        <v/>
      </c>
      <c r="K192" s="45">
        <f>'Paste cell here'!AG192</f>
        <v/>
      </c>
      <c r="L192" s="41">
        <f>IF(J192&lt;K192,"YES","NO")</f>
        <v/>
      </c>
      <c r="M192" s="1">
        <f>(Sintesi!$C$29*F192*1000)</f>
        <v/>
      </c>
      <c r="N192" s="1">
        <f>Sintesi!$C$30*F192*1000</f>
        <v/>
      </c>
      <c r="O192" s="1">
        <f>M192-N192</f>
        <v/>
      </c>
      <c r="P192" s="1">
        <f>Sintesi!$C$33*G192*1000</f>
        <v/>
      </c>
      <c r="Q192" s="1">
        <f>Sintesi!$C$34*G192*1000</f>
        <v/>
      </c>
      <c r="R192" s="1">
        <f>P192-Q192</f>
        <v/>
      </c>
    </row>
    <row r="193">
      <c r="A193" s="41" t="n">
        <v>192</v>
      </c>
      <c r="B193" s="42">
        <f>DATE(Sintesi!$C$4-1,12,31)+A193</f>
        <v/>
      </c>
      <c r="C193" s="41">
        <f>'Paste cell here'!B193</f>
        <v/>
      </c>
      <c r="D193" s="41">
        <f>'Paste cell here'!I193</f>
        <v/>
      </c>
      <c r="E193" s="1">
        <f>'Paste cell here'!H193</f>
        <v/>
      </c>
      <c r="F193" s="1">
        <f>Sintesi!$C$5</f>
        <v/>
      </c>
      <c r="G193" s="1">
        <f>'Paste cell here'!AA193</f>
        <v/>
      </c>
      <c r="H193" s="43">
        <f>'Paste cell here'!U193</f>
        <v/>
      </c>
      <c r="I193" s="43">
        <f>'Paste cell here'!AE193</f>
        <v/>
      </c>
      <c r="J193" s="44">
        <f>'Paste cell here'!U192+'Paste cell here'!AF193</f>
        <v/>
      </c>
      <c r="K193" s="45">
        <f>'Paste cell here'!AG193</f>
        <v/>
      </c>
      <c r="L193" s="41">
        <f>IF(J193&lt;K193,"YES","NO")</f>
        <v/>
      </c>
      <c r="M193" s="1">
        <f>(Sintesi!$C$29*F193*1000)</f>
        <v/>
      </c>
      <c r="N193" s="1">
        <f>Sintesi!$C$30*F193*1000</f>
        <v/>
      </c>
      <c r="O193" s="1">
        <f>M193-N193</f>
        <v/>
      </c>
      <c r="P193" s="1">
        <f>Sintesi!$C$33*G193*1000</f>
        <v/>
      </c>
      <c r="Q193" s="1">
        <f>Sintesi!$C$34*G193*1000</f>
        <v/>
      </c>
      <c r="R193" s="1">
        <f>P193-Q193</f>
        <v/>
      </c>
    </row>
    <row r="194">
      <c r="A194" s="41" t="n">
        <v>193</v>
      </c>
      <c r="B194" s="42">
        <f>DATE(Sintesi!$C$4-1,12,31)+A194</f>
        <v/>
      </c>
      <c r="C194" s="41">
        <f>'Paste cell here'!B194</f>
        <v/>
      </c>
      <c r="D194" s="41">
        <f>'Paste cell here'!I194</f>
        <v/>
      </c>
      <c r="E194" s="1">
        <f>'Paste cell here'!H194</f>
        <v/>
      </c>
      <c r="F194" s="1">
        <f>Sintesi!$C$5</f>
        <v/>
      </c>
      <c r="G194" s="1">
        <f>'Paste cell here'!AA194</f>
        <v/>
      </c>
      <c r="H194" s="43">
        <f>'Paste cell here'!U194</f>
        <v/>
      </c>
      <c r="I194" s="43">
        <f>'Paste cell here'!AE194</f>
        <v/>
      </c>
      <c r="J194" s="44">
        <f>'Paste cell here'!U193+'Paste cell here'!AF194</f>
        <v/>
      </c>
      <c r="K194" s="45">
        <f>'Paste cell here'!AG194</f>
        <v/>
      </c>
      <c r="L194" s="41">
        <f>IF(J194&lt;K194,"YES","NO")</f>
        <v/>
      </c>
      <c r="M194" s="1">
        <f>(Sintesi!$C$29*F194*1000)</f>
        <v/>
      </c>
      <c r="N194" s="1">
        <f>Sintesi!$C$30*F194*1000</f>
        <v/>
      </c>
      <c r="O194" s="1">
        <f>M194-N194</f>
        <v/>
      </c>
      <c r="P194" s="1">
        <f>Sintesi!$C$33*G194*1000</f>
        <v/>
      </c>
      <c r="Q194" s="1">
        <f>Sintesi!$C$34*G194*1000</f>
        <v/>
      </c>
      <c r="R194" s="1">
        <f>P194-Q194</f>
        <v/>
      </c>
    </row>
    <row r="195">
      <c r="A195" s="41" t="n">
        <v>194</v>
      </c>
      <c r="B195" s="42">
        <f>DATE(Sintesi!$C$4-1,12,31)+A195</f>
        <v/>
      </c>
      <c r="C195" s="41">
        <f>'Paste cell here'!B195</f>
        <v/>
      </c>
      <c r="D195" s="41">
        <f>'Paste cell here'!I195</f>
        <v/>
      </c>
      <c r="E195" s="1">
        <f>'Paste cell here'!H195</f>
        <v/>
      </c>
      <c r="F195" s="1">
        <f>Sintesi!$C$5</f>
        <v/>
      </c>
      <c r="G195" s="1">
        <f>'Paste cell here'!AA195</f>
        <v/>
      </c>
      <c r="H195" s="43">
        <f>'Paste cell here'!U195</f>
        <v/>
      </c>
      <c r="I195" s="43">
        <f>'Paste cell here'!AE195</f>
        <v/>
      </c>
      <c r="J195" s="44">
        <f>'Paste cell here'!U194+'Paste cell here'!AF195</f>
        <v/>
      </c>
      <c r="K195" s="45">
        <f>'Paste cell here'!AG195</f>
        <v/>
      </c>
      <c r="L195" s="41">
        <f>IF(J195&lt;K195,"YES","NO")</f>
        <v/>
      </c>
      <c r="M195" s="1">
        <f>(Sintesi!$C$29*F195*1000)</f>
        <v/>
      </c>
      <c r="N195" s="1">
        <f>Sintesi!$C$30*F195*1000</f>
        <v/>
      </c>
      <c r="O195" s="1">
        <f>M195-N195</f>
        <v/>
      </c>
      <c r="P195" s="1">
        <f>Sintesi!$C$33*G195*1000</f>
        <v/>
      </c>
      <c r="Q195" s="1">
        <f>Sintesi!$C$34*G195*1000</f>
        <v/>
      </c>
      <c r="R195" s="1">
        <f>P195-Q195</f>
        <v/>
      </c>
    </row>
    <row r="196">
      <c r="A196" s="41" t="n">
        <v>195</v>
      </c>
      <c r="B196" s="42">
        <f>DATE(Sintesi!$C$4-1,12,31)+A196</f>
        <v/>
      </c>
      <c r="C196" s="41">
        <f>'Paste cell here'!B196</f>
        <v/>
      </c>
      <c r="D196" s="41">
        <f>'Paste cell here'!I196</f>
        <v/>
      </c>
      <c r="E196" s="1">
        <f>'Paste cell here'!H196</f>
        <v/>
      </c>
      <c r="F196" s="1">
        <f>Sintesi!$C$5</f>
        <v/>
      </c>
      <c r="G196" s="1">
        <f>'Paste cell here'!AA196</f>
        <v/>
      </c>
      <c r="H196" s="43">
        <f>'Paste cell here'!U196</f>
        <v/>
      </c>
      <c r="I196" s="43">
        <f>'Paste cell here'!AE196</f>
        <v/>
      </c>
      <c r="J196" s="44">
        <f>'Paste cell here'!U195+'Paste cell here'!AF196</f>
        <v/>
      </c>
      <c r="K196" s="45">
        <f>'Paste cell here'!AG196</f>
        <v/>
      </c>
      <c r="L196" s="41">
        <f>IF(J196&lt;K196,"YES","NO")</f>
        <v/>
      </c>
      <c r="M196" s="1">
        <f>(Sintesi!$C$29*F196*1000)</f>
        <v/>
      </c>
      <c r="N196" s="1">
        <f>Sintesi!$C$30*F196*1000</f>
        <v/>
      </c>
      <c r="O196" s="1">
        <f>M196-N196</f>
        <v/>
      </c>
      <c r="P196" s="1">
        <f>Sintesi!$C$33*G196*1000</f>
        <v/>
      </c>
      <c r="Q196" s="1">
        <f>Sintesi!$C$34*G196*1000</f>
        <v/>
      </c>
      <c r="R196" s="1">
        <f>P196-Q196</f>
        <v/>
      </c>
    </row>
    <row r="197">
      <c r="A197" s="41" t="n">
        <v>196</v>
      </c>
      <c r="B197" s="42">
        <f>DATE(Sintesi!$C$4-1,12,31)+A197</f>
        <v/>
      </c>
      <c r="C197" s="41">
        <f>'Paste cell here'!B197</f>
        <v/>
      </c>
      <c r="D197" s="41">
        <f>'Paste cell here'!I197</f>
        <v/>
      </c>
      <c r="E197" s="1">
        <f>'Paste cell here'!H197</f>
        <v/>
      </c>
      <c r="F197" s="1">
        <f>Sintesi!$C$5</f>
        <v/>
      </c>
      <c r="G197" s="1">
        <f>'Paste cell here'!AA197</f>
        <v/>
      </c>
      <c r="H197" s="43">
        <f>'Paste cell here'!U197</f>
        <v/>
      </c>
      <c r="I197" s="43">
        <f>'Paste cell here'!AE197</f>
        <v/>
      </c>
      <c r="J197" s="44">
        <f>'Paste cell here'!U196+'Paste cell here'!AF197</f>
        <v/>
      </c>
      <c r="K197" s="45">
        <f>'Paste cell here'!AG197</f>
        <v/>
      </c>
      <c r="L197" s="41">
        <f>IF(J197&lt;K197,"YES","NO")</f>
        <v/>
      </c>
      <c r="M197" s="1">
        <f>(Sintesi!$C$29*F197*1000)</f>
        <v/>
      </c>
      <c r="N197" s="1">
        <f>Sintesi!$C$30*F197*1000</f>
        <v/>
      </c>
      <c r="O197" s="1">
        <f>M197-N197</f>
        <v/>
      </c>
      <c r="P197" s="1">
        <f>Sintesi!$C$33*G197*1000</f>
        <v/>
      </c>
      <c r="Q197" s="1">
        <f>Sintesi!$C$34*G197*1000</f>
        <v/>
      </c>
      <c r="R197" s="1">
        <f>P197-Q197</f>
        <v/>
      </c>
    </row>
    <row r="198">
      <c r="A198" s="41" t="n">
        <v>197</v>
      </c>
      <c r="B198" s="42">
        <f>DATE(Sintesi!$C$4-1,12,31)+A198</f>
        <v/>
      </c>
      <c r="C198" s="41">
        <f>'Paste cell here'!B198</f>
        <v/>
      </c>
      <c r="D198" s="41">
        <f>'Paste cell here'!I198</f>
        <v/>
      </c>
      <c r="E198" s="1">
        <f>'Paste cell here'!H198</f>
        <v/>
      </c>
      <c r="F198" s="1">
        <f>Sintesi!$C$5</f>
        <v/>
      </c>
      <c r="G198" s="1">
        <f>'Paste cell here'!AA198</f>
        <v/>
      </c>
      <c r="H198" s="43">
        <f>'Paste cell here'!U198</f>
        <v/>
      </c>
      <c r="I198" s="43">
        <f>'Paste cell here'!AE198</f>
        <v/>
      </c>
      <c r="J198" s="44">
        <f>'Paste cell here'!U197+'Paste cell here'!AF198</f>
        <v/>
      </c>
      <c r="K198" s="45">
        <f>'Paste cell here'!AG198</f>
        <v/>
      </c>
      <c r="L198" s="41">
        <f>IF(J198&lt;K198,"YES","NO")</f>
        <v/>
      </c>
      <c r="M198" s="1">
        <f>(Sintesi!$C$29*F198*1000)</f>
        <v/>
      </c>
      <c r="N198" s="1">
        <f>Sintesi!$C$30*F198*1000</f>
        <v/>
      </c>
      <c r="O198" s="1">
        <f>M198-N198</f>
        <v/>
      </c>
      <c r="P198" s="1">
        <f>Sintesi!$C$33*G198*1000</f>
        <v/>
      </c>
      <c r="Q198" s="1">
        <f>Sintesi!$C$34*G198*1000</f>
        <v/>
      </c>
      <c r="R198" s="1">
        <f>P198-Q198</f>
        <v/>
      </c>
    </row>
    <row r="199">
      <c r="A199" s="41" t="n">
        <v>198</v>
      </c>
      <c r="B199" s="42">
        <f>DATE(Sintesi!$C$4-1,12,31)+A199</f>
        <v/>
      </c>
      <c r="C199" s="41">
        <f>'Paste cell here'!B199</f>
        <v/>
      </c>
      <c r="D199" s="41">
        <f>'Paste cell here'!I199</f>
        <v/>
      </c>
      <c r="E199" s="1">
        <f>'Paste cell here'!H199</f>
        <v/>
      </c>
      <c r="F199" s="1">
        <f>Sintesi!$C$5</f>
        <v/>
      </c>
      <c r="G199" s="1">
        <f>'Paste cell here'!AA199</f>
        <v/>
      </c>
      <c r="H199" s="43">
        <f>'Paste cell here'!U199</f>
        <v/>
      </c>
      <c r="I199" s="43">
        <f>'Paste cell here'!AE199</f>
        <v/>
      </c>
      <c r="J199" s="44">
        <f>'Paste cell here'!U198+'Paste cell here'!AF199</f>
        <v/>
      </c>
      <c r="K199" s="45">
        <f>'Paste cell here'!AG199</f>
        <v/>
      </c>
      <c r="L199" s="41">
        <f>IF(J199&lt;K199,"YES","NO")</f>
        <v/>
      </c>
      <c r="M199" s="1">
        <f>(Sintesi!$C$29*F199*1000)</f>
        <v/>
      </c>
      <c r="N199" s="1">
        <f>Sintesi!$C$30*F199*1000</f>
        <v/>
      </c>
      <c r="O199" s="1">
        <f>M199-N199</f>
        <v/>
      </c>
      <c r="P199" s="1">
        <f>Sintesi!$C$33*G199*1000</f>
        <v/>
      </c>
      <c r="Q199" s="1">
        <f>Sintesi!$C$34*G199*1000</f>
        <v/>
      </c>
      <c r="R199" s="1">
        <f>P199-Q199</f>
        <v/>
      </c>
    </row>
    <row r="200">
      <c r="A200" s="41" t="n">
        <v>199</v>
      </c>
      <c r="B200" s="42">
        <f>DATE(Sintesi!$C$4-1,12,31)+A200</f>
        <v/>
      </c>
      <c r="C200" s="41">
        <f>'Paste cell here'!B200</f>
        <v/>
      </c>
      <c r="D200" s="41">
        <f>'Paste cell here'!I200</f>
        <v/>
      </c>
      <c r="E200" s="1">
        <f>'Paste cell here'!H200</f>
        <v/>
      </c>
      <c r="F200" s="1">
        <f>Sintesi!$C$5</f>
        <v/>
      </c>
      <c r="G200" s="1">
        <f>'Paste cell here'!AA200</f>
        <v/>
      </c>
      <c r="H200" s="43">
        <f>'Paste cell here'!U200</f>
        <v/>
      </c>
      <c r="I200" s="43">
        <f>'Paste cell here'!AE200</f>
        <v/>
      </c>
      <c r="J200" s="44">
        <f>'Paste cell here'!U199+'Paste cell here'!AF200</f>
        <v/>
      </c>
      <c r="K200" s="45">
        <f>'Paste cell here'!AG200</f>
        <v/>
      </c>
      <c r="L200" s="41">
        <f>IF(J200&lt;K200,"YES","NO")</f>
        <v/>
      </c>
      <c r="M200" s="1">
        <f>(Sintesi!$C$29*F200*1000)</f>
        <v/>
      </c>
      <c r="N200" s="1">
        <f>Sintesi!$C$30*F200*1000</f>
        <v/>
      </c>
      <c r="O200" s="1">
        <f>M200-N200</f>
        <v/>
      </c>
      <c r="P200" s="1">
        <f>Sintesi!$C$33*G200*1000</f>
        <v/>
      </c>
      <c r="Q200" s="1">
        <f>Sintesi!$C$34*G200*1000</f>
        <v/>
      </c>
      <c r="R200" s="1">
        <f>P200-Q200</f>
        <v/>
      </c>
    </row>
    <row r="201">
      <c r="A201" s="41" t="n">
        <v>200</v>
      </c>
      <c r="B201" s="42">
        <f>DATE(Sintesi!$C$4-1,12,31)+A201</f>
        <v/>
      </c>
      <c r="C201" s="41">
        <f>'Paste cell here'!B201</f>
        <v/>
      </c>
      <c r="D201" s="41">
        <f>'Paste cell here'!I201</f>
        <v/>
      </c>
      <c r="E201" s="1">
        <f>'Paste cell here'!H201</f>
        <v/>
      </c>
      <c r="F201" s="1">
        <f>Sintesi!$C$5</f>
        <v/>
      </c>
      <c r="G201" s="1">
        <f>'Paste cell here'!AA201</f>
        <v/>
      </c>
      <c r="H201" s="43">
        <f>'Paste cell here'!U201</f>
        <v/>
      </c>
      <c r="I201" s="43">
        <f>'Paste cell here'!AE201</f>
        <v/>
      </c>
      <c r="J201" s="44">
        <f>'Paste cell here'!U200+'Paste cell here'!AF201</f>
        <v/>
      </c>
      <c r="K201" s="45">
        <f>'Paste cell here'!AG201</f>
        <v/>
      </c>
      <c r="L201" s="41">
        <f>IF(J201&lt;K201,"YES","NO")</f>
        <v/>
      </c>
      <c r="M201" s="1">
        <f>(Sintesi!$C$29*F201*1000)</f>
        <v/>
      </c>
      <c r="N201" s="1">
        <f>Sintesi!$C$30*F201*1000</f>
        <v/>
      </c>
      <c r="O201" s="1">
        <f>M201-N201</f>
        <v/>
      </c>
      <c r="P201" s="1">
        <f>Sintesi!$C$33*G201*1000</f>
        <v/>
      </c>
      <c r="Q201" s="1">
        <f>Sintesi!$C$34*G201*1000</f>
        <v/>
      </c>
      <c r="R201" s="1">
        <f>P201-Q201</f>
        <v/>
      </c>
    </row>
    <row r="202">
      <c r="A202" s="41" t="n">
        <v>201</v>
      </c>
      <c r="B202" s="42">
        <f>DATE(Sintesi!$C$4-1,12,31)+A202</f>
        <v/>
      </c>
      <c r="C202" s="41">
        <f>'Paste cell here'!B202</f>
        <v/>
      </c>
      <c r="D202" s="41">
        <f>'Paste cell here'!I202</f>
        <v/>
      </c>
      <c r="E202" s="1">
        <f>'Paste cell here'!H202</f>
        <v/>
      </c>
      <c r="F202" s="1">
        <f>Sintesi!$C$5</f>
        <v/>
      </c>
      <c r="G202" s="1">
        <f>'Paste cell here'!AA202</f>
        <v/>
      </c>
      <c r="H202" s="43">
        <f>'Paste cell here'!U202</f>
        <v/>
      </c>
      <c r="I202" s="43">
        <f>'Paste cell here'!AE202</f>
        <v/>
      </c>
      <c r="J202" s="44">
        <f>'Paste cell here'!U201+'Paste cell here'!AF202</f>
        <v/>
      </c>
      <c r="K202" s="45">
        <f>'Paste cell here'!AG202</f>
        <v/>
      </c>
      <c r="L202" s="41">
        <f>IF(J202&lt;K202,"YES","NO")</f>
        <v/>
      </c>
      <c r="M202" s="1">
        <f>(Sintesi!$C$29*F202*1000)</f>
        <v/>
      </c>
      <c r="N202" s="1">
        <f>Sintesi!$C$30*F202*1000</f>
        <v/>
      </c>
      <c r="O202" s="1">
        <f>M202-N202</f>
        <v/>
      </c>
      <c r="P202" s="1">
        <f>Sintesi!$C$33*G202*1000</f>
        <v/>
      </c>
      <c r="Q202" s="1">
        <f>Sintesi!$C$34*G202*1000</f>
        <v/>
      </c>
      <c r="R202" s="1">
        <f>P202-Q202</f>
        <v/>
      </c>
    </row>
    <row r="203">
      <c r="A203" s="41" t="n">
        <v>202</v>
      </c>
      <c r="B203" s="42">
        <f>DATE(Sintesi!$C$4-1,12,31)+A203</f>
        <v/>
      </c>
      <c r="C203" s="41">
        <f>'Paste cell here'!B203</f>
        <v/>
      </c>
      <c r="D203" s="41">
        <f>'Paste cell here'!I203</f>
        <v/>
      </c>
      <c r="E203" s="1">
        <f>'Paste cell here'!H203</f>
        <v/>
      </c>
      <c r="F203" s="1">
        <f>Sintesi!$C$5</f>
        <v/>
      </c>
      <c r="G203" s="1">
        <f>'Paste cell here'!AA203</f>
        <v/>
      </c>
      <c r="H203" s="43">
        <f>'Paste cell here'!U203</f>
        <v/>
      </c>
      <c r="I203" s="43">
        <f>'Paste cell here'!AE203</f>
        <v/>
      </c>
      <c r="J203" s="44">
        <f>'Paste cell here'!U202+'Paste cell here'!AF203</f>
        <v/>
      </c>
      <c r="K203" s="45">
        <f>'Paste cell here'!AG203</f>
        <v/>
      </c>
      <c r="L203" s="41">
        <f>IF(J203&lt;K203,"YES","NO")</f>
        <v/>
      </c>
      <c r="M203" s="1">
        <f>(Sintesi!$C$29*F203*1000)</f>
        <v/>
      </c>
      <c r="N203" s="1">
        <f>Sintesi!$C$30*F203*1000</f>
        <v/>
      </c>
      <c r="O203" s="1">
        <f>M203-N203</f>
        <v/>
      </c>
      <c r="P203" s="1">
        <f>Sintesi!$C$33*G203*1000</f>
        <v/>
      </c>
      <c r="Q203" s="1">
        <f>Sintesi!$C$34*G203*1000</f>
        <v/>
      </c>
      <c r="R203" s="1">
        <f>P203-Q203</f>
        <v/>
      </c>
    </row>
    <row r="204">
      <c r="A204" s="41" t="n">
        <v>203</v>
      </c>
      <c r="B204" s="42">
        <f>DATE(Sintesi!$C$4-1,12,31)+A204</f>
        <v/>
      </c>
      <c r="C204" s="41">
        <f>'Paste cell here'!B204</f>
        <v/>
      </c>
      <c r="D204" s="41">
        <f>'Paste cell here'!I204</f>
        <v/>
      </c>
      <c r="E204" s="1">
        <f>'Paste cell here'!H204</f>
        <v/>
      </c>
      <c r="F204" s="1">
        <f>Sintesi!$C$5</f>
        <v/>
      </c>
      <c r="G204" s="1">
        <f>'Paste cell here'!AA204</f>
        <v/>
      </c>
      <c r="H204" s="43">
        <f>'Paste cell here'!U204</f>
        <v/>
      </c>
      <c r="I204" s="43">
        <f>'Paste cell here'!AE204</f>
        <v/>
      </c>
      <c r="J204" s="44">
        <f>'Paste cell here'!U203+'Paste cell here'!AF204</f>
        <v/>
      </c>
      <c r="K204" s="45">
        <f>'Paste cell here'!AG204</f>
        <v/>
      </c>
      <c r="L204" s="41">
        <f>IF(J204&lt;K204,"YES","NO")</f>
        <v/>
      </c>
      <c r="M204" s="1">
        <f>(Sintesi!$C$29*F204*1000)</f>
        <v/>
      </c>
      <c r="N204" s="1">
        <f>Sintesi!$C$30*F204*1000</f>
        <v/>
      </c>
      <c r="O204" s="1">
        <f>M204-N204</f>
        <v/>
      </c>
      <c r="P204" s="1">
        <f>Sintesi!$C$33*G204*1000</f>
        <v/>
      </c>
      <c r="Q204" s="1">
        <f>Sintesi!$C$34*G204*1000</f>
        <v/>
      </c>
      <c r="R204" s="1">
        <f>P204-Q204</f>
        <v/>
      </c>
    </row>
    <row r="205">
      <c r="A205" s="41" t="n">
        <v>204</v>
      </c>
      <c r="B205" s="42">
        <f>DATE(Sintesi!$C$4-1,12,31)+A205</f>
        <v/>
      </c>
      <c r="C205" s="41">
        <f>'Paste cell here'!B205</f>
        <v/>
      </c>
      <c r="D205" s="41">
        <f>'Paste cell here'!I205</f>
        <v/>
      </c>
      <c r="E205" s="1">
        <f>'Paste cell here'!H205</f>
        <v/>
      </c>
      <c r="F205" s="1">
        <f>Sintesi!$C$5</f>
        <v/>
      </c>
      <c r="G205" s="1">
        <f>'Paste cell here'!AA205</f>
        <v/>
      </c>
      <c r="H205" s="43">
        <f>'Paste cell here'!U205</f>
        <v/>
      </c>
      <c r="I205" s="43">
        <f>'Paste cell here'!AE205</f>
        <v/>
      </c>
      <c r="J205" s="44">
        <f>'Paste cell here'!U204+'Paste cell here'!AF205</f>
        <v/>
      </c>
      <c r="K205" s="45">
        <f>'Paste cell here'!AG205</f>
        <v/>
      </c>
      <c r="L205" s="41">
        <f>IF(J205&lt;K205,"YES","NO")</f>
        <v/>
      </c>
      <c r="M205" s="1">
        <f>(Sintesi!$C$29*F205*1000)</f>
        <v/>
      </c>
      <c r="N205" s="1">
        <f>Sintesi!$C$30*F205*1000</f>
        <v/>
      </c>
      <c r="O205" s="1">
        <f>M205-N205</f>
        <v/>
      </c>
      <c r="P205" s="1">
        <f>Sintesi!$C$33*G205*1000</f>
        <v/>
      </c>
      <c r="Q205" s="1">
        <f>Sintesi!$C$34*G205*1000</f>
        <v/>
      </c>
      <c r="R205" s="1">
        <f>P205-Q205</f>
        <v/>
      </c>
    </row>
    <row r="206">
      <c r="A206" s="41" t="n">
        <v>205</v>
      </c>
      <c r="B206" s="42">
        <f>DATE(Sintesi!$C$4-1,12,31)+A206</f>
        <v/>
      </c>
      <c r="C206" s="41">
        <f>'Paste cell here'!B206</f>
        <v/>
      </c>
      <c r="D206" s="41">
        <f>'Paste cell here'!I206</f>
        <v/>
      </c>
      <c r="E206" s="1">
        <f>'Paste cell here'!H206</f>
        <v/>
      </c>
      <c r="F206" s="1">
        <f>Sintesi!$C$5</f>
        <v/>
      </c>
      <c r="G206" s="1">
        <f>'Paste cell here'!AA206</f>
        <v/>
      </c>
      <c r="H206" s="43">
        <f>'Paste cell here'!U206</f>
        <v/>
      </c>
      <c r="I206" s="43">
        <f>'Paste cell here'!AE206</f>
        <v/>
      </c>
      <c r="J206" s="44">
        <f>'Paste cell here'!U205+'Paste cell here'!AF206</f>
        <v/>
      </c>
      <c r="K206" s="45">
        <f>'Paste cell here'!AG206</f>
        <v/>
      </c>
      <c r="L206" s="41">
        <f>IF(J206&lt;K206,"YES","NO")</f>
        <v/>
      </c>
      <c r="M206" s="1">
        <f>(Sintesi!$C$29*F206*1000)</f>
        <v/>
      </c>
      <c r="N206" s="1">
        <f>Sintesi!$C$30*F206*1000</f>
        <v/>
      </c>
      <c r="O206" s="1">
        <f>M206-N206</f>
        <v/>
      </c>
      <c r="P206" s="1">
        <f>Sintesi!$C$33*G206*1000</f>
        <v/>
      </c>
      <c r="Q206" s="1">
        <f>Sintesi!$C$34*G206*1000</f>
        <v/>
      </c>
      <c r="R206" s="1">
        <f>P206-Q206</f>
        <v/>
      </c>
    </row>
    <row r="207">
      <c r="A207" s="41" t="n">
        <v>206</v>
      </c>
      <c r="B207" s="42">
        <f>DATE(Sintesi!$C$4-1,12,31)+A207</f>
        <v/>
      </c>
      <c r="C207" s="41">
        <f>'Paste cell here'!B207</f>
        <v/>
      </c>
      <c r="D207" s="41">
        <f>'Paste cell here'!I207</f>
        <v/>
      </c>
      <c r="E207" s="1">
        <f>'Paste cell here'!H207</f>
        <v/>
      </c>
      <c r="F207" s="1">
        <f>Sintesi!$C$5</f>
        <v/>
      </c>
      <c r="G207" s="1">
        <f>'Paste cell here'!AA207</f>
        <v/>
      </c>
      <c r="H207" s="43">
        <f>'Paste cell here'!U207</f>
        <v/>
      </c>
      <c r="I207" s="43">
        <f>'Paste cell here'!AE207</f>
        <v/>
      </c>
      <c r="J207" s="44">
        <f>'Paste cell here'!U206+'Paste cell here'!AF207</f>
        <v/>
      </c>
      <c r="K207" s="45">
        <f>'Paste cell here'!AG207</f>
        <v/>
      </c>
      <c r="L207" s="41">
        <f>IF(J207&lt;K207,"YES","NO")</f>
        <v/>
      </c>
      <c r="M207" s="1">
        <f>(Sintesi!$C$29*F207*1000)</f>
        <v/>
      </c>
      <c r="N207" s="1">
        <f>Sintesi!$C$30*F207*1000</f>
        <v/>
      </c>
      <c r="O207" s="1">
        <f>M207-N207</f>
        <v/>
      </c>
      <c r="P207" s="1">
        <f>Sintesi!$C$33*G207*1000</f>
        <v/>
      </c>
      <c r="Q207" s="1">
        <f>Sintesi!$C$34*G207*1000</f>
        <v/>
      </c>
      <c r="R207" s="1">
        <f>P207-Q207</f>
        <v/>
      </c>
    </row>
    <row r="208">
      <c r="A208" s="41" t="n">
        <v>207</v>
      </c>
      <c r="B208" s="42">
        <f>DATE(Sintesi!$C$4-1,12,31)+A208</f>
        <v/>
      </c>
      <c r="C208" s="41">
        <f>'Paste cell here'!B208</f>
        <v/>
      </c>
      <c r="D208" s="41">
        <f>'Paste cell here'!I208</f>
        <v/>
      </c>
      <c r="E208" s="1">
        <f>'Paste cell here'!H208</f>
        <v/>
      </c>
      <c r="F208" s="1">
        <f>Sintesi!$C$5</f>
        <v/>
      </c>
      <c r="G208" s="1">
        <f>'Paste cell here'!AA208</f>
        <v/>
      </c>
      <c r="H208" s="43">
        <f>'Paste cell here'!U208</f>
        <v/>
      </c>
      <c r="I208" s="43">
        <f>'Paste cell here'!AE208</f>
        <v/>
      </c>
      <c r="J208" s="44">
        <f>'Paste cell here'!U207+'Paste cell here'!AF208</f>
        <v/>
      </c>
      <c r="K208" s="45">
        <f>'Paste cell here'!AG208</f>
        <v/>
      </c>
      <c r="L208" s="41">
        <f>IF(J208&lt;K208,"YES","NO")</f>
        <v/>
      </c>
      <c r="M208" s="1">
        <f>(Sintesi!$C$29*F208*1000)</f>
        <v/>
      </c>
      <c r="N208" s="1">
        <f>Sintesi!$C$30*F208*1000</f>
        <v/>
      </c>
      <c r="O208" s="1">
        <f>M208-N208</f>
        <v/>
      </c>
      <c r="P208" s="1">
        <f>Sintesi!$C$33*G208*1000</f>
        <v/>
      </c>
      <c r="Q208" s="1">
        <f>Sintesi!$C$34*G208*1000</f>
        <v/>
      </c>
      <c r="R208" s="1">
        <f>P208-Q208</f>
        <v/>
      </c>
    </row>
    <row r="209">
      <c r="A209" s="41" t="n">
        <v>208</v>
      </c>
      <c r="B209" s="42">
        <f>DATE(Sintesi!$C$4-1,12,31)+A209</f>
        <v/>
      </c>
      <c r="C209" s="41">
        <f>'Paste cell here'!B209</f>
        <v/>
      </c>
      <c r="D209" s="41">
        <f>'Paste cell here'!I209</f>
        <v/>
      </c>
      <c r="E209" s="1">
        <f>'Paste cell here'!H209</f>
        <v/>
      </c>
      <c r="F209" s="1">
        <f>Sintesi!$C$5</f>
        <v/>
      </c>
      <c r="G209" s="1">
        <f>'Paste cell here'!AA209</f>
        <v/>
      </c>
      <c r="H209" s="43">
        <f>'Paste cell here'!U209</f>
        <v/>
      </c>
      <c r="I209" s="43">
        <f>'Paste cell here'!AE209</f>
        <v/>
      </c>
      <c r="J209" s="44">
        <f>'Paste cell here'!U208+'Paste cell here'!AF209</f>
        <v/>
      </c>
      <c r="K209" s="45">
        <f>'Paste cell here'!AG209</f>
        <v/>
      </c>
      <c r="L209" s="41">
        <f>IF(J209&lt;K209,"YES","NO")</f>
        <v/>
      </c>
      <c r="M209" s="1">
        <f>(Sintesi!$C$29*F209*1000)</f>
        <v/>
      </c>
      <c r="N209" s="1">
        <f>Sintesi!$C$30*F209*1000</f>
        <v/>
      </c>
      <c r="O209" s="1">
        <f>M209-N209</f>
        <v/>
      </c>
      <c r="P209" s="1">
        <f>Sintesi!$C$33*G209*1000</f>
        <v/>
      </c>
      <c r="Q209" s="1">
        <f>Sintesi!$C$34*G209*1000</f>
        <v/>
      </c>
      <c r="R209" s="1">
        <f>P209-Q209</f>
        <v/>
      </c>
    </row>
    <row r="210">
      <c r="A210" s="41" t="n">
        <v>209</v>
      </c>
      <c r="B210" s="42">
        <f>DATE(Sintesi!$C$4-1,12,31)+A210</f>
        <v/>
      </c>
      <c r="C210" s="41">
        <f>'Paste cell here'!B210</f>
        <v/>
      </c>
      <c r="D210" s="41">
        <f>'Paste cell here'!I210</f>
        <v/>
      </c>
      <c r="E210" s="1">
        <f>'Paste cell here'!H210</f>
        <v/>
      </c>
      <c r="F210" s="1">
        <f>Sintesi!$C$5</f>
        <v/>
      </c>
      <c r="G210" s="1">
        <f>'Paste cell here'!AA210</f>
        <v/>
      </c>
      <c r="H210" s="43">
        <f>'Paste cell here'!U210</f>
        <v/>
      </c>
      <c r="I210" s="43">
        <f>'Paste cell here'!AE210</f>
        <v/>
      </c>
      <c r="J210" s="44">
        <f>'Paste cell here'!U209+'Paste cell here'!AF210</f>
        <v/>
      </c>
      <c r="K210" s="45">
        <f>'Paste cell here'!AG210</f>
        <v/>
      </c>
      <c r="L210" s="41">
        <f>IF(J210&lt;K210,"YES","NO")</f>
        <v/>
      </c>
      <c r="M210" s="1">
        <f>(Sintesi!$C$29*F210*1000)</f>
        <v/>
      </c>
      <c r="N210" s="1">
        <f>Sintesi!$C$30*F210*1000</f>
        <v/>
      </c>
      <c r="O210" s="1">
        <f>M210-N210</f>
        <v/>
      </c>
      <c r="P210" s="1">
        <f>Sintesi!$C$33*G210*1000</f>
        <v/>
      </c>
      <c r="Q210" s="1">
        <f>Sintesi!$C$34*G210*1000</f>
        <v/>
      </c>
      <c r="R210" s="1">
        <f>P210-Q210</f>
        <v/>
      </c>
    </row>
    <row r="211">
      <c r="A211" s="41" t="n">
        <v>210</v>
      </c>
      <c r="B211" s="42">
        <f>DATE(Sintesi!$C$4-1,12,31)+A211</f>
        <v/>
      </c>
      <c r="C211" s="41">
        <f>'Paste cell here'!B211</f>
        <v/>
      </c>
      <c r="D211" s="41">
        <f>'Paste cell here'!I211</f>
        <v/>
      </c>
      <c r="E211" s="1">
        <f>'Paste cell here'!H211</f>
        <v/>
      </c>
      <c r="F211" s="1">
        <f>Sintesi!$C$5</f>
        <v/>
      </c>
      <c r="G211" s="1">
        <f>'Paste cell here'!AA211</f>
        <v/>
      </c>
      <c r="H211" s="43">
        <f>'Paste cell here'!U211</f>
        <v/>
      </c>
      <c r="I211" s="43">
        <f>'Paste cell here'!AE211</f>
        <v/>
      </c>
      <c r="J211" s="44">
        <f>'Paste cell here'!U210+'Paste cell here'!AF211</f>
        <v/>
      </c>
      <c r="K211" s="45">
        <f>'Paste cell here'!AG211</f>
        <v/>
      </c>
      <c r="L211" s="41">
        <f>IF(J211&lt;K211,"YES","NO")</f>
        <v/>
      </c>
      <c r="M211" s="1">
        <f>(Sintesi!$C$29*F211*1000)</f>
        <v/>
      </c>
      <c r="N211" s="1">
        <f>Sintesi!$C$30*F211*1000</f>
        <v/>
      </c>
      <c r="O211" s="1">
        <f>M211-N211</f>
        <v/>
      </c>
      <c r="P211" s="1">
        <f>Sintesi!$C$33*G211*1000</f>
        <v/>
      </c>
      <c r="Q211" s="1">
        <f>Sintesi!$C$34*G211*1000</f>
        <v/>
      </c>
      <c r="R211" s="1">
        <f>P211-Q211</f>
        <v/>
      </c>
    </row>
    <row r="212">
      <c r="A212" s="41" t="n">
        <v>211</v>
      </c>
      <c r="B212" s="42">
        <f>DATE(Sintesi!$C$4-1,12,31)+A212</f>
        <v/>
      </c>
      <c r="C212" s="41">
        <f>'Paste cell here'!B212</f>
        <v/>
      </c>
      <c r="D212" s="41">
        <f>'Paste cell here'!I212</f>
        <v/>
      </c>
      <c r="E212" s="1">
        <f>'Paste cell here'!H212</f>
        <v/>
      </c>
      <c r="F212" s="1">
        <f>Sintesi!$C$5</f>
        <v/>
      </c>
      <c r="G212" s="1">
        <f>'Paste cell here'!AA212</f>
        <v/>
      </c>
      <c r="H212" s="43">
        <f>'Paste cell here'!U212</f>
        <v/>
      </c>
      <c r="I212" s="43">
        <f>'Paste cell here'!AE212</f>
        <v/>
      </c>
      <c r="J212" s="44">
        <f>'Paste cell here'!U211+'Paste cell here'!AF212</f>
        <v/>
      </c>
      <c r="K212" s="45">
        <f>'Paste cell here'!AG212</f>
        <v/>
      </c>
      <c r="L212" s="41">
        <f>IF(J212&lt;K212,"YES","NO")</f>
        <v/>
      </c>
      <c r="M212" s="1">
        <f>(Sintesi!$C$29*F212*1000)</f>
        <v/>
      </c>
      <c r="N212" s="1">
        <f>Sintesi!$C$30*F212*1000</f>
        <v/>
      </c>
      <c r="O212" s="1">
        <f>M212-N212</f>
        <v/>
      </c>
      <c r="P212" s="1">
        <f>Sintesi!$C$33*G212*1000</f>
        <v/>
      </c>
      <c r="Q212" s="1">
        <f>Sintesi!$C$34*G212*1000</f>
        <v/>
      </c>
      <c r="R212" s="1">
        <f>P212-Q212</f>
        <v/>
      </c>
    </row>
    <row r="213">
      <c r="A213" s="41" t="n">
        <v>212</v>
      </c>
      <c r="B213" s="42">
        <f>DATE(Sintesi!$C$4-1,12,31)+A213</f>
        <v/>
      </c>
      <c r="C213" s="41">
        <f>'Paste cell here'!B213</f>
        <v/>
      </c>
      <c r="D213" s="41">
        <f>'Paste cell here'!I213</f>
        <v/>
      </c>
      <c r="E213" s="1">
        <f>'Paste cell here'!H213</f>
        <v/>
      </c>
      <c r="F213" s="1">
        <f>Sintesi!$C$5</f>
        <v/>
      </c>
      <c r="G213" s="1">
        <f>'Paste cell here'!AA213</f>
        <v/>
      </c>
      <c r="H213" s="43">
        <f>'Paste cell here'!U213</f>
        <v/>
      </c>
      <c r="I213" s="43">
        <f>'Paste cell here'!AE213</f>
        <v/>
      </c>
      <c r="J213" s="44">
        <f>'Paste cell here'!U212+'Paste cell here'!AF213</f>
        <v/>
      </c>
      <c r="K213" s="45">
        <f>'Paste cell here'!AG213</f>
        <v/>
      </c>
      <c r="L213" s="41">
        <f>IF(J213&lt;K213,"YES","NO")</f>
        <v/>
      </c>
      <c r="M213" s="1">
        <f>(Sintesi!$C$29*F213*1000)</f>
        <v/>
      </c>
      <c r="N213" s="1">
        <f>Sintesi!$C$30*F213*1000</f>
        <v/>
      </c>
      <c r="O213" s="1">
        <f>M213-N213</f>
        <v/>
      </c>
      <c r="P213" s="1">
        <f>Sintesi!$C$33*G213*1000</f>
        <v/>
      </c>
      <c r="Q213" s="1">
        <f>Sintesi!$C$34*G213*1000</f>
        <v/>
      </c>
      <c r="R213" s="1">
        <f>P213-Q213</f>
        <v/>
      </c>
    </row>
    <row r="214">
      <c r="A214" s="41" t="n">
        <v>213</v>
      </c>
      <c r="B214" s="42">
        <f>DATE(Sintesi!$C$4-1,12,31)+A214</f>
        <v/>
      </c>
      <c r="C214" s="41">
        <f>'Paste cell here'!B214</f>
        <v/>
      </c>
      <c r="D214" s="41">
        <f>'Paste cell here'!I214</f>
        <v/>
      </c>
      <c r="E214" s="1">
        <f>'Paste cell here'!H214</f>
        <v/>
      </c>
      <c r="F214" s="1">
        <f>Sintesi!$C$5</f>
        <v/>
      </c>
      <c r="G214" s="1">
        <f>'Paste cell here'!AA214</f>
        <v/>
      </c>
      <c r="H214" s="43">
        <f>'Paste cell here'!U214</f>
        <v/>
      </c>
      <c r="I214" s="43">
        <f>'Paste cell here'!AE214</f>
        <v/>
      </c>
      <c r="J214" s="44">
        <f>'Paste cell here'!U213+'Paste cell here'!AF214</f>
        <v/>
      </c>
      <c r="K214" s="45">
        <f>'Paste cell here'!AG214</f>
        <v/>
      </c>
      <c r="L214" s="41">
        <f>IF(J214&lt;K214,"YES","NO")</f>
        <v/>
      </c>
      <c r="M214" s="1">
        <f>(Sintesi!$C$29*F214*1000)</f>
        <v/>
      </c>
      <c r="N214" s="1">
        <f>Sintesi!$C$30*F214*1000</f>
        <v/>
      </c>
      <c r="O214" s="1">
        <f>M214-N214</f>
        <v/>
      </c>
      <c r="P214" s="1">
        <f>Sintesi!$C$33*G214*1000</f>
        <v/>
      </c>
      <c r="Q214" s="1">
        <f>Sintesi!$C$34*G214*1000</f>
        <v/>
      </c>
      <c r="R214" s="1">
        <f>P214-Q214</f>
        <v/>
      </c>
    </row>
    <row r="215">
      <c r="A215" s="41" t="n">
        <v>214</v>
      </c>
      <c r="B215" s="42">
        <f>DATE(Sintesi!$C$4-1,12,31)+A215</f>
        <v/>
      </c>
      <c r="C215" s="41">
        <f>'Paste cell here'!B215</f>
        <v/>
      </c>
      <c r="D215" s="41">
        <f>'Paste cell here'!I215</f>
        <v/>
      </c>
      <c r="E215" s="1">
        <f>'Paste cell here'!H215</f>
        <v/>
      </c>
      <c r="F215" s="1">
        <f>Sintesi!$C$5</f>
        <v/>
      </c>
      <c r="G215" s="1">
        <f>'Paste cell here'!AA215</f>
        <v/>
      </c>
      <c r="H215" s="43">
        <f>'Paste cell here'!U215</f>
        <v/>
      </c>
      <c r="I215" s="43">
        <f>'Paste cell here'!AE215</f>
        <v/>
      </c>
      <c r="J215" s="44">
        <f>'Paste cell here'!U214+'Paste cell here'!AF215</f>
        <v/>
      </c>
      <c r="K215" s="45">
        <f>'Paste cell here'!AG215</f>
        <v/>
      </c>
      <c r="L215" s="41">
        <f>IF(J215&lt;K215,"YES","NO")</f>
        <v/>
      </c>
      <c r="M215" s="1">
        <f>(Sintesi!$C$29*F215*1000)</f>
        <v/>
      </c>
      <c r="N215" s="1">
        <f>Sintesi!$C$30*F215*1000</f>
        <v/>
      </c>
      <c r="O215" s="1">
        <f>M215-N215</f>
        <v/>
      </c>
      <c r="P215" s="1">
        <f>Sintesi!$C$33*G215*1000</f>
        <v/>
      </c>
      <c r="Q215" s="1">
        <f>Sintesi!$C$34*G215*1000</f>
        <v/>
      </c>
      <c r="R215" s="1">
        <f>P215-Q215</f>
        <v/>
      </c>
    </row>
    <row r="216">
      <c r="A216" s="41" t="n">
        <v>215</v>
      </c>
      <c r="B216" s="42">
        <f>DATE(Sintesi!$C$4-1,12,31)+A216</f>
        <v/>
      </c>
      <c r="C216" s="41">
        <f>'Paste cell here'!B216</f>
        <v/>
      </c>
      <c r="D216" s="41">
        <f>'Paste cell here'!I216</f>
        <v/>
      </c>
      <c r="E216" s="1">
        <f>'Paste cell here'!H216</f>
        <v/>
      </c>
      <c r="F216" s="1">
        <f>Sintesi!$C$5</f>
        <v/>
      </c>
      <c r="G216" s="1">
        <f>'Paste cell here'!AA216</f>
        <v/>
      </c>
      <c r="H216" s="43">
        <f>'Paste cell here'!U216</f>
        <v/>
      </c>
      <c r="I216" s="43">
        <f>'Paste cell here'!AE216</f>
        <v/>
      </c>
      <c r="J216" s="44">
        <f>'Paste cell here'!U215+'Paste cell here'!AF216</f>
        <v/>
      </c>
      <c r="K216" s="45">
        <f>'Paste cell here'!AG216</f>
        <v/>
      </c>
      <c r="L216" s="41">
        <f>IF(J216&lt;K216,"YES","NO")</f>
        <v/>
      </c>
      <c r="M216" s="1">
        <f>(Sintesi!$C$29*F216*1000)</f>
        <v/>
      </c>
      <c r="N216" s="1">
        <f>Sintesi!$C$30*F216*1000</f>
        <v/>
      </c>
      <c r="O216" s="1">
        <f>M216-N216</f>
        <v/>
      </c>
      <c r="P216" s="1">
        <f>Sintesi!$C$33*G216*1000</f>
        <v/>
      </c>
      <c r="Q216" s="1">
        <f>Sintesi!$C$34*G216*1000</f>
        <v/>
      </c>
      <c r="R216" s="1">
        <f>P216-Q216</f>
        <v/>
      </c>
    </row>
    <row r="217">
      <c r="A217" s="41" t="n">
        <v>216</v>
      </c>
      <c r="B217" s="42">
        <f>DATE(Sintesi!$C$4-1,12,31)+A217</f>
        <v/>
      </c>
      <c r="C217" s="41">
        <f>'Paste cell here'!B217</f>
        <v/>
      </c>
      <c r="D217" s="41">
        <f>'Paste cell here'!I217</f>
        <v/>
      </c>
      <c r="E217" s="1">
        <f>'Paste cell here'!H217</f>
        <v/>
      </c>
      <c r="F217" s="1">
        <f>Sintesi!$C$5</f>
        <v/>
      </c>
      <c r="G217" s="1">
        <f>'Paste cell here'!AA217</f>
        <v/>
      </c>
      <c r="H217" s="43">
        <f>'Paste cell here'!U217</f>
        <v/>
      </c>
      <c r="I217" s="43">
        <f>'Paste cell here'!AE217</f>
        <v/>
      </c>
      <c r="J217" s="44">
        <f>'Paste cell here'!U216+'Paste cell here'!AF217</f>
        <v/>
      </c>
      <c r="K217" s="45">
        <f>'Paste cell here'!AG217</f>
        <v/>
      </c>
      <c r="L217" s="41">
        <f>IF(J217&lt;K217,"YES","NO")</f>
        <v/>
      </c>
      <c r="M217" s="1">
        <f>(Sintesi!$C$29*F217*1000)</f>
        <v/>
      </c>
      <c r="N217" s="1">
        <f>Sintesi!$C$30*F217*1000</f>
        <v/>
      </c>
      <c r="O217" s="1">
        <f>M217-N217</f>
        <v/>
      </c>
      <c r="P217" s="1">
        <f>Sintesi!$C$33*G217*1000</f>
        <v/>
      </c>
      <c r="Q217" s="1">
        <f>Sintesi!$C$34*G217*1000</f>
        <v/>
      </c>
      <c r="R217" s="1">
        <f>P217-Q217</f>
        <v/>
      </c>
    </row>
    <row r="218">
      <c r="A218" s="41" t="n">
        <v>217</v>
      </c>
      <c r="B218" s="42">
        <f>DATE(Sintesi!$C$4-1,12,31)+A218</f>
        <v/>
      </c>
      <c r="C218" s="41">
        <f>'Paste cell here'!B218</f>
        <v/>
      </c>
      <c r="D218" s="41">
        <f>'Paste cell here'!I218</f>
        <v/>
      </c>
      <c r="E218" s="1">
        <f>'Paste cell here'!H218</f>
        <v/>
      </c>
      <c r="F218" s="1">
        <f>Sintesi!$C$5</f>
        <v/>
      </c>
      <c r="G218" s="1">
        <f>'Paste cell here'!AA218</f>
        <v/>
      </c>
      <c r="H218" s="43">
        <f>'Paste cell here'!U218</f>
        <v/>
      </c>
      <c r="I218" s="43">
        <f>'Paste cell here'!AE218</f>
        <v/>
      </c>
      <c r="J218" s="44">
        <f>'Paste cell here'!U217+'Paste cell here'!AF218</f>
        <v/>
      </c>
      <c r="K218" s="45">
        <f>'Paste cell here'!AG218</f>
        <v/>
      </c>
      <c r="L218" s="41">
        <f>IF(J218&lt;K218,"YES","NO")</f>
        <v/>
      </c>
      <c r="M218" s="1">
        <f>(Sintesi!$C$29*F218*1000)</f>
        <v/>
      </c>
      <c r="N218" s="1">
        <f>Sintesi!$C$30*F218*1000</f>
        <v/>
      </c>
      <c r="O218" s="1">
        <f>M218-N218</f>
        <v/>
      </c>
      <c r="P218" s="1">
        <f>Sintesi!$C$33*G218*1000</f>
        <v/>
      </c>
      <c r="Q218" s="1">
        <f>Sintesi!$C$34*G218*1000</f>
        <v/>
      </c>
      <c r="R218" s="1">
        <f>P218-Q218</f>
        <v/>
      </c>
    </row>
    <row r="219">
      <c r="A219" s="41" t="n">
        <v>218</v>
      </c>
      <c r="B219" s="42">
        <f>DATE(Sintesi!$C$4-1,12,31)+A219</f>
        <v/>
      </c>
      <c r="C219" s="41">
        <f>'Paste cell here'!B219</f>
        <v/>
      </c>
      <c r="D219" s="41">
        <f>'Paste cell here'!I219</f>
        <v/>
      </c>
      <c r="E219" s="1">
        <f>'Paste cell here'!H219</f>
        <v/>
      </c>
      <c r="F219" s="1">
        <f>Sintesi!$C$5</f>
        <v/>
      </c>
      <c r="G219" s="1">
        <f>'Paste cell here'!AA219</f>
        <v/>
      </c>
      <c r="H219" s="43">
        <f>'Paste cell here'!U219</f>
        <v/>
      </c>
      <c r="I219" s="43">
        <f>'Paste cell here'!AE219</f>
        <v/>
      </c>
      <c r="J219" s="44">
        <f>'Paste cell here'!U218+'Paste cell here'!AF219</f>
        <v/>
      </c>
      <c r="K219" s="45">
        <f>'Paste cell here'!AG219</f>
        <v/>
      </c>
      <c r="L219" s="41">
        <f>IF(J219&lt;K219,"YES","NO")</f>
        <v/>
      </c>
      <c r="M219" s="1">
        <f>(Sintesi!$C$29*F219*1000)</f>
        <v/>
      </c>
      <c r="N219" s="1">
        <f>Sintesi!$C$30*F219*1000</f>
        <v/>
      </c>
      <c r="O219" s="1">
        <f>M219-N219</f>
        <v/>
      </c>
      <c r="P219" s="1">
        <f>Sintesi!$C$33*G219*1000</f>
        <v/>
      </c>
      <c r="Q219" s="1">
        <f>Sintesi!$C$34*G219*1000</f>
        <v/>
      </c>
      <c r="R219" s="1">
        <f>P219-Q219</f>
        <v/>
      </c>
    </row>
    <row r="220">
      <c r="A220" s="41" t="n">
        <v>219</v>
      </c>
      <c r="B220" s="42">
        <f>DATE(Sintesi!$C$4-1,12,31)+A220</f>
        <v/>
      </c>
      <c r="C220" s="41">
        <f>'Paste cell here'!B220</f>
        <v/>
      </c>
      <c r="D220" s="41">
        <f>'Paste cell here'!I220</f>
        <v/>
      </c>
      <c r="E220" s="1">
        <f>'Paste cell here'!H220</f>
        <v/>
      </c>
      <c r="F220" s="1">
        <f>Sintesi!$C$5</f>
        <v/>
      </c>
      <c r="G220" s="1">
        <f>'Paste cell here'!AA220</f>
        <v/>
      </c>
      <c r="H220" s="43">
        <f>'Paste cell here'!U220</f>
        <v/>
      </c>
      <c r="I220" s="43">
        <f>'Paste cell here'!AE220</f>
        <v/>
      </c>
      <c r="J220" s="44">
        <f>'Paste cell here'!U219+'Paste cell here'!AF220</f>
        <v/>
      </c>
      <c r="K220" s="45">
        <f>'Paste cell here'!AG220</f>
        <v/>
      </c>
      <c r="L220" s="41">
        <f>IF(J220&lt;K220,"YES","NO")</f>
        <v/>
      </c>
      <c r="M220" s="1">
        <f>(Sintesi!$C$29*F220*1000)</f>
        <v/>
      </c>
      <c r="N220" s="1">
        <f>Sintesi!$C$30*F220*1000</f>
        <v/>
      </c>
      <c r="O220" s="1">
        <f>M220-N220</f>
        <v/>
      </c>
      <c r="P220" s="1">
        <f>Sintesi!$C$33*G220*1000</f>
        <v/>
      </c>
      <c r="Q220" s="1">
        <f>Sintesi!$C$34*G220*1000</f>
        <v/>
      </c>
      <c r="R220" s="1">
        <f>P220-Q220</f>
        <v/>
      </c>
    </row>
    <row r="221">
      <c r="A221" s="41" t="n">
        <v>220</v>
      </c>
      <c r="B221" s="42">
        <f>DATE(Sintesi!$C$4-1,12,31)+A221</f>
        <v/>
      </c>
      <c r="C221" s="41">
        <f>'Paste cell here'!B221</f>
        <v/>
      </c>
      <c r="D221" s="41">
        <f>'Paste cell here'!I221</f>
        <v/>
      </c>
      <c r="E221" s="1">
        <f>'Paste cell here'!H221</f>
        <v/>
      </c>
      <c r="F221" s="1">
        <f>Sintesi!$C$5</f>
        <v/>
      </c>
      <c r="G221" s="1">
        <f>'Paste cell here'!AA221</f>
        <v/>
      </c>
      <c r="H221" s="43">
        <f>'Paste cell here'!U221</f>
        <v/>
      </c>
      <c r="I221" s="43">
        <f>'Paste cell here'!AE221</f>
        <v/>
      </c>
      <c r="J221" s="44">
        <f>'Paste cell here'!U220+'Paste cell here'!AF221</f>
        <v/>
      </c>
      <c r="K221" s="45">
        <f>'Paste cell here'!AG221</f>
        <v/>
      </c>
      <c r="L221" s="41">
        <f>IF(J221&lt;K221,"YES","NO")</f>
        <v/>
      </c>
      <c r="M221" s="1">
        <f>(Sintesi!$C$29*F221*1000)</f>
        <v/>
      </c>
      <c r="N221" s="1">
        <f>Sintesi!$C$30*F221*1000</f>
        <v/>
      </c>
      <c r="O221" s="1">
        <f>M221-N221</f>
        <v/>
      </c>
      <c r="P221" s="1">
        <f>Sintesi!$C$33*G221*1000</f>
        <v/>
      </c>
      <c r="Q221" s="1">
        <f>Sintesi!$C$34*G221*1000</f>
        <v/>
      </c>
      <c r="R221" s="1">
        <f>P221-Q221</f>
        <v/>
      </c>
    </row>
    <row r="222">
      <c r="A222" s="41" t="n">
        <v>221</v>
      </c>
      <c r="B222" s="42">
        <f>DATE(Sintesi!$C$4-1,12,31)+A222</f>
        <v/>
      </c>
      <c r="C222" s="41">
        <f>'Paste cell here'!B222</f>
        <v/>
      </c>
      <c r="D222" s="41">
        <f>'Paste cell here'!I222</f>
        <v/>
      </c>
      <c r="E222" s="1">
        <f>'Paste cell here'!H222</f>
        <v/>
      </c>
      <c r="F222" s="1">
        <f>Sintesi!$C$5</f>
        <v/>
      </c>
      <c r="G222" s="1">
        <f>'Paste cell here'!AA222</f>
        <v/>
      </c>
      <c r="H222" s="43">
        <f>'Paste cell here'!U222</f>
        <v/>
      </c>
      <c r="I222" s="43">
        <f>'Paste cell here'!AE222</f>
        <v/>
      </c>
      <c r="J222" s="44">
        <f>'Paste cell here'!U221+'Paste cell here'!AF222</f>
        <v/>
      </c>
      <c r="K222" s="45">
        <f>'Paste cell here'!AG222</f>
        <v/>
      </c>
      <c r="L222" s="41">
        <f>IF(J222&lt;K222,"YES","NO")</f>
        <v/>
      </c>
      <c r="M222" s="1">
        <f>(Sintesi!$C$29*F222*1000)</f>
        <v/>
      </c>
      <c r="N222" s="1">
        <f>Sintesi!$C$30*F222*1000</f>
        <v/>
      </c>
      <c r="O222" s="1">
        <f>M222-N222</f>
        <v/>
      </c>
      <c r="P222" s="1">
        <f>Sintesi!$C$33*G222*1000</f>
        <v/>
      </c>
      <c r="Q222" s="1">
        <f>Sintesi!$C$34*G222*1000</f>
        <v/>
      </c>
      <c r="R222" s="1">
        <f>P222-Q222</f>
        <v/>
      </c>
    </row>
    <row r="223">
      <c r="A223" s="41" t="n">
        <v>222</v>
      </c>
      <c r="B223" s="42">
        <f>DATE(Sintesi!$C$4-1,12,31)+A223</f>
        <v/>
      </c>
      <c r="C223" s="41">
        <f>'Paste cell here'!B223</f>
        <v/>
      </c>
      <c r="D223" s="41">
        <f>'Paste cell here'!I223</f>
        <v/>
      </c>
      <c r="E223" s="1">
        <f>'Paste cell here'!H223</f>
        <v/>
      </c>
      <c r="F223" s="1">
        <f>Sintesi!$C$5</f>
        <v/>
      </c>
      <c r="G223" s="1">
        <f>'Paste cell here'!AA223</f>
        <v/>
      </c>
      <c r="H223" s="43">
        <f>'Paste cell here'!U223</f>
        <v/>
      </c>
      <c r="I223" s="43">
        <f>'Paste cell here'!AE223</f>
        <v/>
      </c>
      <c r="J223" s="44">
        <f>'Paste cell here'!U222+'Paste cell here'!AF223</f>
        <v/>
      </c>
      <c r="K223" s="45">
        <f>'Paste cell here'!AG223</f>
        <v/>
      </c>
      <c r="L223" s="41">
        <f>IF(J223&lt;K223,"YES","NO")</f>
        <v/>
      </c>
      <c r="M223" s="1">
        <f>(Sintesi!$C$29*F223*1000)</f>
        <v/>
      </c>
      <c r="N223" s="1">
        <f>Sintesi!$C$30*F223*1000</f>
        <v/>
      </c>
      <c r="O223" s="1">
        <f>M223-N223</f>
        <v/>
      </c>
      <c r="P223" s="1">
        <f>Sintesi!$C$33*G223*1000</f>
        <v/>
      </c>
      <c r="Q223" s="1">
        <f>Sintesi!$C$34*G223*1000</f>
        <v/>
      </c>
      <c r="R223" s="1">
        <f>P223-Q223</f>
        <v/>
      </c>
    </row>
    <row r="224">
      <c r="A224" s="41" t="n">
        <v>223</v>
      </c>
      <c r="B224" s="42">
        <f>DATE(Sintesi!$C$4-1,12,31)+A224</f>
        <v/>
      </c>
      <c r="C224" s="41">
        <f>'Paste cell here'!B224</f>
        <v/>
      </c>
      <c r="D224" s="41">
        <f>'Paste cell here'!I224</f>
        <v/>
      </c>
      <c r="E224" s="1">
        <f>'Paste cell here'!H224</f>
        <v/>
      </c>
      <c r="F224" s="1">
        <f>Sintesi!$C$5</f>
        <v/>
      </c>
      <c r="G224" s="1">
        <f>'Paste cell here'!AA224</f>
        <v/>
      </c>
      <c r="H224" s="43">
        <f>'Paste cell here'!U224</f>
        <v/>
      </c>
      <c r="I224" s="43">
        <f>'Paste cell here'!AE224</f>
        <v/>
      </c>
      <c r="J224" s="44">
        <f>'Paste cell here'!U223+'Paste cell here'!AF224</f>
        <v/>
      </c>
      <c r="K224" s="45">
        <f>'Paste cell here'!AG224</f>
        <v/>
      </c>
      <c r="L224" s="41">
        <f>IF(J224&lt;K224,"YES","NO")</f>
        <v/>
      </c>
      <c r="M224" s="1">
        <f>(Sintesi!$C$29*F224*1000)</f>
        <v/>
      </c>
      <c r="N224" s="1">
        <f>Sintesi!$C$30*F224*1000</f>
        <v/>
      </c>
      <c r="O224" s="1">
        <f>M224-N224</f>
        <v/>
      </c>
      <c r="P224" s="1">
        <f>Sintesi!$C$33*G224*1000</f>
        <v/>
      </c>
      <c r="Q224" s="1">
        <f>Sintesi!$C$34*G224*1000</f>
        <v/>
      </c>
      <c r="R224" s="1">
        <f>P224-Q224</f>
        <v/>
      </c>
    </row>
    <row r="225">
      <c r="A225" s="41" t="n">
        <v>224</v>
      </c>
      <c r="B225" s="42">
        <f>DATE(Sintesi!$C$4-1,12,31)+A225</f>
        <v/>
      </c>
      <c r="C225" s="41">
        <f>'Paste cell here'!B225</f>
        <v/>
      </c>
      <c r="D225" s="41">
        <f>'Paste cell here'!I225</f>
        <v/>
      </c>
      <c r="E225" s="1">
        <f>'Paste cell here'!H225</f>
        <v/>
      </c>
      <c r="F225" s="1">
        <f>Sintesi!$C$5</f>
        <v/>
      </c>
      <c r="G225" s="1">
        <f>'Paste cell here'!AA225</f>
        <v/>
      </c>
      <c r="H225" s="43">
        <f>'Paste cell here'!U225</f>
        <v/>
      </c>
      <c r="I225" s="43">
        <f>'Paste cell here'!AE225</f>
        <v/>
      </c>
      <c r="J225" s="44">
        <f>'Paste cell here'!U224+'Paste cell here'!AF225</f>
        <v/>
      </c>
      <c r="K225" s="45">
        <f>'Paste cell here'!AG225</f>
        <v/>
      </c>
      <c r="L225" s="41">
        <f>IF(J225&lt;K225,"YES","NO")</f>
        <v/>
      </c>
      <c r="M225" s="1">
        <f>(Sintesi!$C$29*F225*1000)</f>
        <v/>
      </c>
      <c r="N225" s="1">
        <f>Sintesi!$C$30*F225*1000</f>
        <v/>
      </c>
      <c r="O225" s="1">
        <f>M225-N225</f>
        <v/>
      </c>
      <c r="P225" s="1">
        <f>Sintesi!$C$33*G225*1000</f>
        <v/>
      </c>
      <c r="Q225" s="1">
        <f>Sintesi!$C$34*G225*1000</f>
        <v/>
      </c>
      <c r="R225" s="1">
        <f>P225-Q225</f>
        <v/>
      </c>
    </row>
    <row r="226">
      <c r="A226" s="41" t="n">
        <v>225</v>
      </c>
      <c r="B226" s="42">
        <f>DATE(Sintesi!$C$4-1,12,31)+A226</f>
        <v/>
      </c>
      <c r="C226" s="41">
        <f>'Paste cell here'!B226</f>
        <v/>
      </c>
      <c r="D226" s="41">
        <f>'Paste cell here'!I226</f>
        <v/>
      </c>
      <c r="E226" s="1">
        <f>'Paste cell here'!H226</f>
        <v/>
      </c>
      <c r="F226" s="1">
        <f>Sintesi!$C$5</f>
        <v/>
      </c>
      <c r="G226" s="1">
        <f>'Paste cell here'!AA226</f>
        <v/>
      </c>
      <c r="H226" s="43">
        <f>'Paste cell here'!U226</f>
        <v/>
      </c>
      <c r="I226" s="43">
        <f>'Paste cell here'!AE226</f>
        <v/>
      </c>
      <c r="J226" s="44">
        <f>'Paste cell here'!U225+'Paste cell here'!AF226</f>
        <v/>
      </c>
      <c r="K226" s="45">
        <f>'Paste cell here'!AG226</f>
        <v/>
      </c>
      <c r="L226" s="41">
        <f>IF(J226&lt;K226,"YES","NO")</f>
        <v/>
      </c>
      <c r="M226" s="1">
        <f>(Sintesi!$C$29*F226*1000)</f>
        <v/>
      </c>
      <c r="N226" s="1">
        <f>Sintesi!$C$30*F226*1000</f>
        <v/>
      </c>
      <c r="O226" s="1">
        <f>M226-N226</f>
        <v/>
      </c>
      <c r="P226" s="1">
        <f>Sintesi!$C$33*G226*1000</f>
        <v/>
      </c>
      <c r="Q226" s="1">
        <f>Sintesi!$C$34*G226*1000</f>
        <v/>
      </c>
      <c r="R226" s="1">
        <f>P226-Q226</f>
        <v/>
      </c>
    </row>
    <row r="227">
      <c r="A227" s="41" t="n">
        <v>226</v>
      </c>
      <c r="B227" s="42">
        <f>DATE(Sintesi!$C$4-1,12,31)+A227</f>
        <v/>
      </c>
      <c r="C227" s="41">
        <f>'Paste cell here'!B227</f>
        <v/>
      </c>
      <c r="D227" s="41">
        <f>'Paste cell here'!I227</f>
        <v/>
      </c>
      <c r="E227" s="1">
        <f>'Paste cell here'!H227</f>
        <v/>
      </c>
      <c r="F227" s="1">
        <f>Sintesi!$C$5</f>
        <v/>
      </c>
      <c r="G227" s="1">
        <f>'Paste cell here'!AA227</f>
        <v/>
      </c>
      <c r="H227" s="43">
        <f>'Paste cell here'!U227</f>
        <v/>
      </c>
      <c r="I227" s="43">
        <f>'Paste cell here'!AE227</f>
        <v/>
      </c>
      <c r="J227" s="44">
        <f>'Paste cell here'!U226+'Paste cell here'!AF227</f>
        <v/>
      </c>
      <c r="K227" s="45">
        <f>'Paste cell here'!AG227</f>
        <v/>
      </c>
      <c r="L227" s="41">
        <f>IF(J227&lt;K227,"YES","NO")</f>
        <v/>
      </c>
      <c r="M227" s="1">
        <f>(Sintesi!$C$29*F227*1000)</f>
        <v/>
      </c>
      <c r="N227" s="1">
        <f>Sintesi!$C$30*F227*1000</f>
        <v/>
      </c>
      <c r="O227" s="1">
        <f>M227-N227</f>
        <v/>
      </c>
      <c r="P227" s="1">
        <f>Sintesi!$C$33*G227*1000</f>
        <v/>
      </c>
      <c r="Q227" s="1">
        <f>Sintesi!$C$34*G227*1000</f>
        <v/>
      </c>
      <c r="R227" s="1">
        <f>P227-Q227</f>
        <v/>
      </c>
    </row>
    <row r="228">
      <c r="A228" s="41" t="n">
        <v>227</v>
      </c>
      <c r="B228" s="42">
        <f>DATE(Sintesi!$C$4-1,12,31)+A228</f>
        <v/>
      </c>
      <c r="C228" s="41">
        <f>'Paste cell here'!B228</f>
        <v/>
      </c>
      <c r="D228" s="41">
        <f>'Paste cell here'!I228</f>
        <v/>
      </c>
      <c r="E228" s="1">
        <f>'Paste cell here'!H228</f>
        <v/>
      </c>
      <c r="F228" s="1">
        <f>Sintesi!$C$5</f>
        <v/>
      </c>
      <c r="G228" s="1">
        <f>'Paste cell here'!AA228</f>
        <v/>
      </c>
      <c r="H228" s="43">
        <f>'Paste cell here'!U228</f>
        <v/>
      </c>
      <c r="I228" s="43">
        <f>'Paste cell here'!AE228</f>
        <v/>
      </c>
      <c r="J228" s="44">
        <f>'Paste cell here'!U227+'Paste cell here'!AF228</f>
        <v/>
      </c>
      <c r="K228" s="45">
        <f>'Paste cell here'!AG228</f>
        <v/>
      </c>
      <c r="L228" s="41">
        <f>IF(J228&lt;K228,"YES","NO")</f>
        <v/>
      </c>
      <c r="M228" s="1">
        <f>(Sintesi!$C$29*F228*1000)</f>
        <v/>
      </c>
      <c r="N228" s="1">
        <f>Sintesi!$C$30*F228*1000</f>
        <v/>
      </c>
      <c r="O228" s="1">
        <f>M228-N228</f>
        <v/>
      </c>
      <c r="P228" s="1">
        <f>Sintesi!$C$33*G228*1000</f>
        <v/>
      </c>
      <c r="Q228" s="1">
        <f>Sintesi!$C$34*G228*1000</f>
        <v/>
      </c>
      <c r="R228" s="1">
        <f>P228-Q228</f>
        <v/>
      </c>
    </row>
    <row r="229">
      <c r="A229" s="41" t="n">
        <v>228</v>
      </c>
      <c r="B229" s="42">
        <f>DATE(Sintesi!$C$4-1,12,31)+A229</f>
        <v/>
      </c>
      <c r="C229" s="41">
        <f>'Paste cell here'!B229</f>
        <v/>
      </c>
      <c r="D229" s="41">
        <f>'Paste cell here'!I229</f>
        <v/>
      </c>
      <c r="E229" s="1">
        <f>'Paste cell here'!H229</f>
        <v/>
      </c>
      <c r="F229" s="1">
        <f>Sintesi!$C$5</f>
        <v/>
      </c>
      <c r="G229" s="1">
        <f>'Paste cell here'!AA229</f>
        <v/>
      </c>
      <c r="H229" s="43">
        <f>'Paste cell here'!U229</f>
        <v/>
      </c>
      <c r="I229" s="43">
        <f>'Paste cell here'!AE229</f>
        <v/>
      </c>
      <c r="J229" s="44">
        <f>'Paste cell here'!U228+'Paste cell here'!AF229</f>
        <v/>
      </c>
      <c r="K229" s="45">
        <f>'Paste cell here'!AG229</f>
        <v/>
      </c>
      <c r="L229" s="41">
        <f>IF(J229&lt;K229,"YES","NO")</f>
        <v/>
      </c>
      <c r="M229" s="1">
        <f>(Sintesi!$C$29*F229*1000)</f>
        <v/>
      </c>
      <c r="N229" s="1">
        <f>Sintesi!$C$30*F229*1000</f>
        <v/>
      </c>
      <c r="O229" s="1">
        <f>M229-N229</f>
        <v/>
      </c>
      <c r="P229" s="1">
        <f>Sintesi!$C$33*G229*1000</f>
        <v/>
      </c>
      <c r="Q229" s="1">
        <f>Sintesi!$C$34*G229*1000</f>
        <v/>
      </c>
      <c r="R229" s="1">
        <f>P229-Q229</f>
        <v/>
      </c>
    </row>
    <row r="230">
      <c r="A230" s="41" t="n">
        <v>229</v>
      </c>
      <c r="B230" s="42">
        <f>DATE(Sintesi!$C$4-1,12,31)+A230</f>
        <v/>
      </c>
      <c r="C230" s="41">
        <f>'Paste cell here'!B230</f>
        <v/>
      </c>
      <c r="D230" s="41">
        <f>'Paste cell here'!I230</f>
        <v/>
      </c>
      <c r="E230" s="1">
        <f>'Paste cell here'!H230</f>
        <v/>
      </c>
      <c r="F230" s="1">
        <f>Sintesi!$C$5</f>
        <v/>
      </c>
      <c r="G230" s="1">
        <f>'Paste cell here'!AA230</f>
        <v/>
      </c>
      <c r="H230" s="43">
        <f>'Paste cell here'!U230</f>
        <v/>
      </c>
      <c r="I230" s="43">
        <f>'Paste cell here'!AE230</f>
        <v/>
      </c>
      <c r="J230" s="44">
        <f>'Paste cell here'!U229+'Paste cell here'!AF230</f>
        <v/>
      </c>
      <c r="K230" s="45">
        <f>'Paste cell here'!AG230</f>
        <v/>
      </c>
      <c r="L230" s="41">
        <f>IF(J230&lt;K230,"YES","NO")</f>
        <v/>
      </c>
      <c r="M230" s="1">
        <f>(Sintesi!$C$29*F230*1000)</f>
        <v/>
      </c>
      <c r="N230" s="1">
        <f>Sintesi!$C$30*F230*1000</f>
        <v/>
      </c>
      <c r="O230" s="1">
        <f>M230-N230</f>
        <v/>
      </c>
      <c r="P230" s="1">
        <f>Sintesi!$C$33*G230*1000</f>
        <v/>
      </c>
      <c r="Q230" s="1">
        <f>Sintesi!$C$34*G230*1000</f>
        <v/>
      </c>
      <c r="R230" s="1">
        <f>P230-Q230</f>
        <v/>
      </c>
    </row>
    <row r="231">
      <c r="A231" s="41" t="n">
        <v>230</v>
      </c>
      <c r="B231" s="42">
        <f>DATE(Sintesi!$C$4-1,12,31)+A231</f>
        <v/>
      </c>
      <c r="C231" s="41">
        <f>'Paste cell here'!B231</f>
        <v/>
      </c>
      <c r="D231" s="41">
        <f>'Paste cell here'!I231</f>
        <v/>
      </c>
      <c r="E231" s="1">
        <f>'Paste cell here'!H231</f>
        <v/>
      </c>
      <c r="F231" s="1">
        <f>Sintesi!$C$5</f>
        <v/>
      </c>
      <c r="G231" s="1">
        <f>'Paste cell here'!AA231</f>
        <v/>
      </c>
      <c r="H231" s="43">
        <f>'Paste cell here'!U231</f>
        <v/>
      </c>
      <c r="I231" s="43">
        <f>'Paste cell here'!AE231</f>
        <v/>
      </c>
      <c r="J231" s="44">
        <f>'Paste cell here'!U230+'Paste cell here'!AF231</f>
        <v/>
      </c>
      <c r="K231" s="45">
        <f>'Paste cell here'!AG231</f>
        <v/>
      </c>
      <c r="L231" s="41">
        <f>IF(J231&lt;K231,"YES","NO")</f>
        <v/>
      </c>
      <c r="M231" s="1">
        <f>(Sintesi!$C$29*F231*1000)</f>
        <v/>
      </c>
      <c r="N231" s="1">
        <f>Sintesi!$C$30*F231*1000</f>
        <v/>
      </c>
      <c r="O231" s="1">
        <f>M231-N231</f>
        <v/>
      </c>
      <c r="P231" s="1">
        <f>Sintesi!$C$33*G231*1000</f>
        <v/>
      </c>
      <c r="Q231" s="1">
        <f>Sintesi!$C$34*G231*1000</f>
        <v/>
      </c>
      <c r="R231" s="1">
        <f>P231-Q231</f>
        <v/>
      </c>
    </row>
    <row r="232">
      <c r="A232" s="41" t="n">
        <v>231</v>
      </c>
      <c r="B232" s="42">
        <f>DATE(Sintesi!$C$4-1,12,31)+A232</f>
        <v/>
      </c>
      <c r="C232" s="41">
        <f>'Paste cell here'!B232</f>
        <v/>
      </c>
      <c r="D232" s="41">
        <f>'Paste cell here'!I232</f>
        <v/>
      </c>
      <c r="E232" s="1">
        <f>'Paste cell here'!H232</f>
        <v/>
      </c>
      <c r="F232" s="1">
        <f>Sintesi!$C$5</f>
        <v/>
      </c>
      <c r="G232" s="1">
        <f>'Paste cell here'!AA232</f>
        <v/>
      </c>
      <c r="H232" s="43">
        <f>'Paste cell here'!U232</f>
        <v/>
      </c>
      <c r="I232" s="43">
        <f>'Paste cell here'!AE232</f>
        <v/>
      </c>
      <c r="J232" s="44">
        <f>'Paste cell here'!U231+'Paste cell here'!AF232</f>
        <v/>
      </c>
      <c r="K232" s="45">
        <f>'Paste cell here'!AG232</f>
        <v/>
      </c>
      <c r="L232" s="41">
        <f>IF(J232&lt;K232,"YES","NO")</f>
        <v/>
      </c>
      <c r="M232" s="1">
        <f>(Sintesi!$C$29*F232*1000)</f>
        <v/>
      </c>
      <c r="N232" s="1">
        <f>Sintesi!$C$30*F232*1000</f>
        <v/>
      </c>
      <c r="O232" s="1">
        <f>M232-N232</f>
        <v/>
      </c>
      <c r="P232" s="1">
        <f>Sintesi!$C$33*G232*1000</f>
        <v/>
      </c>
      <c r="Q232" s="1">
        <f>Sintesi!$C$34*G232*1000</f>
        <v/>
      </c>
      <c r="R232" s="1">
        <f>P232-Q232</f>
        <v/>
      </c>
    </row>
    <row r="233">
      <c r="A233" s="41" t="n">
        <v>232</v>
      </c>
      <c r="B233" s="42">
        <f>DATE(Sintesi!$C$4-1,12,31)+A233</f>
        <v/>
      </c>
      <c r="C233" s="41">
        <f>'Paste cell here'!B233</f>
        <v/>
      </c>
      <c r="D233" s="41">
        <f>'Paste cell here'!I233</f>
        <v/>
      </c>
      <c r="E233" s="1">
        <f>'Paste cell here'!H233</f>
        <v/>
      </c>
      <c r="F233" s="1">
        <f>Sintesi!$C$5</f>
        <v/>
      </c>
      <c r="G233" s="1">
        <f>'Paste cell here'!AA233</f>
        <v/>
      </c>
      <c r="H233" s="43">
        <f>'Paste cell here'!U233</f>
        <v/>
      </c>
      <c r="I233" s="43">
        <f>'Paste cell here'!AE233</f>
        <v/>
      </c>
      <c r="J233" s="44">
        <f>'Paste cell here'!U232+'Paste cell here'!AF233</f>
        <v/>
      </c>
      <c r="K233" s="45">
        <f>'Paste cell here'!AG233</f>
        <v/>
      </c>
      <c r="L233" s="41">
        <f>IF(J233&lt;K233,"YES","NO")</f>
        <v/>
      </c>
      <c r="M233" s="1">
        <f>(Sintesi!$C$29*F233*1000)</f>
        <v/>
      </c>
      <c r="N233" s="1">
        <f>Sintesi!$C$30*F233*1000</f>
        <v/>
      </c>
      <c r="O233" s="1">
        <f>M233-N233</f>
        <v/>
      </c>
      <c r="P233" s="1">
        <f>Sintesi!$C$33*G233*1000</f>
        <v/>
      </c>
      <c r="Q233" s="1">
        <f>Sintesi!$C$34*G233*1000</f>
        <v/>
      </c>
      <c r="R233" s="1">
        <f>P233-Q233</f>
        <v/>
      </c>
    </row>
    <row r="234">
      <c r="A234" s="41" t="n">
        <v>233</v>
      </c>
      <c r="B234" s="42">
        <f>DATE(Sintesi!$C$4-1,12,31)+A234</f>
        <v/>
      </c>
      <c r="C234" s="41">
        <f>'Paste cell here'!B234</f>
        <v/>
      </c>
      <c r="D234" s="41">
        <f>'Paste cell here'!I234</f>
        <v/>
      </c>
      <c r="E234" s="1">
        <f>'Paste cell here'!H234</f>
        <v/>
      </c>
      <c r="F234" s="1">
        <f>Sintesi!$C$5</f>
        <v/>
      </c>
      <c r="G234" s="1">
        <f>'Paste cell here'!AA234</f>
        <v/>
      </c>
      <c r="H234" s="43">
        <f>'Paste cell here'!U234</f>
        <v/>
      </c>
      <c r="I234" s="43">
        <f>'Paste cell here'!AE234</f>
        <v/>
      </c>
      <c r="J234" s="44">
        <f>'Paste cell here'!U233+'Paste cell here'!AF234</f>
        <v/>
      </c>
      <c r="K234" s="45">
        <f>'Paste cell here'!AG234</f>
        <v/>
      </c>
      <c r="L234" s="41">
        <f>IF(J234&lt;K234,"YES","NO")</f>
        <v/>
      </c>
      <c r="M234" s="1">
        <f>(Sintesi!$C$29*F234*1000)</f>
        <v/>
      </c>
      <c r="N234" s="1">
        <f>Sintesi!$C$30*F234*1000</f>
        <v/>
      </c>
      <c r="O234" s="1">
        <f>M234-N234</f>
        <v/>
      </c>
      <c r="P234" s="1">
        <f>Sintesi!$C$33*G234*1000</f>
        <v/>
      </c>
      <c r="Q234" s="1">
        <f>Sintesi!$C$34*G234*1000</f>
        <v/>
      </c>
      <c r="R234" s="1">
        <f>P234-Q234</f>
        <v/>
      </c>
    </row>
    <row r="235">
      <c r="A235" s="41" t="n">
        <v>234</v>
      </c>
      <c r="B235" s="42">
        <f>DATE(Sintesi!$C$4-1,12,31)+A235</f>
        <v/>
      </c>
      <c r="C235" s="41">
        <f>'Paste cell here'!B235</f>
        <v/>
      </c>
      <c r="D235" s="41">
        <f>'Paste cell here'!I235</f>
        <v/>
      </c>
      <c r="E235" s="1">
        <f>'Paste cell here'!H235</f>
        <v/>
      </c>
      <c r="F235" s="1">
        <f>Sintesi!$C$5</f>
        <v/>
      </c>
      <c r="G235" s="1">
        <f>'Paste cell here'!AA235</f>
        <v/>
      </c>
      <c r="H235" s="43">
        <f>'Paste cell here'!U235</f>
        <v/>
      </c>
      <c r="I235" s="43">
        <f>'Paste cell here'!AE235</f>
        <v/>
      </c>
      <c r="J235" s="44">
        <f>'Paste cell here'!U234+'Paste cell here'!AF235</f>
        <v/>
      </c>
      <c r="K235" s="45">
        <f>'Paste cell here'!AG235</f>
        <v/>
      </c>
      <c r="L235" s="41">
        <f>IF(J235&lt;K235,"YES","NO")</f>
        <v/>
      </c>
      <c r="M235" s="1">
        <f>(Sintesi!$C$29*F235*1000)</f>
        <v/>
      </c>
      <c r="N235" s="1">
        <f>Sintesi!$C$30*F235*1000</f>
        <v/>
      </c>
      <c r="O235" s="1">
        <f>M235-N235</f>
        <v/>
      </c>
      <c r="P235" s="1">
        <f>Sintesi!$C$33*G235*1000</f>
        <v/>
      </c>
      <c r="Q235" s="1">
        <f>Sintesi!$C$34*G235*1000</f>
        <v/>
      </c>
      <c r="R235" s="1">
        <f>P235-Q235</f>
        <v/>
      </c>
    </row>
    <row r="236">
      <c r="A236" s="41" t="n">
        <v>235</v>
      </c>
      <c r="B236" s="42">
        <f>DATE(Sintesi!$C$4-1,12,31)+A236</f>
        <v/>
      </c>
      <c r="C236" s="41">
        <f>'Paste cell here'!B236</f>
        <v/>
      </c>
      <c r="D236" s="41">
        <f>'Paste cell here'!I236</f>
        <v/>
      </c>
      <c r="E236" s="1">
        <f>'Paste cell here'!H236</f>
        <v/>
      </c>
      <c r="F236" s="1">
        <f>Sintesi!$C$5</f>
        <v/>
      </c>
      <c r="G236" s="1">
        <f>'Paste cell here'!AA236</f>
        <v/>
      </c>
      <c r="H236" s="43">
        <f>'Paste cell here'!U236</f>
        <v/>
      </c>
      <c r="I236" s="43">
        <f>'Paste cell here'!AE236</f>
        <v/>
      </c>
      <c r="J236" s="44">
        <f>'Paste cell here'!U235+'Paste cell here'!AF236</f>
        <v/>
      </c>
      <c r="K236" s="45">
        <f>'Paste cell here'!AG236</f>
        <v/>
      </c>
      <c r="L236" s="41">
        <f>IF(J236&lt;K236,"YES","NO")</f>
        <v/>
      </c>
      <c r="M236" s="1">
        <f>(Sintesi!$C$29*F236*1000)</f>
        <v/>
      </c>
      <c r="N236" s="1">
        <f>Sintesi!$C$30*F236*1000</f>
        <v/>
      </c>
      <c r="O236" s="1">
        <f>M236-N236</f>
        <v/>
      </c>
      <c r="P236" s="1">
        <f>Sintesi!$C$33*G236*1000</f>
        <v/>
      </c>
      <c r="Q236" s="1">
        <f>Sintesi!$C$34*G236*1000</f>
        <v/>
      </c>
      <c r="R236" s="1">
        <f>P236-Q236</f>
        <v/>
      </c>
    </row>
    <row r="237">
      <c r="A237" s="41" t="n">
        <v>236</v>
      </c>
      <c r="B237" s="42">
        <f>DATE(Sintesi!$C$4-1,12,31)+A237</f>
        <v/>
      </c>
      <c r="C237" s="41">
        <f>'Paste cell here'!B237</f>
        <v/>
      </c>
      <c r="D237" s="41">
        <f>'Paste cell here'!I237</f>
        <v/>
      </c>
      <c r="E237" s="1">
        <f>'Paste cell here'!H237</f>
        <v/>
      </c>
      <c r="F237" s="1">
        <f>Sintesi!$C$5</f>
        <v/>
      </c>
      <c r="G237" s="1">
        <f>'Paste cell here'!AA237</f>
        <v/>
      </c>
      <c r="H237" s="43">
        <f>'Paste cell here'!U237</f>
        <v/>
      </c>
      <c r="I237" s="43">
        <f>'Paste cell here'!AE237</f>
        <v/>
      </c>
      <c r="J237" s="44">
        <f>'Paste cell here'!U236+'Paste cell here'!AF237</f>
        <v/>
      </c>
      <c r="K237" s="45">
        <f>'Paste cell here'!AG237</f>
        <v/>
      </c>
      <c r="L237" s="41">
        <f>IF(J237&lt;K237,"YES","NO")</f>
        <v/>
      </c>
      <c r="M237" s="1">
        <f>(Sintesi!$C$29*F237*1000)</f>
        <v/>
      </c>
      <c r="N237" s="1">
        <f>Sintesi!$C$30*F237*1000</f>
        <v/>
      </c>
      <c r="O237" s="1">
        <f>M237-N237</f>
        <v/>
      </c>
      <c r="P237" s="1">
        <f>Sintesi!$C$33*G237*1000</f>
        <v/>
      </c>
      <c r="Q237" s="1">
        <f>Sintesi!$C$34*G237*1000</f>
        <v/>
      </c>
      <c r="R237" s="1">
        <f>P237-Q237</f>
        <v/>
      </c>
    </row>
    <row r="238">
      <c r="A238" s="41" t="n">
        <v>237</v>
      </c>
      <c r="B238" s="42">
        <f>DATE(Sintesi!$C$4-1,12,31)+A238</f>
        <v/>
      </c>
      <c r="C238" s="41">
        <f>'Paste cell here'!B238</f>
        <v/>
      </c>
      <c r="D238" s="41">
        <f>'Paste cell here'!I238</f>
        <v/>
      </c>
      <c r="E238" s="1">
        <f>'Paste cell here'!H238</f>
        <v/>
      </c>
      <c r="F238" s="1">
        <f>Sintesi!$C$5</f>
        <v/>
      </c>
      <c r="G238" s="1">
        <f>'Paste cell here'!AA238</f>
        <v/>
      </c>
      <c r="H238" s="43">
        <f>'Paste cell here'!U238</f>
        <v/>
      </c>
      <c r="I238" s="43">
        <f>'Paste cell here'!AE238</f>
        <v/>
      </c>
      <c r="J238" s="44">
        <f>'Paste cell here'!U237+'Paste cell here'!AF238</f>
        <v/>
      </c>
      <c r="K238" s="45">
        <f>'Paste cell here'!AG238</f>
        <v/>
      </c>
      <c r="L238" s="41">
        <f>IF(J238&lt;K238,"YES","NO")</f>
        <v/>
      </c>
      <c r="M238" s="1">
        <f>(Sintesi!$C$29*F238*1000)</f>
        <v/>
      </c>
      <c r="N238" s="1">
        <f>Sintesi!$C$30*F238*1000</f>
        <v/>
      </c>
      <c r="O238" s="1">
        <f>M238-N238</f>
        <v/>
      </c>
      <c r="P238" s="1">
        <f>Sintesi!$C$33*G238*1000</f>
        <v/>
      </c>
      <c r="Q238" s="1">
        <f>Sintesi!$C$34*G238*1000</f>
        <v/>
      </c>
      <c r="R238" s="1">
        <f>P238-Q238</f>
        <v/>
      </c>
    </row>
    <row r="239">
      <c r="A239" s="41" t="n">
        <v>238</v>
      </c>
      <c r="B239" s="42">
        <f>DATE(Sintesi!$C$4-1,12,31)+A239</f>
        <v/>
      </c>
      <c r="C239" s="41">
        <f>'Paste cell here'!B239</f>
        <v/>
      </c>
      <c r="D239" s="41">
        <f>'Paste cell here'!I239</f>
        <v/>
      </c>
      <c r="E239" s="1">
        <f>'Paste cell here'!H239</f>
        <v/>
      </c>
      <c r="F239" s="1">
        <f>Sintesi!$C$5</f>
        <v/>
      </c>
      <c r="G239" s="1">
        <f>'Paste cell here'!AA239</f>
        <v/>
      </c>
      <c r="H239" s="43">
        <f>'Paste cell here'!U239</f>
        <v/>
      </c>
      <c r="I239" s="43">
        <f>'Paste cell here'!AE239</f>
        <v/>
      </c>
      <c r="J239" s="44">
        <f>'Paste cell here'!U238+'Paste cell here'!AF239</f>
        <v/>
      </c>
      <c r="K239" s="45">
        <f>'Paste cell here'!AG239</f>
        <v/>
      </c>
      <c r="L239" s="41">
        <f>IF(J239&lt;K239,"YES","NO")</f>
        <v/>
      </c>
      <c r="M239" s="1">
        <f>(Sintesi!$C$29*F239*1000)</f>
        <v/>
      </c>
      <c r="N239" s="1">
        <f>Sintesi!$C$30*F239*1000</f>
        <v/>
      </c>
      <c r="O239" s="1">
        <f>M239-N239</f>
        <v/>
      </c>
      <c r="P239" s="1">
        <f>Sintesi!$C$33*G239*1000</f>
        <v/>
      </c>
      <c r="Q239" s="1">
        <f>Sintesi!$C$34*G239*1000</f>
        <v/>
      </c>
      <c r="R239" s="1">
        <f>P239-Q239</f>
        <v/>
      </c>
    </row>
    <row r="240">
      <c r="A240" s="41" t="n">
        <v>239</v>
      </c>
      <c r="B240" s="42">
        <f>DATE(Sintesi!$C$4-1,12,31)+A240</f>
        <v/>
      </c>
      <c r="C240" s="41">
        <f>'Paste cell here'!B240</f>
        <v/>
      </c>
      <c r="D240" s="41">
        <f>'Paste cell here'!I240</f>
        <v/>
      </c>
      <c r="E240" s="1">
        <f>'Paste cell here'!H240</f>
        <v/>
      </c>
      <c r="F240" s="1">
        <f>Sintesi!$C$5</f>
        <v/>
      </c>
      <c r="G240" s="1">
        <f>'Paste cell here'!AA240</f>
        <v/>
      </c>
      <c r="H240" s="43">
        <f>'Paste cell here'!U240</f>
        <v/>
      </c>
      <c r="I240" s="43">
        <f>'Paste cell here'!AE240</f>
        <v/>
      </c>
      <c r="J240" s="44">
        <f>'Paste cell here'!U239+'Paste cell here'!AF240</f>
        <v/>
      </c>
      <c r="K240" s="45">
        <f>'Paste cell here'!AG240</f>
        <v/>
      </c>
      <c r="L240" s="41">
        <f>IF(J240&lt;K240,"YES","NO")</f>
        <v/>
      </c>
      <c r="M240" s="1">
        <f>(Sintesi!$C$29*F240*1000)</f>
        <v/>
      </c>
      <c r="N240" s="1">
        <f>Sintesi!$C$30*F240*1000</f>
        <v/>
      </c>
      <c r="O240" s="1">
        <f>M240-N240</f>
        <v/>
      </c>
      <c r="P240" s="1">
        <f>Sintesi!$C$33*G240*1000</f>
        <v/>
      </c>
      <c r="Q240" s="1">
        <f>Sintesi!$C$34*G240*1000</f>
        <v/>
      </c>
      <c r="R240" s="1">
        <f>P240-Q240</f>
        <v/>
      </c>
    </row>
    <row r="241">
      <c r="A241" s="41" t="n">
        <v>240</v>
      </c>
      <c r="B241" s="42">
        <f>DATE(Sintesi!$C$4-1,12,31)+A241</f>
        <v/>
      </c>
      <c r="C241" s="41">
        <f>'Paste cell here'!B241</f>
        <v/>
      </c>
      <c r="D241" s="41">
        <f>'Paste cell here'!I241</f>
        <v/>
      </c>
      <c r="E241" s="1">
        <f>'Paste cell here'!H241</f>
        <v/>
      </c>
      <c r="F241" s="1">
        <f>Sintesi!$C$5</f>
        <v/>
      </c>
      <c r="G241" s="1">
        <f>'Paste cell here'!AA241</f>
        <v/>
      </c>
      <c r="H241" s="43">
        <f>'Paste cell here'!U241</f>
        <v/>
      </c>
      <c r="I241" s="43">
        <f>'Paste cell here'!AE241</f>
        <v/>
      </c>
      <c r="J241" s="44">
        <f>'Paste cell here'!U240+'Paste cell here'!AF241</f>
        <v/>
      </c>
      <c r="K241" s="45">
        <f>'Paste cell here'!AG241</f>
        <v/>
      </c>
      <c r="L241" s="41">
        <f>IF(J241&lt;K241,"YES","NO")</f>
        <v/>
      </c>
      <c r="M241" s="1">
        <f>(Sintesi!$C$29*F241*1000)</f>
        <v/>
      </c>
      <c r="N241" s="1">
        <f>Sintesi!$C$30*F241*1000</f>
        <v/>
      </c>
      <c r="O241" s="1">
        <f>M241-N241</f>
        <v/>
      </c>
      <c r="P241" s="1">
        <f>Sintesi!$C$33*G241*1000</f>
        <v/>
      </c>
      <c r="Q241" s="1">
        <f>Sintesi!$C$34*G241*1000</f>
        <v/>
      </c>
      <c r="R241" s="1">
        <f>P241-Q241</f>
        <v/>
      </c>
    </row>
    <row r="242">
      <c r="A242" s="41" t="n">
        <v>241</v>
      </c>
      <c r="B242" s="42">
        <f>DATE(Sintesi!$C$4-1,12,31)+A242</f>
        <v/>
      </c>
      <c r="C242" s="41">
        <f>'Paste cell here'!B242</f>
        <v/>
      </c>
      <c r="D242" s="41">
        <f>'Paste cell here'!I242</f>
        <v/>
      </c>
      <c r="E242" s="1">
        <f>'Paste cell here'!H242</f>
        <v/>
      </c>
      <c r="F242" s="1">
        <f>Sintesi!$C$5</f>
        <v/>
      </c>
      <c r="G242" s="1">
        <f>'Paste cell here'!AA242</f>
        <v/>
      </c>
      <c r="H242" s="43">
        <f>'Paste cell here'!U242</f>
        <v/>
      </c>
      <c r="I242" s="43">
        <f>'Paste cell here'!AE242</f>
        <v/>
      </c>
      <c r="J242" s="44">
        <f>'Paste cell here'!U241+'Paste cell here'!AF242</f>
        <v/>
      </c>
      <c r="K242" s="45">
        <f>'Paste cell here'!AG242</f>
        <v/>
      </c>
      <c r="L242" s="41">
        <f>IF(J242&lt;K242,"YES","NO")</f>
        <v/>
      </c>
      <c r="M242" s="1">
        <f>(Sintesi!$C$29*F242*1000)</f>
        <v/>
      </c>
      <c r="N242" s="1">
        <f>Sintesi!$C$30*F242*1000</f>
        <v/>
      </c>
      <c r="O242" s="1">
        <f>M242-N242</f>
        <v/>
      </c>
      <c r="P242" s="1">
        <f>Sintesi!$C$33*G242*1000</f>
        <v/>
      </c>
      <c r="Q242" s="1">
        <f>Sintesi!$C$34*G242*1000</f>
        <v/>
      </c>
      <c r="R242" s="1">
        <f>P242-Q242</f>
        <v/>
      </c>
    </row>
    <row r="243">
      <c r="A243" s="41" t="n">
        <v>242</v>
      </c>
      <c r="B243" s="42">
        <f>DATE(Sintesi!$C$4-1,12,31)+A243</f>
        <v/>
      </c>
      <c r="C243" s="41">
        <f>'Paste cell here'!B243</f>
        <v/>
      </c>
      <c r="D243" s="41">
        <f>'Paste cell here'!I243</f>
        <v/>
      </c>
      <c r="E243" s="1">
        <f>'Paste cell here'!H243</f>
        <v/>
      </c>
      <c r="F243" s="1">
        <f>Sintesi!$C$5</f>
        <v/>
      </c>
      <c r="G243" s="1">
        <f>'Paste cell here'!AA243</f>
        <v/>
      </c>
      <c r="H243" s="43">
        <f>'Paste cell here'!U243</f>
        <v/>
      </c>
      <c r="I243" s="43">
        <f>'Paste cell here'!AE243</f>
        <v/>
      </c>
      <c r="J243" s="44">
        <f>'Paste cell here'!U242+'Paste cell here'!AF243</f>
        <v/>
      </c>
      <c r="K243" s="45">
        <f>'Paste cell here'!AG243</f>
        <v/>
      </c>
      <c r="L243" s="41">
        <f>IF(J243&lt;K243,"YES","NO")</f>
        <v/>
      </c>
      <c r="M243" s="1">
        <f>(Sintesi!$C$29*F243*1000)</f>
        <v/>
      </c>
      <c r="N243" s="1">
        <f>Sintesi!$C$30*F243*1000</f>
        <v/>
      </c>
      <c r="O243" s="1">
        <f>M243-N243</f>
        <v/>
      </c>
      <c r="P243" s="1">
        <f>Sintesi!$C$33*G243*1000</f>
        <v/>
      </c>
      <c r="Q243" s="1">
        <f>Sintesi!$C$34*G243*1000</f>
        <v/>
      </c>
      <c r="R243" s="1">
        <f>P243-Q243</f>
        <v/>
      </c>
    </row>
    <row r="244">
      <c r="A244" s="41" t="n">
        <v>243</v>
      </c>
      <c r="B244" s="42">
        <f>DATE(Sintesi!$C$4-1,12,31)+A244</f>
        <v/>
      </c>
      <c r="C244" s="41">
        <f>'Paste cell here'!B244</f>
        <v/>
      </c>
      <c r="D244" s="41">
        <f>'Paste cell here'!I244</f>
        <v/>
      </c>
      <c r="E244" s="1">
        <f>'Paste cell here'!H244</f>
        <v/>
      </c>
      <c r="F244" s="1">
        <f>Sintesi!$C$5</f>
        <v/>
      </c>
      <c r="G244" s="1">
        <f>'Paste cell here'!AA244</f>
        <v/>
      </c>
      <c r="H244" s="43">
        <f>'Paste cell here'!U244</f>
        <v/>
      </c>
      <c r="I244" s="43">
        <f>'Paste cell here'!AE244</f>
        <v/>
      </c>
      <c r="J244" s="44">
        <f>'Paste cell here'!U243+'Paste cell here'!AF244</f>
        <v/>
      </c>
      <c r="K244" s="45">
        <f>'Paste cell here'!AG244</f>
        <v/>
      </c>
      <c r="L244" s="41">
        <f>IF(J244&lt;K244,"YES","NO")</f>
        <v/>
      </c>
      <c r="M244" s="1">
        <f>(Sintesi!$C$29*F244*1000)</f>
        <v/>
      </c>
      <c r="N244" s="1">
        <f>Sintesi!$C$30*F244*1000</f>
        <v/>
      </c>
      <c r="O244" s="1">
        <f>M244-N244</f>
        <v/>
      </c>
      <c r="P244" s="1">
        <f>Sintesi!$C$33*G244*1000</f>
        <v/>
      </c>
      <c r="Q244" s="1">
        <f>Sintesi!$C$34*G244*1000</f>
        <v/>
      </c>
      <c r="R244" s="1">
        <f>P244-Q244</f>
        <v/>
      </c>
    </row>
    <row r="245">
      <c r="A245" s="41" t="n">
        <v>244</v>
      </c>
      <c r="B245" s="42">
        <f>DATE(Sintesi!$C$4-1,12,31)+A245</f>
        <v/>
      </c>
      <c r="C245" s="41">
        <f>'Paste cell here'!B245</f>
        <v/>
      </c>
      <c r="D245" s="41">
        <f>'Paste cell here'!I245</f>
        <v/>
      </c>
      <c r="E245" s="1">
        <f>'Paste cell here'!H245</f>
        <v/>
      </c>
      <c r="F245" s="1">
        <f>Sintesi!$C$5</f>
        <v/>
      </c>
      <c r="G245" s="1">
        <f>'Paste cell here'!AA245</f>
        <v/>
      </c>
      <c r="H245" s="43">
        <f>'Paste cell here'!U245</f>
        <v/>
      </c>
      <c r="I245" s="43">
        <f>'Paste cell here'!AE245</f>
        <v/>
      </c>
      <c r="J245" s="44">
        <f>'Paste cell here'!U244+'Paste cell here'!AF245</f>
        <v/>
      </c>
      <c r="K245" s="45">
        <f>'Paste cell here'!AG245</f>
        <v/>
      </c>
      <c r="L245" s="41">
        <f>IF(J245&lt;K245,"YES","NO")</f>
        <v/>
      </c>
      <c r="M245" s="1">
        <f>(Sintesi!$C$29*F245*1000)</f>
        <v/>
      </c>
      <c r="N245" s="1">
        <f>Sintesi!$C$30*F245*1000</f>
        <v/>
      </c>
      <c r="O245" s="1">
        <f>M245-N245</f>
        <v/>
      </c>
      <c r="P245" s="1">
        <f>Sintesi!$C$33*G245*1000</f>
        <v/>
      </c>
      <c r="Q245" s="1">
        <f>Sintesi!$C$34*G245*1000</f>
        <v/>
      </c>
      <c r="R245" s="1">
        <f>P245-Q245</f>
        <v/>
      </c>
    </row>
    <row r="246">
      <c r="A246" s="41" t="n">
        <v>245</v>
      </c>
      <c r="B246" s="42">
        <f>DATE(Sintesi!$C$4-1,12,31)+A246</f>
        <v/>
      </c>
      <c r="C246" s="41">
        <f>'Paste cell here'!B246</f>
        <v/>
      </c>
      <c r="D246" s="41">
        <f>'Paste cell here'!I246</f>
        <v/>
      </c>
      <c r="E246" s="1">
        <f>'Paste cell here'!H246</f>
        <v/>
      </c>
      <c r="F246" s="1">
        <f>Sintesi!$C$5</f>
        <v/>
      </c>
      <c r="G246" s="1">
        <f>'Paste cell here'!AA246</f>
        <v/>
      </c>
      <c r="H246" s="43">
        <f>'Paste cell here'!U246</f>
        <v/>
      </c>
      <c r="I246" s="43">
        <f>'Paste cell here'!AE246</f>
        <v/>
      </c>
      <c r="J246" s="44">
        <f>'Paste cell here'!U245+'Paste cell here'!AF246</f>
        <v/>
      </c>
      <c r="K246" s="45">
        <f>'Paste cell here'!AG246</f>
        <v/>
      </c>
      <c r="L246" s="41">
        <f>IF(J246&lt;K246,"YES","NO")</f>
        <v/>
      </c>
      <c r="M246" s="1">
        <f>(Sintesi!$C$29*F246*1000)</f>
        <v/>
      </c>
      <c r="N246" s="1">
        <f>Sintesi!$C$30*F246*1000</f>
        <v/>
      </c>
      <c r="O246" s="1">
        <f>M246-N246</f>
        <v/>
      </c>
      <c r="P246" s="1">
        <f>Sintesi!$C$33*G246*1000</f>
        <v/>
      </c>
      <c r="Q246" s="1">
        <f>Sintesi!$C$34*G246*1000</f>
        <v/>
      </c>
      <c r="R246" s="1">
        <f>P246-Q246</f>
        <v/>
      </c>
    </row>
    <row r="247">
      <c r="A247" s="41" t="n">
        <v>246</v>
      </c>
      <c r="B247" s="42">
        <f>DATE(Sintesi!$C$4-1,12,31)+A247</f>
        <v/>
      </c>
      <c r="C247" s="41">
        <f>'Paste cell here'!B247</f>
        <v/>
      </c>
      <c r="D247" s="41">
        <f>'Paste cell here'!I247</f>
        <v/>
      </c>
      <c r="E247" s="1">
        <f>'Paste cell here'!H247</f>
        <v/>
      </c>
      <c r="F247" s="1">
        <f>Sintesi!$C$5</f>
        <v/>
      </c>
      <c r="G247" s="1">
        <f>'Paste cell here'!AA247</f>
        <v/>
      </c>
      <c r="H247" s="43">
        <f>'Paste cell here'!U247</f>
        <v/>
      </c>
      <c r="I247" s="43">
        <f>'Paste cell here'!AE247</f>
        <v/>
      </c>
      <c r="J247" s="44">
        <f>'Paste cell here'!U246+'Paste cell here'!AF247</f>
        <v/>
      </c>
      <c r="K247" s="45">
        <f>'Paste cell here'!AG247</f>
        <v/>
      </c>
      <c r="L247" s="41">
        <f>IF(J247&lt;K247,"YES","NO")</f>
        <v/>
      </c>
      <c r="M247" s="1">
        <f>(Sintesi!$C$29*F247*1000)</f>
        <v/>
      </c>
      <c r="N247" s="1">
        <f>Sintesi!$C$30*F247*1000</f>
        <v/>
      </c>
      <c r="O247" s="1">
        <f>M247-N247</f>
        <v/>
      </c>
      <c r="P247" s="1">
        <f>Sintesi!$C$33*G247*1000</f>
        <v/>
      </c>
      <c r="Q247" s="1">
        <f>Sintesi!$C$34*G247*1000</f>
        <v/>
      </c>
      <c r="R247" s="1">
        <f>P247-Q247</f>
        <v/>
      </c>
    </row>
    <row r="248">
      <c r="A248" s="41" t="n">
        <v>247</v>
      </c>
      <c r="B248" s="42">
        <f>DATE(Sintesi!$C$4-1,12,31)+A248</f>
        <v/>
      </c>
      <c r="C248" s="41">
        <f>'Paste cell here'!B248</f>
        <v/>
      </c>
      <c r="D248" s="41">
        <f>'Paste cell here'!I248</f>
        <v/>
      </c>
      <c r="E248" s="1">
        <f>'Paste cell here'!H248</f>
        <v/>
      </c>
      <c r="F248" s="1">
        <f>Sintesi!$C$5</f>
        <v/>
      </c>
      <c r="G248" s="1">
        <f>'Paste cell here'!AA248</f>
        <v/>
      </c>
      <c r="H248" s="43">
        <f>'Paste cell here'!U248</f>
        <v/>
      </c>
      <c r="I248" s="43">
        <f>'Paste cell here'!AE248</f>
        <v/>
      </c>
      <c r="J248" s="44">
        <f>'Paste cell here'!U247+'Paste cell here'!AF248</f>
        <v/>
      </c>
      <c r="K248" s="45">
        <f>'Paste cell here'!AG248</f>
        <v/>
      </c>
      <c r="L248" s="41">
        <f>IF(J248&lt;K248,"YES","NO")</f>
        <v/>
      </c>
      <c r="M248" s="1">
        <f>(Sintesi!$C$29*F248*1000)</f>
        <v/>
      </c>
      <c r="N248" s="1">
        <f>Sintesi!$C$30*F248*1000</f>
        <v/>
      </c>
      <c r="O248" s="1">
        <f>M248-N248</f>
        <v/>
      </c>
      <c r="P248" s="1">
        <f>Sintesi!$C$33*G248*1000</f>
        <v/>
      </c>
      <c r="Q248" s="1">
        <f>Sintesi!$C$34*G248*1000</f>
        <v/>
      </c>
      <c r="R248" s="1">
        <f>P248-Q248</f>
        <v/>
      </c>
    </row>
    <row r="249">
      <c r="A249" s="41" t="n">
        <v>248</v>
      </c>
      <c r="B249" s="42">
        <f>DATE(Sintesi!$C$4-1,12,31)+A249</f>
        <v/>
      </c>
      <c r="C249" s="41">
        <f>'Paste cell here'!B249</f>
        <v/>
      </c>
      <c r="D249" s="41">
        <f>'Paste cell here'!I249</f>
        <v/>
      </c>
      <c r="E249" s="1">
        <f>'Paste cell here'!H249</f>
        <v/>
      </c>
      <c r="F249" s="1">
        <f>Sintesi!$C$5</f>
        <v/>
      </c>
      <c r="G249" s="1">
        <f>'Paste cell here'!AA249</f>
        <v/>
      </c>
      <c r="H249" s="43">
        <f>'Paste cell here'!U249</f>
        <v/>
      </c>
      <c r="I249" s="43">
        <f>'Paste cell here'!AE249</f>
        <v/>
      </c>
      <c r="J249" s="44">
        <f>'Paste cell here'!U248+'Paste cell here'!AF249</f>
        <v/>
      </c>
      <c r="K249" s="45">
        <f>'Paste cell here'!AG249</f>
        <v/>
      </c>
      <c r="L249" s="41">
        <f>IF(J249&lt;K249,"YES","NO")</f>
        <v/>
      </c>
      <c r="M249" s="1">
        <f>(Sintesi!$C$29*F249*1000)</f>
        <v/>
      </c>
      <c r="N249" s="1">
        <f>Sintesi!$C$30*F249*1000</f>
        <v/>
      </c>
      <c r="O249" s="1">
        <f>M249-N249</f>
        <v/>
      </c>
      <c r="P249" s="1">
        <f>Sintesi!$C$33*G249*1000</f>
        <v/>
      </c>
      <c r="Q249" s="1">
        <f>Sintesi!$C$34*G249*1000</f>
        <v/>
      </c>
      <c r="R249" s="1">
        <f>P249-Q249</f>
        <v/>
      </c>
    </row>
    <row r="250">
      <c r="A250" s="41" t="n">
        <v>249</v>
      </c>
      <c r="B250" s="42">
        <f>DATE(Sintesi!$C$4-1,12,31)+A250</f>
        <v/>
      </c>
      <c r="C250" s="41">
        <f>'Paste cell here'!B250</f>
        <v/>
      </c>
      <c r="D250" s="41">
        <f>'Paste cell here'!I250</f>
        <v/>
      </c>
      <c r="E250" s="1">
        <f>'Paste cell here'!H250</f>
        <v/>
      </c>
      <c r="F250" s="1">
        <f>Sintesi!$C$5</f>
        <v/>
      </c>
      <c r="G250" s="1">
        <f>'Paste cell here'!AA250</f>
        <v/>
      </c>
      <c r="H250" s="43">
        <f>'Paste cell here'!U250</f>
        <v/>
      </c>
      <c r="I250" s="43">
        <f>'Paste cell here'!AE250</f>
        <v/>
      </c>
      <c r="J250" s="44">
        <f>'Paste cell here'!U249+'Paste cell here'!AF250</f>
        <v/>
      </c>
      <c r="K250" s="45">
        <f>'Paste cell here'!AG250</f>
        <v/>
      </c>
      <c r="L250" s="41">
        <f>IF(J250&lt;K250,"YES","NO")</f>
        <v/>
      </c>
      <c r="M250" s="1">
        <f>(Sintesi!$C$29*F250*1000)</f>
        <v/>
      </c>
      <c r="N250" s="1">
        <f>Sintesi!$C$30*F250*1000</f>
        <v/>
      </c>
      <c r="O250" s="1">
        <f>M250-N250</f>
        <v/>
      </c>
      <c r="P250" s="1">
        <f>Sintesi!$C$33*G250*1000</f>
        <v/>
      </c>
      <c r="Q250" s="1">
        <f>Sintesi!$C$34*G250*1000</f>
        <v/>
      </c>
      <c r="R250" s="1">
        <f>P250-Q250</f>
        <v/>
      </c>
    </row>
    <row r="251">
      <c r="A251" s="41" t="n">
        <v>250</v>
      </c>
      <c r="B251" s="42">
        <f>DATE(Sintesi!$C$4-1,12,31)+A251</f>
        <v/>
      </c>
      <c r="C251" s="41">
        <f>'Paste cell here'!B251</f>
        <v/>
      </c>
      <c r="D251" s="41">
        <f>'Paste cell here'!I251</f>
        <v/>
      </c>
      <c r="E251" s="1">
        <f>'Paste cell here'!H251</f>
        <v/>
      </c>
      <c r="F251" s="1">
        <f>Sintesi!$C$5</f>
        <v/>
      </c>
      <c r="G251" s="1">
        <f>'Paste cell here'!AA251</f>
        <v/>
      </c>
      <c r="H251" s="43">
        <f>'Paste cell here'!U251</f>
        <v/>
      </c>
      <c r="I251" s="43">
        <f>'Paste cell here'!AE251</f>
        <v/>
      </c>
      <c r="J251" s="44">
        <f>'Paste cell here'!U250+'Paste cell here'!AF251</f>
        <v/>
      </c>
      <c r="K251" s="45">
        <f>'Paste cell here'!AG251</f>
        <v/>
      </c>
      <c r="L251" s="41">
        <f>IF(J251&lt;K251,"YES","NO")</f>
        <v/>
      </c>
      <c r="M251" s="1">
        <f>(Sintesi!$C$29*F251*1000)</f>
        <v/>
      </c>
      <c r="N251" s="1">
        <f>Sintesi!$C$30*F251*1000</f>
        <v/>
      </c>
      <c r="O251" s="1">
        <f>M251-N251</f>
        <v/>
      </c>
      <c r="P251" s="1">
        <f>Sintesi!$C$33*G251*1000</f>
        <v/>
      </c>
      <c r="Q251" s="1">
        <f>Sintesi!$C$34*G251*1000</f>
        <v/>
      </c>
      <c r="R251" s="1">
        <f>P251-Q251</f>
        <v/>
      </c>
    </row>
    <row r="252">
      <c r="A252" s="41" t="n">
        <v>251</v>
      </c>
      <c r="B252" s="42">
        <f>DATE(Sintesi!$C$4-1,12,31)+A252</f>
        <v/>
      </c>
      <c r="C252" s="41">
        <f>'Paste cell here'!B252</f>
        <v/>
      </c>
      <c r="D252" s="41">
        <f>'Paste cell here'!I252</f>
        <v/>
      </c>
      <c r="E252" s="1">
        <f>'Paste cell here'!H252</f>
        <v/>
      </c>
      <c r="F252" s="1">
        <f>Sintesi!$C$5</f>
        <v/>
      </c>
      <c r="G252" s="1">
        <f>'Paste cell here'!AA252</f>
        <v/>
      </c>
      <c r="H252" s="43">
        <f>'Paste cell here'!U252</f>
        <v/>
      </c>
      <c r="I252" s="43">
        <f>'Paste cell here'!AE252</f>
        <v/>
      </c>
      <c r="J252" s="44">
        <f>'Paste cell here'!U251+'Paste cell here'!AF252</f>
        <v/>
      </c>
      <c r="K252" s="45">
        <f>'Paste cell here'!AG252</f>
        <v/>
      </c>
      <c r="L252" s="41">
        <f>IF(J252&lt;K252,"YES","NO")</f>
        <v/>
      </c>
      <c r="M252" s="1">
        <f>(Sintesi!$C$29*F252*1000)</f>
        <v/>
      </c>
      <c r="N252" s="1">
        <f>Sintesi!$C$30*F252*1000</f>
        <v/>
      </c>
      <c r="O252" s="1">
        <f>M252-N252</f>
        <v/>
      </c>
      <c r="P252" s="1">
        <f>Sintesi!$C$33*G252*1000</f>
        <v/>
      </c>
      <c r="Q252" s="1">
        <f>Sintesi!$C$34*G252*1000</f>
        <v/>
      </c>
      <c r="R252" s="1">
        <f>P252-Q252</f>
        <v/>
      </c>
    </row>
    <row r="253">
      <c r="A253" s="41" t="n">
        <v>252</v>
      </c>
      <c r="B253" s="42">
        <f>DATE(Sintesi!$C$4-1,12,31)+A253</f>
        <v/>
      </c>
      <c r="C253" s="41">
        <f>'Paste cell here'!B253</f>
        <v/>
      </c>
      <c r="D253" s="41">
        <f>'Paste cell here'!I253</f>
        <v/>
      </c>
      <c r="E253" s="1">
        <f>'Paste cell here'!H253</f>
        <v/>
      </c>
      <c r="F253" s="1">
        <f>Sintesi!$C$5</f>
        <v/>
      </c>
      <c r="G253" s="1">
        <f>'Paste cell here'!AA253</f>
        <v/>
      </c>
      <c r="H253" s="43">
        <f>'Paste cell here'!U253</f>
        <v/>
      </c>
      <c r="I253" s="43">
        <f>'Paste cell here'!AE253</f>
        <v/>
      </c>
      <c r="J253" s="44">
        <f>'Paste cell here'!U252+'Paste cell here'!AF253</f>
        <v/>
      </c>
      <c r="K253" s="45">
        <f>'Paste cell here'!AG253</f>
        <v/>
      </c>
      <c r="L253" s="41">
        <f>IF(J253&lt;K253,"YES","NO")</f>
        <v/>
      </c>
      <c r="M253" s="1">
        <f>(Sintesi!$C$29*F253*1000)</f>
        <v/>
      </c>
      <c r="N253" s="1">
        <f>Sintesi!$C$30*F253*1000</f>
        <v/>
      </c>
      <c r="O253" s="1">
        <f>M253-N253</f>
        <v/>
      </c>
      <c r="P253" s="1">
        <f>Sintesi!$C$33*G253*1000</f>
        <v/>
      </c>
      <c r="Q253" s="1">
        <f>Sintesi!$C$34*G253*1000</f>
        <v/>
      </c>
      <c r="R253" s="1">
        <f>P253-Q253</f>
        <v/>
      </c>
    </row>
    <row r="254">
      <c r="A254" s="41" t="n">
        <v>253</v>
      </c>
      <c r="B254" s="42">
        <f>DATE(Sintesi!$C$4-1,12,31)+A254</f>
        <v/>
      </c>
      <c r="C254" s="41">
        <f>'Paste cell here'!B254</f>
        <v/>
      </c>
      <c r="D254" s="41">
        <f>'Paste cell here'!I254</f>
        <v/>
      </c>
      <c r="E254" s="1">
        <f>'Paste cell here'!H254</f>
        <v/>
      </c>
      <c r="F254" s="1">
        <f>Sintesi!$C$5</f>
        <v/>
      </c>
      <c r="G254" s="1">
        <f>'Paste cell here'!AA254</f>
        <v/>
      </c>
      <c r="H254" s="43">
        <f>'Paste cell here'!U254</f>
        <v/>
      </c>
      <c r="I254" s="43">
        <f>'Paste cell here'!AE254</f>
        <v/>
      </c>
      <c r="J254" s="44">
        <f>'Paste cell here'!U253+'Paste cell here'!AF254</f>
        <v/>
      </c>
      <c r="K254" s="45">
        <f>'Paste cell here'!AG254</f>
        <v/>
      </c>
      <c r="L254" s="41">
        <f>IF(J254&lt;K254,"YES","NO")</f>
        <v/>
      </c>
      <c r="M254" s="1">
        <f>(Sintesi!$C$29*F254*1000)</f>
        <v/>
      </c>
      <c r="N254" s="1">
        <f>Sintesi!$C$30*F254*1000</f>
        <v/>
      </c>
      <c r="O254" s="1">
        <f>M254-N254</f>
        <v/>
      </c>
      <c r="P254" s="1">
        <f>Sintesi!$C$33*G254*1000</f>
        <v/>
      </c>
      <c r="Q254" s="1">
        <f>Sintesi!$C$34*G254*1000</f>
        <v/>
      </c>
      <c r="R254" s="1">
        <f>P254-Q254</f>
        <v/>
      </c>
    </row>
    <row r="255">
      <c r="A255" s="41" t="n">
        <v>254</v>
      </c>
      <c r="B255" s="42">
        <f>DATE(Sintesi!$C$4-1,12,31)+A255</f>
        <v/>
      </c>
      <c r="C255" s="41">
        <f>'Paste cell here'!B255</f>
        <v/>
      </c>
      <c r="D255" s="41">
        <f>'Paste cell here'!I255</f>
        <v/>
      </c>
      <c r="E255" s="1">
        <f>'Paste cell here'!H255</f>
        <v/>
      </c>
      <c r="F255" s="1">
        <f>Sintesi!$C$5</f>
        <v/>
      </c>
      <c r="G255" s="1">
        <f>'Paste cell here'!AA255</f>
        <v/>
      </c>
      <c r="H255" s="43">
        <f>'Paste cell here'!U255</f>
        <v/>
      </c>
      <c r="I255" s="43">
        <f>'Paste cell here'!AE255</f>
        <v/>
      </c>
      <c r="J255" s="44">
        <f>'Paste cell here'!U254+'Paste cell here'!AF255</f>
        <v/>
      </c>
      <c r="K255" s="45">
        <f>'Paste cell here'!AG255</f>
        <v/>
      </c>
      <c r="L255" s="41">
        <f>IF(J255&lt;K255,"YES","NO")</f>
        <v/>
      </c>
      <c r="M255" s="1">
        <f>(Sintesi!$C$29*F255*1000)</f>
        <v/>
      </c>
      <c r="N255" s="1">
        <f>Sintesi!$C$30*F255*1000</f>
        <v/>
      </c>
      <c r="O255" s="1">
        <f>M255-N255</f>
        <v/>
      </c>
      <c r="P255" s="1">
        <f>Sintesi!$C$33*G255*1000</f>
        <v/>
      </c>
      <c r="Q255" s="1">
        <f>Sintesi!$C$34*G255*1000</f>
        <v/>
      </c>
      <c r="R255" s="1">
        <f>P255-Q255</f>
        <v/>
      </c>
    </row>
    <row r="256">
      <c r="A256" s="41" t="n">
        <v>255</v>
      </c>
      <c r="B256" s="42">
        <f>DATE(Sintesi!$C$4-1,12,31)+A256</f>
        <v/>
      </c>
      <c r="C256" s="41">
        <f>'Paste cell here'!B256</f>
        <v/>
      </c>
      <c r="D256" s="41">
        <f>'Paste cell here'!I256</f>
        <v/>
      </c>
      <c r="E256" s="1">
        <f>'Paste cell here'!H256</f>
        <v/>
      </c>
      <c r="F256" s="1">
        <f>Sintesi!$C$5</f>
        <v/>
      </c>
      <c r="G256" s="1">
        <f>'Paste cell here'!AA256</f>
        <v/>
      </c>
      <c r="H256" s="43">
        <f>'Paste cell here'!U256</f>
        <v/>
      </c>
      <c r="I256" s="43">
        <f>'Paste cell here'!AE256</f>
        <v/>
      </c>
      <c r="J256" s="44">
        <f>'Paste cell here'!U255+'Paste cell here'!AF256</f>
        <v/>
      </c>
      <c r="K256" s="45">
        <f>'Paste cell here'!AG256</f>
        <v/>
      </c>
      <c r="L256" s="41">
        <f>IF(J256&lt;K256,"YES","NO")</f>
        <v/>
      </c>
      <c r="M256" s="1">
        <f>(Sintesi!$C$29*F256*1000)</f>
        <v/>
      </c>
      <c r="N256" s="1">
        <f>Sintesi!$C$30*F256*1000</f>
        <v/>
      </c>
      <c r="O256" s="1">
        <f>M256-N256</f>
        <v/>
      </c>
      <c r="P256" s="1">
        <f>Sintesi!$C$33*G256*1000</f>
        <v/>
      </c>
      <c r="Q256" s="1">
        <f>Sintesi!$C$34*G256*1000</f>
        <v/>
      </c>
      <c r="R256" s="1">
        <f>P256-Q256</f>
        <v/>
      </c>
    </row>
    <row r="257">
      <c r="A257" s="41" t="n">
        <v>256</v>
      </c>
      <c r="B257" s="42">
        <f>DATE(Sintesi!$C$4-1,12,31)+A257</f>
        <v/>
      </c>
      <c r="C257" s="41">
        <f>'Paste cell here'!B257</f>
        <v/>
      </c>
      <c r="D257" s="41">
        <f>'Paste cell here'!I257</f>
        <v/>
      </c>
      <c r="E257" s="1">
        <f>'Paste cell here'!H257</f>
        <v/>
      </c>
      <c r="F257" s="1">
        <f>Sintesi!$C$5</f>
        <v/>
      </c>
      <c r="G257" s="1">
        <f>'Paste cell here'!AA257</f>
        <v/>
      </c>
      <c r="H257" s="43">
        <f>'Paste cell here'!U257</f>
        <v/>
      </c>
      <c r="I257" s="43">
        <f>'Paste cell here'!AE257</f>
        <v/>
      </c>
      <c r="J257" s="44">
        <f>'Paste cell here'!U256+'Paste cell here'!AF257</f>
        <v/>
      </c>
      <c r="K257" s="45">
        <f>'Paste cell here'!AG257</f>
        <v/>
      </c>
      <c r="L257" s="41">
        <f>IF(J257&lt;K257,"YES","NO")</f>
        <v/>
      </c>
      <c r="M257" s="1">
        <f>(Sintesi!$C$29*F257*1000)</f>
        <v/>
      </c>
      <c r="N257" s="1">
        <f>Sintesi!$C$30*F257*1000</f>
        <v/>
      </c>
      <c r="O257" s="1">
        <f>M257-N257</f>
        <v/>
      </c>
      <c r="P257" s="1">
        <f>Sintesi!$C$33*G257*1000</f>
        <v/>
      </c>
      <c r="Q257" s="1">
        <f>Sintesi!$C$34*G257*1000</f>
        <v/>
      </c>
      <c r="R257" s="1">
        <f>P257-Q257</f>
        <v/>
      </c>
    </row>
    <row r="258">
      <c r="A258" s="41" t="n">
        <v>257</v>
      </c>
      <c r="B258" s="42">
        <f>DATE(Sintesi!$C$4-1,12,31)+A258</f>
        <v/>
      </c>
      <c r="C258" s="41">
        <f>'Paste cell here'!B258</f>
        <v/>
      </c>
      <c r="D258" s="41">
        <f>'Paste cell here'!I258</f>
        <v/>
      </c>
      <c r="E258" s="1">
        <f>'Paste cell here'!H258</f>
        <v/>
      </c>
      <c r="F258" s="1">
        <f>Sintesi!$C$5</f>
        <v/>
      </c>
      <c r="G258" s="1">
        <f>'Paste cell here'!AA258</f>
        <v/>
      </c>
      <c r="H258" s="43">
        <f>'Paste cell here'!U258</f>
        <v/>
      </c>
      <c r="I258" s="43">
        <f>'Paste cell here'!AE258</f>
        <v/>
      </c>
      <c r="J258" s="44">
        <f>'Paste cell here'!U257+'Paste cell here'!AF258</f>
        <v/>
      </c>
      <c r="K258" s="45">
        <f>'Paste cell here'!AG258</f>
        <v/>
      </c>
      <c r="L258" s="41">
        <f>IF(J258&lt;K258,"YES","NO")</f>
        <v/>
      </c>
      <c r="M258" s="1">
        <f>(Sintesi!$C$29*F258*1000)</f>
        <v/>
      </c>
      <c r="N258" s="1">
        <f>Sintesi!$C$30*F258*1000</f>
        <v/>
      </c>
      <c r="O258" s="1">
        <f>M258-N258</f>
        <v/>
      </c>
      <c r="P258" s="1">
        <f>Sintesi!$C$33*G258*1000</f>
        <v/>
      </c>
      <c r="Q258" s="1">
        <f>Sintesi!$C$34*G258*1000</f>
        <v/>
      </c>
      <c r="R258" s="1">
        <f>P258-Q258</f>
        <v/>
      </c>
    </row>
    <row r="259">
      <c r="A259" s="41" t="n">
        <v>258</v>
      </c>
      <c r="B259" s="42">
        <f>DATE(Sintesi!$C$4-1,12,31)+A259</f>
        <v/>
      </c>
      <c r="C259" s="41">
        <f>'Paste cell here'!B259</f>
        <v/>
      </c>
      <c r="D259" s="41">
        <f>'Paste cell here'!I259</f>
        <v/>
      </c>
      <c r="E259" s="1">
        <f>'Paste cell here'!H259</f>
        <v/>
      </c>
      <c r="F259" s="1">
        <f>Sintesi!$C$5</f>
        <v/>
      </c>
      <c r="G259" s="1">
        <f>'Paste cell here'!AA259</f>
        <v/>
      </c>
      <c r="H259" s="43">
        <f>'Paste cell here'!U259</f>
        <v/>
      </c>
      <c r="I259" s="43">
        <f>'Paste cell here'!AE259</f>
        <v/>
      </c>
      <c r="J259" s="44">
        <f>'Paste cell here'!U258+'Paste cell here'!AF259</f>
        <v/>
      </c>
      <c r="K259" s="45">
        <f>'Paste cell here'!AG259</f>
        <v/>
      </c>
      <c r="L259" s="41">
        <f>IF(J259&lt;K259,"YES","NO")</f>
        <v/>
      </c>
      <c r="M259" s="1">
        <f>(Sintesi!$C$29*F259*1000)</f>
        <v/>
      </c>
      <c r="N259" s="1">
        <f>Sintesi!$C$30*F259*1000</f>
        <v/>
      </c>
      <c r="O259" s="1">
        <f>M259-N259</f>
        <v/>
      </c>
      <c r="P259" s="1">
        <f>Sintesi!$C$33*G259*1000</f>
        <v/>
      </c>
      <c r="Q259" s="1">
        <f>Sintesi!$C$34*G259*1000</f>
        <v/>
      </c>
      <c r="R259" s="1">
        <f>P259-Q259</f>
        <v/>
      </c>
    </row>
    <row r="260">
      <c r="A260" s="41" t="n">
        <v>259</v>
      </c>
      <c r="B260" s="42">
        <f>DATE(Sintesi!$C$4-1,12,31)+A260</f>
        <v/>
      </c>
      <c r="C260" s="41">
        <f>'Paste cell here'!B260</f>
        <v/>
      </c>
      <c r="D260" s="41">
        <f>'Paste cell here'!I260</f>
        <v/>
      </c>
      <c r="E260" s="1">
        <f>'Paste cell here'!H260</f>
        <v/>
      </c>
      <c r="F260" s="1">
        <f>Sintesi!$C$5</f>
        <v/>
      </c>
      <c r="G260" s="1">
        <f>'Paste cell here'!AA260</f>
        <v/>
      </c>
      <c r="H260" s="43">
        <f>'Paste cell here'!U260</f>
        <v/>
      </c>
      <c r="I260" s="43">
        <f>'Paste cell here'!AE260</f>
        <v/>
      </c>
      <c r="J260" s="44">
        <f>'Paste cell here'!U259+'Paste cell here'!AF260</f>
        <v/>
      </c>
      <c r="K260" s="45">
        <f>'Paste cell here'!AG260</f>
        <v/>
      </c>
      <c r="L260" s="41">
        <f>IF(J260&lt;K260,"YES","NO")</f>
        <v/>
      </c>
      <c r="M260" s="1">
        <f>(Sintesi!$C$29*F260*1000)</f>
        <v/>
      </c>
      <c r="N260" s="1">
        <f>Sintesi!$C$30*F260*1000</f>
        <v/>
      </c>
      <c r="O260" s="1">
        <f>M260-N260</f>
        <v/>
      </c>
      <c r="P260" s="1">
        <f>Sintesi!$C$33*G260*1000</f>
        <v/>
      </c>
      <c r="Q260" s="1">
        <f>Sintesi!$C$34*G260*1000</f>
        <v/>
      </c>
      <c r="R260" s="1">
        <f>P260-Q260</f>
        <v/>
      </c>
    </row>
    <row r="261">
      <c r="A261" s="41" t="n">
        <v>260</v>
      </c>
      <c r="B261" s="42">
        <f>DATE(Sintesi!$C$4-1,12,31)+A261</f>
        <v/>
      </c>
      <c r="C261" s="41">
        <f>'Paste cell here'!B261</f>
        <v/>
      </c>
      <c r="D261" s="41">
        <f>'Paste cell here'!I261</f>
        <v/>
      </c>
      <c r="E261" s="1">
        <f>'Paste cell here'!H261</f>
        <v/>
      </c>
      <c r="F261" s="1">
        <f>Sintesi!$C$5</f>
        <v/>
      </c>
      <c r="G261" s="1">
        <f>'Paste cell here'!AA261</f>
        <v/>
      </c>
      <c r="H261" s="43">
        <f>'Paste cell here'!U261</f>
        <v/>
      </c>
      <c r="I261" s="43">
        <f>'Paste cell here'!AE261</f>
        <v/>
      </c>
      <c r="J261" s="44">
        <f>'Paste cell here'!U260+'Paste cell here'!AF261</f>
        <v/>
      </c>
      <c r="K261" s="45">
        <f>'Paste cell here'!AG261</f>
        <v/>
      </c>
      <c r="L261" s="41">
        <f>IF(J261&lt;K261,"YES","NO")</f>
        <v/>
      </c>
      <c r="M261" s="1">
        <f>(Sintesi!$C$29*F261*1000)</f>
        <v/>
      </c>
      <c r="N261" s="1">
        <f>Sintesi!$C$30*F261*1000</f>
        <v/>
      </c>
      <c r="O261" s="1">
        <f>M261-N261</f>
        <v/>
      </c>
      <c r="P261" s="1">
        <f>Sintesi!$C$33*G261*1000</f>
        <v/>
      </c>
      <c r="Q261" s="1">
        <f>Sintesi!$C$34*G261*1000</f>
        <v/>
      </c>
      <c r="R261" s="1">
        <f>P261-Q261</f>
        <v/>
      </c>
    </row>
    <row r="262">
      <c r="A262" s="41" t="n">
        <v>261</v>
      </c>
      <c r="B262" s="42">
        <f>DATE(Sintesi!$C$4-1,12,31)+A262</f>
        <v/>
      </c>
      <c r="C262" s="41">
        <f>'Paste cell here'!B262</f>
        <v/>
      </c>
      <c r="D262" s="41">
        <f>'Paste cell here'!I262</f>
        <v/>
      </c>
      <c r="E262" s="1">
        <f>'Paste cell here'!H262</f>
        <v/>
      </c>
      <c r="F262" s="1">
        <f>Sintesi!$C$5</f>
        <v/>
      </c>
      <c r="G262" s="1">
        <f>'Paste cell here'!AA262</f>
        <v/>
      </c>
      <c r="H262" s="43">
        <f>'Paste cell here'!U262</f>
        <v/>
      </c>
      <c r="I262" s="43">
        <f>'Paste cell here'!AE262</f>
        <v/>
      </c>
      <c r="J262" s="44">
        <f>'Paste cell here'!U261+'Paste cell here'!AF262</f>
        <v/>
      </c>
      <c r="K262" s="45">
        <f>'Paste cell here'!AG262</f>
        <v/>
      </c>
      <c r="L262" s="41">
        <f>IF(J262&lt;K262,"YES","NO")</f>
        <v/>
      </c>
      <c r="M262" s="1">
        <f>(Sintesi!$C$29*F262*1000)</f>
        <v/>
      </c>
      <c r="N262" s="1">
        <f>Sintesi!$C$30*F262*1000</f>
        <v/>
      </c>
      <c r="O262" s="1">
        <f>M262-N262</f>
        <v/>
      </c>
      <c r="P262" s="1">
        <f>Sintesi!$C$33*G262*1000</f>
        <v/>
      </c>
      <c r="Q262" s="1">
        <f>Sintesi!$C$34*G262*1000</f>
        <v/>
      </c>
      <c r="R262" s="1">
        <f>P262-Q262</f>
        <v/>
      </c>
    </row>
    <row r="263">
      <c r="A263" s="41" t="n">
        <v>262</v>
      </c>
      <c r="B263" s="42">
        <f>DATE(Sintesi!$C$4-1,12,31)+A263</f>
        <v/>
      </c>
      <c r="C263" s="41">
        <f>'Paste cell here'!B263</f>
        <v/>
      </c>
      <c r="D263" s="41">
        <f>'Paste cell here'!I263</f>
        <v/>
      </c>
      <c r="E263" s="1">
        <f>'Paste cell here'!H263</f>
        <v/>
      </c>
      <c r="F263" s="1">
        <f>Sintesi!$C$5</f>
        <v/>
      </c>
      <c r="G263" s="1">
        <f>'Paste cell here'!AA263</f>
        <v/>
      </c>
      <c r="H263" s="43">
        <f>'Paste cell here'!U263</f>
        <v/>
      </c>
      <c r="I263" s="43">
        <f>'Paste cell here'!AE263</f>
        <v/>
      </c>
      <c r="J263" s="44">
        <f>'Paste cell here'!U262+'Paste cell here'!AF263</f>
        <v/>
      </c>
      <c r="K263" s="45">
        <f>'Paste cell here'!AG263</f>
        <v/>
      </c>
      <c r="L263" s="41">
        <f>IF(J263&lt;K263,"YES","NO")</f>
        <v/>
      </c>
      <c r="M263" s="1">
        <f>(Sintesi!$C$29*F263*1000)</f>
        <v/>
      </c>
      <c r="N263" s="1">
        <f>Sintesi!$C$30*F263*1000</f>
        <v/>
      </c>
      <c r="O263" s="1">
        <f>M263-N263</f>
        <v/>
      </c>
      <c r="P263" s="1">
        <f>Sintesi!$C$33*G263*1000</f>
        <v/>
      </c>
      <c r="Q263" s="1">
        <f>Sintesi!$C$34*G263*1000</f>
        <v/>
      </c>
      <c r="R263" s="1">
        <f>P263-Q263</f>
        <v/>
      </c>
    </row>
    <row r="264">
      <c r="A264" s="41" t="n">
        <v>263</v>
      </c>
      <c r="B264" s="42">
        <f>DATE(Sintesi!$C$4-1,12,31)+A264</f>
        <v/>
      </c>
      <c r="C264" s="41">
        <f>'Paste cell here'!B264</f>
        <v/>
      </c>
      <c r="D264" s="41">
        <f>'Paste cell here'!I264</f>
        <v/>
      </c>
      <c r="E264" s="1">
        <f>'Paste cell here'!H264</f>
        <v/>
      </c>
      <c r="F264" s="1">
        <f>Sintesi!$C$5</f>
        <v/>
      </c>
      <c r="G264" s="1">
        <f>'Paste cell here'!AA264</f>
        <v/>
      </c>
      <c r="H264" s="43">
        <f>'Paste cell here'!U264</f>
        <v/>
      </c>
      <c r="I264" s="43">
        <f>'Paste cell here'!AE264</f>
        <v/>
      </c>
      <c r="J264" s="44">
        <f>'Paste cell here'!U263+'Paste cell here'!AF264</f>
        <v/>
      </c>
      <c r="K264" s="45">
        <f>'Paste cell here'!AG264</f>
        <v/>
      </c>
      <c r="L264" s="41">
        <f>IF(J264&lt;K264,"YES","NO")</f>
        <v/>
      </c>
      <c r="M264" s="1">
        <f>(Sintesi!$C$29*F264*1000)</f>
        <v/>
      </c>
      <c r="N264" s="1">
        <f>Sintesi!$C$30*F264*1000</f>
        <v/>
      </c>
      <c r="O264" s="1">
        <f>M264-N264</f>
        <v/>
      </c>
      <c r="P264" s="1">
        <f>Sintesi!$C$33*G264*1000</f>
        <v/>
      </c>
      <c r="Q264" s="1">
        <f>Sintesi!$C$34*G264*1000</f>
        <v/>
      </c>
      <c r="R264" s="1">
        <f>P264-Q264</f>
        <v/>
      </c>
    </row>
    <row r="265">
      <c r="A265" s="41" t="n">
        <v>264</v>
      </c>
      <c r="B265" s="42">
        <f>DATE(Sintesi!$C$4-1,12,31)+A265</f>
        <v/>
      </c>
      <c r="C265" s="41">
        <f>'Paste cell here'!B265</f>
        <v/>
      </c>
      <c r="D265" s="41">
        <f>'Paste cell here'!I265</f>
        <v/>
      </c>
      <c r="E265" s="1">
        <f>'Paste cell here'!H265</f>
        <v/>
      </c>
      <c r="F265" s="1">
        <f>Sintesi!$C$5</f>
        <v/>
      </c>
      <c r="G265" s="1">
        <f>'Paste cell here'!AA265</f>
        <v/>
      </c>
      <c r="H265" s="43">
        <f>'Paste cell here'!U265</f>
        <v/>
      </c>
      <c r="I265" s="43">
        <f>'Paste cell here'!AE265</f>
        <v/>
      </c>
      <c r="J265" s="44">
        <f>'Paste cell here'!U264+'Paste cell here'!AF265</f>
        <v/>
      </c>
      <c r="K265" s="45">
        <f>'Paste cell here'!AG265</f>
        <v/>
      </c>
      <c r="L265" s="41">
        <f>IF(J265&lt;K265,"YES","NO")</f>
        <v/>
      </c>
      <c r="M265" s="1">
        <f>(Sintesi!$C$29*F265*1000)</f>
        <v/>
      </c>
      <c r="N265" s="1">
        <f>Sintesi!$C$30*F265*1000</f>
        <v/>
      </c>
      <c r="O265" s="1">
        <f>M265-N265</f>
        <v/>
      </c>
      <c r="P265" s="1">
        <f>Sintesi!$C$33*G265*1000</f>
        <v/>
      </c>
      <c r="Q265" s="1">
        <f>Sintesi!$C$34*G265*1000</f>
        <v/>
      </c>
      <c r="R265" s="1">
        <f>P265-Q265</f>
        <v/>
      </c>
    </row>
    <row r="266">
      <c r="A266" s="41" t="n">
        <v>265</v>
      </c>
      <c r="B266" s="42">
        <f>DATE(Sintesi!$C$4-1,12,31)+A266</f>
        <v/>
      </c>
      <c r="C266" s="41">
        <f>'Paste cell here'!B266</f>
        <v/>
      </c>
      <c r="D266" s="41">
        <f>'Paste cell here'!I266</f>
        <v/>
      </c>
      <c r="E266" s="1">
        <f>'Paste cell here'!H266</f>
        <v/>
      </c>
      <c r="F266" s="1">
        <f>Sintesi!$C$5</f>
        <v/>
      </c>
      <c r="G266" s="1">
        <f>'Paste cell here'!AA266</f>
        <v/>
      </c>
      <c r="H266" s="43">
        <f>'Paste cell here'!U266</f>
        <v/>
      </c>
      <c r="I266" s="43">
        <f>'Paste cell here'!AE266</f>
        <v/>
      </c>
      <c r="J266" s="44">
        <f>'Paste cell here'!U265+'Paste cell here'!AF266</f>
        <v/>
      </c>
      <c r="K266" s="45">
        <f>'Paste cell here'!AG266</f>
        <v/>
      </c>
      <c r="L266" s="41">
        <f>IF(J266&lt;K266,"YES","NO")</f>
        <v/>
      </c>
      <c r="M266" s="1">
        <f>(Sintesi!$C$29*F266*1000)</f>
        <v/>
      </c>
      <c r="N266" s="1">
        <f>Sintesi!$C$30*F266*1000</f>
        <v/>
      </c>
      <c r="O266" s="1">
        <f>M266-N266</f>
        <v/>
      </c>
      <c r="P266" s="1">
        <f>Sintesi!$C$33*G266*1000</f>
        <v/>
      </c>
      <c r="Q266" s="1">
        <f>Sintesi!$C$34*G266*1000</f>
        <v/>
      </c>
      <c r="R266" s="1">
        <f>P266-Q266</f>
        <v/>
      </c>
    </row>
    <row r="267">
      <c r="A267" s="41" t="n">
        <v>266</v>
      </c>
      <c r="B267" s="42">
        <f>DATE(Sintesi!$C$4-1,12,31)+A267</f>
        <v/>
      </c>
      <c r="C267" s="41">
        <f>'Paste cell here'!B267</f>
        <v/>
      </c>
      <c r="D267" s="41">
        <f>'Paste cell here'!I267</f>
        <v/>
      </c>
      <c r="E267" s="1">
        <f>'Paste cell here'!H267</f>
        <v/>
      </c>
      <c r="F267" s="1">
        <f>Sintesi!$C$5</f>
        <v/>
      </c>
      <c r="G267" s="1">
        <f>'Paste cell here'!AA267</f>
        <v/>
      </c>
      <c r="H267" s="43">
        <f>'Paste cell here'!U267</f>
        <v/>
      </c>
      <c r="I267" s="43">
        <f>'Paste cell here'!AE267</f>
        <v/>
      </c>
      <c r="J267" s="44">
        <f>'Paste cell here'!U266+'Paste cell here'!AF267</f>
        <v/>
      </c>
      <c r="K267" s="45">
        <f>'Paste cell here'!AG267</f>
        <v/>
      </c>
      <c r="L267" s="41">
        <f>IF(J267&lt;K267,"YES","NO")</f>
        <v/>
      </c>
      <c r="M267" s="1">
        <f>(Sintesi!$C$29*F267*1000)</f>
        <v/>
      </c>
      <c r="N267" s="1">
        <f>Sintesi!$C$30*F267*1000</f>
        <v/>
      </c>
      <c r="O267" s="1">
        <f>M267-N267</f>
        <v/>
      </c>
      <c r="P267" s="1">
        <f>Sintesi!$C$33*G267*1000</f>
        <v/>
      </c>
      <c r="Q267" s="1">
        <f>Sintesi!$C$34*G267*1000</f>
        <v/>
      </c>
      <c r="R267" s="1">
        <f>P267-Q267</f>
        <v/>
      </c>
    </row>
    <row r="268">
      <c r="A268" s="41" t="n">
        <v>267</v>
      </c>
      <c r="B268" s="42">
        <f>DATE(Sintesi!$C$4-1,12,31)+A268</f>
        <v/>
      </c>
      <c r="C268" s="41">
        <f>'Paste cell here'!B268</f>
        <v/>
      </c>
      <c r="D268" s="41">
        <f>'Paste cell here'!I268</f>
        <v/>
      </c>
      <c r="E268" s="1">
        <f>'Paste cell here'!H268</f>
        <v/>
      </c>
      <c r="F268" s="1">
        <f>Sintesi!$C$5</f>
        <v/>
      </c>
      <c r="G268" s="1">
        <f>'Paste cell here'!AA268</f>
        <v/>
      </c>
      <c r="H268" s="43">
        <f>'Paste cell here'!U268</f>
        <v/>
      </c>
      <c r="I268" s="43">
        <f>'Paste cell here'!AE268</f>
        <v/>
      </c>
      <c r="J268" s="44">
        <f>'Paste cell here'!U267+'Paste cell here'!AF268</f>
        <v/>
      </c>
      <c r="K268" s="45">
        <f>'Paste cell here'!AG268</f>
        <v/>
      </c>
      <c r="L268" s="41">
        <f>IF(J268&lt;K268,"YES","NO")</f>
        <v/>
      </c>
      <c r="M268" s="1">
        <f>(Sintesi!$C$29*F268*1000)</f>
        <v/>
      </c>
      <c r="N268" s="1">
        <f>Sintesi!$C$30*F268*1000</f>
        <v/>
      </c>
      <c r="O268" s="1">
        <f>M268-N268</f>
        <v/>
      </c>
      <c r="P268" s="1">
        <f>Sintesi!$C$33*G268*1000</f>
        <v/>
      </c>
      <c r="Q268" s="1">
        <f>Sintesi!$C$34*G268*1000</f>
        <v/>
      </c>
      <c r="R268" s="1">
        <f>P268-Q268</f>
        <v/>
      </c>
    </row>
    <row r="269">
      <c r="A269" s="41" t="n">
        <v>268</v>
      </c>
      <c r="B269" s="42">
        <f>DATE(Sintesi!$C$4-1,12,31)+A269</f>
        <v/>
      </c>
      <c r="C269" s="41">
        <f>'Paste cell here'!B269</f>
        <v/>
      </c>
      <c r="D269" s="41">
        <f>'Paste cell here'!I269</f>
        <v/>
      </c>
      <c r="E269" s="1">
        <f>'Paste cell here'!H269</f>
        <v/>
      </c>
      <c r="F269" s="1">
        <f>Sintesi!$C$5</f>
        <v/>
      </c>
      <c r="G269" s="1">
        <f>'Paste cell here'!AA269</f>
        <v/>
      </c>
      <c r="H269" s="43">
        <f>'Paste cell here'!U269</f>
        <v/>
      </c>
      <c r="I269" s="43">
        <f>'Paste cell here'!AE269</f>
        <v/>
      </c>
      <c r="J269" s="44">
        <f>'Paste cell here'!U268+'Paste cell here'!AF269</f>
        <v/>
      </c>
      <c r="K269" s="45">
        <f>'Paste cell here'!AG269</f>
        <v/>
      </c>
      <c r="L269" s="41">
        <f>IF(J269&lt;K269,"YES","NO")</f>
        <v/>
      </c>
      <c r="M269" s="1">
        <f>(Sintesi!$C$29*F269*1000)</f>
        <v/>
      </c>
      <c r="N269" s="1">
        <f>Sintesi!$C$30*F269*1000</f>
        <v/>
      </c>
      <c r="O269" s="1">
        <f>M269-N269</f>
        <v/>
      </c>
      <c r="P269" s="1">
        <f>Sintesi!$C$33*G269*1000</f>
        <v/>
      </c>
      <c r="Q269" s="1">
        <f>Sintesi!$C$34*G269*1000</f>
        <v/>
      </c>
      <c r="R269" s="1">
        <f>P269-Q269</f>
        <v/>
      </c>
    </row>
    <row r="270">
      <c r="A270" s="41" t="n">
        <v>269</v>
      </c>
      <c r="B270" s="42">
        <f>DATE(Sintesi!$C$4-1,12,31)+A270</f>
        <v/>
      </c>
      <c r="C270" s="41">
        <f>'Paste cell here'!B270</f>
        <v/>
      </c>
      <c r="D270" s="41">
        <f>'Paste cell here'!I270</f>
        <v/>
      </c>
      <c r="E270" s="1">
        <f>'Paste cell here'!H270</f>
        <v/>
      </c>
      <c r="F270" s="1">
        <f>Sintesi!$C$5</f>
        <v/>
      </c>
      <c r="G270" s="1">
        <f>'Paste cell here'!AA270</f>
        <v/>
      </c>
      <c r="H270" s="43">
        <f>'Paste cell here'!U270</f>
        <v/>
      </c>
      <c r="I270" s="43">
        <f>'Paste cell here'!AE270</f>
        <v/>
      </c>
      <c r="J270" s="44">
        <f>'Paste cell here'!U269+'Paste cell here'!AF270</f>
        <v/>
      </c>
      <c r="K270" s="45">
        <f>'Paste cell here'!AG270</f>
        <v/>
      </c>
      <c r="L270" s="41">
        <f>IF(J270&lt;K270,"YES","NO")</f>
        <v/>
      </c>
      <c r="M270" s="1">
        <f>(Sintesi!$C$29*F270*1000)</f>
        <v/>
      </c>
      <c r="N270" s="1">
        <f>Sintesi!$C$30*F270*1000</f>
        <v/>
      </c>
      <c r="O270" s="1">
        <f>M270-N270</f>
        <v/>
      </c>
      <c r="P270" s="1">
        <f>Sintesi!$C$33*G270*1000</f>
        <v/>
      </c>
      <c r="Q270" s="1">
        <f>Sintesi!$C$34*G270*1000</f>
        <v/>
      </c>
      <c r="R270" s="1">
        <f>P270-Q270</f>
        <v/>
      </c>
    </row>
    <row r="271">
      <c r="A271" s="41" t="n">
        <v>270</v>
      </c>
      <c r="B271" s="42">
        <f>DATE(Sintesi!$C$4-1,12,31)+A271</f>
        <v/>
      </c>
      <c r="C271" s="41">
        <f>'Paste cell here'!B271</f>
        <v/>
      </c>
      <c r="D271" s="41">
        <f>'Paste cell here'!I271</f>
        <v/>
      </c>
      <c r="E271" s="1">
        <f>'Paste cell here'!H271</f>
        <v/>
      </c>
      <c r="F271" s="1">
        <f>Sintesi!$C$5</f>
        <v/>
      </c>
      <c r="G271" s="1">
        <f>'Paste cell here'!AA271</f>
        <v/>
      </c>
      <c r="H271" s="43">
        <f>'Paste cell here'!U271</f>
        <v/>
      </c>
      <c r="I271" s="43">
        <f>'Paste cell here'!AE271</f>
        <v/>
      </c>
      <c r="J271" s="44">
        <f>'Paste cell here'!U270+'Paste cell here'!AF271</f>
        <v/>
      </c>
      <c r="K271" s="45">
        <f>'Paste cell here'!AG271</f>
        <v/>
      </c>
      <c r="L271" s="41">
        <f>IF(J271&lt;K271,"YES","NO")</f>
        <v/>
      </c>
      <c r="M271" s="1">
        <f>(Sintesi!$C$29*F271*1000)</f>
        <v/>
      </c>
      <c r="N271" s="1">
        <f>Sintesi!$C$30*F271*1000</f>
        <v/>
      </c>
      <c r="O271" s="1">
        <f>M271-N271</f>
        <v/>
      </c>
      <c r="P271" s="1">
        <f>Sintesi!$C$33*G271*1000</f>
        <v/>
      </c>
      <c r="Q271" s="1">
        <f>Sintesi!$C$34*G271*1000</f>
        <v/>
      </c>
      <c r="R271" s="1">
        <f>P271-Q271</f>
        <v/>
      </c>
    </row>
    <row r="272">
      <c r="A272" s="41" t="n">
        <v>271</v>
      </c>
      <c r="B272" s="42">
        <f>DATE(Sintesi!$C$4-1,12,31)+A272</f>
        <v/>
      </c>
      <c r="C272" s="41">
        <f>'Paste cell here'!B272</f>
        <v/>
      </c>
      <c r="D272" s="41">
        <f>'Paste cell here'!I272</f>
        <v/>
      </c>
      <c r="E272" s="1">
        <f>'Paste cell here'!H272</f>
        <v/>
      </c>
      <c r="F272" s="1">
        <f>Sintesi!$C$5</f>
        <v/>
      </c>
      <c r="G272" s="1">
        <f>'Paste cell here'!AA272</f>
        <v/>
      </c>
      <c r="H272" s="43">
        <f>'Paste cell here'!U272</f>
        <v/>
      </c>
      <c r="I272" s="43">
        <f>'Paste cell here'!AE272</f>
        <v/>
      </c>
      <c r="J272" s="44">
        <f>'Paste cell here'!U271+'Paste cell here'!AF272</f>
        <v/>
      </c>
      <c r="K272" s="45">
        <f>'Paste cell here'!AG272</f>
        <v/>
      </c>
      <c r="L272" s="41">
        <f>IF(J272&lt;K272,"YES","NO")</f>
        <v/>
      </c>
      <c r="M272" s="1">
        <f>(Sintesi!$C$29*F272*1000)</f>
        <v/>
      </c>
      <c r="N272" s="1">
        <f>Sintesi!$C$30*F272*1000</f>
        <v/>
      </c>
      <c r="O272" s="1">
        <f>M272-N272</f>
        <v/>
      </c>
      <c r="P272" s="1">
        <f>Sintesi!$C$33*G272*1000</f>
        <v/>
      </c>
      <c r="Q272" s="1">
        <f>Sintesi!$C$34*G272*1000</f>
        <v/>
      </c>
      <c r="R272" s="1">
        <f>P272-Q272</f>
        <v/>
      </c>
    </row>
    <row r="273">
      <c r="A273" s="41" t="n">
        <v>272</v>
      </c>
      <c r="B273" s="42">
        <f>DATE(Sintesi!$C$4-1,12,31)+A273</f>
        <v/>
      </c>
      <c r="C273" s="41">
        <f>'Paste cell here'!B273</f>
        <v/>
      </c>
      <c r="D273" s="41">
        <f>'Paste cell here'!I273</f>
        <v/>
      </c>
      <c r="E273" s="1">
        <f>'Paste cell here'!H273</f>
        <v/>
      </c>
      <c r="F273" s="1">
        <f>Sintesi!$C$5</f>
        <v/>
      </c>
      <c r="G273" s="1">
        <f>'Paste cell here'!AA273</f>
        <v/>
      </c>
      <c r="H273" s="43">
        <f>'Paste cell here'!U273</f>
        <v/>
      </c>
      <c r="I273" s="43">
        <f>'Paste cell here'!AE273</f>
        <v/>
      </c>
      <c r="J273" s="44">
        <f>'Paste cell here'!U272+'Paste cell here'!AF273</f>
        <v/>
      </c>
      <c r="K273" s="45">
        <f>'Paste cell here'!AG273</f>
        <v/>
      </c>
      <c r="L273" s="41">
        <f>IF(J273&lt;K273,"YES","NO")</f>
        <v/>
      </c>
      <c r="M273" s="1">
        <f>(Sintesi!$C$29*F273*1000)</f>
        <v/>
      </c>
      <c r="N273" s="1">
        <f>Sintesi!$C$30*F273*1000</f>
        <v/>
      </c>
      <c r="O273" s="1">
        <f>M273-N273</f>
        <v/>
      </c>
      <c r="P273" s="1">
        <f>Sintesi!$C$33*G273*1000</f>
        <v/>
      </c>
      <c r="Q273" s="1">
        <f>Sintesi!$C$34*G273*1000</f>
        <v/>
      </c>
      <c r="R273" s="1">
        <f>P273-Q273</f>
        <v/>
      </c>
    </row>
    <row r="274">
      <c r="A274" s="41" t="n">
        <v>273</v>
      </c>
      <c r="B274" s="42">
        <f>DATE(Sintesi!$C$4-1,12,31)+A274</f>
        <v/>
      </c>
      <c r="C274" s="41">
        <f>'Paste cell here'!B274</f>
        <v/>
      </c>
      <c r="D274" s="41">
        <f>'Paste cell here'!I274</f>
        <v/>
      </c>
      <c r="E274" s="1">
        <f>'Paste cell here'!H274</f>
        <v/>
      </c>
      <c r="F274" s="1">
        <f>Sintesi!$C$5</f>
        <v/>
      </c>
      <c r="G274" s="1">
        <f>'Paste cell here'!AA274</f>
        <v/>
      </c>
      <c r="H274" s="43">
        <f>'Paste cell here'!U274</f>
        <v/>
      </c>
      <c r="I274" s="43">
        <f>'Paste cell here'!AE274</f>
        <v/>
      </c>
      <c r="J274" s="44">
        <f>'Paste cell here'!U273+'Paste cell here'!AF274</f>
        <v/>
      </c>
      <c r="K274" s="45">
        <f>'Paste cell here'!AG274</f>
        <v/>
      </c>
      <c r="L274" s="41">
        <f>IF(J274&lt;K274,"YES","NO")</f>
        <v/>
      </c>
      <c r="M274" s="1">
        <f>(Sintesi!$C$29*F274*1000)</f>
        <v/>
      </c>
      <c r="N274" s="1">
        <f>Sintesi!$C$30*F274*1000</f>
        <v/>
      </c>
      <c r="O274" s="1">
        <f>M274-N274</f>
        <v/>
      </c>
      <c r="P274" s="1">
        <f>Sintesi!$C$33*G274*1000</f>
        <v/>
      </c>
      <c r="Q274" s="1">
        <f>Sintesi!$C$34*G274*1000</f>
        <v/>
      </c>
      <c r="R274" s="1">
        <f>P274-Q274</f>
        <v/>
      </c>
    </row>
    <row r="275">
      <c r="A275" s="41" t="n">
        <v>274</v>
      </c>
      <c r="B275" s="42">
        <f>DATE(Sintesi!$C$4-1,12,31)+A275</f>
        <v/>
      </c>
      <c r="C275" s="41">
        <f>'Paste cell here'!B275</f>
        <v/>
      </c>
      <c r="D275" s="41">
        <f>'Paste cell here'!I275</f>
        <v/>
      </c>
      <c r="E275" s="1">
        <f>'Paste cell here'!H275</f>
        <v/>
      </c>
      <c r="F275" s="1">
        <f>Sintesi!$C$5</f>
        <v/>
      </c>
      <c r="G275" s="1">
        <f>'Paste cell here'!AA275</f>
        <v/>
      </c>
      <c r="H275" s="43">
        <f>'Paste cell here'!U275</f>
        <v/>
      </c>
      <c r="I275" s="43">
        <f>'Paste cell here'!AE275</f>
        <v/>
      </c>
      <c r="J275" s="44">
        <f>'Paste cell here'!U274+'Paste cell here'!AF275</f>
        <v/>
      </c>
      <c r="K275" s="45">
        <f>'Paste cell here'!AG275</f>
        <v/>
      </c>
      <c r="L275" s="41">
        <f>IF(J275&lt;K275,"YES","NO")</f>
        <v/>
      </c>
      <c r="M275" s="1">
        <f>(Sintesi!$C$29*F275*1000)</f>
        <v/>
      </c>
      <c r="N275" s="1">
        <f>Sintesi!$C$30*F275*1000</f>
        <v/>
      </c>
      <c r="O275" s="1">
        <f>M275-N275</f>
        <v/>
      </c>
      <c r="P275" s="1">
        <f>Sintesi!$C$33*G275*1000</f>
        <v/>
      </c>
      <c r="Q275" s="1">
        <f>Sintesi!$C$34*G275*1000</f>
        <v/>
      </c>
      <c r="R275" s="1">
        <f>P275-Q275</f>
        <v/>
      </c>
    </row>
    <row r="276">
      <c r="A276" s="41" t="n">
        <v>275</v>
      </c>
      <c r="B276" s="42">
        <f>DATE(Sintesi!$C$4-1,12,31)+A276</f>
        <v/>
      </c>
      <c r="C276" s="41">
        <f>'Paste cell here'!B276</f>
        <v/>
      </c>
      <c r="D276" s="41">
        <f>'Paste cell here'!I276</f>
        <v/>
      </c>
      <c r="E276" s="1">
        <f>'Paste cell here'!H276</f>
        <v/>
      </c>
      <c r="F276" s="1">
        <f>Sintesi!$C$5</f>
        <v/>
      </c>
      <c r="G276" s="1">
        <f>'Paste cell here'!AA276</f>
        <v/>
      </c>
      <c r="H276" s="43">
        <f>'Paste cell here'!U276</f>
        <v/>
      </c>
      <c r="I276" s="43">
        <f>'Paste cell here'!AE276</f>
        <v/>
      </c>
      <c r="J276" s="44">
        <f>'Paste cell here'!U275+'Paste cell here'!AF276</f>
        <v/>
      </c>
      <c r="K276" s="45">
        <f>'Paste cell here'!AG276</f>
        <v/>
      </c>
      <c r="L276" s="41">
        <f>IF(J276&lt;K276,"YES","NO")</f>
        <v/>
      </c>
      <c r="M276" s="1">
        <f>(Sintesi!$C$29*F276*1000)</f>
        <v/>
      </c>
      <c r="N276" s="1">
        <f>Sintesi!$C$30*F276*1000</f>
        <v/>
      </c>
      <c r="O276" s="1">
        <f>M276-N276</f>
        <v/>
      </c>
      <c r="P276" s="1">
        <f>Sintesi!$C$33*G276*1000</f>
        <v/>
      </c>
      <c r="Q276" s="1">
        <f>Sintesi!$C$34*G276*1000</f>
        <v/>
      </c>
      <c r="R276" s="1">
        <f>P276-Q276</f>
        <v/>
      </c>
    </row>
    <row r="277">
      <c r="A277" s="41" t="n">
        <v>276</v>
      </c>
      <c r="B277" s="42">
        <f>DATE(Sintesi!$C$4-1,12,31)+A277</f>
        <v/>
      </c>
      <c r="C277" s="41">
        <f>'Paste cell here'!B277</f>
        <v/>
      </c>
      <c r="D277" s="41">
        <f>'Paste cell here'!I277</f>
        <v/>
      </c>
      <c r="E277" s="1">
        <f>'Paste cell here'!H277</f>
        <v/>
      </c>
      <c r="F277" s="1">
        <f>Sintesi!$C$5</f>
        <v/>
      </c>
      <c r="G277" s="1">
        <f>'Paste cell here'!AA277</f>
        <v/>
      </c>
      <c r="H277" s="43">
        <f>'Paste cell here'!U277</f>
        <v/>
      </c>
      <c r="I277" s="43">
        <f>'Paste cell here'!AE277</f>
        <v/>
      </c>
      <c r="J277" s="44">
        <f>'Paste cell here'!U276+'Paste cell here'!AF277</f>
        <v/>
      </c>
      <c r="K277" s="45">
        <f>'Paste cell here'!AG277</f>
        <v/>
      </c>
      <c r="L277" s="41">
        <f>IF(J277&lt;K277,"YES","NO")</f>
        <v/>
      </c>
      <c r="M277" s="1">
        <f>(Sintesi!$C$29*F277*1000)</f>
        <v/>
      </c>
      <c r="N277" s="1">
        <f>Sintesi!$C$30*F277*1000</f>
        <v/>
      </c>
      <c r="O277" s="1">
        <f>M277-N277</f>
        <v/>
      </c>
      <c r="P277" s="1">
        <f>Sintesi!$C$33*G277*1000</f>
        <v/>
      </c>
      <c r="Q277" s="1">
        <f>Sintesi!$C$34*G277*1000</f>
        <v/>
      </c>
      <c r="R277" s="1">
        <f>P277-Q277</f>
        <v/>
      </c>
    </row>
    <row r="278">
      <c r="A278" s="41" t="n">
        <v>277</v>
      </c>
      <c r="B278" s="42">
        <f>DATE(Sintesi!$C$4-1,12,31)+A278</f>
        <v/>
      </c>
      <c r="C278" s="41">
        <f>'Paste cell here'!B278</f>
        <v/>
      </c>
      <c r="D278" s="41">
        <f>'Paste cell here'!I278</f>
        <v/>
      </c>
      <c r="E278" s="1">
        <f>'Paste cell here'!H278</f>
        <v/>
      </c>
      <c r="F278" s="1">
        <f>Sintesi!$C$5</f>
        <v/>
      </c>
      <c r="G278" s="1">
        <f>'Paste cell here'!AA278</f>
        <v/>
      </c>
      <c r="H278" s="43">
        <f>'Paste cell here'!U278</f>
        <v/>
      </c>
      <c r="I278" s="43">
        <f>'Paste cell here'!AE278</f>
        <v/>
      </c>
      <c r="J278" s="44">
        <f>'Paste cell here'!U277+'Paste cell here'!AF278</f>
        <v/>
      </c>
      <c r="K278" s="45">
        <f>'Paste cell here'!AG278</f>
        <v/>
      </c>
      <c r="L278" s="41">
        <f>IF(J278&lt;K278,"YES","NO")</f>
        <v/>
      </c>
      <c r="M278" s="1">
        <f>(Sintesi!$C$29*F278*1000)</f>
        <v/>
      </c>
      <c r="N278" s="1">
        <f>Sintesi!$C$30*F278*1000</f>
        <v/>
      </c>
      <c r="O278" s="1">
        <f>M278-N278</f>
        <v/>
      </c>
      <c r="P278" s="1">
        <f>Sintesi!$C$33*G278*1000</f>
        <v/>
      </c>
      <c r="Q278" s="1">
        <f>Sintesi!$C$34*G278*1000</f>
        <v/>
      </c>
      <c r="R278" s="1">
        <f>P278-Q278</f>
        <v/>
      </c>
    </row>
    <row r="279">
      <c r="A279" s="41" t="n">
        <v>278</v>
      </c>
      <c r="B279" s="42">
        <f>DATE(Sintesi!$C$4-1,12,31)+A279</f>
        <v/>
      </c>
      <c r="C279" s="41">
        <f>'Paste cell here'!B279</f>
        <v/>
      </c>
      <c r="D279" s="41">
        <f>'Paste cell here'!I279</f>
        <v/>
      </c>
      <c r="E279" s="1">
        <f>'Paste cell here'!H279</f>
        <v/>
      </c>
      <c r="F279" s="1">
        <f>Sintesi!$C$5</f>
        <v/>
      </c>
      <c r="G279" s="1">
        <f>'Paste cell here'!AA279</f>
        <v/>
      </c>
      <c r="H279" s="43">
        <f>'Paste cell here'!U279</f>
        <v/>
      </c>
      <c r="I279" s="43">
        <f>'Paste cell here'!AE279</f>
        <v/>
      </c>
      <c r="J279" s="44">
        <f>'Paste cell here'!U278+'Paste cell here'!AF279</f>
        <v/>
      </c>
      <c r="K279" s="45">
        <f>'Paste cell here'!AG279</f>
        <v/>
      </c>
      <c r="L279" s="41">
        <f>IF(J279&lt;K279,"YES","NO")</f>
        <v/>
      </c>
      <c r="M279" s="1">
        <f>(Sintesi!$C$29*F279*1000)</f>
        <v/>
      </c>
      <c r="N279" s="1">
        <f>Sintesi!$C$30*F279*1000</f>
        <v/>
      </c>
      <c r="O279" s="1">
        <f>M279-N279</f>
        <v/>
      </c>
      <c r="P279" s="1">
        <f>Sintesi!$C$33*G279*1000</f>
        <v/>
      </c>
      <c r="Q279" s="1">
        <f>Sintesi!$C$34*G279*1000</f>
        <v/>
      </c>
      <c r="R279" s="1">
        <f>P279-Q279</f>
        <v/>
      </c>
    </row>
    <row r="280">
      <c r="A280" s="41" t="n">
        <v>279</v>
      </c>
      <c r="B280" s="42">
        <f>DATE(Sintesi!$C$4-1,12,31)+A280</f>
        <v/>
      </c>
      <c r="C280" s="41">
        <f>'Paste cell here'!B280</f>
        <v/>
      </c>
      <c r="D280" s="41">
        <f>'Paste cell here'!I280</f>
        <v/>
      </c>
      <c r="E280" s="1">
        <f>'Paste cell here'!H280</f>
        <v/>
      </c>
      <c r="F280" s="1">
        <f>Sintesi!$C$5</f>
        <v/>
      </c>
      <c r="G280" s="1">
        <f>'Paste cell here'!AA280</f>
        <v/>
      </c>
      <c r="H280" s="43">
        <f>'Paste cell here'!U280</f>
        <v/>
      </c>
      <c r="I280" s="43">
        <f>'Paste cell here'!AE280</f>
        <v/>
      </c>
      <c r="J280" s="44">
        <f>'Paste cell here'!U279+'Paste cell here'!AF280</f>
        <v/>
      </c>
      <c r="K280" s="45">
        <f>'Paste cell here'!AG280</f>
        <v/>
      </c>
      <c r="L280" s="41">
        <f>IF(J280&lt;K280,"YES","NO")</f>
        <v/>
      </c>
      <c r="M280" s="1">
        <f>(Sintesi!$C$29*F280*1000)</f>
        <v/>
      </c>
      <c r="N280" s="1">
        <f>Sintesi!$C$30*F280*1000</f>
        <v/>
      </c>
      <c r="O280" s="1">
        <f>M280-N280</f>
        <v/>
      </c>
      <c r="P280" s="1">
        <f>Sintesi!$C$33*G280*1000</f>
        <v/>
      </c>
      <c r="Q280" s="1">
        <f>Sintesi!$C$34*G280*1000</f>
        <v/>
      </c>
      <c r="R280" s="1">
        <f>P280-Q280</f>
        <v/>
      </c>
    </row>
    <row r="281">
      <c r="A281" s="41" t="n">
        <v>280</v>
      </c>
      <c r="B281" s="42">
        <f>DATE(Sintesi!$C$4-1,12,31)+A281</f>
        <v/>
      </c>
      <c r="C281" s="41">
        <f>'Paste cell here'!B281</f>
        <v/>
      </c>
      <c r="D281" s="41">
        <f>'Paste cell here'!I281</f>
        <v/>
      </c>
      <c r="E281" s="1">
        <f>'Paste cell here'!H281</f>
        <v/>
      </c>
      <c r="F281" s="1">
        <f>Sintesi!$C$5</f>
        <v/>
      </c>
      <c r="G281" s="1">
        <f>'Paste cell here'!AA281</f>
        <v/>
      </c>
      <c r="H281" s="43">
        <f>'Paste cell here'!U281</f>
        <v/>
      </c>
      <c r="I281" s="43">
        <f>'Paste cell here'!AE281</f>
        <v/>
      </c>
      <c r="J281" s="44">
        <f>'Paste cell here'!U280+'Paste cell here'!AF281</f>
        <v/>
      </c>
      <c r="K281" s="45">
        <f>'Paste cell here'!AG281</f>
        <v/>
      </c>
      <c r="L281" s="41">
        <f>IF(J281&lt;K281,"YES","NO")</f>
        <v/>
      </c>
      <c r="M281" s="1">
        <f>(Sintesi!$C$29*F281*1000)</f>
        <v/>
      </c>
      <c r="N281" s="1">
        <f>Sintesi!$C$30*F281*1000</f>
        <v/>
      </c>
      <c r="O281" s="1">
        <f>M281-N281</f>
        <v/>
      </c>
      <c r="P281" s="1">
        <f>Sintesi!$C$33*G281*1000</f>
        <v/>
      </c>
      <c r="Q281" s="1">
        <f>Sintesi!$C$34*G281*1000</f>
        <v/>
      </c>
      <c r="R281" s="1">
        <f>P281-Q281</f>
        <v/>
      </c>
    </row>
    <row r="282">
      <c r="A282" s="41" t="n">
        <v>281</v>
      </c>
      <c r="B282" s="42">
        <f>DATE(Sintesi!$C$4-1,12,31)+A282</f>
        <v/>
      </c>
      <c r="C282" s="41">
        <f>'Paste cell here'!B282</f>
        <v/>
      </c>
      <c r="D282" s="41">
        <f>'Paste cell here'!I282</f>
        <v/>
      </c>
      <c r="E282" s="1">
        <f>'Paste cell here'!H282</f>
        <v/>
      </c>
      <c r="F282" s="1">
        <f>Sintesi!$C$5</f>
        <v/>
      </c>
      <c r="G282" s="1">
        <f>'Paste cell here'!AA282</f>
        <v/>
      </c>
      <c r="H282" s="43">
        <f>'Paste cell here'!U282</f>
        <v/>
      </c>
      <c r="I282" s="43">
        <f>'Paste cell here'!AE282</f>
        <v/>
      </c>
      <c r="J282" s="44">
        <f>'Paste cell here'!U281+'Paste cell here'!AF282</f>
        <v/>
      </c>
      <c r="K282" s="45">
        <f>'Paste cell here'!AG282</f>
        <v/>
      </c>
      <c r="L282" s="41">
        <f>IF(J282&lt;K282,"YES","NO")</f>
        <v/>
      </c>
      <c r="M282" s="1">
        <f>(Sintesi!$C$29*F282*1000)</f>
        <v/>
      </c>
      <c r="N282" s="1">
        <f>Sintesi!$C$30*F282*1000</f>
        <v/>
      </c>
      <c r="O282" s="1">
        <f>M282-N282</f>
        <v/>
      </c>
      <c r="P282" s="1">
        <f>Sintesi!$C$33*G282*1000</f>
        <v/>
      </c>
      <c r="Q282" s="1">
        <f>Sintesi!$C$34*G282*1000</f>
        <v/>
      </c>
      <c r="R282" s="1">
        <f>P282-Q282</f>
        <v/>
      </c>
    </row>
    <row r="283">
      <c r="A283" s="41" t="n">
        <v>282</v>
      </c>
      <c r="B283" s="42">
        <f>DATE(Sintesi!$C$4-1,12,31)+A283</f>
        <v/>
      </c>
      <c r="C283" s="41">
        <f>'Paste cell here'!B283</f>
        <v/>
      </c>
      <c r="D283" s="41">
        <f>'Paste cell here'!I283</f>
        <v/>
      </c>
      <c r="E283" s="1">
        <f>'Paste cell here'!H283</f>
        <v/>
      </c>
      <c r="F283" s="1">
        <f>Sintesi!$C$5</f>
        <v/>
      </c>
      <c r="G283" s="1">
        <f>'Paste cell here'!AA283</f>
        <v/>
      </c>
      <c r="H283" s="43">
        <f>'Paste cell here'!U283</f>
        <v/>
      </c>
      <c r="I283" s="43">
        <f>'Paste cell here'!AE283</f>
        <v/>
      </c>
      <c r="J283" s="44">
        <f>'Paste cell here'!U282+'Paste cell here'!AF283</f>
        <v/>
      </c>
      <c r="K283" s="45">
        <f>'Paste cell here'!AG283</f>
        <v/>
      </c>
      <c r="L283" s="41">
        <f>IF(J283&lt;K283,"YES","NO")</f>
        <v/>
      </c>
      <c r="M283" s="1">
        <f>(Sintesi!$C$29*F283*1000)</f>
        <v/>
      </c>
      <c r="N283" s="1">
        <f>Sintesi!$C$30*F283*1000</f>
        <v/>
      </c>
      <c r="O283" s="1">
        <f>M283-N283</f>
        <v/>
      </c>
      <c r="P283" s="1">
        <f>Sintesi!$C$33*G283*1000</f>
        <v/>
      </c>
      <c r="Q283" s="1">
        <f>Sintesi!$C$34*G283*1000</f>
        <v/>
      </c>
      <c r="R283" s="1">
        <f>P283-Q283</f>
        <v/>
      </c>
    </row>
    <row r="284">
      <c r="A284" s="41" t="n">
        <v>283</v>
      </c>
      <c r="B284" s="42">
        <f>DATE(Sintesi!$C$4-1,12,31)+A284</f>
        <v/>
      </c>
      <c r="C284" s="41">
        <f>'Paste cell here'!B284</f>
        <v/>
      </c>
      <c r="D284" s="41">
        <f>'Paste cell here'!I284</f>
        <v/>
      </c>
      <c r="E284" s="1">
        <f>'Paste cell here'!H284</f>
        <v/>
      </c>
      <c r="F284" s="1">
        <f>Sintesi!$C$5</f>
        <v/>
      </c>
      <c r="G284" s="1">
        <f>'Paste cell here'!AA284</f>
        <v/>
      </c>
      <c r="H284" s="43">
        <f>'Paste cell here'!U284</f>
        <v/>
      </c>
      <c r="I284" s="43">
        <f>'Paste cell here'!AE284</f>
        <v/>
      </c>
      <c r="J284" s="44">
        <f>'Paste cell here'!U283+'Paste cell here'!AF284</f>
        <v/>
      </c>
      <c r="K284" s="45">
        <f>'Paste cell here'!AG284</f>
        <v/>
      </c>
      <c r="L284" s="41">
        <f>IF(J284&lt;K284,"YES","NO")</f>
        <v/>
      </c>
      <c r="M284" s="1">
        <f>(Sintesi!$C$29*F284*1000)</f>
        <v/>
      </c>
      <c r="N284" s="1">
        <f>Sintesi!$C$30*F284*1000</f>
        <v/>
      </c>
      <c r="O284" s="1">
        <f>M284-N284</f>
        <v/>
      </c>
      <c r="P284" s="1">
        <f>Sintesi!$C$33*G284*1000</f>
        <v/>
      </c>
      <c r="Q284" s="1">
        <f>Sintesi!$C$34*G284*1000</f>
        <v/>
      </c>
      <c r="R284" s="1">
        <f>P284-Q284</f>
        <v/>
      </c>
    </row>
    <row r="285">
      <c r="A285" s="41" t="n">
        <v>284</v>
      </c>
      <c r="B285" s="42">
        <f>DATE(Sintesi!$C$4-1,12,31)+A285</f>
        <v/>
      </c>
      <c r="C285" s="41">
        <f>'Paste cell here'!B285</f>
        <v/>
      </c>
      <c r="D285" s="41">
        <f>'Paste cell here'!I285</f>
        <v/>
      </c>
      <c r="E285" s="1">
        <f>'Paste cell here'!H285</f>
        <v/>
      </c>
      <c r="F285" s="1">
        <f>Sintesi!$C$5</f>
        <v/>
      </c>
      <c r="G285" s="1">
        <f>'Paste cell here'!AA285</f>
        <v/>
      </c>
      <c r="H285" s="43">
        <f>'Paste cell here'!U285</f>
        <v/>
      </c>
      <c r="I285" s="43">
        <f>'Paste cell here'!AE285</f>
        <v/>
      </c>
      <c r="J285" s="44">
        <f>'Paste cell here'!U284+'Paste cell here'!AF285</f>
        <v/>
      </c>
      <c r="K285" s="45">
        <f>'Paste cell here'!AG285</f>
        <v/>
      </c>
      <c r="L285" s="41">
        <f>IF(J285&lt;K285,"YES","NO")</f>
        <v/>
      </c>
      <c r="M285" s="1">
        <f>(Sintesi!$C$29*F285*1000)</f>
        <v/>
      </c>
      <c r="N285" s="1">
        <f>Sintesi!$C$30*F285*1000</f>
        <v/>
      </c>
      <c r="O285" s="1">
        <f>M285-N285</f>
        <v/>
      </c>
      <c r="P285" s="1">
        <f>Sintesi!$C$33*G285*1000</f>
        <v/>
      </c>
      <c r="Q285" s="1">
        <f>Sintesi!$C$34*G285*1000</f>
        <v/>
      </c>
      <c r="R285" s="1">
        <f>P285-Q285</f>
        <v/>
      </c>
    </row>
    <row r="286">
      <c r="A286" s="41" t="n">
        <v>285</v>
      </c>
      <c r="B286" s="42">
        <f>DATE(Sintesi!$C$4-1,12,31)+A286</f>
        <v/>
      </c>
      <c r="C286" s="41">
        <f>'Paste cell here'!B286</f>
        <v/>
      </c>
      <c r="D286" s="41">
        <f>'Paste cell here'!I286</f>
        <v/>
      </c>
      <c r="E286" s="1">
        <f>'Paste cell here'!H286</f>
        <v/>
      </c>
      <c r="F286" s="1">
        <f>Sintesi!$C$5</f>
        <v/>
      </c>
      <c r="G286" s="1">
        <f>'Paste cell here'!AA286</f>
        <v/>
      </c>
      <c r="H286" s="43">
        <f>'Paste cell here'!U286</f>
        <v/>
      </c>
      <c r="I286" s="43">
        <f>'Paste cell here'!AE286</f>
        <v/>
      </c>
      <c r="J286" s="44">
        <f>'Paste cell here'!U285+'Paste cell here'!AF286</f>
        <v/>
      </c>
      <c r="K286" s="45">
        <f>'Paste cell here'!AG286</f>
        <v/>
      </c>
      <c r="L286" s="41">
        <f>IF(J286&lt;K286,"YES","NO")</f>
        <v/>
      </c>
      <c r="M286" s="1">
        <f>(Sintesi!$C$29*F286*1000)</f>
        <v/>
      </c>
      <c r="N286" s="1">
        <f>Sintesi!$C$30*F286*1000</f>
        <v/>
      </c>
      <c r="O286" s="1">
        <f>M286-N286</f>
        <v/>
      </c>
      <c r="P286" s="1">
        <f>Sintesi!$C$33*G286*1000</f>
        <v/>
      </c>
      <c r="Q286" s="1">
        <f>Sintesi!$C$34*G286*1000</f>
        <v/>
      </c>
      <c r="R286" s="1">
        <f>P286-Q286</f>
        <v/>
      </c>
    </row>
    <row r="287">
      <c r="A287" s="41" t="n">
        <v>286</v>
      </c>
      <c r="B287" s="42">
        <f>DATE(Sintesi!$C$4-1,12,31)+A287</f>
        <v/>
      </c>
      <c r="C287" s="41">
        <f>'Paste cell here'!B287</f>
        <v/>
      </c>
      <c r="D287" s="41">
        <f>'Paste cell here'!I287</f>
        <v/>
      </c>
      <c r="E287" s="1">
        <f>'Paste cell here'!H287</f>
        <v/>
      </c>
      <c r="F287" s="1">
        <f>Sintesi!$C$5</f>
        <v/>
      </c>
      <c r="G287" s="1">
        <f>'Paste cell here'!AA287</f>
        <v/>
      </c>
      <c r="H287" s="43">
        <f>'Paste cell here'!U287</f>
        <v/>
      </c>
      <c r="I287" s="43">
        <f>'Paste cell here'!AE287</f>
        <v/>
      </c>
      <c r="J287" s="44">
        <f>'Paste cell here'!U286+'Paste cell here'!AF287</f>
        <v/>
      </c>
      <c r="K287" s="45">
        <f>'Paste cell here'!AG287</f>
        <v/>
      </c>
      <c r="L287" s="41">
        <f>IF(J287&lt;K287,"YES","NO")</f>
        <v/>
      </c>
      <c r="M287" s="1">
        <f>(Sintesi!$C$29*F287*1000)</f>
        <v/>
      </c>
      <c r="N287" s="1">
        <f>Sintesi!$C$30*F287*1000</f>
        <v/>
      </c>
      <c r="O287" s="1">
        <f>M287-N287</f>
        <v/>
      </c>
      <c r="P287" s="1">
        <f>Sintesi!$C$33*G287*1000</f>
        <v/>
      </c>
      <c r="Q287" s="1">
        <f>Sintesi!$C$34*G287*1000</f>
        <v/>
      </c>
      <c r="R287" s="1">
        <f>P287-Q287</f>
        <v/>
      </c>
    </row>
    <row r="288">
      <c r="A288" s="41" t="n">
        <v>287</v>
      </c>
      <c r="B288" s="42">
        <f>DATE(Sintesi!$C$4-1,12,31)+A288</f>
        <v/>
      </c>
      <c r="C288" s="41">
        <f>'Paste cell here'!B288</f>
        <v/>
      </c>
      <c r="D288" s="41">
        <f>'Paste cell here'!I288</f>
        <v/>
      </c>
      <c r="E288" s="1">
        <f>'Paste cell here'!H288</f>
        <v/>
      </c>
      <c r="F288" s="1">
        <f>Sintesi!$C$5</f>
        <v/>
      </c>
      <c r="G288" s="1">
        <f>'Paste cell here'!AA288</f>
        <v/>
      </c>
      <c r="H288" s="43">
        <f>'Paste cell here'!U288</f>
        <v/>
      </c>
      <c r="I288" s="43">
        <f>'Paste cell here'!AE288</f>
        <v/>
      </c>
      <c r="J288" s="44">
        <f>'Paste cell here'!U287+'Paste cell here'!AF288</f>
        <v/>
      </c>
      <c r="K288" s="45">
        <f>'Paste cell here'!AG288</f>
        <v/>
      </c>
      <c r="L288" s="41">
        <f>IF(J288&lt;K288,"YES","NO")</f>
        <v/>
      </c>
      <c r="M288" s="1">
        <f>(Sintesi!$C$29*F288*1000)</f>
        <v/>
      </c>
      <c r="N288" s="1">
        <f>Sintesi!$C$30*F288*1000</f>
        <v/>
      </c>
      <c r="O288" s="1">
        <f>M288-N288</f>
        <v/>
      </c>
      <c r="P288" s="1">
        <f>Sintesi!$C$33*G288*1000</f>
        <v/>
      </c>
      <c r="Q288" s="1">
        <f>Sintesi!$C$34*G288*1000</f>
        <v/>
      </c>
      <c r="R288" s="1">
        <f>P288-Q288</f>
        <v/>
      </c>
    </row>
    <row r="289">
      <c r="A289" s="41" t="n">
        <v>288</v>
      </c>
      <c r="B289" s="42">
        <f>DATE(Sintesi!$C$4-1,12,31)+A289</f>
        <v/>
      </c>
      <c r="C289" s="41">
        <f>'Paste cell here'!B289</f>
        <v/>
      </c>
      <c r="D289" s="41">
        <f>'Paste cell here'!I289</f>
        <v/>
      </c>
      <c r="E289" s="1">
        <f>'Paste cell here'!H289</f>
        <v/>
      </c>
      <c r="F289" s="1">
        <f>Sintesi!$C$5</f>
        <v/>
      </c>
      <c r="G289" s="1">
        <f>'Paste cell here'!AA289</f>
        <v/>
      </c>
      <c r="H289" s="43">
        <f>'Paste cell here'!U289</f>
        <v/>
      </c>
      <c r="I289" s="43">
        <f>'Paste cell here'!AE289</f>
        <v/>
      </c>
      <c r="J289" s="44">
        <f>'Paste cell here'!U288+'Paste cell here'!AF289</f>
        <v/>
      </c>
      <c r="K289" s="45">
        <f>'Paste cell here'!AG289</f>
        <v/>
      </c>
      <c r="L289" s="41">
        <f>IF(J289&lt;K289,"YES","NO")</f>
        <v/>
      </c>
      <c r="M289" s="1">
        <f>(Sintesi!$C$29*F289*1000)</f>
        <v/>
      </c>
      <c r="N289" s="1">
        <f>Sintesi!$C$30*F289*1000</f>
        <v/>
      </c>
      <c r="O289" s="1">
        <f>M289-N289</f>
        <v/>
      </c>
      <c r="P289" s="1">
        <f>Sintesi!$C$33*G289*1000</f>
        <v/>
      </c>
      <c r="Q289" s="1">
        <f>Sintesi!$C$34*G289*1000</f>
        <v/>
      </c>
      <c r="R289" s="1">
        <f>P289-Q289</f>
        <v/>
      </c>
    </row>
    <row r="290">
      <c r="A290" s="41" t="n">
        <v>289</v>
      </c>
      <c r="B290" s="42">
        <f>DATE(Sintesi!$C$4-1,12,31)+A290</f>
        <v/>
      </c>
      <c r="C290" s="41">
        <f>'Paste cell here'!B290</f>
        <v/>
      </c>
      <c r="D290" s="41">
        <f>'Paste cell here'!I290</f>
        <v/>
      </c>
      <c r="E290" s="1">
        <f>'Paste cell here'!H290</f>
        <v/>
      </c>
      <c r="F290" s="1">
        <f>Sintesi!$C$5</f>
        <v/>
      </c>
      <c r="G290" s="1">
        <f>'Paste cell here'!AA290</f>
        <v/>
      </c>
      <c r="H290" s="43">
        <f>'Paste cell here'!U290</f>
        <v/>
      </c>
      <c r="I290" s="43">
        <f>'Paste cell here'!AE290</f>
        <v/>
      </c>
      <c r="J290" s="44">
        <f>'Paste cell here'!U289+'Paste cell here'!AF290</f>
        <v/>
      </c>
      <c r="K290" s="45">
        <f>'Paste cell here'!AG290</f>
        <v/>
      </c>
      <c r="L290" s="41">
        <f>IF(J290&lt;K290,"YES","NO")</f>
        <v/>
      </c>
      <c r="M290" s="1">
        <f>(Sintesi!$C$29*F290*1000)</f>
        <v/>
      </c>
      <c r="N290" s="1">
        <f>Sintesi!$C$30*F290*1000</f>
        <v/>
      </c>
      <c r="O290" s="1">
        <f>M290-N290</f>
        <v/>
      </c>
      <c r="P290" s="1">
        <f>Sintesi!$C$33*G290*1000</f>
        <v/>
      </c>
      <c r="Q290" s="1">
        <f>Sintesi!$C$34*G290*1000</f>
        <v/>
      </c>
      <c r="R290" s="1">
        <f>P290-Q290</f>
        <v/>
      </c>
    </row>
    <row r="291">
      <c r="A291" s="41" t="n">
        <v>290</v>
      </c>
      <c r="B291" s="42">
        <f>DATE(Sintesi!$C$4-1,12,31)+A291</f>
        <v/>
      </c>
      <c r="C291" s="41">
        <f>'Paste cell here'!B291</f>
        <v/>
      </c>
      <c r="D291" s="41">
        <f>'Paste cell here'!I291</f>
        <v/>
      </c>
      <c r="E291" s="1">
        <f>'Paste cell here'!H291</f>
        <v/>
      </c>
      <c r="F291" s="1">
        <f>Sintesi!$C$5</f>
        <v/>
      </c>
      <c r="G291" s="1">
        <f>'Paste cell here'!AA291</f>
        <v/>
      </c>
      <c r="H291" s="43">
        <f>'Paste cell here'!U291</f>
        <v/>
      </c>
      <c r="I291" s="43">
        <f>'Paste cell here'!AE291</f>
        <v/>
      </c>
      <c r="J291" s="44">
        <f>'Paste cell here'!U290+'Paste cell here'!AF291</f>
        <v/>
      </c>
      <c r="K291" s="45">
        <f>'Paste cell here'!AG291</f>
        <v/>
      </c>
      <c r="L291" s="41">
        <f>IF(J291&lt;K291,"YES","NO")</f>
        <v/>
      </c>
      <c r="M291" s="1">
        <f>(Sintesi!$C$29*F291*1000)</f>
        <v/>
      </c>
      <c r="N291" s="1">
        <f>Sintesi!$C$30*F291*1000</f>
        <v/>
      </c>
      <c r="O291" s="1">
        <f>M291-N291</f>
        <v/>
      </c>
      <c r="P291" s="1">
        <f>Sintesi!$C$33*G291*1000</f>
        <v/>
      </c>
      <c r="Q291" s="1">
        <f>Sintesi!$C$34*G291*1000</f>
        <v/>
      </c>
      <c r="R291" s="1">
        <f>P291-Q291</f>
        <v/>
      </c>
    </row>
    <row r="292">
      <c r="A292" s="41" t="n">
        <v>291</v>
      </c>
      <c r="B292" s="42">
        <f>DATE(Sintesi!$C$4-1,12,31)+A292</f>
        <v/>
      </c>
      <c r="C292" s="41">
        <f>'Paste cell here'!B292</f>
        <v/>
      </c>
      <c r="D292" s="41">
        <f>'Paste cell here'!I292</f>
        <v/>
      </c>
      <c r="E292" s="1">
        <f>'Paste cell here'!H292</f>
        <v/>
      </c>
      <c r="F292" s="1">
        <f>Sintesi!$C$5</f>
        <v/>
      </c>
      <c r="G292" s="1">
        <f>'Paste cell here'!AA292</f>
        <v/>
      </c>
      <c r="H292" s="43">
        <f>'Paste cell here'!U292</f>
        <v/>
      </c>
      <c r="I292" s="43">
        <f>'Paste cell here'!AE292</f>
        <v/>
      </c>
      <c r="J292" s="44">
        <f>'Paste cell here'!U291+'Paste cell here'!AF292</f>
        <v/>
      </c>
      <c r="K292" s="45">
        <f>'Paste cell here'!AG292</f>
        <v/>
      </c>
      <c r="L292" s="41">
        <f>IF(J292&lt;K292,"YES","NO")</f>
        <v/>
      </c>
      <c r="M292" s="1">
        <f>(Sintesi!$C$29*F292*1000)</f>
        <v/>
      </c>
      <c r="N292" s="1">
        <f>Sintesi!$C$30*F292*1000</f>
        <v/>
      </c>
      <c r="O292" s="1">
        <f>M292-N292</f>
        <v/>
      </c>
      <c r="P292" s="1">
        <f>Sintesi!$C$33*G292*1000</f>
        <v/>
      </c>
      <c r="Q292" s="1">
        <f>Sintesi!$C$34*G292*1000</f>
        <v/>
      </c>
      <c r="R292" s="1">
        <f>P292-Q292</f>
        <v/>
      </c>
    </row>
    <row r="293">
      <c r="A293" s="41" t="n">
        <v>292</v>
      </c>
      <c r="B293" s="42">
        <f>DATE(Sintesi!$C$4-1,12,31)+A293</f>
        <v/>
      </c>
      <c r="C293" s="41">
        <f>'Paste cell here'!B293</f>
        <v/>
      </c>
      <c r="D293" s="41">
        <f>'Paste cell here'!I293</f>
        <v/>
      </c>
      <c r="E293" s="1">
        <f>'Paste cell here'!H293</f>
        <v/>
      </c>
      <c r="F293" s="1">
        <f>Sintesi!$C$5</f>
        <v/>
      </c>
      <c r="G293" s="1">
        <f>'Paste cell here'!AA293</f>
        <v/>
      </c>
      <c r="H293" s="43">
        <f>'Paste cell here'!U293</f>
        <v/>
      </c>
      <c r="I293" s="43">
        <f>'Paste cell here'!AE293</f>
        <v/>
      </c>
      <c r="J293" s="44">
        <f>'Paste cell here'!U292+'Paste cell here'!AF293</f>
        <v/>
      </c>
      <c r="K293" s="45">
        <f>'Paste cell here'!AG293</f>
        <v/>
      </c>
      <c r="L293" s="41">
        <f>IF(J293&lt;K293,"YES","NO")</f>
        <v/>
      </c>
      <c r="M293" s="1">
        <f>(Sintesi!$C$29*F293*1000)</f>
        <v/>
      </c>
      <c r="N293" s="1">
        <f>Sintesi!$C$30*F293*1000</f>
        <v/>
      </c>
      <c r="O293" s="1">
        <f>M293-N293</f>
        <v/>
      </c>
      <c r="P293" s="1">
        <f>Sintesi!$C$33*G293*1000</f>
        <v/>
      </c>
      <c r="Q293" s="1">
        <f>Sintesi!$C$34*G293*1000</f>
        <v/>
      </c>
      <c r="R293" s="1">
        <f>P293-Q293</f>
        <v/>
      </c>
    </row>
    <row r="294">
      <c r="A294" s="41" t="n">
        <v>293</v>
      </c>
      <c r="B294" s="42">
        <f>DATE(Sintesi!$C$4-1,12,31)+A294</f>
        <v/>
      </c>
      <c r="C294" s="41">
        <f>'Paste cell here'!B294</f>
        <v/>
      </c>
      <c r="D294" s="41">
        <f>'Paste cell here'!I294</f>
        <v/>
      </c>
      <c r="E294" s="1">
        <f>'Paste cell here'!H294</f>
        <v/>
      </c>
      <c r="F294" s="1">
        <f>Sintesi!$C$5</f>
        <v/>
      </c>
      <c r="G294" s="1">
        <f>'Paste cell here'!AA294</f>
        <v/>
      </c>
      <c r="H294" s="43">
        <f>'Paste cell here'!U294</f>
        <v/>
      </c>
      <c r="I294" s="43">
        <f>'Paste cell here'!AE294</f>
        <v/>
      </c>
      <c r="J294" s="44">
        <f>'Paste cell here'!U293+'Paste cell here'!AF294</f>
        <v/>
      </c>
      <c r="K294" s="45">
        <f>'Paste cell here'!AG294</f>
        <v/>
      </c>
      <c r="L294" s="41">
        <f>IF(J294&lt;K294,"YES","NO")</f>
        <v/>
      </c>
      <c r="M294" s="1">
        <f>(Sintesi!$C$29*F294*1000)</f>
        <v/>
      </c>
      <c r="N294" s="1">
        <f>Sintesi!$C$30*F294*1000</f>
        <v/>
      </c>
      <c r="O294" s="1">
        <f>M294-N294</f>
        <v/>
      </c>
      <c r="P294" s="1">
        <f>Sintesi!$C$33*G294*1000</f>
        <v/>
      </c>
      <c r="Q294" s="1">
        <f>Sintesi!$C$34*G294*1000</f>
        <v/>
      </c>
      <c r="R294" s="1">
        <f>P294-Q294</f>
        <v/>
      </c>
    </row>
    <row r="295">
      <c r="A295" s="41" t="n">
        <v>294</v>
      </c>
      <c r="B295" s="42">
        <f>DATE(Sintesi!$C$4-1,12,31)+A295</f>
        <v/>
      </c>
      <c r="C295" s="41">
        <f>'Paste cell here'!B295</f>
        <v/>
      </c>
      <c r="D295" s="41">
        <f>'Paste cell here'!I295</f>
        <v/>
      </c>
      <c r="E295" s="1">
        <f>'Paste cell here'!H295</f>
        <v/>
      </c>
      <c r="F295" s="1">
        <f>Sintesi!$C$5</f>
        <v/>
      </c>
      <c r="G295" s="1">
        <f>'Paste cell here'!AA295</f>
        <v/>
      </c>
      <c r="H295" s="43">
        <f>'Paste cell here'!U295</f>
        <v/>
      </c>
      <c r="I295" s="43">
        <f>'Paste cell here'!AE295</f>
        <v/>
      </c>
      <c r="J295" s="44">
        <f>'Paste cell here'!U294+'Paste cell here'!AF295</f>
        <v/>
      </c>
      <c r="K295" s="45">
        <f>'Paste cell here'!AG295</f>
        <v/>
      </c>
      <c r="L295" s="41">
        <f>IF(J295&lt;K295,"YES","NO")</f>
        <v/>
      </c>
      <c r="M295" s="1">
        <f>(Sintesi!$C$29*F295*1000)</f>
        <v/>
      </c>
      <c r="N295" s="1">
        <f>Sintesi!$C$30*F295*1000</f>
        <v/>
      </c>
      <c r="O295" s="1">
        <f>M295-N295</f>
        <v/>
      </c>
      <c r="P295" s="1">
        <f>Sintesi!$C$33*G295*1000</f>
        <v/>
      </c>
      <c r="Q295" s="1">
        <f>Sintesi!$C$34*G295*1000</f>
        <v/>
      </c>
      <c r="R295" s="1">
        <f>P295-Q295</f>
        <v/>
      </c>
    </row>
    <row r="296">
      <c r="A296" s="41" t="n">
        <v>295</v>
      </c>
      <c r="B296" s="42">
        <f>DATE(Sintesi!$C$4-1,12,31)+A296</f>
        <v/>
      </c>
      <c r="C296" s="41">
        <f>'Paste cell here'!B296</f>
        <v/>
      </c>
      <c r="D296" s="41">
        <f>'Paste cell here'!I296</f>
        <v/>
      </c>
      <c r="E296" s="1">
        <f>'Paste cell here'!H296</f>
        <v/>
      </c>
      <c r="F296" s="1">
        <f>Sintesi!$C$5</f>
        <v/>
      </c>
      <c r="G296" s="1">
        <f>'Paste cell here'!AA296</f>
        <v/>
      </c>
      <c r="H296" s="43">
        <f>'Paste cell here'!U296</f>
        <v/>
      </c>
      <c r="I296" s="43">
        <f>'Paste cell here'!AE296</f>
        <v/>
      </c>
      <c r="J296" s="44">
        <f>'Paste cell here'!U295+'Paste cell here'!AF296</f>
        <v/>
      </c>
      <c r="K296" s="45">
        <f>'Paste cell here'!AG296</f>
        <v/>
      </c>
      <c r="L296" s="41">
        <f>IF(J296&lt;K296,"YES","NO")</f>
        <v/>
      </c>
      <c r="M296" s="1">
        <f>(Sintesi!$C$29*F296*1000)</f>
        <v/>
      </c>
      <c r="N296" s="1">
        <f>Sintesi!$C$30*F296*1000</f>
        <v/>
      </c>
      <c r="O296" s="1">
        <f>M296-N296</f>
        <v/>
      </c>
      <c r="P296" s="1">
        <f>Sintesi!$C$33*G296*1000</f>
        <v/>
      </c>
      <c r="Q296" s="1">
        <f>Sintesi!$C$34*G296*1000</f>
        <v/>
      </c>
      <c r="R296" s="1">
        <f>P296-Q296</f>
        <v/>
      </c>
    </row>
    <row r="297">
      <c r="A297" s="41" t="n">
        <v>296</v>
      </c>
      <c r="B297" s="42">
        <f>DATE(Sintesi!$C$4-1,12,31)+A297</f>
        <v/>
      </c>
      <c r="C297" s="41">
        <f>'Paste cell here'!B297</f>
        <v/>
      </c>
      <c r="D297" s="41">
        <f>'Paste cell here'!I297</f>
        <v/>
      </c>
      <c r="E297" s="1">
        <f>'Paste cell here'!H297</f>
        <v/>
      </c>
      <c r="F297" s="1">
        <f>Sintesi!$C$5</f>
        <v/>
      </c>
      <c r="G297" s="1">
        <f>'Paste cell here'!AA297</f>
        <v/>
      </c>
      <c r="H297" s="43">
        <f>'Paste cell here'!U297</f>
        <v/>
      </c>
      <c r="I297" s="43">
        <f>'Paste cell here'!AE297</f>
        <v/>
      </c>
      <c r="J297" s="44">
        <f>'Paste cell here'!U296+'Paste cell here'!AF297</f>
        <v/>
      </c>
      <c r="K297" s="45">
        <f>'Paste cell here'!AG297</f>
        <v/>
      </c>
      <c r="L297" s="41">
        <f>IF(J297&lt;K297,"YES","NO")</f>
        <v/>
      </c>
      <c r="M297" s="1">
        <f>(Sintesi!$C$29*F297*1000)</f>
        <v/>
      </c>
      <c r="N297" s="1">
        <f>Sintesi!$C$30*F297*1000</f>
        <v/>
      </c>
      <c r="O297" s="1">
        <f>M297-N297</f>
        <v/>
      </c>
      <c r="P297" s="1">
        <f>Sintesi!$C$33*G297*1000</f>
        <v/>
      </c>
      <c r="Q297" s="1">
        <f>Sintesi!$C$34*G297*1000</f>
        <v/>
      </c>
      <c r="R297" s="1">
        <f>P297-Q297</f>
        <v/>
      </c>
    </row>
    <row r="298">
      <c r="A298" s="41" t="n">
        <v>297</v>
      </c>
      <c r="B298" s="42">
        <f>DATE(Sintesi!$C$4-1,12,31)+A298</f>
        <v/>
      </c>
      <c r="C298" s="41">
        <f>'Paste cell here'!B298</f>
        <v/>
      </c>
      <c r="D298" s="41">
        <f>'Paste cell here'!I298</f>
        <v/>
      </c>
      <c r="E298" s="1">
        <f>'Paste cell here'!H298</f>
        <v/>
      </c>
      <c r="F298" s="1">
        <f>Sintesi!$C$5</f>
        <v/>
      </c>
      <c r="G298" s="1">
        <f>'Paste cell here'!AA298</f>
        <v/>
      </c>
      <c r="H298" s="43">
        <f>'Paste cell here'!U298</f>
        <v/>
      </c>
      <c r="I298" s="43">
        <f>'Paste cell here'!AE298</f>
        <v/>
      </c>
      <c r="J298" s="44">
        <f>'Paste cell here'!U297+'Paste cell here'!AF298</f>
        <v/>
      </c>
      <c r="K298" s="45">
        <f>'Paste cell here'!AG298</f>
        <v/>
      </c>
      <c r="L298" s="41">
        <f>IF(J298&lt;K298,"YES","NO")</f>
        <v/>
      </c>
      <c r="M298" s="1">
        <f>(Sintesi!$C$29*F298*1000)</f>
        <v/>
      </c>
      <c r="N298" s="1">
        <f>Sintesi!$C$30*F298*1000</f>
        <v/>
      </c>
      <c r="O298" s="1">
        <f>M298-N298</f>
        <v/>
      </c>
      <c r="P298" s="1">
        <f>Sintesi!$C$33*G298*1000</f>
        <v/>
      </c>
      <c r="Q298" s="1">
        <f>Sintesi!$C$34*G298*1000</f>
        <v/>
      </c>
      <c r="R298" s="1">
        <f>P298-Q298</f>
        <v/>
      </c>
    </row>
    <row r="299">
      <c r="A299" s="41" t="n">
        <v>298</v>
      </c>
      <c r="B299" s="42">
        <f>DATE(Sintesi!$C$4-1,12,31)+A299</f>
        <v/>
      </c>
      <c r="C299" s="41">
        <f>'Paste cell here'!B299</f>
        <v/>
      </c>
      <c r="D299" s="41">
        <f>'Paste cell here'!I299</f>
        <v/>
      </c>
      <c r="E299" s="1">
        <f>'Paste cell here'!H299</f>
        <v/>
      </c>
      <c r="F299" s="1">
        <f>Sintesi!$C$5</f>
        <v/>
      </c>
      <c r="G299" s="1">
        <f>'Paste cell here'!AA299</f>
        <v/>
      </c>
      <c r="H299" s="43">
        <f>'Paste cell here'!U299</f>
        <v/>
      </c>
      <c r="I299" s="43">
        <f>'Paste cell here'!AE299</f>
        <v/>
      </c>
      <c r="J299" s="44">
        <f>'Paste cell here'!U298+'Paste cell here'!AF299</f>
        <v/>
      </c>
      <c r="K299" s="45">
        <f>'Paste cell here'!AG299</f>
        <v/>
      </c>
      <c r="L299" s="41">
        <f>IF(J299&lt;K299,"YES","NO")</f>
        <v/>
      </c>
      <c r="M299" s="1">
        <f>(Sintesi!$C$29*F299*1000)</f>
        <v/>
      </c>
      <c r="N299" s="1">
        <f>Sintesi!$C$30*F299*1000</f>
        <v/>
      </c>
      <c r="O299" s="1">
        <f>M299-N299</f>
        <v/>
      </c>
      <c r="P299" s="1">
        <f>Sintesi!$C$33*G299*1000</f>
        <v/>
      </c>
      <c r="Q299" s="1">
        <f>Sintesi!$C$34*G299*1000</f>
        <v/>
      </c>
      <c r="R299" s="1">
        <f>P299-Q299</f>
        <v/>
      </c>
    </row>
    <row r="300">
      <c r="A300" s="41" t="n">
        <v>299</v>
      </c>
      <c r="B300" s="42">
        <f>DATE(Sintesi!$C$4-1,12,31)+A300</f>
        <v/>
      </c>
      <c r="C300" s="41">
        <f>'Paste cell here'!B300</f>
        <v/>
      </c>
      <c r="D300" s="41">
        <f>'Paste cell here'!I300</f>
        <v/>
      </c>
      <c r="E300" s="1">
        <f>'Paste cell here'!H300</f>
        <v/>
      </c>
      <c r="F300" s="1">
        <f>Sintesi!$C$5</f>
        <v/>
      </c>
      <c r="G300" s="1">
        <f>'Paste cell here'!AA300</f>
        <v/>
      </c>
      <c r="H300" s="43">
        <f>'Paste cell here'!U300</f>
        <v/>
      </c>
      <c r="I300" s="43">
        <f>'Paste cell here'!AE300</f>
        <v/>
      </c>
      <c r="J300" s="44">
        <f>'Paste cell here'!U299+'Paste cell here'!AF300</f>
        <v/>
      </c>
      <c r="K300" s="45">
        <f>'Paste cell here'!AG300</f>
        <v/>
      </c>
      <c r="L300" s="41">
        <f>IF(J300&lt;K300,"YES","NO")</f>
        <v/>
      </c>
      <c r="M300" s="1">
        <f>(Sintesi!$C$29*F300*1000)</f>
        <v/>
      </c>
      <c r="N300" s="1">
        <f>Sintesi!$C$30*F300*1000</f>
        <v/>
      </c>
      <c r="O300" s="1">
        <f>M300-N300</f>
        <v/>
      </c>
      <c r="P300" s="1">
        <f>Sintesi!$C$33*G300*1000</f>
        <v/>
      </c>
      <c r="Q300" s="1">
        <f>Sintesi!$C$34*G300*1000</f>
        <v/>
      </c>
      <c r="R300" s="1">
        <f>P300-Q300</f>
        <v/>
      </c>
    </row>
    <row r="301">
      <c r="A301" s="41" t="n">
        <v>300</v>
      </c>
      <c r="B301" s="42">
        <f>DATE(Sintesi!$C$4-1,12,31)+A301</f>
        <v/>
      </c>
      <c r="C301" s="41">
        <f>'Paste cell here'!B301</f>
        <v/>
      </c>
      <c r="D301" s="41">
        <f>'Paste cell here'!I301</f>
        <v/>
      </c>
      <c r="E301" s="1">
        <f>'Paste cell here'!H301</f>
        <v/>
      </c>
      <c r="F301" s="1">
        <f>Sintesi!$C$5</f>
        <v/>
      </c>
      <c r="G301" s="1">
        <f>'Paste cell here'!AA301</f>
        <v/>
      </c>
      <c r="H301" s="43">
        <f>'Paste cell here'!U301</f>
        <v/>
      </c>
      <c r="I301" s="43">
        <f>'Paste cell here'!AE301</f>
        <v/>
      </c>
      <c r="J301" s="44">
        <f>'Paste cell here'!U300+'Paste cell here'!AF301</f>
        <v/>
      </c>
      <c r="K301" s="45">
        <f>'Paste cell here'!AG301</f>
        <v/>
      </c>
      <c r="L301" s="41">
        <f>IF(J301&lt;K301,"YES","NO")</f>
        <v/>
      </c>
      <c r="M301" s="1">
        <f>(Sintesi!$C$29*F301*1000)</f>
        <v/>
      </c>
      <c r="N301" s="1">
        <f>Sintesi!$C$30*F301*1000</f>
        <v/>
      </c>
      <c r="O301" s="1">
        <f>M301-N301</f>
        <v/>
      </c>
      <c r="P301" s="1">
        <f>Sintesi!$C$33*G301*1000</f>
        <v/>
      </c>
      <c r="Q301" s="1">
        <f>Sintesi!$C$34*G301*1000</f>
        <v/>
      </c>
      <c r="R301" s="1">
        <f>P301-Q301</f>
        <v/>
      </c>
    </row>
    <row r="302">
      <c r="A302" s="41" t="n">
        <v>301</v>
      </c>
      <c r="B302" s="42">
        <f>DATE(Sintesi!$C$4-1,12,31)+A302</f>
        <v/>
      </c>
      <c r="C302" s="41">
        <f>'Paste cell here'!B302</f>
        <v/>
      </c>
      <c r="D302" s="41">
        <f>'Paste cell here'!I302</f>
        <v/>
      </c>
      <c r="E302" s="1">
        <f>'Paste cell here'!H302</f>
        <v/>
      </c>
      <c r="F302" s="1">
        <f>Sintesi!$C$5</f>
        <v/>
      </c>
      <c r="G302" s="1">
        <f>'Paste cell here'!AA302</f>
        <v/>
      </c>
      <c r="H302" s="43">
        <f>'Paste cell here'!U302</f>
        <v/>
      </c>
      <c r="I302" s="43">
        <f>'Paste cell here'!AE302</f>
        <v/>
      </c>
      <c r="J302" s="44">
        <f>'Paste cell here'!U301+'Paste cell here'!AF302</f>
        <v/>
      </c>
      <c r="K302" s="45">
        <f>'Paste cell here'!AG302</f>
        <v/>
      </c>
      <c r="L302" s="41">
        <f>IF(J302&lt;K302,"YES","NO")</f>
        <v/>
      </c>
      <c r="M302" s="1">
        <f>(Sintesi!$C$29*F302*1000)</f>
        <v/>
      </c>
      <c r="N302" s="1">
        <f>Sintesi!$C$30*F302*1000</f>
        <v/>
      </c>
      <c r="O302" s="1">
        <f>M302-N302</f>
        <v/>
      </c>
      <c r="P302" s="1">
        <f>Sintesi!$C$33*G302*1000</f>
        <v/>
      </c>
      <c r="Q302" s="1">
        <f>Sintesi!$C$34*G302*1000</f>
        <v/>
      </c>
      <c r="R302" s="1">
        <f>P302-Q302</f>
        <v/>
      </c>
    </row>
    <row r="303">
      <c r="A303" s="41" t="n">
        <v>302</v>
      </c>
      <c r="B303" s="42">
        <f>DATE(Sintesi!$C$4-1,12,31)+A303</f>
        <v/>
      </c>
      <c r="C303" s="41">
        <f>'Paste cell here'!B303</f>
        <v/>
      </c>
      <c r="D303" s="41">
        <f>'Paste cell here'!I303</f>
        <v/>
      </c>
      <c r="E303" s="1">
        <f>'Paste cell here'!H303</f>
        <v/>
      </c>
      <c r="F303" s="1">
        <f>Sintesi!$C$5</f>
        <v/>
      </c>
      <c r="G303" s="1">
        <f>'Paste cell here'!AA303</f>
        <v/>
      </c>
      <c r="H303" s="43">
        <f>'Paste cell here'!U303</f>
        <v/>
      </c>
      <c r="I303" s="43">
        <f>'Paste cell here'!AE303</f>
        <v/>
      </c>
      <c r="J303" s="44">
        <f>'Paste cell here'!U302+'Paste cell here'!AF303</f>
        <v/>
      </c>
      <c r="K303" s="45">
        <f>'Paste cell here'!AG303</f>
        <v/>
      </c>
      <c r="L303" s="41">
        <f>IF(J303&lt;K303,"YES","NO")</f>
        <v/>
      </c>
      <c r="M303" s="1">
        <f>(Sintesi!$C$29*F303*1000)</f>
        <v/>
      </c>
      <c r="N303" s="1">
        <f>Sintesi!$C$30*F303*1000</f>
        <v/>
      </c>
      <c r="O303" s="1">
        <f>M303-N303</f>
        <v/>
      </c>
      <c r="P303" s="1">
        <f>Sintesi!$C$33*G303*1000</f>
        <v/>
      </c>
      <c r="Q303" s="1">
        <f>Sintesi!$C$34*G303*1000</f>
        <v/>
      </c>
      <c r="R303" s="1">
        <f>P303-Q303</f>
        <v/>
      </c>
    </row>
    <row r="304">
      <c r="A304" s="41" t="n">
        <v>303</v>
      </c>
      <c r="B304" s="42">
        <f>DATE(Sintesi!$C$4-1,12,31)+A304</f>
        <v/>
      </c>
      <c r="C304" s="41">
        <f>'Paste cell here'!B304</f>
        <v/>
      </c>
      <c r="D304" s="41">
        <f>'Paste cell here'!I304</f>
        <v/>
      </c>
      <c r="E304" s="1">
        <f>'Paste cell here'!H304</f>
        <v/>
      </c>
      <c r="F304" s="1">
        <f>Sintesi!$C$5</f>
        <v/>
      </c>
      <c r="G304" s="1">
        <f>'Paste cell here'!AA304</f>
        <v/>
      </c>
      <c r="H304" s="43">
        <f>'Paste cell here'!U304</f>
        <v/>
      </c>
      <c r="I304" s="43">
        <f>'Paste cell here'!AE304</f>
        <v/>
      </c>
      <c r="J304" s="44">
        <f>'Paste cell here'!U303+'Paste cell here'!AF304</f>
        <v/>
      </c>
      <c r="K304" s="45">
        <f>'Paste cell here'!AG304</f>
        <v/>
      </c>
      <c r="L304" s="41">
        <f>IF(J304&lt;K304,"YES","NO")</f>
        <v/>
      </c>
      <c r="M304" s="1">
        <f>(Sintesi!$C$29*F304*1000)</f>
        <v/>
      </c>
      <c r="N304" s="1">
        <f>Sintesi!$C$30*F304*1000</f>
        <v/>
      </c>
      <c r="O304" s="1">
        <f>M304-N304</f>
        <v/>
      </c>
      <c r="P304" s="1">
        <f>Sintesi!$C$33*G304*1000</f>
        <v/>
      </c>
      <c r="Q304" s="1">
        <f>Sintesi!$C$34*G304*1000</f>
        <v/>
      </c>
      <c r="R304" s="1">
        <f>P304-Q304</f>
        <v/>
      </c>
    </row>
    <row r="305">
      <c r="A305" s="41" t="n">
        <v>304</v>
      </c>
      <c r="B305" s="42">
        <f>DATE(Sintesi!$C$4-1,12,31)+A305</f>
        <v/>
      </c>
      <c r="C305" s="41">
        <f>'Paste cell here'!B305</f>
        <v/>
      </c>
      <c r="D305" s="41">
        <f>'Paste cell here'!I305</f>
        <v/>
      </c>
      <c r="E305" s="1">
        <f>'Paste cell here'!H305</f>
        <v/>
      </c>
      <c r="F305" s="1">
        <f>Sintesi!$C$5</f>
        <v/>
      </c>
      <c r="G305" s="1">
        <f>'Paste cell here'!AA305</f>
        <v/>
      </c>
      <c r="H305" s="43">
        <f>'Paste cell here'!U305</f>
        <v/>
      </c>
      <c r="I305" s="43">
        <f>'Paste cell here'!AE305</f>
        <v/>
      </c>
      <c r="J305" s="44">
        <f>'Paste cell here'!U304+'Paste cell here'!AF305</f>
        <v/>
      </c>
      <c r="K305" s="45">
        <f>'Paste cell here'!AG305</f>
        <v/>
      </c>
      <c r="L305" s="41">
        <f>IF(J305&lt;K305,"YES","NO")</f>
        <v/>
      </c>
      <c r="M305" s="1">
        <f>(Sintesi!$C$29*F305*1000)</f>
        <v/>
      </c>
      <c r="N305" s="1">
        <f>Sintesi!$C$30*F305*1000</f>
        <v/>
      </c>
      <c r="O305" s="1">
        <f>M305-N305</f>
        <v/>
      </c>
      <c r="P305" s="1">
        <f>Sintesi!$C$33*G305*1000</f>
        <v/>
      </c>
      <c r="Q305" s="1">
        <f>Sintesi!$C$34*G305*1000</f>
        <v/>
      </c>
      <c r="R305" s="1">
        <f>P305-Q305</f>
        <v/>
      </c>
    </row>
    <row r="306">
      <c r="A306" s="41" t="n">
        <v>305</v>
      </c>
      <c r="B306" s="42">
        <f>DATE(Sintesi!$C$4-1,12,31)+A306</f>
        <v/>
      </c>
      <c r="C306" s="41">
        <f>'Paste cell here'!B306</f>
        <v/>
      </c>
      <c r="D306" s="41">
        <f>'Paste cell here'!I306</f>
        <v/>
      </c>
      <c r="E306" s="1">
        <f>'Paste cell here'!H306</f>
        <v/>
      </c>
      <c r="F306" s="1">
        <f>Sintesi!$C$5</f>
        <v/>
      </c>
      <c r="G306" s="1">
        <f>'Paste cell here'!AA306</f>
        <v/>
      </c>
      <c r="H306" s="43">
        <f>'Paste cell here'!U306</f>
        <v/>
      </c>
      <c r="I306" s="43">
        <f>'Paste cell here'!AE306</f>
        <v/>
      </c>
      <c r="J306" s="44">
        <f>'Paste cell here'!U305+'Paste cell here'!AF306</f>
        <v/>
      </c>
      <c r="K306" s="45">
        <f>'Paste cell here'!AG306</f>
        <v/>
      </c>
      <c r="L306" s="41">
        <f>IF(J306&lt;K306,"YES","NO")</f>
        <v/>
      </c>
      <c r="M306" s="1">
        <f>(Sintesi!$C$29*F306*1000)</f>
        <v/>
      </c>
      <c r="N306" s="1">
        <f>Sintesi!$C$30*F306*1000</f>
        <v/>
      </c>
      <c r="O306" s="1">
        <f>M306-N306</f>
        <v/>
      </c>
      <c r="P306" s="1">
        <f>Sintesi!$C$33*G306*1000</f>
        <v/>
      </c>
      <c r="Q306" s="1">
        <f>Sintesi!$C$34*G306*1000</f>
        <v/>
      </c>
      <c r="R306" s="1">
        <f>P306-Q306</f>
        <v/>
      </c>
    </row>
    <row r="307">
      <c r="A307" s="41" t="n">
        <v>306</v>
      </c>
      <c r="B307" s="42">
        <f>DATE(Sintesi!$C$4-1,12,31)+A307</f>
        <v/>
      </c>
      <c r="C307" s="41">
        <f>'Paste cell here'!B307</f>
        <v/>
      </c>
      <c r="D307" s="41">
        <f>'Paste cell here'!I307</f>
        <v/>
      </c>
      <c r="E307" s="1">
        <f>'Paste cell here'!H307</f>
        <v/>
      </c>
      <c r="F307" s="1">
        <f>Sintesi!$C$5</f>
        <v/>
      </c>
      <c r="G307" s="1">
        <f>'Paste cell here'!AA307</f>
        <v/>
      </c>
      <c r="H307" s="43">
        <f>'Paste cell here'!U307</f>
        <v/>
      </c>
      <c r="I307" s="43">
        <f>'Paste cell here'!AE307</f>
        <v/>
      </c>
      <c r="J307" s="44">
        <f>'Paste cell here'!U306+'Paste cell here'!AF307</f>
        <v/>
      </c>
      <c r="K307" s="45">
        <f>'Paste cell here'!AG307</f>
        <v/>
      </c>
      <c r="L307" s="41">
        <f>IF(J307&lt;K307,"YES","NO")</f>
        <v/>
      </c>
      <c r="M307" s="1">
        <f>(Sintesi!$C$29*F307*1000)</f>
        <v/>
      </c>
      <c r="N307" s="1">
        <f>Sintesi!$C$30*F307*1000</f>
        <v/>
      </c>
      <c r="O307" s="1">
        <f>M307-N307</f>
        <v/>
      </c>
      <c r="P307" s="1">
        <f>Sintesi!$C$33*G307*1000</f>
        <v/>
      </c>
      <c r="Q307" s="1">
        <f>Sintesi!$C$34*G307*1000</f>
        <v/>
      </c>
      <c r="R307" s="1">
        <f>P307-Q307</f>
        <v/>
      </c>
    </row>
    <row r="308">
      <c r="A308" s="41" t="n">
        <v>307</v>
      </c>
      <c r="B308" s="42">
        <f>DATE(Sintesi!$C$4-1,12,31)+A308</f>
        <v/>
      </c>
      <c r="C308" s="41">
        <f>'Paste cell here'!B308</f>
        <v/>
      </c>
      <c r="D308" s="41">
        <f>'Paste cell here'!I308</f>
        <v/>
      </c>
      <c r="E308" s="1">
        <f>'Paste cell here'!H308</f>
        <v/>
      </c>
      <c r="F308" s="1">
        <f>Sintesi!$C$5</f>
        <v/>
      </c>
      <c r="G308" s="1">
        <f>'Paste cell here'!AA308</f>
        <v/>
      </c>
      <c r="H308" s="43">
        <f>'Paste cell here'!U308</f>
        <v/>
      </c>
      <c r="I308" s="43">
        <f>'Paste cell here'!AE308</f>
        <v/>
      </c>
      <c r="J308" s="44">
        <f>'Paste cell here'!U307+'Paste cell here'!AF308</f>
        <v/>
      </c>
      <c r="K308" s="45">
        <f>'Paste cell here'!AG308</f>
        <v/>
      </c>
      <c r="L308" s="41">
        <f>IF(J308&lt;K308,"YES","NO")</f>
        <v/>
      </c>
      <c r="M308" s="1">
        <f>(Sintesi!$C$29*F308*1000)</f>
        <v/>
      </c>
      <c r="N308" s="1">
        <f>Sintesi!$C$30*F308*1000</f>
        <v/>
      </c>
      <c r="O308" s="1">
        <f>M308-N308</f>
        <v/>
      </c>
      <c r="P308" s="1">
        <f>Sintesi!$C$33*G308*1000</f>
        <v/>
      </c>
      <c r="Q308" s="1">
        <f>Sintesi!$C$34*G308*1000</f>
        <v/>
      </c>
      <c r="R308" s="1">
        <f>P308-Q308</f>
        <v/>
      </c>
    </row>
    <row r="309">
      <c r="A309" s="41" t="n">
        <v>308</v>
      </c>
      <c r="B309" s="42">
        <f>DATE(Sintesi!$C$4-1,12,31)+A309</f>
        <v/>
      </c>
      <c r="C309" s="41">
        <f>'Paste cell here'!B309</f>
        <v/>
      </c>
      <c r="D309" s="41">
        <f>'Paste cell here'!I309</f>
        <v/>
      </c>
      <c r="E309" s="1">
        <f>'Paste cell here'!H309</f>
        <v/>
      </c>
      <c r="F309" s="1">
        <f>Sintesi!$C$5</f>
        <v/>
      </c>
      <c r="G309" s="1">
        <f>'Paste cell here'!AA309</f>
        <v/>
      </c>
      <c r="H309" s="43">
        <f>'Paste cell here'!U309</f>
        <v/>
      </c>
      <c r="I309" s="43">
        <f>'Paste cell here'!AE309</f>
        <v/>
      </c>
      <c r="J309" s="44">
        <f>'Paste cell here'!U308+'Paste cell here'!AF309</f>
        <v/>
      </c>
      <c r="K309" s="45">
        <f>'Paste cell here'!AG309</f>
        <v/>
      </c>
      <c r="L309" s="41">
        <f>IF(J309&lt;K309,"YES","NO")</f>
        <v/>
      </c>
      <c r="M309" s="1">
        <f>(Sintesi!$C$29*F309*1000)</f>
        <v/>
      </c>
      <c r="N309" s="1">
        <f>Sintesi!$C$30*F309*1000</f>
        <v/>
      </c>
      <c r="O309" s="1">
        <f>M309-N309</f>
        <v/>
      </c>
      <c r="P309" s="1">
        <f>Sintesi!$C$33*G309*1000</f>
        <v/>
      </c>
      <c r="Q309" s="1">
        <f>Sintesi!$C$34*G309*1000</f>
        <v/>
      </c>
      <c r="R309" s="1">
        <f>P309-Q309</f>
        <v/>
      </c>
    </row>
    <row r="310">
      <c r="A310" s="41" t="n">
        <v>309</v>
      </c>
      <c r="B310" s="42">
        <f>DATE(Sintesi!$C$4-1,12,31)+A310</f>
        <v/>
      </c>
      <c r="C310" s="41">
        <f>'Paste cell here'!B310</f>
        <v/>
      </c>
      <c r="D310" s="41">
        <f>'Paste cell here'!I310</f>
        <v/>
      </c>
      <c r="E310" s="1">
        <f>'Paste cell here'!H310</f>
        <v/>
      </c>
      <c r="F310" s="1">
        <f>Sintesi!$C$5</f>
        <v/>
      </c>
      <c r="G310" s="1">
        <f>'Paste cell here'!AA310</f>
        <v/>
      </c>
      <c r="H310" s="43">
        <f>'Paste cell here'!U310</f>
        <v/>
      </c>
      <c r="I310" s="43">
        <f>'Paste cell here'!AE310</f>
        <v/>
      </c>
      <c r="J310" s="44">
        <f>'Paste cell here'!U309+'Paste cell here'!AF310</f>
        <v/>
      </c>
      <c r="K310" s="45">
        <f>'Paste cell here'!AG310</f>
        <v/>
      </c>
      <c r="L310" s="41">
        <f>IF(J310&lt;K310,"YES","NO")</f>
        <v/>
      </c>
      <c r="M310" s="1">
        <f>(Sintesi!$C$29*F310*1000)</f>
        <v/>
      </c>
      <c r="N310" s="1">
        <f>Sintesi!$C$30*F310*1000</f>
        <v/>
      </c>
      <c r="O310" s="1">
        <f>M310-N310</f>
        <v/>
      </c>
      <c r="P310" s="1">
        <f>Sintesi!$C$33*G310*1000</f>
        <v/>
      </c>
      <c r="Q310" s="1">
        <f>Sintesi!$C$34*G310*1000</f>
        <v/>
      </c>
      <c r="R310" s="1">
        <f>P310-Q310</f>
        <v/>
      </c>
    </row>
    <row r="311">
      <c r="A311" s="41" t="n">
        <v>310</v>
      </c>
      <c r="B311" s="42">
        <f>DATE(Sintesi!$C$4-1,12,31)+A311</f>
        <v/>
      </c>
      <c r="C311" s="41">
        <f>'Paste cell here'!B311</f>
        <v/>
      </c>
      <c r="D311" s="41">
        <f>'Paste cell here'!I311</f>
        <v/>
      </c>
      <c r="E311" s="1">
        <f>'Paste cell here'!H311</f>
        <v/>
      </c>
      <c r="F311" s="1">
        <f>Sintesi!$C$5</f>
        <v/>
      </c>
      <c r="G311" s="1">
        <f>'Paste cell here'!AA311</f>
        <v/>
      </c>
      <c r="H311" s="43">
        <f>'Paste cell here'!U311</f>
        <v/>
      </c>
      <c r="I311" s="43">
        <f>'Paste cell here'!AE311</f>
        <v/>
      </c>
      <c r="J311" s="44">
        <f>'Paste cell here'!U310+'Paste cell here'!AF311</f>
        <v/>
      </c>
      <c r="K311" s="45">
        <f>'Paste cell here'!AG311</f>
        <v/>
      </c>
      <c r="L311" s="41">
        <f>IF(J311&lt;K311,"YES","NO")</f>
        <v/>
      </c>
      <c r="M311" s="1">
        <f>(Sintesi!$C$29*F311*1000)</f>
        <v/>
      </c>
      <c r="N311" s="1">
        <f>Sintesi!$C$30*F311*1000</f>
        <v/>
      </c>
      <c r="O311" s="1">
        <f>M311-N311</f>
        <v/>
      </c>
      <c r="P311" s="1">
        <f>Sintesi!$C$33*G311*1000</f>
        <v/>
      </c>
      <c r="Q311" s="1">
        <f>Sintesi!$C$34*G311*1000</f>
        <v/>
      </c>
      <c r="R311" s="1">
        <f>P311-Q311</f>
        <v/>
      </c>
    </row>
    <row r="312">
      <c r="A312" s="41" t="n">
        <v>311</v>
      </c>
      <c r="B312" s="42">
        <f>DATE(Sintesi!$C$4-1,12,31)+A312</f>
        <v/>
      </c>
      <c r="C312" s="41">
        <f>'Paste cell here'!B312</f>
        <v/>
      </c>
      <c r="D312" s="41">
        <f>'Paste cell here'!I312</f>
        <v/>
      </c>
      <c r="E312" s="1">
        <f>'Paste cell here'!H312</f>
        <v/>
      </c>
      <c r="F312" s="1">
        <f>Sintesi!$C$5</f>
        <v/>
      </c>
      <c r="G312" s="1">
        <f>'Paste cell here'!AA312</f>
        <v/>
      </c>
      <c r="H312" s="43">
        <f>'Paste cell here'!U312</f>
        <v/>
      </c>
      <c r="I312" s="43">
        <f>'Paste cell here'!AE312</f>
        <v/>
      </c>
      <c r="J312" s="44">
        <f>'Paste cell here'!U311+'Paste cell here'!AF312</f>
        <v/>
      </c>
      <c r="K312" s="45">
        <f>'Paste cell here'!AG312</f>
        <v/>
      </c>
      <c r="L312" s="41">
        <f>IF(J312&lt;K312,"YES","NO")</f>
        <v/>
      </c>
      <c r="M312" s="1">
        <f>(Sintesi!$C$29*F312*1000)</f>
        <v/>
      </c>
      <c r="N312" s="1">
        <f>Sintesi!$C$30*F312*1000</f>
        <v/>
      </c>
      <c r="O312" s="1">
        <f>M312-N312</f>
        <v/>
      </c>
      <c r="P312" s="1">
        <f>Sintesi!$C$33*G312*1000</f>
        <v/>
      </c>
      <c r="Q312" s="1">
        <f>Sintesi!$C$34*G312*1000</f>
        <v/>
      </c>
      <c r="R312" s="1">
        <f>P312-Q312</f>
        <v/>
      </c>
    </row>
    <row r="313">
      <c r="A313" s="41" t="n">
        <v>312</v>
      </c>
      <c r="B313" s="42">
        <f>DATE(Sintesi!$C$4-1,12,31)+A313</f>
        <v/>
      </c>
      <c r="C313" s="41">
        <f>'Paste cell here'!B313</f>
        <v/>
      </c>
      <c r="D313" s="41">
        <f>'Paste cell here'!I313</f>
        <v/>
      </c>
      <c r="E313" s="1">
        <f>'Paste cell here'!H313</f>
        <v/>
      </c>
      <c r="F313" s="1">
        <f>Sintesi!$C$5</f>
        <v/>
      </c>
      <c r="G313" s="1">
        <f>'Paste cell here'!AA313</f>
        <v/>
      </c>
      <c r="H313" s="43">
        <f>'Paste cell here'!U313</f>
        <v/>
      </c>
      <c r="I313" s="43">
        <f>'Paste cell here'!AE313</f>
        <v/>
      </c>
      <c r="J313" s="44">
        <f>'Paste cell here'!U312+'Paste cell here'!AF313</f>
        <v/>
      </c>
      <c r="K313" s="45">
        <f>'Paste cell here'!AG313</f>
        <v/>
      </c>
      <c r="L313" s="41">
        <f>IF(J313&lt;K313,"YES","NO")</f>
        <v/>
      </c>
      <c r="M313" s="1">
        <f>(Sintesi!$C$29*F313*1000)</f>
        <v/>
      </c>
      <c r="N313" s="1">
        <f>Sintesi!$C$30*F313*1000</f>
        <v/>
      </c>
      <c r="O313" s="1">
        <f>M313-N313</f>
        <v/>
      </c>
      <c r="P313" s="1">
        <f>Sintesi!$C$33*G313*1000</f>
        <v/>
      </c>
      <c r="Q313" s="1">
        <f>Sintesi!$C$34*G313*1000</f>
        <v/>
      </c>
      <c r="R313" s="1">
        <f>P313-Q313</f>
        <v/>
      </c>
    </row>
    <row r="314">
      <c r="A314" s="41" t="n">
        <v>313</v>
      </c>
      <c r="B314" s="42">
        <f>DATE(Sintesi!$C$4-1,12,31)+A314</f>
        <v/>
      </c>
      <c r="C314" s="41">
        <f>'Paste cell here'!B314</f>
        <v/>
      </c>
      <c r="D314" s="41">
        <f>'Paste cell here'!I314</f>
        <v/>
      </c>
      <c r="E314" s="1">
        <f>'Paste cell here'!H314</f>
        <v/>
      </c>
      <c r="F314" s="1">
        <f>Sintesi!$C$5</f>
        <v/>
      </c>
      <c r="G314" s="1">
        <f>'Paste cell here'!AA314</f>
        <v/>
      </c>
      <c r="H314" s="43">
        <f>'Paste cell here'!U314</f>
        <v/>
      </c>
      <c r="I314" s="43">
        <f>'Paste cell here'!AE314</f>
        <v/>
      </c>
      <c r="J314" s="44">
        <f>'Paste cell here'!U313+'Paste cell here'!AF314</f>
        <v/>
      </c>
      <c r="K314" s="45">
        <f>'Paste cell here'!AG314</f>
        <v/>
      </c>
      <c r="L314" s="41">
        <f>IF(J314&lt;K314,"YES","NO")</f>
        <v/>
      </c>
      <c r="M314" s="1">
        <f>(Sintesi!$C$29*F314*1000)</f>
        <v/>
      </c>
      <c r="N314" s="1">
        <f>Sintesi!$C$30*F314*1000</f>
        <v/>
      </c>
      <c r="O314" s="1">
        <f>M314-N314</f>
        <v/>
      </c>
      <c r="P314" s="1">
        <f>Sintesi!$C$33*G314*1000</f>
        <v/>
      </c>
      <c r="Q314" s="1">
        <f>Sintesi!$C$34*G314*1000</f>
        <v/>
      </c>
      <c r="R314" s="1">
        <f>P314-Q314</f>
        <v/>
      </c>
    </row>
    <row r="315">
      <c r="A315" s="41" t="n">
        <v>314</v>
      </c>
      <c r="B315" s="42">
        <f>DATE(Sintesi!$C$4-1,12,31)+A315</f>
        <v/>
      </c>
      <c r="C315" s="41">
        <f>'Paste cell here'!B315</f>
        <v/>
      </c>
      <c r="D315" s="41">
        <f>'Paste cell here'!I315</f>
        <v/>
      </c>
      <c r="E315" s="1">
        <f>'Paste cell here'!H315</f>
        <v/>
      </c>
      <c r="F315" s="1">
        <f>Sintesi!$C$5</f>
        <v/>
      </c>
      <c r="G315" s="1">
        <f>'Paste cell here'!AA315</f>
        <v/>
      </c>
      <c r="H315" s="43">
        <f>'Paste cell here'!U315</f>
        <v/>
      </c>
      <c r="I315" s="43">
        <f>'Paste cell here'!AE315</f>
        <v/>
      </c>
      <c r="J315" s="44">
        <f>'Paste cell here'!U314+'Paste cell here'!AF315</f>
        <v/>
      </c>
      <c r="K315" s="45">
        <f>'Paste cell here'!AG315</f>
        <v/>
      </c>
      <c r="L315" s="41">
        <f>IF(J315&lt;K315,"YES","NO")</f>
        <v/>
      </c>
      <c r="M315" s="1">
        <f>(Sintesi!$C$29*F315*1000)</f>
        <v/>
      </c>
      <c r="N315" s="1">
        <f>Sintesi!$C$30*F315*1000</f>
        <v/>
      </c>
      <c r="O315" s="1">
        <f>M315-N315</f>
        <v/>
      </c>
      <c r="P315" s="1">
        <f>Sintesi!$C$33*G315*1000</f>
        <v/>
      </c>
      <c r="Q315" s="1">
        <f>Sintesi!$C$34*G315*1000</f>
        <v/>
      </c>
      <c r="R315" s="1">
        <f>P315-Q315</f>
        <v/>
      </c>
    </row>
    <row r="316">
      <c r="A316" s="41" t="n">
        <v>315</v>
      </c>
      <c r="B316" s="42">
        <f>DATE(Sintesi!$C$4-1,12,31)+A316</f>
        <v/>
      </c>
      <c r="C316" s="41">
        <f>'Paste cell here'!B316</f>
        <v/>
      </c>
      <c r="D316" s="41">
        <f>'Paste cell here'!I316</f>
        <v/>
      </c>
      <c r="E316" s="1">
        <f>'Paste cell here'!H316</f>
        <v/>
      </c>
      <c r="F316" s="1">
        <f>Sintesi!$C$5</f>
        <v/>
      </c>
      <c r="G316" s="1">
        <f>'Paste cell here'!AA316</f>
        <v/>
      </c>
      <c r="H316" s="43">
        <f>'Paste cell here'!U316</f>
        <v/>
      </c>
      <c r="I316" s="43">
        <f>'Paste cell here'!AE316</f>
        <v/>
      </c>
      <c r="J316" s="44">
        <f>'Paste cell here'!U315+'Paste cell here'!AF316</f>
        <v/>
      </c>
      <c r="K316" s="45">
        <f>'Paste cell here'!AG316</f>
        <v/>
      </c>
      <c r="L316" s="41">
        <f>IF(J316&lt;K316,"YES","NO")</f>
        <v/>
      </c>
      <c r="M316" s="1">
        <f>(Sintesi!$C$29*F316*1000)</f>
        <v/>
      </c>
      <c r="N316" s="1">
        <f>Sintesi!$C$30*F316*1000</f>
        <v/>
      </c>
      <c r="O316" s="1">
        <f>M316-N316</f>
        <v/>
      </c>
      <c r="P316" s="1">
        <f>Sintesi!$C$33*G316*1000</f>
        <v/>
      </c>
      <c r="Q316" s="1">
        <f>Sintesi!$C$34*G316*1000</f>
        <v/>
      </c>
      <c r="R316" s="1">
        <f>P316-Q316</f>
        <v/>
      </c>
    </row>
    <row r="317">
      <c r="A317" s="41" t="n">
        <v>316</v>
      </c>
      <c r="B317" s="42">
        <f>DATE(Sintesi!$C$4-1,12,31)+A317</f>
        <v/>
      </c>
      <c r="C317" s="41">
        <f>'Paste cell here'!B317</f>
        <v/>
      </c>
      <c r="D317" s="41">
        <f>'Paste cell here'!I317</f>
        <v/>
      </c>
      <c r="E317" s="1">
        <f>'Paste cell here'!H317</f>
        <v/>
      </c>
      <c r="F317" s="1">
        <f>Sintesi!$C$5</f>
        <v/>
      </c>
      <c r="G317" s="1">
        <f>'Paste cell here'!AA317</f>
        <v/>
      </c>
      <c r="H317" s="43">
        <f>'Paste cell here'!U317</f>
        <v/>
      </c>
      <c r="I317" s="43">
        <f>'Paste cell here'!AE317</f>
        <v/>
      </c>
      <c r="J317" s="44">
        <f>'Paste cell here'!U316+'Paste cell here'!AF317</f>
        <v/>
      </c>
      <c r="K317" s="45">
        <f>'Paste cell here'!AG317</f>
        <v/>
      </c>
      <c r="L317" s="41">
        <f>IF(J317&lt;K317,"YES","NO")</f>
        <v/>
      </c>
      <c r="M317" s="1">
        <f>(Sintesi!$C$29*F317*1000)</f>
        <v/>
      </c>
      <c r="N317" s="1">
        <f>Sintesi!$C$30*F317*1000</f>
        <v/>
      </c>
      <c r="O317" s="1">
        <f>M317-N317</f>
        <v/>
      </c>
      <c r="P317" s="1">
        <f>Sintesi!$C$33*G317*1000</f>
        <v/>
      </c>
      <c r="Q317" s="1">
        <f>Sintesi!$C$34*G317*1000</f>
        <v/>
      </c>
      <c r="R317" s="1">
        <f>P317-Q317</f>
        <v/>
      </c>
    </row>
    <row r="318">
      <c r="A318" s="41" t="n">
        <v>317</v>
      </c>
      <c r="B318" s="42">
        <f>DATE(Sintesi!$C$4-1,12,31)+A318</f>
        <v/>
      </c>
      <c r="C318" s="41">
        <f>'Paste cell here'!B318</f>
        <v/>
      </c>
      <c r="D318" s="41">
        <f>'Paste cell here'!I318</f>
        <v/>
      </c>
      <c r="E318" s="1">
        <f>'Paste cell here'!H318</f>
        <v/>
      </c>
      <c r="F318" s="1">
        <f>Sintesi!$C$5</f>
        <v/>
      </c>
      <c r="G318" s="1">
        <f>'Paste cell here'!AA318</f>
        <v/>
      </c>
      <c r="H318" s="43">
        <f>'Paste cell here'!U318</f>
        <v/>
      </c>
      <c r="I318" s="43">
        <f>'Paste cell here'!AE318</f>
        <v/>
      </c>
      <c r="J318" s="44">
        <f>'Paste cell here'!U317+'Paste cell here'!AF318</f>
        <v/>
      </c>
      <c r="K318" s="45">
        <f>'Paste cell here'!AG318</f>
        <v/>
      </c>
      <c r="L318" s="41">
        <f>IF(J318&lt;K318,"YES","NO")</f>
        <v/>
      </c>
      <c r="M318" s="1">
        <f>(Sintesi!$C$29*F318*1000)</f>
        <v/>
      </c>
      <c r="N318" s="1">
        <f>Sintesi!$C$30*F318*1000</f>
        <v/>
      </c>
      <c r="O318" s="1">
        <f>M318-N318</f>
        <v/>
      </c>
      <c r="P318" s="1">
        <f>Sintesi!$C$33*G318*1000</f>
        <v/>
      </c>
      <c r="Q318" s="1">
        <f>Sintesi!$C$34*G318*1000</f>
        <v/>
      </c>
      <c r="R318" s="1">
        <f>P318-Q318</f>
        <v/>
      </c>
    </row>
    <row r="319">
      <c r="A319" s="41" t="n">
        <v>318</v>
      </c>
      <c r="B319" s="42">
        <f>DATE(Sintesi!$C$4-1,12,31)+A319</f>
        <v/>
      </c>
      <c r="C319" s="41">
        <f>'Paste cell here'!B319</f>
        <v/>
      </c>
      <c r="D319" s="41">
        <f>'Paste cell here'!I319</f>
        <v/>
      </c>
      <c r="E319" s="1">
        <f>'Paste cell here'!H319</f>
        <v/>
      </c>
      <c r="F319" s="1">
        <f>Sintesi!$C$5</f>
        <v/>
      </c>
      <c r="G319" s="1">
        <f>'Paste cell here'!AA319</f>
        <v/>
      </c>
      <c r="H319" s="43">
        <f>'Paste cell here'!U319</f>
        <v/>
      </c>
      <c r="I319" s="43">
        <f>'Paste cell here'!AE319</f>
        <v/>
      </c>
      <c r="J319" s="44">
        <f>'Paste cell here'!U318+'Paste cell here'!AF319</f>
        <v/>
      </c>
      <c r="K319" s="45">
        <f>'Paste cell here'!AG319</f>
        <v/>
      </c>
      <c r="L319" s="41">
        <f>IF(J319&lt;K319,"YES","NO")</f>
        <v/>
      </c>
      <c r="M319" s="1">
        <f>(Sintesi!$C$29*F319*1000)</f>
        <v/>
      </c>
      <c r="N319" s="1">
        <f>Sintesi!$C$30*F319*1000</f>
        <v/>
      </c>
      <c r="O319" s="1">
        <f>M319-N319</f>
        <v/>
      </c>
      <c r="P319" s="1">
        <f>Sintesi!$C$33*G319*1000</f>
        <v/>
      </c>
      <c r="Q319" s="1">
        <f>Sintesi!$C$34*G319*1000</f>
        <v/>
      </c>
      <c r="R319" s="1">
        <f>P319-Q319</f>
        <v/>
      </c>
    </row>
    <row r="320">
      <c r="A320" s="41" t="n">
        <v>319</v>
      </c>
      <c r="B320" s="42">
        <f>DATE(Sintesi!$C$4-1,12,31)+A320</f>
        <v/>
      </c>
      <c r="C320" s="41">
        <f>'Paste cell here'!B320</f>
        <v/>
      </c>
      <c r="D320" s="41">
        <f>'Paste cell here'!I320</f>
        <v/>
      </c>
      <c r="E320" s="1">
        <f>'Paste cell here'!H320</f>
        <v/>
      </c>
      <c r="F320" s="1">
        <f>Sintesi!$C$5</f>
        <v/>
      </c>
      <c r="G320" s="1">
        <f>'Paste cell here'!AA320</f>
        <v/>
      </c>
      <c r="H320" s="43">
        <f>'Paste cell here'!U320</f>
        <v/>
      </c>
      <c r="I320" s="43">
        <f>'Paste cell here'!AE320</f>
        <v/>
      </c>
      <c r="J320" s="44">
        <f>'Paste cell here'!U319+'Paste cell here'!AF320</f>
        <v/>
      </c>
      <c r="K320" s="45">
        <f>'Paste cell here'!AG320</f>
        <v/>
      </c>
      <c r="L320" s="41">
        <f>IF(J320&lt;K320,"YES","NO")</f>
        <v/>
      </c>
      <c r="M320" s="1">
        <f>(Sintesi!$C$29*F320*1000)</f>
        <v/>
      </c>
      <c r="N320" s="1">
        <f>Sintesi!$C$30*F320*1000</f>
        <v/>
      </c>
      <c r="O320" s="1">
        <f>M320-N320</f>
        <v/>
      </c>
      <c r="P320" s="1">
        <f>Sintesi!$C$33*G320*1000</f>
        <v/>
      </c>
      <c r="Q320" s="1">
        <f>Sintesi!$C$34*G320*1000</f>
        <v/>
      </c>
      <c r="R320" s="1">
        <f>P320-Q320</f>
        <v/>
      </c>
    </row>
    <row r="321">
      <c r="A321" s="41" t="n">
        <v>320</v>
      </c>
      <c r="B321" s="42">
        <f>DATE(Sintesi!$C$4-1,12,31)+A321</f>
        <v/>
      </c>
      <c r="C321" s="41">
        <f>'Paste cell here'!B321</f>
        <v/>
      </c>
      <c r="D321" s="41">
        <f>'Paste cell here'!I321</f>
        <v/>
      </c>
      <c r="E321" s="1">
        <f>'Paste cell here'!H321</f>
        <v/>
      </c>
      <c r="F321" s="1">
        <f>Sintesi!$C$5</f>
        <v/>
      </c>
      <c r="G321" s="1">
        <f>'Paste cell here'!AA321</f>
        <v/>
      </c>
      <c r="H321" s="43">
        <f>'Paste cell here'!U321</f>
        <v/>
      </c>
      <c r="I321" s="43">
        <f>'Paste cell here'!AE321</f>
        <v/>
      </c>
      <c r="J321" s="44">
        <f>'Paste cell here'!U320+'Paste cell here'!AF321</f>
        <v/>
      </c>
      <c r="K321" s="45">
        <f>'Paste cell here'!AG321</f>
        <v/>
      </c>
      <c r="L321" s="41">
        <f>IF(J321&lt;K321,"YES","NO")</f>
        <v/>
      </c>
      <c r="M321" s="1">
        <f>(Sintesi!$C$29*F321*1000)</f>
        <v/>
      </c>
      <c r="N321" s="1">
        <f>Sintesi!$C$30*F321*1000</f>
        <v/>
      </c>
      <c r="O321" s="1">
        <f>M321-N321</f>
        <v/>
      </c>
      <c r="P321" s="1">
        <f>Sintesi!$C$33*G321*1000</f>
        <v/>
      </c>
      <c r="Q321" s="1">
        <f>Sintesi!$C$34*G321*1000</f>
        <v/>
      </c>
      <c r="R321" s="1">
        <f>P321-Q321</f>
        <v/>
      </c>
    </row>
    <row r="322">
      <c r="A322" s="41" t="n">
        <v>321</v>
      </c>
      <c r="B322" s="42">
        <f>DATE(Sintesi!$C$4-1,12,31)+A322</f>
        <v/>
      </c>
      <c r="C322" s="41">
        <f>'Paste cell here'!B322</f>
        <v/>
      </c>
      <c r="D322" s="41">
        <f>'Paste cell here'!I322</f>
        <v/>
      </c>
      <c r="E322" s="1">
        <f>'Paste cell here'!H322</f>
        <v/>
      </c>
      <c r="F322" s="1">
        <f>Sintesi!$C$5</f>
        <v/>
      </c>
      <c r="G322" s="1">
        <f>'Paste cell here'!AA322</f>
        <v/>
      </c>
      <c r="H322" s="43">
        <f>'Paste cell here'!U322</f>
        <v/>
      </c>
      <c r="I322" s="43">
        <f>'Paste cell here'!AE322</f>
        <v/>
      </c>
      <c r="J322" s="44">
        <f>'Paste cell here'!U321+'Paste cell here'!AF322</f>
        <v/>
      </c>
      <c r="K322" s="45">
        <f>'Paste cell here'!AG322</f>
        <v/>
      </c>
      <c r="L322" s="41">
        <f>IF(J322&lt;K322,"YES","NO")</f>
        <v/>
      </c>
      <c r="M322" s="1">
        <f>(Sintesi!$C$29*F322*1000)</f>
        <v/>
      </c>
      <c r="N322" s="1">
        <f>Sintesi!$C$30*F322*1000</f>
        <v/>
      </c>
      <c r="O322" s="1">
        <f>M322-N322</f>
        <v/>
      </c>
      <c r="P322" s="1">
        <f>Sintesi!$C$33*G322*1000</f>
        <v/>
      </c>
      <c r="Q322" s="1">
        <f>Sintesi!$C$34*G322*1000</f>
        <v/>
      </c>
      <c r="R322" s="1">
        <f>P322-Q322</f>
        <v/>
      </c>
    </row>
    <row r="323">
      <c r="A323" s="41" t="n">
        <v>322</v>
      </c>
      <c r="B323" s="42">
        <f>DATE(Sintesi!$C$4-1,12,31)+A323</f>
        <v/>
      </c>
      <c r="C323" s="41">
        <f>'Paste cell here'!B323</f>
        <v/>
      </c>
      <c r="D323" s="41">
        <f>'Paste cell here'!I323</f>
        <v/>
      </c>
      <c r="E323" s="1">
        <f>'Paste cell here'!H323</f>
        <v/>
      </c>
      <c r="F323" s="1">
        <f>Sintesi!$C$5</f>
        <v/>
      </c>
      <c r="G323" s="1">
        <f>'Paste cell here'!AA323</f>
        <v/>
      </c>
      <c r="H323" s="43">
        <f>'Paste cell here'!U323</f>
        <v/>
      </c>
      <c r="I323" s="43">
        <f>'Paste cell here'!AE323</f>
        <v/>
      </c>
      <c r="J323" s="44">
        <f>'Paste cell here'!U322+'Paste cell here'!AF323</f>
        <v/>
      </c>
      <c r="K323" s="45">
        <f>'Paste cell here'!AG323</f>
        <v/>
      </c>
      <c r="L323" s="41">
        <f>IF(J323&lt;K323,"YES","NO")</f>
        <v/>
      </c>
      <c r="M323" s="1">
        <f>(Sintesi!$C$29*F323*1000)</f>
        <v/>
      </c>
      <c r="N323" s="1">
        <f>Sintesi!$C$30*F323*1000</f>
        <v/>
      </c>
      <c r="O323" s="1">
        <f>M323-N323</f>
        <v/>
      </c>
      <c r="P323" s="1">
        <f>Sintesi!$C$33*G323*1000</f>
        <v/>
      </c>
      <c r="Q323" s="1">
        <f>Sintesi!$C$34*G323*1000</f>
        <v/>
      </c>
      <c r="R323" s="1">
        <f>P323-Q323</f>
        <v/>
      </c>
    </row>
    <row r="324">
      <c r="A324" s="41" t="n">
        <v>323</v>
      </c>
      <c r="B324" s="42">
        <f>DATE(Sintesi!$C$4-1,12,31)+A324</f>
        <v/>
      </c>
      <c r="C324" s="41">
        <f>'Paste cell here'!B324</f>
        <v/>
      </c>
      <c r="D324" s="41">
        <f>'Paste cell here'!I324</f>
        <v/>
      </c>
      <c r="E324" s="1">
        <f>'Paste cell here'!H324</f>
        <v/>
      </c>
      <c r="F324" s="1">
        <f>Sintesi!$C$5</f>
        <v/>
      </c>
      <c r="G324" s="1">
        <f>'Paste cell here'!AA324</f>
        <v/>
      </c>
      <c r="H324" s="43">
        <f>'Paste cell here'!U324</f>
        <v/>
      </c>
      <c r="I324" s="43">
        <f>'Paste cell here'!AE324</f>
        <v/>
      </c>
      <c r="J324" s="44">
        <f>'Paste cell here'!U323+'Paste cell here'!AF324</f>
        <v/>
      </c>
      <c r="K324" s="45">
        <f>'Paste cell here'!AG324</f>
        <v/>
      </c>
      <c r="L324" s="41">
        <f>IF(J324&lt;K324,"YES","NO")</f>
        <v/>
      </c>
      <c r="M324" s="1">
        <f>(Sintesi!$C$29*F324*1000)</f>
        <v/>
      </c>
      <c r="N324" s="1">
        <f>Sintesi!$C$30*F324*1000</f>
        <v/>
      </c>
      <c r="O324" s="1">
        <f>M324-N324</f>
        <v/>
      </c>
      <c r="P324" s="1">
        <f>Sintesi!$C$33*G324*1000</f>
        <v/>
      </c>
      <c r="Q324" s="1">
        <f>Sintesi!$C$34*G324*1000</f>
        <v/>
      </c>
      <c r="R324" s="1">
        <f>P324-Q324</f>
        <v/>
      </c>
    </row>
    <row r="325">
      <c r="A325" s="41" t="n">
        <v>324</v>
      </c>
      <c r="B325" s="42">
        <f>DATE(Sintesi!$C$4-1,12,31)+A325</f>
        <v/>
      </c>
      <c r="C325" s="41">
        <f>'Paste cell here'!B325</f>
        <v/>
      </c>
      <c r="D325" s="41">
        <f>'Paste cell here'!I325</f>
        <v/>
      </c>
      <c r="E325" s="1">
        <f>'Paste cell here'!H325</f>
        <v/>
      </c>
      <c r="F325" s="1">
        <f>Sintesi!$C$5</f>
        <v/>
      </c>
      <c r="G325" s="1">
        <f>'Paste cell here'!AA325</f>
        <v/>
      </c>
      <c r="H325" s="43">
        <f>'Paste cell here'!U325</f>
        <v/>
      </c>
      <c r="I325" s="43">
        <f>'Paste cell here'!AE325</f>
        <v/>
      </c>
      <c r="J325" s="44">
        <f>'Paste cell here'!U324+'Paste cell here'!AF325</f>
        <v/>
      </c>
      <c r="K325" s="45">
        <f>'Paste cell here'!AG325</f>
        <v/>
      </c>
      <c r="L325" s="41">
        <f>IF(J325&lt;K325,"YES","NO")</f>
        <v/>
      </c>
      <c r="M325" s="1">
        <f>(Sintesi!$C$29*F325*1000)</f>
        <v/>
      </c>
      <c r="N325" s="1">
        <f>Sintesi!$C$30*F325*1000</f>
        <v/>
      </c>
      <c r="O325" s="1">
        <f>M325-N325</f>
        <v/>
      </c>
      <c r="P325" s="1">
        <f>Sintesi!$C$33*G325*1000</f>
        <v/>
      </c>
      <c r="Q325" s="1">
        <f>Sintesi!$C$34*G325*1000</f>
        <v/>
      </c>
      <c r="R325" s="1">
        <f>P325-Q325</f>
        <v/>
      </c>
    </row>
    <row r="326">
      <c r="A326" s="41" t="n">
        <v>325</v>
      </c>
      <c r="B326" s="42">
        <f>DATE(Sintesi!$C$4-1,12,31)+A326</f>
        <v/>
      </c>
      <c r="C326" s="41">
        <f>'Paste cell here'!B326</f>
        <v/>
      </c>
      <c r="D326" s="41">
        <f>'Paste cell here'!I326</f>
        <v/>
      </c>
      <c r="E326" s="1">
        <f>'Paste cell here'!H326</f>
        <v/>
      </c>
      <c r="F326" s="1">
        <f>Sintesi!$C$5</f>
        <v/>
      </c>
      <c r="G326" s="1">
        <f>'Paste cell here'!AA326</f>
        <v/>
      </c>
      <c r="H326" s="43">
        <f>'Paste cell here'!U326</f>
        <v/>
      </c>
      <c r="I326" s="43">
        <f>'Paste cell here'!AE326</f>
        <v/>
      </c>
      <c r="J326" s="44">
        <f>'Paste cell here'!U325+'Paste cell here'!AF326</f>
        <v/>
      </c>
      <c r="K326" s="45">
        <f>'Paste cell here'!AG326</f>
        <v/>
      </c>
      <c r="L326" s="41">
        <f>IF(J326&lt;K326,"YES","NO")</f>
        <v/>
      </c>
      <c r="M326" s="1">
        <f>(Sintesi!$C$29*F326*1000)</f>
        <v/>
      </c>
      <c r="N326" s="1">
        <f>Sintesi!$C$30*F326*1000</f>
        <v/>
      </c>
      <c r="O326" s="1">
        <f>M326-N326</f>
        <v/>
      </c>
      <c r="P326" s="1">
        <f>Sintesi!$C$33*G326*1000</f>
        <v/>
      </c>
      <c r="Q326" s="1">
        <f>Sintesi!$C$34*G326*1000</f>
        <v/>
      </c>
      <c r="R326" s="1">
        <f>P326-Q326</f>
        <v/>
      </c>
    </row>
    <row r="327">
      <c r="A327" s="41" t="n">
        <v>326</v>
      </c>
      <c r="B327" s="42">
        <f>DATE(Sintesi!$C$4-1,12,31)+A327</f>
        <v/>
      </c>
      <c r="C327" s="41">
        <f>'Paste cell here'!B327</f>
        <v/>
      </c>
      <c r="D327" s="41">
        <f>'Paste cell here'!I327</f>
        <v/>
      </c>
      <c r="E327" s="1">
        <f>'Paste cell here'!H327</f>
        <v/>
      </c>
      <c r="F327" s="1">
        <f>Sintesi!$C$5</f>
        <v/>
      </c>
      <c r="G327" s="1">
        <f>'Paste cell here'!AA327</f>
        <v/>
      </c>
      <c r="H327" s="43">
        <f>'Paste cell here'!U327</f>
        <v/>
      </c>
      <c r="I327" s="43">
        <f>'Paste cell here'!AE327</f>
        <v/>
      </c>
      <c r="J327" s="44">
        <f>'Paste cell here'!U326+'Paste cell here'!AF327</f>
        <v/>
      </c>
      <c r="K327" s="45">
        <f>'Paste cell here'!AG327</f>
        <v/>
      </c>
      <c r="L327" s="41">
        <f>IF(J327&lt;K327,"YES","NO")</f>
        <v/>
      </c>
      <c r="M327" s="1">
        <f>(Sintesi!$C$29*F327*1000)</f>
        <v/>
      </c>
      <c r="N327" s="1">
        <f>Sintesi!$C$30*F327*1000</f>
        <v/>
      </c>
      <c r="O327" s="1">
        <f>M327-N327</f>
        <v/>
      </c>
      <c r="P327" s="1">
        <f>Sintesi!$C$33*G327*1000</f>
        <v/>
      </c>
      <c r="Q327" s="1">
        <f>Sintesi!$C$34*G327*1000</f>
        <v/>
      </c>
      <c r="R327" s="1">
        <f>P327-Q327</f>
        <v/>
      </c>
    </row>
    <row r="328">
      <c r="A328" s="41" t="n">
        <v>327</v>
      </c>
      <c r="B328" s="42">
        <f>DATE(Sintesi!$C$4-1,12,31)+A328</f>
        <v/>
      </c>
      <c r="C328" s="41">
        <f>'Paste cell here'!B328</f>
        <v/>
      </c>
      <c r="D328" s="41">
        <f>'Paste cell here'!I328</f>
        <v/>
      </c>
      <c r="E328" s="1">
        <f>'Paste cell here'!H328</f>
        <v/>
      </c>
      <c r="F328" s="1">
        <f>Sintesi!$C$5</f>
        <v/>
      </c>
      <c r="G328" s="1">
        <f>'Paste cell here'!AA328</f>
        <v/>
      </c>
      <c r="H328" s="43">
        <f>'Paste cell here'!U328</f>
        <v/>
      </c>
      <c r="I328" s="43">
        <f>'Paste cell here'!AE328</f>
        <v/>
      </c>
      <c r="J328" s="44">
        <f>'Paste cell here'!U327+'Paste cell here'!AF328</f>
        <v/>
      </c>
      <c r="K328" s="45">
        <f>'Paste cell here'!AG328</f>
        <v/>
      </c>
      <c r="L328" s="41">
        <f>IF(J328&lt;K328,"YES","NO")</f>
        <v/>
      </c>
      <c r="M328" s="1">
        <f>(Sintesi!$C$29*F328*1000)</f>
        <v/>
      </c>
      <c r="N328" s="1">
        <f>Sintesi!$C$30*F328*1000</f>
        <v/>
      </c>
      <c r="O328" s="1">
        <f>M328-N328</f>
        <v/>
      </c>
      <c r="P328" s="1">
        <f>Sintesi!$C$33*G328*1000</f>
        <v/>
      </c>
      <c r="Q328" s="1">
        <f>Sintesi!$C$34*G328*1000</f>
        <v/>
      </c>
      <c r="R328" s="1">
        <f>P328-Q328</f>
        <v/>
      </c>
    </row>
    <row r="329">
      <c r="A329" s="41" t="n">
        <v>328</v>
      </c>
      <c r="B329" s="42">
        <f>DATE(Sintesi!$C$4-1,12,31)+A329</f>
        <v/>
      </c>
      <c r="C329" s="41">
        <f>'Paste cell here'!B329</f>
        <v/>
      </c>
      <c r="D329" s="41">
        <f>'Paste cell here'!I329</f>
        <v/>
      </c>
      <c r="E329" s="1">
        <f>'Paste cell here'!H329</f>
        <v/>
      </c>
      <c r="F329" s="1">
        <f>Sintesi!$C$5</f>
        <v/>
      </c>
      <c r="G329" s="1">
        <f>'Paste cell here'!AA329</f>
        <v/>
      </c>
      <c r="H329" s="43">
        <f>'Paste cell here'!U329</f>
        <v/>
      </c>
      <c r="I329" s="43">
        <f>'Paste cell here'!AE329</f>
        <v/>
      </c>
      <c r="J329" s="44">
        <f>'Paste cell here'!U328+'Paste cell here'!AF329</f>
        <v/>
      </c>
      <c r="K329" s="45">
        <f>'Paste cell here'!AG329</f>
        <v/>
      </c>
      <c r="L329" s="41">
        <f>IF(J329&lt;K329,"YES","NO")</f>
        <v/>
      </c>
      <c r="M329" s="1">
        <f>(Sintesi!$C$29*F329*1000)</f>
        <v/>
      </c>
      <c r="N329" s="1">
        <f>Sintesi!$C$30*F329*1000</f>
        <v/>
      </c>
      <c r="O329" s="1">
        <f>M329-N329</f>
        <v/>
      </c>
      <c r="P329" s="1">
        <f>Sintesi!$C$33*G329*1000</f>
        <v/>
      </c>
      <c r="Q329" s="1">
        <f>Sintesi!$C$34*G329*1000</f>
        <v/>
      </c>
      <c r="R329" s="1">
        <f>P329-Q329</f>
        <v/>
      </c>
    </row>
    <row r="330">
      <c r="A330" s="41" t="n">
        <v>329</v>
      </c>
      <c r="B330" s="42">
        <f>DATE(Sintesi!$C$4-1,12,31)+A330</f>
        <v/>
      </c>
      <c r="C330" s="41">
        <f>'Paste cell here'!B330</f>
        <v/>
      </c>
      <c r="D330" s="41">
        <f>'Paste cell here'!I330</f>
        <v/>
      </c>
      <c r="E330" s="1">
        <f>'Paste cell here'!H330</f>
        <v/>
      </c>
      <c r="F330" s="1">
        <f>Sintesi!$C$5</f>
        <v/>
      </c>
      <c r="G330" s="1">
        <f>'Paste cell here'!AA330</f>
        <v/>
      </c>
      <c r="H330" s="43">
        <f>'Paste cell here'!U330</f>
        <v/>
      </c>
      <c r="I330" s="43">
        <f>'Paste cell here'!AE330</f>
        <v/>
      </c>
      <c r="J330" s="44">
        <f>'Paste cell here'!U329+'Paste cell here'!AF330</f>
        <v/>
      </c>
      <c r="K330" s="45">
        <f>'Paste cell here'!AG330</f>
        <v/>
      </c>
      <c r="L330" s="41">
        <f>IF(J330&lt;K330,"YES","NO")</f>
        <v/>
      </c>
      <c r="M330" s="1">
        <f>(Sintesi!$C$29*F330*1000)</f>
        <v/>
      </c>
      <c r="N330" s="1">
        <f>Sintesi!$C$30*F330*1000</f>
        <v/>
      </c>
      <c r="O330" s="1">
        <f>M330-N330</f>
        <v/>
      </c>
      <c r="P330" s="1">
        <f>Sintesi!$C$33*G330*1000</f>
        <v/>
      </c>
      <c r="Q330" s="1">
        <f>Sintesi!$C$34*G330*1000</f>
        <v/>
      </c>
      <c r="R330" s="1">
        <f>P330-Q330</f>
        <v/>
      </c>
    </row>
    <row r="331">
      <c r="A331" s="41" t="n">
        <v>330</v>
      </c>
      <c r="B331" s="42">
        <f>DATE(Sintesi!$C$4-1,12,31)+A331</f>
        <v/>
      </c>
      <c r="C331" s="41">
        <f>'Paste cell here'!B331</f>
        <v/>
      </c>
      <c r="D331" s="41">
        <f>'Paste cell here'!I331</f>
        <v/>
      </c>
      <c r="E331" s="1">
        <f>'Paste cell here'!H331</f>
        <v/>
      </c>
      <c r="F331" s="1">
        <f>Sintesi!$C$5</f>
        <v/>
      </c>
      <c r="G331" s="1">
        <f>'Paste cell here'!AA331</f>
        <v/>
      </c>
      <c r="H331" s="43">
        <f>'Paste cell here'!U331</f>
        <v/>
      </c>
      <c r="I331" s="43">
        <f>'Paste cell here'!AE331</f>
        <v/>
      </c>
      <c r="J331" s="44">
        <f>'Paste cell here'!U330+'Paste cell here'!AF331</f>
        <v/>
      </c>
      <c r="K331" s="45">
        <f>'Paste cell here'!AG331</f>
        <v/>
      </c>
      <c r="L331" s="41">
        <f>IF(J331&lt;K331,"YES","NO")</f>
        <v/>
      </c>
      <c r="M331" s="1">
        <f>(Sintesi!$C$29*F331*1000)</f>
        <v/>
      </c>
      <c r="N331" s="1">
        <f>Sintesi!$C$30*F331*1000</f>
        <v/>
      </c>
      <c r="O331" s="1">
        <f>M331-N331</f>
        <v/>
      </c>
      <c r="P331" s="1">
        <f>Sintesi!$C$33*G331*1000</f>
        <v/>
      </c>
      <c r="Q331" s="1">
        <f>Sintesi!$C$34*G331*1000</f>
        <v/>
      </c>
      <c r="R331" s="1">
        <f>P331-Q331</f>
        <v/>
      </c>
    </row>
    <row r="332">
      <c r="A332" s="41" t="n">
        <v>331</v>
      </c>
      <c r="B332" s="42">
        <f>DATE(Sintesi!$C$4-1,12,31)+A332</f>
        <v/>
      </c>
      <c r="C332" s="41">
        <f>'Paste cell here'!B332</f>
        <v/>
      </c>
      <c r="D332" s="41">
        <f>'Paste cell here'!I332</f>
        <v/>
      </c>
      <c r="E332" s="1">
        <f>'Paste cell here'!H332</f>
        <v/>
      </c>
      <c r="F332" s="1">
        <f>Sintesi!$C$5</f>
        <v/>
      </c>
      <c r="G332" s="1">
        <f>'Paste cell here'!AA332</f>
        <v/>
      </c>
      <c r="H332" s="43">
        <f>'Paste cell here'!U332</f>
        <v/>
      </c>
      <c r="I332" s="43">
        <f>'Paste cell here'!AE332</f>
        <v/>
      </c>
      <c r="J332" s="44">
        <f>'Paste cell here'!U331+'Paste cell here'!AF332</f>
        <v/>
      </c>
      <c r="K332" s="45">
        <f>'Paste cell here'!AG332</f>
        <v/>
      </c>
      <c r="L332" s="41">
        <f>IF(J332&lt;K332,"YES","NO")</f>
        <v/>
      </c>
      <c r="M332" s="1">
        <f>(Sintesi!$C$29*F332*1000)</f>
        <v/>
      </c>
      <c r="N332" s="1">
        <f>Sintesi!$C$30*F332*1000</f>
        <v/>
      </c>
      <c r="O332" s="1">
        <f>M332-N332</f>
        <v/>
      </c>
      <c r="P332" s="1">
        <f>Sintesi!$C$33*G332*1000</f>
        <v/>
      </c>
      <c r="Q332" s="1">
        <f>Sintesi!$C$34*G332*1000</f>
        <v/>
      </c>
      <c r="R332" s="1">
        <f>P332-Q332</f>
        <v/>
      </c>
    </row>
    <row r="333">
      <c r="A333" s="41" t="n">
        <v>332</v>
      </c>
      <c r="B333" s="42">
        <f>DATE(Sintesi!$C$4-1,12,31)+A333</f>
        <v/>
      </c>
      <c r="C333" s="41">
        <f>'Paste cell here'!B333</f>
        <v/>
      </c>
      <c r="D333" s="41">
        <f>'Paste cell here'!I333</f>
        <v/>
      </c>
      <c r="E333" s="1">
        <f>'Paste cell here'!H333</f>
        <v/>
      </c>
      <c r="F333" s="1">
        <f>Sintesi!$C$5</f>
        <v/>
      </c>
      <c r="G333" s="1">
        <f>'Paste cell here'!AA333</f>
        <v/>
      </c>
      <c r="H333" s="43">
        <f>'Paste cell here'!U333</f>
        <v/>
      </c>
      <c r="I333" s="43">
        <f>'Paste cell here'!AE333</f>
        <v/>
      </c>
      <c r="J333" s="44">
        <f>'Paste cell here'!U332+'Paste cell here'!AF333</f>
        <v/>
      </c>
      <c r="K333" s="45">
        <f>'Paste cell here'!AG333</f>
        <v/>
      </c>
      <c r="L333" s="41">
        <f>IF(J333&lt;K333,"YES","NO")</f>
        <v/>
      </c>
      <c r="M333" s="1">
        <f>(Sintesi!$C$29*F333*1000)</f>
        <v/>
      </c>
      <c r="N333" s="1">
        <f>Sintesi!$C$30*F333*1000</f>
        <v/>
      </c>
      <c r="O333" s="1">
        <f>M333-N333</f>
        <v/>
      </c>
      <c r="P333" s="1">
        <f>Sintesi!$C$33*G333*1000</f>
        <v/>
      </c>
      <c r="Q333" s="1">
        <f>Sintesi!$C$34*G333*1000</f>
        <v/>
      </c>
      <c r="R333" s="1">
        <f>P333-Q333</f>
        <v/>
      </c>
    </row>
    <row r="334">
      <c r="A334" s="41" t="n">
        <v>333</v>
      </c>
      <c r="B334" s="42">
        <f>DATE(Sintesi!$C$4-1,12,31)+A334</f>
        <v/>
      </c>
      <c r="C334" s="41">
        <f>'Paste cell here'!B334</f>
        <v/>
      </c>
      <c r="D334" s="41">
        <f>'Paste cell here'!I334</f>
        <v/>
      </c>
      <c r="E334" s="1">
        <f>'Paste cell here'!H334</f>
        <v/>
      </c>
      <c r="F334" s="1">
        <f>Sintesi!$C$5</f>
        <v/>
      </c>
      <c r="G334" s="1">
        <f>'Paste cell here'!AA334</f>
        <v/>
      </c>
      <c r="H334" s="43">
        <f>'Paste cell here'!U334</f>
        <v/>
      </c>
      <c r="I334" s="43">
        <f>'Paste cell here'!AE334</f>
        <v/>
      </c>
      <c r="J334" s="44">
        <f>'Paste cell here'!U333+'Paste cell here'!AF334</f>
        <v/>
      </c>
      <c r="K334" s="45">
        <f>'Paste cell here'!AG334</f>
        <v/>
      </c>
      <c r="L334" s="41">
        <f>IF(J334&lt;K334,"YES","NO")</f>
        <v/>
      </c>
      <c r="M334" s="1">
        <f>(Sintesi!$C$29*F334*1000)</f>
        <v/>
      </c>
      <c r="N334" s="1">
        <f>Sintesi!$C$30*F334*1000</f>
        <v/>
      </c>
      <c r="O334" s="1">
        <f>M334-N334</f>
        <v/>
      </c>
      <c r="P334" s="1">
        <f>Sintesi!$C$33*G334*1000</f>
        <v/>
      </c>
      <c r="Q334" s="1">
        <f>Sintesi!$C$34*G334*1000</f>
        <v/>
      </c>
      <c r="R334" s="1">
        <f>P334-Q334</f>
        <v/>
      </c>
    </row>
    <row r="335">
      <c r="A335" s="41" t="n">
        <v>334</v>
      </c>
      <c r="B335" s="42">
        <f>DATE(Sintesi!$C$4-1,12,31)+A335</f>
        <v/>
      </c>
      <c r="C335" s="41">
        <f>'Paste cell here'!B335</f>
        <v/>
      </c>
      <c r="D335" s="41">
        <f>'Paste cell here'!I335</f>
        <v/>
      </c>
      <c r="E335" s="1">
        <f>'Paste cell here'!H335</f>
        <v/>
      </c>
      <c r="F335" s="1">
        <f>Sintesi!$C$5</f>
        <v/>
      </c>
      <c r="G335" s="1">
        <f>'Paste cell here'!AA335</f>
        <v/>
      </c>
      <c r="H335" s="43">
        <f>'Paste cell here'!U335</f>
        <v/>
      </c>
      <c r="I335" s="43">
        <f>'Paste cell here'!AE335</f>
        <v/>
      </c>
      <c r="J335" s="44">
        <f>'Paste cell here'!U334+'Paste cell here'!AF335</f>
        <v/>
      </c>
      <c r="K335" s="45">
        <f>'Paste cell here'!AG335</f>
        <v/>
      </c>
      <c r="L335" s="41">
        <f>IF(J335&lt;K335,"YES","NO")</f>
        <v/>
      </c>
      <c r="M335" s="1">
        <f>(Sintesi!$C$29*F335*1000)</f>
        <v/>
      </c>
      <c r="N335" s="1">
        <f>Sintesi!$C$30*F335*1000</f>
        <v/>
      </c>
      <c r="O335" s="1">
        <f>M335-N335</f>
        <v/>
      </c>
      <c r="P335" s="1">
        <f>Sintesi!$C$33*G335*1000</f>
        <v/>
      </c>
      <c r="Q335" s="1">
        <f>Sintesi!$C$34*G335*1000</f>
        <v/>
      </c>
      <c r="R335" s="1">
        <f>P335-Q335</f>
        <v/>
      </c>
    </row>
    <row r="336">
      <c r="A336" s="41" t="n">
        <v>335</v>
      </c>
      <c r="B336" s="42">
        <f>DATE(Sintesi!$C$4-1,12,31)+A336</f>
        <v/>
      </c>
      <c r="C336" s="41">
        <f>'Paste cell here'!B336</f>
        <v/>
      </c>
      <c r="D336" s="41">
        <f>'Paste cell here'!I336</f>
        <v/>
      </c>
      <c r="E336" s="1">
        <f>'Paste cell here'!H336</f>
        <v/>
      </c>
      <c r="F336" s="1">
        <f>Sintesi!$C$5</f>
        <v/>
      </c>
      <c r="G336" s="1">
        <f>'Paste cell here'!AA336</f>
        <v/>
      </c>
      <c r="H336" s="43">
        <f>'Paste cell here'!U336</f>
        <v/>
      </c>
      <c r="I336" s="43">
        <f>'Paste cell here'!AE336</f>
        <v/>
      </c>
      <c r="J336" s="44">
        <f>'Paste cell here'!U335+'Paste cell here'!AF336</f>
        <v/>
      </c>
      <c r="K336" s="45">
        <f>'Paste cell here'!AG336</f>
        <v/>
      </c>
      <c r="L336" s="41">
        <f>IF(J336&lt;K336,"YES","NO")</f>
        <v/>
      </c>
      <c r="M336" s="1">
        <f>(Sintesi!$C$29*F336*1000)</f>
        <v/>
      </c>
      <c r="N336" s="1">
        <f>Sintesi!$C$30*F336*1000</f>
        <v/>
      </c>
      <c r="O336" s="1">
        <f>M336-N336</f>
        <v/>
      </c>
      <c r="P336" s="1">
        <f>Sintesi!$C$33*G336*1000</f>
        <v/>
      </c>
      <c r="Q336" s="1">
        <f>Sintesi!$C$34*G336*1000</f>
        <v/>
      </c>
      <c r="R336" s="1">
        <f>P336-Q336</f>
        <v/>
      </c>
    </row>
    <row r="337">
      <c r="A337" s="41" t="n">
        <v>336</v>
      </c>
      <c r="B337" s="42">
        <f>DATE(Sintesi!$C$4-1,12,31)+A337</f>
        <v/>
      </c>
      <c r="C337" s="41">
        <f>'Paste cell here'!B337</f>
        <v/>
      </c>
      <c r="D337" s="41">
        <f>'Paste cell here'!I337</f>
        <v/>
      </c>
      <c r="E337" s="1">
        <f>'Paste cell here'!H337</f>
        <v/>
      </c>
      <c r="F337" s="1">
        <f>Sintesi!$C$5</f>
        <v/>
      </c>
      <c r="G337" s="1">
        <f>'Paste cell here'!AA337</f>
        <v/>
      </c>
      <c r="H337" s="43">
        <f>'Paste cell here'!U337</f>
        <v/>
      </c>
      <c r="I337" s="43">
        <f>'Paste cell here'!AE337</f>
        <v/>
      </c>
      <c r="J337" s="44">
        <f>'Paste cell here'!U336+'Paste cell here'!AF337</f>
        <v/>
      </c>
      <c r="K337" s="45">
        <f>'Paste cell here'!AG337</f>
        <v/>
      </c>
      <c r="L337" s="41">
        <f>IF(J337&lt;K337,"YES","NO")</f>
        <v/>
      </c>
      <c r="M337" s="1">
        <f>(Sintesi!$C$29*F337*1000)</f>
        <v/>
      </c>
      <c r="N337" s="1">
        <f>Sintesi!$C$30*F337*1000</f>
        <v/>
      </c>
      <c r="O337" s="1">
        <f>M337-N337</f>
        <v/>
      </c>
      <c r="P337" s="1">
        <f>Sintesi!$C$33*G337*1000</f>
        <v/>
      </c>
      <c r="Q337" s="1">
        <f>Sintesi!$C$34*G337*1000</f>
        <v/>
      </c>
      <c r="R337" s="1">
        <f>P337-Q337</f>
        <v/>
      </c>
    </row>
    <row r="338">
      <c r="A338" s="41" t="n">
        <v>337</v>
      </c>
      <c r="B338" s="42">
        <f>DATE(Sintesi!$C$4-1,12,31)+A338</f>
        <v/>
      </c>
      <c r="C338" s="41">
        <f>'Paste cell here'!B338</f>
        <v/>
      </c>
      <c r="D338" s="41">
        <f>'Paste cell here'!I338</f>
        <v/>
      </c>
      <c r="E338" s="1">
        <f>'Paste cell here'!H338</f>
        <v/>
      </c>
      <c r="F338" s="1">
        <f>Sintesi!$C$5</f>
        <v/>
      </c>
      <c r="G338" s="1">
        <f>'Paste cell here'!AA338</f>
        <v/>
      </c>
      <c r="H338" s="43">
        <f>'Paste cell here'!U338</f>
        <v/>
      </c>
      <c r="I338" s="43">
        <f>'Paste cell here'!AE338</f>
        <v/>
      </c>
      <c r="J338" s="44">
        <f>'Paste cell here'!U337+'Paste cell here'!AF338</f>
        <v/>
      </c>
      <c r="K338" s="45">
        <f>'Paste cell here'!AG338</f>
        <v/>
      </c>
      <c r="L338" s="41">
        <f>IF(J338&lt;K338,"YES","NO")</f>
        <v/>
      </c>
      <c r="M338" s="1">
        <f>(Sintesi!$C$29*F338*1000)</f>
        <v/>
      </c>
      <c r="N338" s="1">
        <f>Sintesi!$C$30*F338*1000</f>
        <v/>
      </c>
      <c r="O338" s="1">
        <f>M338-N338</f>
        <v/>
      </c>
      <c r="P338" s="1">
        <f>Sintesi!$C$33*G338*1000</f>
        <v/>
      </c>
      <c r="Q338" s="1">
        <f>Sintesi!$C$34*G338*1000</f>
        <v/>
      </c>
      <c r="R338" s="1">
        <f>P338-Q338</f>
        <v/>
      </c>
    </row>
    <row r="339">
      <c r="A339" s="41" t="n">
        <v>338</v>
      </c>
      <c r="B339" s="42">
        <f>DATE(Sintesi!$C$4-1,12,31)+A339</f>
        <v/>
      </c>
      <c r="C339" s="41">
        <f>'Paste cell here'!B339</f>
        <v/>
      </c>
      <c r="D339" s="41">
        <f>'Paste cell here'!I339</f>
        <v/>
      </c>
      <c r="E339" s="1">
        <f>'Paste cell here'!H339</f>
        <v/>
      </c>
      <c r="F339" s="1">
        <f>Sintesi!$C$5</f>
        <v/>
      </c>
      <c r="G339" s="1">
        <f>'Paste cell here'!AA339</f>
        <v/>
      </c>
      <c r="H339" s="43">
        <f>'Paste cell here'!U339</f>
        <v/>
      </c>
      <c r="I339" s="43">
        <f>'Paste cell here'!AE339</f>
        <v/>
      </c>
      <c r="J339" s="44">
        <f>'Paste cell here'!U338+'Paste cell here'!AF339</f>
        <v/>
      </c>
      <c r="K339" s="45">
        <f>'Paste cell here'!AG339</f>
        <v/>
      </c>
      <c r="L339" s="41">
        <f>IF(J339&lt;K339,"YES","NO")</f>
        <v/>
      </c>
      <c r="M339" s="1">
        <f>(Sintesi!$C$29*F339*1000)</f>
        <v/>
      </c>
      <c r="N339" s="1">
        <f>Sintesi!$C$30*F339*1000</f>
        <v/>
      </c>
      <c r="O339" s="1">
        <f>M339-N339</f>
        <v/>
      </c>
      <c r="P339" s="1">
        <f>Sintesi!$C$33*G339*1000</f>
        <v/>
      </c>
      <c r="Q339" s="1">
        <f>Sintesi!$C$34*G339*1000</f>
        <v/>
      </c>
      <c r="R339" s="1">
        <f>P339-Q339</f>
        <v/>
      </c>
    </row>
    <row r="340">
      <c r="A340" s="41" t="n">
        <v>339</v>
      </c>
      <c r="B340" s="42">
        <f>DATE(Sintesi!$C$4-1,12,31)+A340</f>
        <v/>
      </c>
      <c r="C340" s="41">
        <f>'Paste cell here'!B340</f>
        <v/>
      </c>
      <c r="D340" s="41">
        <f>'Paste cell here'!I340</f>
        <v/>
      </c>
      <c r="E340" s="1">
        <f>'Paste cell here'!H340</f>
        <v/>
      </c>
      <c r="F340" s="1">
        <f>Sintesi!$C$5</f>
        <v/>
      </c>
      <c r="G340" s="1">
        <f>'Paste cell here'!AA340</f>
        <v/>
      </c>
      <c r="H340" s="43">
        <f>'Paste cell here'!U340</f>
        <v/>
      </c>
      <c r="I340" s="43">
        <f>'Paste cell here'!AE340</f>
        <v/>
      </c>
      <c r="J340" s="44">
        <f>'Paste cell here'!U339+'Paste cell here'!AF340</f>
        <v/>
      </c>
      <c r="K340" s="45">
        <f>'Paste cell here'!AG340</f>
        <v/>
      </c>
      <c r="L340" s="41">
        <f>IF(J340&lt;K340,"YES","NO")</f>
        <v/>
      </c>
      <c r="M340" s="1">
        <f>(Sintesi!$C$29*F340*1000)</f>
        <v/>
      </c>
      <c r="N340" s="1">
        <f>Sintesi!$C$30*F340*1000</f>
        <v/>
      </c>
      <c r="O340" s="1">
        <f>M340-N340</f>
        <v/>
      </c>
      <c r="P340" s="1">
        <f>Sintesi!$C$33*G340*1000</f>
        <v/>
      </c>
      <c r="Q340" s="1">
        <f>Sintesi!$C$34*G340*1000</f>
        <v/>
      </c>
      <c r="R340" s="1">
        <f>P340-Q340</f>
        <v/>
      </c>
    </row>
    <row r="341">
      <c r="A341" s="41" t="n">
        <v>340</v>
      </c>
      <c r="B341" s="42">
        <f>DATE(Sintesi!$C$4-1,12,31)+A341</f>
        <v/>
      </c>
      <c r="C341" s="41">
        <f>'Paste cell here'!B341</f>
        <v/>
      </c>
      <c r="D341" s="41">
        <f>'Paste cell here'!I341</f>
        <v/>
      </c>
      <c r="E341" s="1">
        <f>'Paste cell here'!H341</f>
        <v/>
      </c>
      <c r="F341" s="1">
        <f>Sintesi!$C$5</f>
        <v/>
      </c>
      <c r="G341" s="1">
        <f>'Paste cell here'!AA341</f>
        <v/>
      </c>
      <c r="H341" s="43">
        <f>'Paste cell here'!U341</f>
        <v/>
      </c>
      <c r="I341" s="43">
        <f>'Paste cell here'!AE341</f>
        <v/>
      </c>
      <c r="J341" s="44">
        <f>'Paste cell here'!U340+'Paste cell here'!AF341</f>
        <v/>
      </c>
      <c r="K341" s="45">
        <f>'Paste cell here'!AG341</f>
        <v/>
      </c>
      <c r="L341" s="41">
        <f>IF(J341&lt;K341,"YES","NO")</f>
        <v/>
      </c>
      <c r="M341" s="1">
        <f>(Sintesi!$C$29*F341*1000)</f>
        <v/>
      </c>
      <c r="N341" s="1">
        <f>Sintesi!$C$30*F341*1000</f>
        <v/>
      </c>
      <c r="O341" s="1">
        <f>M341-N341</f>
        <v/>
      </c>
      <c r="P341" s="1">
        <f>Sintesi!$C$33*G341*1000</f>
        <v/>
      </c>
      <c r="Q341" s="1">
        <f>Sintesi!$C$34*G341*1000</f>
        <v/>
      </c>
      <c r="R341" s="1">
        <f>P341-Q341</f>
        <v/>
      </c>
    </row>
    <row r="342">
      <c r="A342" s="41" t="n">
        <v>341</v>
      </c>
      <c r="B342" s="42">
        <f>DATE(Sintesi!$C$4-1,12,31)+A342</f>
        <v/>
      </c>
      <c r="C342" s="41">
        <f>'Paste cell here'!B342</f>
        <v/>
      </c>
      <c r="D342" s="41">
        <f>'Paste cell here'!I342</f>
        <v/>
      </c>
      <c r="E342" s="1">
        <f>'Paste cell here'!H342</f>
        <v/>
      </c>
      <c r="F342" s="1">
        <f>Sintesi!$C$5</f>
        <v/>
      </c>
      <c r="G342" s="1">
        <f>'Paste cell here'!AA342</f>
        <v/>
      </c>
      <c r="H342" s="43">
        <f>'Paste cell here'!U342</f>
        <v/>
      </c>
      <c r="I342" s="43">
        <f>'Paste cell here'!AE342</f>
        <v/>
      </c>
      <c r="J342" s="44">
        <f>'Paste cell here'!U341+'Paste cell here'!AF342</f>
        <v/>
      </c>
      <c r="K342" s="45">
        <f>'Paste cell here'!AG342</f>
        <v/>
      </c>
      <c r="L342" s="41">
        <f>IF(J342&lt;K342,"YES","NO")</f>
        <v/>
      </c>
      <c r="M342" s="1">
        <f>(Sintesi!$C$29*F342*1000)</f>
        <v/>
      </c>
      <c r="N342" s="1">
        <f>Sintesi!$C$30*F342*1000</f>
        <v/>
      </c>
      <c r="O342" s="1">
        <f>M342-N342</f>
        <v/>
      </c>
      <c r="P342" s="1">
        <f>Sintesi!$C$33*G342*1000</f>
        <v/>
      </c>
      <c r="Q342" s="1">
        <f>Sintesi!$C$34*G342*1000</f>
        <v/>
      </c>
      <c r="R342" s="1">
        <f>P342-Q342</f>
        <v/>
      </c>
    </row>
    <row r="343">
      <c r="A343" s="41" t="n">
        <v>342</v>
      </c>
      <c r="B343" s="42">
        <f>DATE(Sintesi!$C$4-1,12,31)+A343</f>
        <v/>
      </c>
      <c r="C343" s="41">
        <f>'Paste cell here'!B343</f>
        <v/>
      </c>
      <c r="D343" s="41">
        <f>'Paste cell here'!I343</f>
        <v/>
      </c>
      <c r="E343" s="1">
        <f>'Paste cell here'!H343</f>
        <v/>
      </c>
      <c r="F343" s="1">
        <f>Sintesi!$C$5</f>
        <v/>
      </c>
      <c r="G343" s="1">
        <f>'Paste cell here'!AA343</f>
        <v/>
      </c>
      <c r="H343" s="43">
        <f>'Paste cell here'!U343</f>
        <v/>
      </c>
      <c r="I343" s="43">
        <f>'Paste cell here'!AE343</f>
        <v/>
      </c>
      <c r="J343" s="44">
        <f>'Paste cell here'!U342+'Paste cell here'!AF343</f>
        <v/>
      </c>
      <c r="K343" s="45">
        <f>'Paste cell here'!AG343</f>
        <v/>
      </c>
      <c r="L343" s="41">
        <f>IF(J343&lt;K343,"YES","NO")</f>
        <v/>
      </c>
      <c r="M343" s="1">
        <f>(Sintesi!$C$29*F343*1000)</f>
        <v/>
      </c>
      <c r="N343" s="1">
        <f>Sintesi!$C$30*F343*1000</f>
        <v/>
      </c>
      <c r="O343" s="1">
        <f>M343-N343</f>
        <v/>
      </c>
      <c r="P343" s="1">
        <f>Sintesi!$C$33*G343*1000</f>
        <v/>
      </c>
      <c r="Q343" s="1">
        <f>Sintesi!$C$34*G343*1000</f>
        <v/>
      </c>
      <c r="R343" s="1">
        <f>P343-Q343</f>
        <v/>
      </c>
    </row>
    <row r="344">
      <c r="A344" s="41" t="n">
        <v>343</v>
      </c>
      <c r="B344" s="42">
        <f>DATE(Sintesi!$C$4-1,12,31)+A344</f>
        <v/>
      </c>
      <c r="C344" s="41">
        <f>'Paste cell here'!B344</f>
        <v/>
      </c>
      <c r="D344" s="41">
        <f>'Paste cell here'!I344</f>
        <v/>
      </c>
      <c r="E344" s="1">
        <f>'Paste cell here'!H344</f>
        <v/>
      </c>
      <c r="F344" s="1">
        <f>Sintesi!$C$5</f>
        <v/>
      </c>
      <c r="G344" s="1">
        <f>'Paste cell here'!AA344</f>
        <v/>
      </c>
      <c r="H344" s="43">
        <f>'Paste cell here'!U344</f>
        <v/>
      </c>
      <c r="I344" s="43">
        <f>'Paste cell here'!AE344</f>
        <v/>
      </c>
      <c r="J344" s="44">
        <f>'Paste cell here'!U343+'Paste cell here'!AF344</f>
        <v/>
      </c>
      <c r="K344" s="45">
        <f>'Paste cell here'!AG344</f>
        <v/>
      </c>
      <c r="L344" s="41">
        <f>IF(J344&lt;K344,"YES","NO")</f>
        <v/>
      </c>
      <c r="M344" s="1">
        <f>(Sintesi!$C$29*F344*1000)</f>
        <v/>
      </c>
      <c r="N344" s="1">
        <f>Sintesi!$C$30*F344*1000</f>
        <v/>
      </c>
      <c r="O344" s="1">
        <f>M344-N344</f>
        <v/>
      </c>
      <c r="P344" s="1">
        <f>Sintesi!$C$33*G344*1000</f>
        <v/>
      </c>
      <c r="Q344" s="1">
        <f>Sintesi!$C$34*G344*1000</f>
        <v/>
      </c>
      <c r="R344" s="1">
        <f>P344-Q344</f>
        <v/>
      </c>
    </row>
    <row r="345">
      <c r="A345" s="41" t="n">
        <v>344</v>
      </c>
      <c r="B345" s="42">
        <f>DATE(Sintesi!$C$4-1,12,31)+A345</f>
        <v/>
      </c>
      <c r="C345" s="41">
        <f>'Paste cell here'!B345</f>
        <v/>
      </c>
      <c r="D345" s="41">
        <f>'Paste cell here'!I345</f>
        <v/>
      </c>
      <c r="E345" s="1">
        <f>'Paste cell here'!H345</f>
        <v/>
      </c>
      <c r="F345" s="1">
        <f>Sintesi!$C$5</f>
        <v/>
      </c>
      <c r="G345" s="1">
        <f>'Paste cell here'!AA345</f>
        <v/>
      </c>
      <c r="H345" s="43">
        <f>'Paste cell here'!U345</f>
        <v/>
      </c>
      <c r="I345" s="43">
        <f>'Paste cell here'!AE345</f>
        <v/>
      </c>
      <c r="J345" s="44">
        <f>'Paste cell here'!U344+'Paste cell here'!AF345</f>
        <v/>
      </c>
      <c r="K345" s="45">
        <f>'Paste cell here'!AG345</f>
        <v/>
      </c>
      <c r="L345" s="41">
        <f>IF(J345&lt;K345,"YES","NO")</f>
        <v/>
      </c>
      <c r="M345" s="1">
        <f>(Sintesi!$C$29*F345*1000)</f>
        <v/>
      </c>
      <c r="N345" s="1">
        <f>Sintesi!$C$30*F345*1000</f>
        <v/>
      </c>
      <c r="O345" s="1">
        <f>M345-N345</f>
        <v/>
      </c>
      <c r="P345" s="1">
        <f>Sintesi!$C$33*G345*1000</f>
        <v/>
      </c>
      <c r="Q345" s="1">
        <f>Sintesi!$C$34*G345*1000</f>
        <v/>
      </c>
      <c r="R345" s="1">
        <f>P345-Q345</f>
        <v/>
      </c>
    </row>
    <row r="346">
      <c r="A346" s="41" t="n">
        <v>345</v>
      </c>
      <c r="B346" s="42">
        <f>DATE(Sintesi!$C$4-1,12,31)+A346</f>
        <v/>
      </c>
      <c r="C346" s="41">
        <f>'Paste cell here'!B346</f>
        <v/>
      </c>
      <c r="D346" s="41">
        <f>'Paste cell here'!I346</f>
        <v/>
      </c>
      <c r="E346" s="1">
        <f>'Paste cell here'!H346</f>
        <v/>
      </c>
      <c r="F346" s="1">
        <f>Sintesi!$C$5</f>
        <v/>
      </c>
      <c r="G346" s="1">
        <f>'Paste cell here'!AA346</f>
        <v/>
      </c>
      <c r="H346" s="43">
        <f>'Paste cell here'!U346</f>
        <v/>
      </c>
      <c r="I346" s="43">
        <f>'Paste cell here'!AE346</f>
        <v/>
      </c>
      <c r="J346" s="44">
        <f>'Paste cell here'!U345+'Paste cell here'!AF346</f>
        <v/>
      </c>
      <c r="K346" s="45">
        <f>'Paste cell here'!AG346</f>
        <v/>
      </c>
      <c r="L346" s="41">
        <f>IF(J346&lt;K346,"YES","NO")</f>
        <v/>
      </c>
      <c r="M346" s="1">
        <f>(Sintesi!$C$29*F346*1000)</f>
        <v/>
      </c>
      <c r="N346" s="1">
        <f>Sintesi!$C$30*F346*1000</f>
        <v/>
      </c>
      <c r="O346" s="1">
        <f>M346-N346</f>
        <v/>
      </c>
      <c r="P346" s="1">
        <f>Sintesi!$C$33*G346*1000</f>
        <v/>
      </c>
      <c r="Q346" s="1">
        <f>Sintesi!$C$34*G346*1000</f>
        <v/>
      </c>
      <c r="R346" s="1">
        <f>P346-Q346</f>
        <v/>
      </c>
    </row>
    <row r="347">
      <c r="A347" s="41" t="n">
        <v>346</v>
      </c>
      <c r="B347" s="42">
        <f>DATE(Sintesi!$C$4-1,12,31)+A347</f>
        <v/>
      </c>
      <c r="C347" s="41">
        <f>'Paste cell here'!B347</f>
        <v/>
      </c>
      <c r="D347" s="41">
        <f>'Paste cell here'!I347</f>
        <v/>
      </c>
      <c r="E347" s="1">
        <f>'Paste cell here'!H347</f>
        <v/>
      </c>
      <c r="F347" s="1">
        <f>Sintesi!$C$5</f>
        <v/>
      </c>
      <c r="G347" s="1">
        <f>'Paste cell here'!AA347</f>
        <v/>
      </c>
      <c r="H347" s="43">
        <f>'Paste cell here'!U347</f>
        <v/>
      </c>
      <c r="I347" s="43">
        <f>'Paste cell here'!AE347</f>
        <v/>
      </c>
      <c r="J347" s="44">
        <f>'Paste cell here'!U346+'Paste cell here'!AF347</f>
        <v/>
      </c>
      <c r="K347" s="45">
        <f>'Paste cell here'!AG347</f>
        <v/>
      </c>
      <c r="L347" s="41">
        <f>IF(J347&lt;K347,"YES","NO")</f>
        <v/>
      </c>
      <c r="M347" s="1">
        <f>(Sintesi!$C$29*F347*1000)</f>
        <v/>
      </c>
      <c r="N347" s="1">
        <f>Sintesi!$C$30*F347*1000</f>
        <v/>
      </c>
      <c r="O347" s="1">
        <f>M347-N347</f>
        <v/>
      </c>
      <c r="P347" s="1">
        <f>Sintesi!$C$33*G347*1000</f>
        <v/>
      </c>
      <c r="Q347" s="1">
        <f>Sintesi!$C$34*G347*1000</f>
        <v/>
      </c>
      <c r="R347" s="1">
        <f>P347-Q347</f>
        <v/>
      </c>
    </row>
    <row r="348">
      <c r="A348" s="41" t="n">
        <v>347</v>
      </c>
      <c r="B348" s="42">
        <f>DATE(Sintesi!$C$4-1,12,31)+A348</f>
        <v/>
      </c>
      <c r="C348" s="41">
        <f>'Paste cell here'!B348</f>
        <v/>
      </c>
      <c r="D348" s="41">
        <f>'Paste cell here'!I348</f>
        <v/>
      </c>
      <c r="E348" s="1">
        <f>'Paste cell here'!H348</f>
        <v/>
      </c>
      <c r="F348" s="1">
        <f>Sintesi!$C$5</f>
        <v/>
      </c>
      <c r="G348" s="1">
        <f>'Paste cell here'!AA348</f>
        <v/>
      </c>
      <c r="H348" s="43">
        <f>'Paste cell here'!U348</f>
        <v/>
      </c>
      <c r="I348" s="43">
        <f>'Paste cell here'!AE348</f>
        <v/>
      </c>
      <c r="J348" s="44">
        <f>'Paste cell here'!U347+'Paste cell here'!AF348</f>
        <v/>
      </c>
      <c r="K348" s="45">
        <f>'Paste cell here'!AG348</f>
        <v/>
      </c>
      <c r="L348" s="41">
        <f>IF(J348&lt;K348,"YES","NO")</f>
        <v/>
      </c>
      <c r="M348" s="1">
        <f>(Sintesi!$C$29*F348*1000)</f>
        <v/>
      </c>
      <c r="N348" s="1">
        <f>Sintesi!$C$30*F348*1000</f>
        <v/>
      </c>
      <c r="O348" s="1">
        <f>M348-N348</f>
        <v/>
      </c>
      <c r="P348" s="1">
        <f>Sintesi!$C$33*G348*1000</f>
        <v/>
      </c>
      <c r="Q348" s="1">
        <f>Sintesi!$C$34*G348*1000</f>
        <v/>
      </c>
      <c r="R348" s="1">
        <f>P348-Q348</f>
        <v/>
      </c>
    </row>
    <row r="349">
      <c r="A349" s="41" t="n">
        <v>348</v>
      </c>
      <c r="B349" s="42">
        <f>DATE(Sintesi!$C$4-1,12,31)+A349</f>
        <v/>
      </c>
      <c r="C349" s="41">
        <f>'Paste cell here'!B349</f>
        <v/>
      </c>
      <c r="D349" s="41">
        <f>'Paste cell here'!I349</f>
        <v/>
      </c>
      <c r="E349" s="1">
        <f>'Paste cell here'!H349</f>
        <v/>
      </c>
      <c r="F349" s="1">
        <f>Sintesi!$C$5</f>
        <v/>
      </c>
      <c r="G349" s="1">
        <f>'Paste cell here'!AA349</f>
        <v/>
      </c>
      <c r="H349" s="43">
        <f>'Paste cell here'!U349</f>
        <v/>
      </c>
      <c r="I349" s="43">
        <f>'Paste cell here'!AE349</f>
        <v/>
      </c>
      <c r="J349" s="44">
        <f>'Paste cell here'!U348+'Paste cell here'!AF349</f>
        <v/>
      </c>
      <c r="K349" s="45">
        <f>'Paste cell here'!AG349</f>
        <v/>
      </c>
      <c r="L349" s="41">
        <f>IF(J349&lt;K349,"YES","NO")</f>
        <v/>
      </c>
      <c r="M349" s="1">
        <f>(Sintesi!$C$29*F349*1000)</f>
        <v/>
      </c>
      <c r="N349" s="1">
        <f>Sintesi!$C$30*F349*1000</f>
        <v/>
      </c>
      <c r="O349" s="1">
        <f>M349-N349</f>
        <v/>
      </c>
      <c r="P349" s="1">
        <f>Sintesi!$C$33*G349*1000</f>
        <v/>
      </c>
      <c r="Q349" s="1">
        <f>Sintesi!$C$34*G349*1000</f>
        <v/>
      </c>
      <c r="R349" s="1">
        <f>P349-Q349</f>
        <v/>
      </c>
    </row>
    <row r="350">
      <c r="A350" s="41" t="n">
        <v>349</v>
      </c>
      <c r="B350" s="42">
        <f>DATE(Sintesi!$C$4-1,12,31)+A350</f>
        <v/>
      </c>
      <c r="C350" s="41">
        <f>'Paste cell here'!B350</f>
        <v/>
      </c>
      <c r="D350" s="41">
        <f>'Paste cell here'!I350</f>
        <v/>
      </c>
      <c r="E350" s="1">
        <f>'Paste cell here'!H350</f>
        <v/>
      </c>
      <c r="F350" s="1">
        <f>Sintesi!$C$5</f>
        <v/>
      </c>
      <c r="G350" s="1">
        <f>'Paste cell here'!AA350</f>
        <v/>
      </c>
      <c r="H350" s="43">
        <f>'Paste cell here'!U350</f>
        <v/>
      </c>
      <c r="I350" s="43">
        <f>'Paste cell here'!AE350</f>
        <v/>
      </c>
      <c r="J350" s="44">
        <f>'Paste cell here'!U349+'Paste cell here'!AF350</f>
        <v/>
      </c>
      <c r="K350" s="45">
        <f>'Paste cell here'!AG350</f>
        <v/>
      </c>
      <c r="L350" s="41">
        <f>IF(J350&lt;K350,"YES","NO")</f>
        <v/>
      </c>
      <c r="M350" s="1">
        <f>(Sintesi!$C$29*F350*1000)</f>
        <v/>
      </c>
      <c r="N350" s="1">
        <f>Sintesi!$C$30*F350*1000</f>
        <v/>
      </c>
      <c r="O350" s="1">
        <f>M350-N350</f>
        <v/>
      </c>
      <c r="P350" s="1">
        <f>Sintesi!$C$33*G350*1000</f>
        <v/>
      </c>
      <c r="Q350" s="1">
        <f>Sintesi!$C$34*G350*1000</f>
        <v/>
      </c>
      <c r="R350" s="1">
        <f>P350-Q350</f>
        <v/>
      </c>
    </row>
    <row r="351">
      <c r="A351" s="41" t="n">
        <v>350</v>
      </c>
      <c r="B351" s="42">
        <f>DATE(Sintesi!$C$4-1,12,31)+A351</f>
        <v/>
      </c>
      <c r="C351" s="41">
        <f>'Paste cell here'!B351</f>
        <v/>
      </c>
      <c r="D351" s="41">
        <f>'Paste cell here'!I351</f>
        <v/>
      </c>
      <c r="E351" s="1">
        <f>'Paste cell here'!H351</f>
        <v/>
      </c>
      <c r="F351" s="1">
        <f>Sintesi!$C$5</f>
        <v/>
      </c>
      <c r="G351" s="1">
        <f>'Paste cell here'!AA351</f>
        <v/>
      </c>
      <c r="H351" s="43">
        <f>'Paste cell here'!U351</f>
        <v/>
      </c>
      <c r="I351" s="43">
        <f>'Paste cell here'!AE351</f>
        <v/>
      </c>
      <c r="J351" s="44">
        <f>'Paste cell here'!U350+'Paste cell here'!AF351</f>
        <v/>
      </c>
      <c r="K351" s="45">
        <f>'Paste cell here'!AG351</f>
        <v/>
      </c>
      <c r="L351" s="41">
        <f>IF(J351&lt;K351,"YES","NO")</f>
        <v/>
      </c>
      <c r="M351" s="1">
        <f>(Sintesi!$C$29*F351*1000)</f>
        <v/>
      </c>
      <c r="N351" s="1">
        <f>Sintesi!$C$30*F351*1000</f>
        <v/>
      </c>
      <c r="O351" s="1">
        <f>M351-N351</f>
        <v/>
      </c>
      <c r="P351" s="1">
        <f>Sintesi!$C$33*G351*1000</f>
        <v/>
      </c>
      <c r="Q351" s="1">
        <f>Sintesi!$C$34*G351*1000</f>
        <v/>
      </c>
      <c r="R351" s="1">
        <f>P351-Q351</f>
        <v/>
      </c>
    </row>
    <row r="352">
      <c r="A352" s="41" t="n">
        <v>351</v>
      </c>
      <c r="B352" s="42">
        <f>DATE(Sintesi!$C$4-1,12,31)+A352</f>
        <v/>
      </c>
      <c r="C352" s="41">
        <f>'Paste cell here'!B352</f>
        <v/>
      </c>
      <c r="D352" s="41">
        <f>'Paste cell here'!I352</f>
        <v/>
      </c>
      <c r="E352" s="1">
        <f>'Paste cell here'!H352</f>
        <v/>
      </c>
      <c r="F352" s="1">
        <f>Sintesi!$C$5</f>
        <v/>
      </c>
      <c r="G352" s="1">
        <f>'Paste cell here'!AA352</f>
        <v/>
      </c>
      <c r="H352" s="43">
        <f>'Paste cell here'!U352</f>
        <v/>
      </c>
      <c r="I352" s="43">
        <f>'Paste cell here'!AE352</f>
        <v/>
      </c>
      <c r="J352" s="44">
        <f>'Paste cell here'!U351+'Paste cell here'!AF352</f>
        <v/>
      </c>
      <c r="K352" s="45">
        <f>'Paste cell here'!AG352</f>
        <v/>
      </c>
      <c r="L352" s="41">
        <f>IF(J352&lt;K352,"YES","NO")</f>
        <v/>
      </c>
      <c r="M352" s="1">
        <f>(Sintesi!$C$29*F352*1000)</f>
        <v/>
      </c>
      <c r="N352" s="1">
        <f>Sintesi!$C$30*F352*1000</f>
        <v/>
      </c>
      <c r="O352" s="1">
        <f>M352-N352</f>
        <v/>
      </c>
      <c r="P352" s="1">
        <f>Sintesi!$C$33*G352*1000</f>
        <v/>
      </c>
      <c r="Q352" s="1">
        <f>Sintesi!$C$34*G352*1000</f>
        <v/>
      </c>
      <c r="R352" s="1">
        <f>P352-Q352</f>
        <v/>
      </c>
    </row>
    <row r="353">
      <c r="A353" s="41" t="n">
        <v>352</v>
      </c>
      <c r="B353" s="42">
        <f>DATE(Sintesi!$C$4-1,12,31)+A353</f>
        <v/>
      </c>
      <c r="C353" s="41">
        <f>'Paste cell here'!B353</f>
        <v/>
      </c>
      <c r="D353" s="41">
        <f>'Paste cell here'!I353</f>
        <v/>
      </c>
      <c r="E353" s="1">
        <f>'Paste cell here'!H353</f>
        <v/>
      </c>
      <c r="F353" s="1">
        <f>Sintesi!$C$5</f>
        <v/>
      </c>
      <c r="G353" s="1">
        <f>'Paste cell here'!AA353</f>
        <v/>
      </c>
      <c r="H353" s="43">
        <f>'Paste cell here'!U353</f>
        <v/>
      </c>
      <c r="I353" s="43">
        <f>'Paste cell here'!AE353</f>
        <v/>
      </c>
      <c r="J353" s="44">
        <f>'Paste cell here'!U352+'Paste cell here'!AF353</f>
        <v/>
      </c>
      <c r="K353" s="45">
        <f>'Paste cell here'!AG353</f>
        <v/>
      </c>
      <c r="L353" s="41">
        <f>IF(J353&lt;K353,"YES","NO")</f>
        <v/>
      </c>
      <c r="M353" s="1">
        <f>(Sintesi!$C$29*F353*1000)</f>
        <v/>
      </c>
      <c r="N353" s="1">
        <f>Sintesi!$C$30*F353*1000</f>
        <v/>
      </c>
      <c r="O353" s="1">
        <f>M353-N353</f>
        <v/>
      </c>
      <c r="P353" s="1">
        <f>Sintesi!$C$33*G353*1000</f>
        <v/>
      </c>
      <c r="Q353" s="1">
        <f>Sintesi!$C$34*G353*1000</f>
        <v/>
      </c>
      <c r="R353" s="1">
        <f>P353-Q353</f>
        <v/>
      </c>
    </row>
    <row r="354">
      <c r="A354" s="41" t="n">
        <v>353</v>
      </c>
      <c r="B354" s="42">
        <f>DATE(Sintesi!$C$4-1,12,31)+A354</f>
        <v/>
      </c>
      <c r="C354" s="41">
        <f>'Paste cell here'!B354</f>
        <v/>
      </c>
      <c r="D354" s="41">
        <f>'Paste cell here'!I354</f>
        <v/>
      </c>
      <c r="E354" s="1">
        <f>'Paste cell here'!H354</f>
        <v/>
      </c>
      <c r="F354" s="1">
        <f>Sintesi!$C$5</f>
        <v/>
      </c>
      <c r="G354" s="1">
        <f>'Paste cell here'!AA354</f>
        <v/>
      </c>
      <c r="H354" s="43">
        <f>'Paste cell here'!U354</f>
        <v/>
      </c>
      <c r="I354" s="43">
        <f>'Paste cell here'!AE354</f>
        <v/>
      </c>
      <c r="J354" s="44">
        <f>'Paste cell here'!U353+'Paste cell here'!AF354</f>
        <v/>
      </c>
      <c r="K354" s="45">
        <f>'Paste cell here'!AG354</f>
        <v/>
      </c>
      <c r="L354" s="41">
        <f>IF(J354&lt;K354,"YES","NO")</f>
        <v/>
      </c>
      <c r="M354" s="1">
        <f>(Sintesi!$C$29*F354*1000)</f>
        <v/>
      </c>
      <c r="N354" s="1">
        <f>Sintesi!$C$30*F354*1000</f>
        <v/>
      </c>
      <c r="O354" s="1">
        <f>M354-N354</f>
        <v/>
      </c>
      <c r="P354" s="1">
        <f>Sintesi!$C$33*G354*1000</f>
        <v/>
      </c>
      <c r="Q354" s="1">
        <f>Sintesi!$C$34*G354*1000</f>
        <v/>
      </c>
      <c r="R354" s="1">
        <f>P354-Q354</f>
        <v/>
      </c>
    </row>
    <row r="355">
      <c r="A355" s="41" t="n">
        <v>354</v>
      </c>
      <c r="B355" s="42">
        <f>DATE(Sintesi!$C$4-1,12,31)+A355</f>
        <v/>
      </c>
      <c r="C355" s="41">
        <f>'Paste cell here'!B355</f>
        <v/>
      </c>
      <c r="D355" s="41">
        <f>'Paste cell here'!I355</f>
        <v/>
      </c>
      <c r="E355" s="1">
        <f>'Paste cell here'!H355</f>
        <v/>
      </c>
      <c r="F355" s="1">
        <f>Sintesi!$C$5</f>
        <v/>
      </c>
      <c r="G355" s="1">
        <f>'Paste cell here'!AA355</f>
        <v/>
      </c>
      <c r="H355" s="43">
        <f>'Paste cell here'!U355</f>
        <v/>
      </c>
      <c r="I355" s="43">
        <f>'Paste cell here'!AE355</f>
        <v/>
      </c>
      <c r="J355" s="44">
        <f>'Paste cell here'!U354+'Paste cell here'!AF355</f>
        <v/>
      </c>
      <c r="K355" s="45">
        <f>'Paste cell here'!AG355</f>
        <v/>
      </c>
      <c r="L355" s="41">
        <f>IF(J355&lt;K355,"YES","NO")</f>
        <v/>
      </c>
      <c r="M355" s="1">
        <f>(Sintesi!$C$29*F355*1000)</f>
        <v/>
      </c>
      <c r="N355" s="1">
        <f>Sintesi!$C$30*F355*1000</f>
        <v/>
      </c>
      <c r="O355" s="1">
        <f>M355-N355</f>
        <v/>
      </c>
      <c r="P355" s="1">
        <f>Sintesi!$C$33*G355*1000</f>
        <v/>
      </c>
      <c r="Q355" s="1">
        <f>Sintesi!$C$34*G355*1000</f>
        <v/>
      </c>
      <c r="R355" s="1">
        <f>P355-Q355</f>
        <v/>
      </c>
    </row>
    <row r="356">
      <c r="A356" s="41" t="n">
        <v>355</v>
      </c>
      <c r="B356" s="42">
        <f>DATE(Sintesi!$C$4-1,12,31)+A356</f>
        <v/>
      </c>
      <c r="C356" s="41">
        <f>'Paste cell here'!B356</f>
        <v/>
      </c>
      <c r="D356" s="41">
        <f>'Paste cell here'!I356</f>
        <v/>
      </c>
      <c r="E356" s="1">
        <f>'Paste cell here'!H356</f>
        <v/>
      </c>
      <c r="F356" s="1">
        <f>Sintesi!$C$5</f>
        <v/>
      </c>
      <c r="G356" s="1">
        <f>'Paste cell here'!AA356</f>
        <v/>
      </c>
      <c r="H356" s="43">
        <f>'Paste cell here'!U356</f>
        <v/>
      </c>
      <c r="I356" s="43">
        <f>'Paste cell here'!AE356</f>
        <v/>
      </c>
      <c r="J356" s="44">
        <f>'Paste cell here'!U355+'Paste cell here'!AF356</f>
        <v/>
      </c>
      <c r="K356" s="45">
        <f>'Paste cell here'!AG356</f>
        <v/>
      </c>
      <c r="L356" s="41">
        <f>IF(J356&lt;K356,"YES","NO")</f>
        <v/>
      </c>
      <c r="M356" s="1">
        <f>(Sintesi!$C$29*F356*1000)</f>
        <v/>
      </c>
      <c r="N356" s="1">
        <f>Sintesi!$C$30*F356*1000</f>
        <v/>
      </c>
      <c r="O356" s="1">
        <f>M356-N356</f>
        <v/>
      </c>
      <c r="P356" s="1">
        <f>Sintesi!$C$33*G356*1000</f>
        <v/>
      </c>
      <c r="Q356" s="1">
        <f>Sintesi!$C$34*G356*1000</f>
        <v/>
      </c>
      <c r="R356" s="1">
        <f>P356-Q356</f>
        <v/>
      </c>
    </row>
    <row r="357">
      <c r="A357" s="41" t="n">
        <v>356</v>
      </c>
      <c r="B357" s="42">
        <f>DATE(Sintesi!$C$4-1,12,31)+A357</f>
        <v/>
      </c>
      <c r="C357" s="41">
        <f>'Paste cell here'!B357</f>
        <v/>
      </c>
      <c r="D357" s="41">
        <f>'Paste cell here'!I357</f>
        <v/>
      </c>
      <c r="E357" s="1">
        <f>'Paste cell here'!H357</f>
        <v/>
      </c>
      <c r="F357" s="1">
        <f>Sintesi!$C$5</f>
        <v/>
      </c>
      <c r="G357" s="1">
        <f>'Paste cell here'!AA357</f>
        <v/>
      </c>
      <c r="H357" s="43">
        <f>'Paste cell here'!U357</f>
        <v/>
      </c>
      <c r="I357" s="43">
        <f>'Paste cell here'!AE357</f>
        <v/>
      </c>
      <c r="J357" s="44">
        <f>'Paste cell here'!U356+'Paste cell here'!AF357</f>
        <v/>
      </c>
      <c r="K357" s="45">
        <f>'Paste cell here'!AG357</f>
        <v/>
      </c>
      <c r="L357" s="41">
        <f>IF(J357&lt;K357,"YES","NO")</f>
        <v/>
      </c>
      <c r="M357" s="1">
        <f>(Sintesi!$C$29*F357*1000)</f>
        <v/>
      </c>
      <c r="N357" s="1">
        <f>Sintesi!$C$30*F357*1000</f>
        <v/>
      </c>
      <c r="O357" s="1">
        <f>M357-N357</f>
        <v/>
      </c>
      <c r="P357" s="1">
        <f>Sintesi!$C$33*G357*1000</f>
        <v/>
      </c>
      <c r="Q357" s="1">
        <f>Sintesi!$C$34*G357*1000</f>
        <v/>
      </c>
      <c r="R357" s="1">
        <f>P357-Q357</f>
        <v/>
      </c>
    </row>
    <row r="358">
      <c r="A358" s="41" t="n">
        <v>357</v>
      </c>
      <c r="B358" s="42">
        <f>DATE(Sintesi!$C$4-1,12,31)+A358</f>
        <v/>
      </c>
      <c r="C358" s="41">
        <f>'Paste cell here'!B358</f>
        <v/>
      </c>
      <c r="D358" s="41">
        <f>'Paste cell here'!I358</f>
        <v/>
      </c>
      <c r="E358" s="1">
        <f>'Paste cell here'!H358</f>
        <v/>
      </c>
      <c r="F358" s="1">
        <f>Sintesi!$C$5</f>
        <v/>
      </c>
      <c r="G358" s="1">
        <f>'Paste cell here'!AA358</f>
        <v/>
      </c>
      <c r="H358" s="43">
        <f>'Paste cell here'!U358</f>
        <v/>
      </c>
      <c r="I358" s="43">
        <f>'Paste cell here'!AE358</f>
        <v/>
      </c>
      <c r="J358" s="44">
        <f>'Paste cell here'!U357+'Paste cell here'!AF358</f>
        <v/>
      </c>
      <c r="K358" s="45">
        <f>'Paste cell here'!AG358</f>
        <v/>
      </c>
      <c r="L358" s="41">
        <f>IF(J358&lt;K358,"YES","NO")</f>
        <v/>
      </c>
      <c r="M358" s="1">
        <f>(Sintesi!$C$29*F358*1000)</f>
        <v/>
      </c>
      <c r="N358" s="1">
        <f>Sintesi!$C$30*F358*1000</f>
        <v/>
      </c>
      <c r="O358" s="1">
        <f>M358-N358</f>
        <v/>
      </c>
      <c r="P358" s="1">
        <f>Sintesi!$C$33*G358*1000</f>
        <v/>
      </c>
      <c r="Q358" s="1">
        <f>Sintesi!$C$34*G358*1000</f>
        <v/>
      </c>
      <c r="R358" s="1">
        <f>P358-Q358</f>
        <v/>
      </c>
    </row>
    <row r="359">
      <c r="A359" s="41" t="n">
        <v>358</v>
      </c>
      <c r="B359" s="42">
        <f>DATE(Sintesi!$C$4-1,12,31)+A359</f>
        <v/>
      </c>
      <c r="C359" s="41">
        <f>'Paste cell here'!B359</f>
        <v/>
      </c>
      <c r="D359" s="41">
        <f>'Paste cell here'!I359</f>
        <v/>
      </c>
      <c r="E359" s="1">
        <f>'Paste cell here'!H359</f>
        <v/>
      </c>
      <c r="F359" s="1">
        <f>Sintesi!$C$5</f>
        <v/>
      </c>
      <c r="G359" s="1">
        <f>'Paste cell here'!AA359</f>
        <v/>
      </c>
      <c r="H359" s="43">
        <f>'Paste cell here'!U359</f>
        <v/>
      </c>
      <c r="I359" s="43">
        <f>'Paste cell here'!AE359</f>
        <v/>
      </c>
      <c r="J359" s="44">
        <f>'Paste cell here'!U358+'Paste cell here'!AF359</f>
        <v/>
      </c>
      <c r="K359" s="45">
        <f>'Paste cell here'!AG359</f>
        <v/>
      </c>
      <c r="L359" s="41">
        <f>IF(J359&lt;K359,"YES","NO")</f>
        <v/>
      </c>
      <c r="M359" s="1">
        <f>(Sintesi!$C$29*F359*1000)</f>
        <v/>
      </c>
      <c r="N359" s="1">
        <f>Sintesi!$C$30*F359*1000</f>
        <v/>
      </c>
      <c r="O359" s="1">
        <f>M359-N359</f>
        <v/>
      </c>
      <c r="P359" s="1">
        <f>Sintesi!$C$33*G359*1000</f>
        <v/>
      </c>
      <c r="Q359" s="1">
        <f>Sintesi!$C$34*G359*1000</f>
        <v/>
      </c>
      <c r="R359" s="1">
        <f>P359-Q359</f>
        <v/>
      </c>
    </row>
    <row r="360">
      <c r="A360" s="41" t="n">
        <v>359</v>
      </c>
      <c r="B360" s="42">
        <f>DATE(Sintesi!$C$4-1,12,31)+A360</f>
        <v/>
      </c>
      <c r="C360" s="41">
        <f>'Paste cell here'!B360</f>
        <v/>
      </c>
      <c r="D360" s="41">
        <f>'Paste cell here'!I360</f>
        <v/>
      </c>
      <c r="E360" s="1">
        <f>'Paste cell here'!H360</f>
        <v/>
      </c>
      <c r="F360" s="1">
        <f>Sintesi!$C$5</f>
        <v/>
      </c>
      <c r="G360" s="1">
        <f>'Paste cell here'!AA360</f>
        <v/>
      </c>
      <c r="H360" s="43">
        <f>'Paste cell here'!U360</f>
        <v/>
      </c>
      <c r="I360" s="43">
        <f>'Paste cell here'!AE360</f>
        <v/>
      </c>
      <c r="J360" s="44">
        <f>'Paste cell here'!U359+'Paste cell here'!AF360</f>
        <v/>
      </c>
      <c r="K360" s="45">
        <f>'Paste cell here'!AG360</f>
        <v/>
      </c>
      <c r="L360" s="41">
        <f>IF(J360&lt;K360,"YES","NO")</f>
        <v/>
      </c>
      <c r="M360" s="1">
        <f>(Sintesi!$C$29*F360*1000)</f>
        <v/>
      </c>
      <c r="N360" s="1">
        <f>Sintesi!$C$30*F360*1000</f>
        <v/>
      </c>
      <c r="O360" s="1">
        <f>M360-N360</f>
        <v/>
      </c>
      <c r="P360" s="1">
        <f>Sintesi!$C$33*G360*1000</f>
        <v/>
      </c>
      <c r="Q360" s="1">
        <f>Sintesi!$C$34*G360*1000</f>
        <v/>
      </c>
      <c r="R360" s="1">
        <f>P360-Q360</f>
        <v/>
      </c>
    </row>
    <row r="361">
      <c r="A361" s="41" t="n">
        <v>360</v>
      </c>
      <c r="B361" s="42">
        <f>DATE(Sintesi!$C$4-1,12,31)+A361</f>
        <v/>
      </c>
      <c r="C361" s="41">
        <f>'Paste cell here'!B361</f>
        <v/>
      </c>
      <c r="D361" s="41">
        <f>'Paste cell here'!I361</f>
        <v/>
      </c>
      <c r="E361" s="1">
        <f>'Paste cell here'!H361</f>
        <v/>
      </c>
      <c r="F361" s="1">
        <f>Sintesi!$C$5</f>
        <v/>
      </c>
      <c r="G361" s="1">
        <f>'Paste cell here'!AA361</f>
        <v/>
      </c>
      <c r="H361" s="43">
        <f>'Paste cell here'!U361</f>
        <v/>
      </c>
      <c r="I361" s="43">
        <f>'Paste cell here'!AE361</f>
        <v/>
      </c>
      <c r="J361" s="44">
        <f>'Paste cell here'!U360+'Paste cell here'!AF361</f>
        <v/>
      </c>
      <c r="K361" s="45">
        <f>'Paste cell here'!AG361</f>
        <v/>
      </c>
      <c r="L361" s="41">
        <f>IF(J361&lt;K361,"YES","NO")</f>
        <v/>
      </c>
      <c r="M361" s="1">
        <f>(Sintesi!$C$29*F361*1000)</f>
        <v/>
      </c>
      <c r="N361" s="1">
        <f>Sintesi!$C$30*F361*1000</f>
        <v/>
      </c>
      <c r="O361" s="1">
        <f>M361-N361</f>
        <v/>
      </c>
      <c r="P361" s="1">
        <f>Sintesi!$C$33*G361*1000</f>
        <v/>
      </c>
      <c r="Q361" s="1">
        <f>Sintesi!$C$34*G361*1000</f>
        <v/>
      </c>
      <c r="R361" s="1">
        <f>P361-Q361</f>
        <v/>
      </c>
    </row>
    <row r="362">
      <c r="A362" s="41" t="n">
        <v>361</v>
      </c>
      <c r="B362" s="42">
        <f>DATE(Sintesi!$C$4-1,12,31)+A362</f>
        <v/>
      </c>
      <c r="C362" s="41">
        <f>'Paste cell here'!B362</f>
        <v/>
      </c>
      <c r="D362" s="41">
        <f>'Paste cell here'!I362</f>
        <v/>
      </c>
      <c r="E362" s="1">
        <f>'Paste cell here'!H362</f>
        <v/>
      </c>
      <c r="F362" s="1">
        <f>Sintesi!$C$5</f>
        <v/>
      </c>
      <c r="G362" s="1">
        <f>'Paste cell here'!AA362</f>
        <v/>
      </c>
      <c r="H362" s="43">
        <f>'Paste cell here'!U362</f>
        <v/>
      </c>
      <c r="I362" s="43">
        <f>'Paste cell here'!AE362</f>
        <v/>
      </c>
      <c r="J362" s="44">
        <f>'Paste cell here'!U361+'Paste cell here'!AF362</f>
        <v/>
      </c>
      <c r="K362" s="45">
        <f>'Paste cell here'!AG362</f>
        <v/>
      </c>
      <c r="L362" s="41">
        <f>IF(J362&lt;K362,"YES","NO")</f>
        <v/>
      </c>
      <c r="M362" s="1">
        <f>(Sintesi!$C$29*F362*1000)</f>
        <v/>
      </c>
      <c r="N362" s="1">
        <f>Sintesi!$C$30*F362*1000</f>
        <v/>
      </c>
      <c r="O362" s="1">
        <f>M362-N362</f>
        <v/>
      </c>
      <c r="P362" s="1">
        <f>Sintesi!$C$33*G362*1000</f>
        <v/>
      </c>
      <c r="Q362" s="1">
        <f>Sintesi!$C$34*G362*1000</f>
        <v/>
      </c>
      <c r="R362" s="1">
        <f>P362-Q362</f>
        <v/>
      </c>
    </row>
    <row r="363">
      <c r="A363" s="41" t="n">
        <v>362</v>
      </c>
      <c r="B363" s="42">
        <f>DATE(Sintesi!$C$4-1,12,31)+A363</f>
        <v/>
      </c>
      <c r="C363" s="41">
        <f>'Paste cell here'!B363</f>
        <v/>
      </c>
      <c r="D363" s="41">
        <f>'Paste cell here'!I363</f>
        <v/>
      </c>
      <c r="E363" s="1">
        <f>'Paste cell here'!H363</f>
        <v/>
      </c>
      <c r="F363" s="1">
        <f>Sintesi!$C$5</f>
        <v/>
      </c>
      <c r="G363" s="1">
        <f>'Paste cell here'!AA363</f>
        <v/>
      </c>
      <c r="H363" s="43">
        <f>'Paste cell here'!U363</f>
        <v/>
      </c>
      <c r="I363" s="43">
        <f>'Paste cell here'!AE363</f>
        <v/>
      </c>
      <c r="J363" s="44">
        <f>'Paste cell here'!U362+'Paste cell here'!AF363</f>
        <v/>
      </c>
      <c r="K363" s="45">
        <f>'Paste cell here'!AG363</f>
        <v/>
      </c>
      <c r="L363" s="41">
        <f>IF(J363&lt;K363,"YES","NO")</f>
        <v/>
      </c>
      <c r="M363" s="1">
        <f>(Sintesi!$C$29*F363*1000)</f>
        <v/>
      </c>
      <c r="N363" s="1">
        <f>Sintesi!$C$30*F363*1000</f>
        <v/>
      </c>
      <c r="O363" s="1">
        <f>M363-N363</f>
        <v/>
      </c>
      <c r="P363" s="1">
        <f>Sintesi!$C$33*G363*1000</f>
        <v/>
      </c>
      <c r="Q363" s="1">
        <f>Sintesi!$C$34*G363*1000</f>
        <v/>
      </c>
      <c r="R363" s="1">
        <f>P363-Q363</f>
        <v/>
      </c>
    </row>
    <row r="364">
      <c r="A364" s="41" t="n">
        <v>363</v>
      </c>
      <c r="B364" s="42">
        <f>DATE(Sintesi!$C$4-1,12,31)+A364</f>
        <v/>
      </c>
      <c r="C364" s="41">
        <f>'Paste cell here'!B364</f>
        <v/>
      </c>
      <c r="D364" s="41">
        <f>'Paste cell here'!I364</f>
        <v/>
      </c>
      <c r="E364" s="1">
        <f>'Paste cell here'!H364</f>
        <v/>
      </c>
      <c r="F364" s="1">
        <f>Sintesi!$C$5</f>
        <v/>
      </c>
      <c r="G364" s="1">
        <f>'Paste cell here'!AA364</f>
        <v/>
      </c>
      <c r="H364" s="43">
        <f>'Paste cell here'!U364</f>
        <v/>
      </c>
      <c r="I364" s="43">
        <f>'Paste cell here'!AE364</f>
        <v/>
      </c>
      <c r="J364" s="44">
        <f>'Paste cell here'!U363+'Paste cell here'!AF364</f>
        <v/>
      </c>
      <c r="K364" s="45">
        <f>'Paste cell here'!AG364</f>
        <v/>
      </c>
      <c r="L364" s="41">
        <f>IF(J364&lt;K364,"YES","NO")</f>
        <v/>
      </c>
      <c r="M364" s="1">
        <f>(Sintesi!$C$29*F364*1000)</f>
        <v/>
      </c>
      <c r="N364" s="1">
        <f>Sintesi!$C$30*F364*1000</f>
        <v/>
      </c>
      <c r="O364" s="1">
        <f>M364-N364</f>
        <v/>
      </c>
      <c r="P364" s="1">
        <f>Sintesi!$C$33*G364*1000</f>
        <v/>
      </c>
      <c r="Q364" s="1">
        <f>Sintesi!$C$34*G364*1000</f>
        <v/>
      </c>
      <c r="R364" s="1">
        <f>P364-Q364</f>
        <v/>
      </c>
    </row>
    <row r="365">
      <c r="A365" s="41" t="n">
        <v>364</v>
      </c>
      <c r="B365" s="42">
        <f>DATE(Sintesi!$C$4-1,12,31)+A365</f>
        <v/>
      </c>
      <c r="C365" s="41">
        <f>'Paste cell here'!B365</f>
        <v/>
      </c>
      <c r="D365" s="41">
        <f>'Paste cell here'!I365</f>
        <v/>
      </c>
      <c r="E365" s="1">
        <f>'Paste cell here'!H365</f>
        <v/>
      </c>
      <c r="F365" s="1">
        <f>Sintesi!$C$5</f>
        <v/>
      </c>
      <c r="G365" s="1">
        <f>'Paste cell here'!AA365</f>
        <v/>
      </c>
      <c r="H365" s="43">
        <f>'Paste cell here'!U365</f>
        <v/>
      </c>
      <c r="I365" s="43">
        <f>'Paste cell here'!AE365</f>
        <v/>
      </c>
      <c r="J365" s="44">
        <f>'Paste cell here'!U364+'Paste cell here'!AF365</f>
        <v/>
      </c>
      <c r="K365" s="45">
        <f>'Paste cell here'!AG365</f>
        <v/>
      </c>
      <c r="L365" s="41">
        <f>IF(J365&lt;K365,"YES","NO")</f>
        <v/>
      </c>
      <c r="M365" s="1">
        <f>(Sintesi!$C$29*F365*1000)</f>
        <v/>
      </c>
      <c r="N365" s="1">
        <f>Sintesi!$C$30*F365*1000</f>
        <v/>
      </c>
      <c r="O365" s="1">
        <f>M365-N365</f>
        <v/>
      </c>
      <c r="P365" s="1">
        <f>Sintesi!$C$33*G365*1000</f>
        <v/>
      </c>
      <c r="Q365" s="1">
        <f>Sintesi!$C$34*G365*1000</f>
        <v/>
      </c>
      <c r="R365" s="1">
        <f>P365-Q365</f>
        <v/>
      </c>
    </row>
    <row r="366">
      <c r="A366" s="41" t="n">
        <v>365</v>
      </c>
      <c r="B366" s="42">
        <f>DATE(Sintesi!$C$4-1,12,31)+A366</f>
        <v/>
      </c>
      <c r="C366" s="41">
        <f>'Paste cell here'!B366</f>
        <v/>
      </c>
      <c r="D366" s="41">
        <f>'Paste cell here'!I366</f>
        <v/>
      </c>
      <c r="E366" s="1">
        <f>'Paste cell here'!H366</f>
        <v/>
      </c>
      <c r="F366" s="1">
        <f>Sintesi!$C$5</f>
        <v/>
      </c>
      <c r="G366" s="1">
        <f>'Paste cell here'!AA366</f>
        <v/>
      </c>
      <c r="H366" s="43">
        <f>'Paste cell here'!U366</f>
        <v/>
      </c>
      <c r="I366" s="43">
        <f>'Paste cell here'!AE366</f>
        <v/>
      </c>
      <c r="J366" s="44">
        <f>'Paste cell here'!U365+'Paste cell here'!AF366</f>
        <v/>
      </c>
      <c r="K366" s="45">
        <f>'Paste cell here'!AG366</f>
        <v/>
      </c>
      <c r="L366" s="41">
        <f>IF(J366&lt;K366,"YES","NO")</f>
        <v/>
      </c>
      <c r="M366" s="1">
        <f>(Sintesi!$C$29*F366*1000)</f>
        <v/>
      </c>
      <c r="N366" s="1">
        <f>Sintesi!$C$30*F366*1000</f>
        <v/>
      </c>
      <c r="O366" s="1">
        <f>M366-N366</f>
        <v/>
      </c>
      <c r="P366" s="1">
        <f>Sintesi!$C$33*G366*1000</f>
        <v/>
      </c>
      <c r="Q366" s="1">
        <f>Sintesi!$C$34*G366*1000</f>
        <v/>
      </c>
      <c r="R366" s="1">
        <f>P366-Q366</f>
        <v/>
      </c>
    </row>
  </sheetData>
  <conditionalFormatting sqref="A2:R366">
    <cfRule type="expression" priority="2" dxfId="10">
      <formula>$L2="YES"</formula>
    </cfRule>
  </conditionalFormatting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Foglio5">
    <outlinePr summaryBelow="1" summaryRight="1"/>
    <pageSetUpPr/>
  </sheetPr>
  <dimension ref="A1:R366"/>
  <sheetViews>
    <sheetView zoomScale="81" zoomScaleNormal="100" workbookViewId="0">
      <selection activeCell="J10" sqref="J10"/>
    </sheetView>
  </sheetViews>
  <sheetFormatPr baseColWidth="8" defaultColWidth="9.140625" defaultRowHeight="11.25"/>
  <cols>
    <col width="11.140625" bestFit="1" customWidth="1" style="1" min="1" max="1"/>
    <col width="11.140625" customWidth="1" style="1" min="2" max="7"/>
    <col width="9.140625" customWidth="1" style="1" min="8" max="8"/>
    <col width="14" customWidth="1" style="1" min="9" max="10"/>
    <col width="10.85546875" bestFit="1" customWidth="1" style="1" min="11" max="12"/>
    <col width="9.140625" customWidth="1" style="1" min="13" max="16384"/>
  </cols>
  <sheetData>
    <row r="1" ht="22.5" customHeight="1">
      <c r="A1" s="3" t="inlineStr">
        <is>
          <t>Giorno giuliano</t>
        </is>
      </c>
      <c r="B1" s="3" t="inlineStr">
        <is>
          <t>Data</t>
        </is>
      </c>
      <c r="C1" s="3" t="inlineStr">
        <is>
          <t>Id coltura</t>
        </is>
      </c>
      <c r="D1" s="4" t="inlineStr">
        <is>
          <t>Fase</t>
        </is>
      </c>
      <c r="E1" s="3" t="inlineStr">
        <is>
          <t>Kcb</t>
        </is>
      </c>
      <c r="F1" s="3" t="inlineStr">
        <is>
          <t>Tmax [°C]</t>
        </is>
      </c>
      <c r="G1" s="3" t="inlineStr">
        <is>
          <t>Tmin [°C]</t>
        </is>
      </c>
      <c r="H1" s="4" t="inlineStr">
        <is>
          <t>ET0 [mm]</t>
        </is>
      </c>
      <c r="I1" s="3" t="inlineStr">
        <is>
          <t>Traspirazione potenziale [mm]</t>
        </is>
      </c>
      <c r="J1" s="3" t="inlineStr">
        <is>
          <t>Traspirazione effettiva [mm]</t>
        </is>
      </c>
      <c r="K1" s="3" t="inlineStr">
        <is>
          <t>Tp/ET0</t>
        </is>
      </c>
      <c r="L1" s="4" t="inlineStr">
        <is>
          <t>Tday [°C]</t>
        </is>
      </c>
      <c r="M1" s="4" t="inlineStr">
        <is>
          <t>fHSd</t>
        </is>
      </c>
      <c r="N1" s="4" t="n"/>
      <c r="O1" s="13" t="inlineStr">
        <is>
          <t>Mese</t>
        </is>
      </c>
      <c r="P1" s="13" t="inlineStr">
        <is>
          <t>Tmax_time</t>
        </is>
      </c>
      <c r="Q1" s="13" t="inlineStr">
        <is>
          <t>Tmin_time</t>
        </is>
      </c>
    </row>
    <row r="2">
      <c r="A2" s="1">
        <f>'Paste cell here'!A2</f>
        <v/>
      </c>
      <c r="B2" s="2">
        <f>DATE(Sintesi!$C$4-1,12,31)+A2</f>
        <v/>
      </c>
      <c r="C2" s="34">
        <f t="array" ref="C2">_xlfn.IFNA(MATCH(1,(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)*(_xlfn.ANCHORARRAY(Sintesi!$C$15)&gt;=0)+(_xlfn.ANCHORARRAY(Sintesi!$C$15)&lt;0),0),0)</f>
        <v/>
      </c>
      <c r="D2" s="1">
        <f t="array" ref="D2">IF(ISBLANK($E3),IF(ISNUMBER($E1),IF($C2&gt;0,IF(($E2=INDEX(_xlfn.ANCHORARRAY(Sintesi!$C$14),1,$C2))*(INDEX(_xlfn.ANCHORARRAY(Sintesi!$C$15),1,$C2)&gt;0),0,IF(($E2=INDEX(_xlfn.ANCHORARRAY(Sintesi!$C$14),1,$C2))*(INDEX(_xlfn.ANCHORARRAY(Sintesi!$C$15),1,$C2)&lt;0)+($E2&gt;=$E1)*($E2&lt;=INDEX($E:$E,MATCH(TRUE,INDEX((ISNUMBER($E:$E)),0),0)))*($E2&gt;INDEX(_xlfn.ANCHORARRAY(Sintesi!$C$14),1,$C2))*($E2&lt;=INDEX(_xlfn.ANCHORARRAY(Sintesi!$C$15),1,$C2))*(INDEX(_xlfn.ANCHORARRAY(Sintesi!$C$15),1,$C2)&gt;0),1,IF(($E2&gt;=$E1)*($E2&lt;=INDEX($E:$E,MATCH(TRUE,INDEX((ISNUMBER($E:$E)),0),0)))*($E2&gt;INDEX(_xlfn.ANCHORARRAY(Sintesi!$C$14),1,$C2))*($E2&lt;INDEX(_xlfn.ANCHORARRAY(Sintesi!$C$16),1,$C2))*(INDEX(_xlfn.ANCHORARRAY(Sintesi!$C$15),1,$C2)&lt;0)+($E2&gt;=$E1)*($E2&lt;=INDEX($E:$E,MATCH(TRUE,INDEX((ISNUMBER($E:$E)),0),0)))*($E2&gt;INDEX(_xlfn.ANCHORARRAY(Sintesi!$C$15),1,$C2))*($E2&lt;INDEX(_xlfn.ANCHORARRAY(Sintesi!$C$16),1,$C2))*(INDEX(_xlfn.ANCHORARRAY(Sintesi!$C$15),1,$C2)&gt;0),2,IF($E2=(INDEX(_xlfn.ANCHORARRAY(Sintesi!$C$16),1,$C2)),3,4)))),0),IF($C2&gt;0,IF(($E2=INDEX(_xlfn.ANCHORARRAY(Sintesi!$C$14),1,$C2))*(INDEX(_xlfn.ANCHORARRAY(Sintesi!$C$15),1,$C2)&gt;0),0,IF(($E2=INDEX(_xlfn.ANCHORARRAY(Sintesi!$C$14),1,$C2))*(INDEX(_xlfn.ANCHORARRAY(Sintesi!$C$15),1,$C2)&lt;0)+($E2&gt;=LOOKUP(2,1/($E:$E&lt;&gt;""),$E:$E))*($E2&lt;=INDEX($E:$E,MATCH(TRUE,INDEX((ISNUMBER($E:$E)),0),0)))*($E2&gt;INDEX(_xlfn.ANCHORARRAY(Sintesi!$C$14),1,$C2))*($E2&lt;=INDEX(_xlfn.ANCHORARRAY(Sintesi!$C$15),1,$C2))*(INDEX(_xlfn.ANCHORARRAY(Sintesi!$C$15),1,$C2)&gt;0),1,IF(($E2&gt;=LOOKUP(2,1/($E:$E&lt;&gt;""),$E:$E))*($E2&lt;=INDEX($E:$E,MATCH(TRUE,INDEX((ISNUMBER($E:$E)),0),0)))*($E2&gt;INDEX(_xlfn.ANCHORARRAY(Sintesi!$C$14),1,$C2))*($E2&lt;INDEX(_xlfn.ANCHORARRAY(Sintesi!$C$16),1,$C2))*(INDEX(_xlfn.ANCHORARRAY(Sintesi!$C$15),1,$C2)&lt;0)+($E2&gt;=LOOKUP(2,1/($E:$E&lt;&gt;""),$E:$E))*($E2&lt;=INDEX($E:$E,MATCH(TRUE,INDEX((ISNUMBER($E:$E)),0),0)))*($E2&gt;INDEX(_xlfn.ANCHORARRAY(Sintesi!$C$15),1,$C2))*($E2&lt;INDEX(_xlfn.ANCHORARRAY(Sintesi!$C$16),1,$C2))*(INDEX(_xlfn.ANCHORARRAY(Sintesi!$C$15),1,$C2)&gt;0),2,IF($E2=(INDEX(_xlfn.ANCHORARRAY(Sintesi!$C$16),1,$C2)),3,4)))),0)),IF(ISNUMBER($E1),IF($C2&gt;0,IF(($E2=INDEX(_xlfn.ANCHORARRAY(Sintesi!$C$14),1,$C2))*(INDEX(_xlfn.ANCHORARRAY(Sintesi!$C$15),1,$C2)&gt;0),0,IF(($E2=INDEX(_xlfn.ANCHORARRAY(Sintesi!$C$14),1,$C2))*(INDEX(_xlfn.ANCHORARRAY(Sintesi!$C$15),1,$C2)&lt;0)+($E2&gt;=$E1)*($E2&lt;=$E3)*($E2&gt;INDEX(_xlfn.ANCHORARRAY(Sintesi!$C$14),1,$C2))*($E2&lt;=INDEX(_xlfn.ANCHORARRAY(Sintesi!$C$15),1,$C2))*(INDEX(_xlfn.ANCHORARRAY(Sintesi!$C$15),1,$C2)&gt;0),1,IF(($E2&gt;=$E1)*($E2&lt;=$E3)*($E2&gt;INDEX(_xlfn.ANCHORARRAY(Sintesi!$C$14),1,$C2))*($E2&lt;INDEX(_xlfn.ANCHORARRAY(Sintesi!$C$16),1,$C2))*(INDEX(_xlfn.ANCHORARRAY(Sintesi!$C$15),1,$C2)&lt;0)+($E2&gt;=$E1)*($E2&lt;=$E3)*($E2&gt;INDEX(_xlfn.ANCHORARRAY(Sintesi!$C$15),1,$C2))*($E2&lt;INDEX(_xlfn.ANCHORARRAY(Sintesi!$C$16),1,$C2))*(INDEX(_xlfn.ANCHORARRAY(Sintesi!$C$15),1,$C2)&gt;0),2,IF($E2=(INDEX(_xlfn.ANCHORARRAY(Sintesi!$C$16),1,$C2)),3,4)))),0),IF($C2&gt;0,IF(($E2=INDEX(_xlfn.ANCHORARRAY(Sintesi!$C$14),1,$C2))*(INDEX(_xlfn.ANCHORARRAY(Sintesi!$C$15),1,$C2)&gt;0),0,IF(($E2=INDEX(_xlfn.ANCHORARRAY(Sintesi!$C$14),1,$C2))*(INDEX(_xlfn.ANCHORARRAY(Sintesi!$C$15),1,$C2)&lt;0)+($E2&gt;=LOOKUP(2,1/($E:$E&lt;&gt;""),$E:$E))*($E2&lt;=$E3)*($E2&gt;INDEX(_xlfn.ANCHORARRAY(Sintesi!$C$14),1,$C2))*($E2&lt;=INDEX(_xlfn.ANCHORARRAY(Sintesi!$C$15),1,$C2))*(INDEX(_xlfn.ANCHORARRAY(Sintesi!$C$15),1,$C2)&gt;0),1,IF(($E2&gt;=LOOKUP(2,1/($E:$E&lt;&gt;""),$E:$E))*($E2&lt;=$E3)*($E2&gt;INDEX(_xlfn.ANCHORARRAY(Sintesi!$C$14),1,$C2))*($E2&lt;INDEX(_xlfn.ANCHORARRAY(Sintesi!$C$16),1,$C2))*(INDEX(_xlfn.ANCHORARRAY(Sintesi!$C$15),1,$C2)&lt;0)+($E2&gt;=LOOKUP(2,1/($E:$E&lt;&gt;""),$E:$E))*($E2&lt;=$E3)*($E2&gt;INDEX(_xlfn.ANCHORARRAY(Sintesi!$C$15),1,$C2))*($E2&lt;INDEX(_xlfn.ANCHORARRAY(Sintesi!$C$16),1,$C2))*(INDEX(_xlfn.ANCHORARRAY(Sintesi!$C$15),1,$C2)&gt;0),2,IF($E2=(INDEX(_xlfn.ANCHORARRAY(Sintesi!$C$16),1,$C2)),3,4)))),0)))</f>
        <v/>
      </c>
      <c r="E2" s="1">
        <f>'Paste cell here'!F2</f>
        <v/>
      </c>
      <c r="F2" s="1">
        <f>'Paste cell here'!C2</f>
        <v/>
      </c>
      <c r="G2" s="1">
        <f>'Paste cell here'!D2</f>
        <v/>
      </c>
      <c r="H2" s="1">
        <f>'Paste cell here'!E2</f>
        <v/>
      </c>
      <c r="I2" s="1">
        <f>'Paste cell here'!X2</f>
        <v/>
      </c>
      <c r="J2" s="1">
        <f>'Paste cell here'!Y2+'Paste cell here'!S2</f>
        <v/>
      </c>
      <c r="K2" s="1">
        <f>I2/H2</f>
        <v/>
      </c>
      <c r="L2" s="1">
        <f>AVERAGE(($F2+$G2)/2-($F2-$G2)/2*COS(PI()*(8-VLOOKUP(MONTH(B2),$O$1:$Q$13,3))/(VLOOKUP(MONTH(B2),$O$1:$Q$13,2)-VLOOKUP(MONTH(B2),$O$1:$Q$13,3))),($F2+$G2)/2-($F2-$G2)/2*COS(PI()*(9-VLOOKUP(MONTH(B2),$O$1:$Q$13,3))/(VLOOKUP(MONTH(B2),$O$1:$Q$13,2)-VLOOKUP(MONTH(B2),$O$1:$Q$13,3))),($F2+$G2)/2-($F2-$G2)/2*COS(PI()*(10-VLOOKUP(MONTH(B2),$O$1:$Q$13,3))/(VLOOKUP(MONTH(B2),$O$1:$Q$13,2)-VLOOKUP(MONTH(B2),$O$1:$Q$13,3))),($F2+$G2)/2-($F2-$G2)/2*COS(PI()*(11-VLOOKUP(MONTH(B2),$O$1:$Q$13,3))/(VLOOKUP(MONTH(B2),$O$1:$Q$13,2)-VLOOKUP(MONTH(B2),$O$1:$Q$13,3))),($F2+$G2)/2-($F2-$G2)/2*COS(PI()*(12-VLOOKUP(MONTH(B2),$O$1:$Q$13,3))/(VLOOKUP(MONTH(B2),$O$1:$Q$13,2)-VLOOKUP(MONTH(B2),$O$1:$Q$13,3))),($F2+$G2)/2-($F2-$G2)/2*COS(PI()*(13-VLOOKUP(MONTH(B2),$O$1:$Q$13,3))/(VLOOKUP(MONTH(B2),$O$1:$Q$13,2)-VLOOKUP(MONTH(B2),$O$1:$Q$13,3))),($F2+$G2)/2-($F2-$G2)/2*COS(PI()*(14-VLOOKUP(MONTH(B2),$O$1:$Q$13,3))/(VLOOKUP(MONTH(B2),$O$1:$Q$13,2)-VLOOKUP(MONTH(B2),$O$1:$Q$13,3))))</f>
        <v/>
      </c>
      <c r="M2" s="1">
        <f t="array" ref="M2">IF(AND(A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,A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),IF(L2&lt;_xlfn.IFNA(INDEX(_xlfn.ANCHORARRAY(Sintesi!$C$17)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,1,IF(L2&gt;=_xlfn.IFNA(INDEX(_xlfn.ANCHORARRAY(Sintesi!$C$18)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,0,1-(L2-_xlfn.IFNA(INDEX(_xlfn.ANCHORARRAY(Sintesi!$C$17)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)/(_xlfn.IFNA(INDEX(_xlfn.ANCHORARRAY(Sintesi!$C$18)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-_xlfn.IFNA(INDEX(_xlfn.ANCHORARRAY(Sintesi!$C$17)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))),0)</f>
        <v/>
      </c>
      <c r="O2" s="14" t="n">
        <v>1</v>
      </c>
      <c r="P2" s="14" t="n">
        <v>14</v>
      </c>
      <c r="Q2" s="14" t="n">
        <v>6</v>
      </c>
    </row>
    <row r="3">
      <c r="A3" s="1">
        <f>'Paste cell here'!A3</f>
        <v/>
      </c>
      <c r="B3" s="2">
        <f>DATE(Sintesi!$C$4-1,12,31)+A3</f>
        <v/>
      </c>
      <c r="C3" s="34">
        <f t="array" ref="C3">_xlfn.IFNA(MATCH(1,(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)*(_xlfn.ANCHORARRAY(Sintesi!$C$15)&gt;=0)+(_xlfn.ANCHORARRAY(Sintesi!$C$15)&lt;0),0),0)</f>
        <v/>
      </c>
      <c r="D3" s="1">
        <f t="array" ref="D3">IF(ISBLANK($E4),IF(ISNUMBER($E2),IF($C3&gt;0,IF(($E3=INDEX(_xlfn.ANCHORARRAY(Sintesi!$C$14),1,$C3))*(INDEX(_xlfn.ANCHORARRAY(Sintesi!$C$15),1,$C3)&gt;0),0,IF(($E3=INDEX(_xlfn.ANCHORARRAY(Sintesi!$C$14),1,$C3))*(INDEX(_xlfn.ANCHORARRAY(Sintesi!$C$15),1,$C3)&lt;0)+($E3&gt;=$E2)*($E3&lt;=INDEX($E:$E,MATCH(TRUE,INDEX((ISNUMBER($E:$E)),0),0)))*($E3&gt;INDEX(_xlfn.ANCHORARRAY(Sintesi!$C$14),1,$C3))*($E3&lt;=INDEX(_xlfn.ANCHORARRAY(Sintesi!$C$15),1,$C3))*(INDEX(_xlfn.ANCHORARRAY(Sintesi!$C$15),1,$C3)&gt;0),1,IF(($E3&gt;=$E2)*($E3&lt;=INDEX($E:$E,MATCH(TRUE,INDEX((ISNUMBER($E:$E)),0),0)))*($E3&gt;INDEX(_xlfn.ANCHORARRAY(Sintesi!$C$14),1,$C3))*($E3&lt;INDEX(_xlfn.ANCHORARRAY(Sintesi!$C$16),1,$C3))*(INDEX(_xlfn.ANCHORARRAY(Sintesi!$C$15),1,$C3)&lt;0)+($E3&gt;=$E2)*($E3&lt;=INDEX($E:$E,MATCH(TRUE,INDEX((ISNUMBER($E:$E)),0),0)))*($E3&gt;INDEX(_xlfn.ANCHORARRAY(Sintesi!$C$15),1,$C3))*($E3&lt;INDEX(_xlfn.ANCHORARRAY(Sintesi!$C$16),1,$C3))*(INDEX(_xlfn.ANCHORARRAY(Sintesi!$C$15),1,$C3)&gt;0),2,IF($E3=(INDEX(_xlfn.ANCHORARRAY(Sintesi!$C$16),1,$C3)),3,4)))),0),IF($C3&gt;0,IF(($E3=INDEX(_xlfn.ANCHORARRAY(Sintesi!$C$14),1,$C3))*(INDEX(_xlfn.ANCHORARRAY(Sintesi!$C$15),1,$C3)&gt;0),0,IF(($E3=INDEX(_xlfn.ANCHORARRAY(Sintesi!$C$14),1,$C3))*(INDEX(_xlfn.ANCHORARRAY(Sintesi!$C$15),1,$C3)&lt;0)+($E3&gt;=LOOKUP(2,1/($E:$E&lt;&gt;""),$E:$E))*($E3&lt;=INDEX($E:$E,MATCH(TRUE,INDEX((ISNUMBER($E:$E)),0),0)))*($E3&gt;INDEX(_xlfn.ANCHORARRAY(Sintesi!$C$14),1,$C3))*($E3&lt;=INDEX(_xlfn.ANCHORARRAY(Sintesi!$C$15),1,$C3))*(INDEX(_xlfn.ANCHORARRAY(Sintesi!$C$15),1,$C3)&gt;0),1,IF(($E3&gt;=LOOKUP(2,1/($E:$E&lt;&gt;""),$E:$E))*($E3&lt;=INDEX($E:$E,MATCH(TRUE,INDEX((ISNUMBER($E:$E)),0),0)))*($E3&gt;INDEX(_xlfn.ANCHORARRAY(Sintesi!$C$14),1,$C3))*($E3&lt;INDEX(_xlfn.ANCHORARRAY(Sintesi!$C$16),1,$C3))*(INDEX(_xlfn.ANCHORARRAY(Sintesi!$C$15),1,$C3)&lt;0)+($E3&gt;=LOOKUP(2,1/($E:$E&lt;&gt;""),$E:$E))*($E3&lt;=INDEX($E:$E,MATCH(TRUE,INDEX((ISNUMBER($E:$E)),0),0)))*($E3&gt;INDEX(_xlfn.ANCHORARRAY(Sintesi!$C$15),1,$C3))*($E3&lt;INDEX(_xlfn.ANCHORARRAY(Sintesi!$C$16),1,$C3))*(INDEX(_xlfn.ANCHORARRAY(Sintesi!$C$15),1,$C3)&gt;0),2,IF($E3=(INDEX(_xlfn.ANCHORARRAY(Sintesi!$C$16),1,$C3)),3,4)))),0)),IF(ISNUMBER($E2),IF($C3&gt;0,IF(($E3=INDEX(_xlfn.ANCHORARRAY(Sintesi!$C$14),1,$C3))*(INDEX(_xlfn.ANCHORARRAY(Sintesi!$C$15),1,$C3)&gt;0),0,IF(($E3=INDEX(_xlfn.ANCHORARRAY(Sintesi!$C$14),1,$C3))*(INDEX(_xlfn.ANCHORARRAY(Sintesi!$C$15),1,$C3)&lt;0)+($E3&gt;=$E2)*($E3&lt;=$E4)*($E3&gt;INDEX(_xlfn.ANCHORARRAY(Sintesi!$C$14),1,$C3))*($E3&lt;=INDEX(_xlfn.ANCHORARRAY(Sintesi!$C$15),1,$C3))*(INDEX(_xlfn.ANCHORARRAY(Sintesi!$C$15),1,$C3)&gt;0),1,IF(($E3&gt;=$E2)*($E3&lt;=$E4)*($E3&gt;INDEX(_xlfn.ANCHORARRAY(Sintesi!$C$14),1,$C3))*($E3&lt;INDEX(_xlfn.ANCHORARRAY(Sintesi!$C$16),1,$C3))*(INDEX(_xlfn.ANCHORARRAY(Sintesi!$C$15),1,$C3)&lt;0)+($E3&gt;=$E2)*($E3&lt;=$E4)*($E3&gt;INDEX(_xlfn.ANCHORARRAY(Sintesi!$C$15),1,$C3))*($E3&lt;INDEX(_xlfn.ANCHORARRAY(Sintesi!$C$16),1,$C3))*(INDEX(_xlfn.ANCHORARRAY(Sintesi!$C$15),1,$C3)&gt;0),2,IF($E3=(INDEX(_xlfn.ANCHORARRAY(Sintesi!$C$16),1,$C3)),3,4)))),0),IF($C3&gt;0,IF(($E3=INDEX(_xlfn.ANCHORARRAY(Sintesi!$C$14),1,$C3))*(INDEX(_xlfn.ANCHORARRAY(Sintesi!$C$15),1,$C3)&gt;0),0,IF(($E3=INDEX(_xlfn.ANCHORARRAY(Sintesi!$C$14),1,$C3))*(INDEX(_xlfn.ANCHORARRAY(Sintesi!$C$15),1,$C3)&lt;0)+($E3&gt;=LOOKUP(2,1/($E:$E&lt;&gt;""),$E:$E))*($E3&lt;=$E4)*($E3&gt;INDEX(_xlfn.ANCHORARRAY(Sintesi!$C$14),1,$C3))*($E3&lt;=INDEX(_xlfn.ANCHORARRAY(Sintesi!$C$15),1,$C3))*(INDEX(_xlfn.ANCHORARRAY(Sintesi!$C$15),1,$C3)&gt;0),1,IF(($E3&gt;=LOOKUP(2,1/($E:$E&lt;&gt;""),$E:$E))*($E3&lt;=$E4)*($E3&gt;INDEX(_xlfn.ANCHORARRAY(Sintesi!$C$14),1,$C3))*($E3&lt;INDEX(_xlfn.ANCHORARRAY(Sintesi!$C$16),1,$C3))*(INDEX(_xlfn.ANCHORARRAY(Sintesi!$C$15),1,$C3)&lt;0)+($E3&gt;=LOOKUP(2,1/($E:$E&lt;&gt;""),$E:$E))*($E3&lt;=$E4)*($E3&gt;INDEX(_xlfn.ANCHORARRAY(Sintesi!$C$15),1,$C3))*($E3&lt;INDEX(_xlfn.ANCHORARRAY(Sintesi!$C$16),1,$C3))*(INDEX(_xlfn.ANCHORARRAY(Sintesi!$C$15),1,$C3)&gt;0),2,IF($E3=(INDEX(_xlfn.ANCHORARRAY(Sintesi!$C$16),1,$C3)),3,4)))),0)))</f>
        <v/>
      </c>
      <c r="E3" s="1">
        <f>'Paste cell here'!F3</f>
        <v/>
      </c>
      <c r="F3" s="1">
        <f>'Paste cell here'!C3</f>
        <v/>
      </c>
      <c r="G3" s="1">
        <f>'Paste cell here'!D3</f>
        <v/>
      </c>
      <c r="H3" s="1">
        <f>'Paste cell here'!E3</f>
        <v/>
      </c>
      <c r="I3" s="1">
        <f>'Paste cell here'!X3</f>
        <v/>
      </c>
      <c r="J3" s="1">
        <f>'Paste cell here'!Y3+'Paste cell here'!S3</f>
        <v/>
      </c>
      <c r="K3" s="1">
        <f>I3/H3</f>
        <v/>
      </c>
      <c r="L3" s="1">
        <f>AVERAGE(($F3+$G3)/2-($F3-$G3)/2*COS(PI()*(8-VLOOKUP(MONTH(B3),$O$1:$Q$13,3))/(VLOOKUP(MONTH(B3),$O$1:$Q$13,2)-VLOOKUP(MONTH(B3),$O$1:$Q$13,3))),($F3+$G3)/2-($F3-$G3)/2*COS(PI()*(9-VLOOKUP(MONTH(B3),$O$1:$Q$13,3))/(VLOOKUP(MONTH(B3),$O$1:$Q$13,2)-VLOOKUP(MONTH(B3),$O$1:$Q$13,3))),($F3+$G3)/2-($F3-$G3)/2*COS(PI()*(10-VLOOKUP(MONTH(B3),$O$1:$Q$13,3))/(VLOOKUP(MONTH(B3),$O$1:$Q$13,2)-VLOOKUP(MONTH(B3),$O$1:$Q$13,3))),($F3+$G3)/2-($F3-$G3)/2*COS(PI()*(11-VLOOKUP(MONTH(B3),$O$1:$Q$13,3))/(VLOOKUP(MONTH(B3),$O$1:$Q$13,2)-VLOOKUP(MONTH(B3),$O$1:$Q$13,3))),($F3+$G3)/2-($F3-$G3)/2*COS(PI()*(12-VLOOKUP(MONTH(B3),$O$1:$Q$13,3))/(VLOOKUP(MONTH(B3),$O$1:$Q$13,2)-VLOOKUP(MONTH(B3),$O$1:$Q$13,3))),($F3+$G3)/2-($F3-$G3)/2*COS(PI()*(13-VLOOKUP(MONTH(B3),$O$1:$Q$13,3))/(VLOOKUP(MONTH(B3),$O$1:$Q$13,2)-VLOOKUP(MONTH(B3),$O$1:$Q$13,3))),($F3+$G3)/2-($F3-$G3)/2*COS(PI()*(14-VLOOKUP(MONTH(B3),$O$1:$Q$13,3))/(VLOOKUP(MONTH(B3),$O$1:$Q$13,2)-VLOOKUP(MONTH(B3),$O$1:$Q$13,3))))</f>
        <v/>
      </c>
      <c r="M3" s="1">
        <f t="array" ref="M3">IF(AND(A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,A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),IF(L3&lt;_xlfn.IFNA(INDEX(_xlfn.ANCHORARRAY(Sintesi!$C$17)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,1,IF(L3&gt;=_xlfn.IFNA(INDEX(_xlfn.ANCHORARRAY(Sintesi!$C$18)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,0,1-(L3-_xlfn.IFNA(INDEX(_xlfn.ANCHORARRAY(Sintesi!$C$17)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)/(_xlfn.IFNA(INDEX(_xlfn.ANCHORARRAY(Sintesi!$C$18)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-_xlfn.IFNA(INDEX(_xlfn.ANCHORARRAY(Sintesi!$C$17)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))),0)</f>
        <v/>
      </c>
      <c r="O3" s="14" t="n">
        <v>2</v>
      </c>
      <c r="P3" s="14" t="n">
        <v>14</v>
      </c>
      <c r="Q3" s="14" t="n">
        <v>6</v>
      </c>
    </row>
    <row r="4">
      <c r="A4" s="1">
        <f>'Paste cell here'!A4</f>
        <v/>
      </c>
      <c r="B4" s="2">
        <f>DATE(Sintesi!$C$4-1,12,31)+A4</f>
        <v/>
      </c>
      <c r="C4" s="34">
        <f t="array" ref="C4">_xlfn.IFNA(MATCH(1,(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)*(_xlfn.ANCHORARRAY(Sintesi!$C$15)&gt;=0)+(_xlfn.ANCHORARRAY(Sintesi!$C$15)&lt;0),0),0)</f>
        <v/>
      </c>
      <c r="D4" s="1">
        <f t="array" ref="D4">IF(ISBLANK($E5),IF(ISNUMBER($E3),IF($C4&gt;0,IF(($E4=INDEX(_xlfn.ANCHORARRAY(Sintesi!$C$14),1,$C4))*(INDEX(_xlfn.ANCHORARRAY(Sintesi!$C$15),1,$C4)&gt;0),0,IF(($E4=INDEX(_xlfn.ANCHORARRAY(Sintesi!$C$14),1,$C4))*(INDEX(_xlfn.ANCHORARRAY(Sintesi!$C$15),1,$C4)&lt;0)+($E4&gt;=$E3)*($E4&lt;=INDEX($E:$E,MATCH(TRUE,INDEX((ISNUMBER($E:$E)),0),0)))*($E4&gt;INDEX(_xlfn.ANCHORARRAY(Sintesi!$C$14),1,$C4))*($E4&lt;=INDEX(_xlfn.ANCHORARRAY(Sintesi!$C$15),1,$C4))*(INDEX(_xlfn.ANCHORARRAY(Sintesi!$C$15),1,$C4)&gt;0),1,IF(($E4&gt;=$E3)*($E4&lt;=INDEX($E:$E,MATCH(TRUE,INDEX((ISNUMBER($E:$E)),0),0)))*($E4&gt;INDEX(_xlfn.ANCHORARRAY(Sintesi!$C$14),1,$C4))*($E4&lt;INDEX(_xlfn.ANCHORARRAY(Sintesi!$C$16),1,$C4))*(INDEX(_xlfn.ANCHORARRAY(Sintesi!$C$15),1,$C4)&lt;0)+($E4&gt;=$E3)*($E4&lt;=INDEX($E:$E,MATCH(TRUE,INDEX((ISNUMBER($E:$E)),0),0)))*($E4&gt;INDEX(_xlfn.ANCHORARRAY(Sintesi!$C$15),1,$C4))*($E4&lt;INDEX(_xlfn.ANCHORARRAY(Sintesi!$C$16),1,$C4))*(INDEX(_xlfn.ANCHORARRAY(Sintesi!$C$15),1,$C4)&gt;0),2,IF($E4=(INDEX(_xlfn.ANCHORARRAY(Sintesi!$C$16),1,$C4)),3,4)))),0),IF($C4&gt;0,IF(($E4=INDEX(_xlfn.ANCHORARRAY(Sintesi!$C$14),1,$C4))*(INDEX(_xlfn.ANCHORARRAY(Sintesi!$C$15),1,$C4)&gt;0),0,IF(($E4=INDEX(_xlfn.ANCHORARRAY(Sintesi!$C$14),1,$C4))*(INDEX(_xlfn.ANCHORARRAY(Sintesi!$C$15),1,$C4)&lt;0)+($E4&gt;=LOOKUP(2,1/($E:$E&lt;&gt;""),$E:$E))*($E4&lt;=INDEX($E:$E,MATCH(TRUE,INDEX((ISNUMBER($E:$E)),0),0)))*($E4&gt;INDEX(_xlfn.ANCHORARRAY(Sintesi!$C$14),1,$C4))*($E4&lt;=INDEX(_xlfn.ANCHORARRAY(Sintesi!$C$15),1,$C4))*(INDEX(_xlfn.ANCHORARRAY(Sintesi!$C$15),1,$C4)&gt;0),1,IF(($E4&gt;=LOOKUP(2,1/($E:$E&lt;&gt;""),$E:$E))*($E4&lt;=INDEX($E:$E,MATCH(TRUE,INDEX((ISNUMBER($E:$E)),0),0)))*($E4&gt;INDEX(_xlfn.ANCHORARRAY(Sintesi!$C$14),1,$C4))*($E4&lt;INDEX(_xlfn.ANCHORARRAY(Sintesi!$C$16),1,$C4))*(INDEX(_xlfn.ANCHORARRAY(Sintesi!$C$15),1,$C4)&lt;0)+($E4&gt;=LOOKUP(2,1/($E:$E&lt;&gt;""),$E:$E))*($E4&lt;=INDEX($E:$E,MATCH(TRUE,INDEX((ISNUMBER($E:$E)),0),0)))*($E4&gt;INDEX(_xlfn.ANCHORARRAY(Sintesi!$C$15),1,$C4))*($E4&lt;INDEX(_xlfn.ANCHORARRAY(Sintesi!$C$16),1,$C4))*(INDEX(_xlfn.ANCHORARRAY(Sintesi!$C$15),1,$C4)&gt;0),2,IF($E4=(INDEX(_xlfn.ANCHORARRAY(Sintesi!$C$16),1,$C4)),3,4)))),0)),IF(ISNUMBER($E3),IF($C4&gt;0,IF(($E4=INDEX(_xlfn.ANCHORARRAY(Sintesi!$C$14),1,$C4))*(INDEX(_xlfn.ANCHORARRAY(Sintesi!$C$15),1,$C4)&gt;0),0,IF(($E4=INDEX(_xlfn.ANCHORARRAY(Sintesi!$C$14),1,$C4))*(INDEX(_xlfn.ANCHORARRAY(Sintesi!$C$15),1,$C4)&lt;0)+($E4&gt;=$E3)*($E4&lt;=$E5)*($E4&gt;INDEX(_xlfn.ANCHORARRAY(Sintesi!$C$14),1,$C4))*($E4&lt;=INDEX(_xlfn.ANCHORARRAY(Sintesi!$C$15),1,$C4))*(INDEX(_xlfn.ANCHORARRAY(Sintesi!$C$15),1,$C4)&gt;0),1,IF(($E4&gt;=$E3)*($E4&lt;=$E5)*($E4&gt;INDEX(_xlfn.ANCHORARRAY(Sintesi!$C$14),1,$C4))*($E4&lt;INDEX(_xlfn.ANCHORARRAY(Sintesi!$C$16),1,$C4))*(INDEX(_xlfn.ANCHORARRAY(Sintesi!$C$15),1,$C4)&lt;0)+($E4&gt;=$E3)*($E4&lt;=$E5)*($E4&gt;INDEX(_xlfn.ANCHORARRAY(Sintesi!$C$15),1,$C4))*($E4&lt;INDEX(_xlfn.ANCHORARRAY(Sintesi!$C$16),1,$C4))*(INDEX(_xlfn.ANCHORARRAY(Sintesi!$C$15),1,$C4)&gt;0),2,IF($E4=(INDEX(_xlfn.ANCHORARRAY(Sintesi!$C$16),1,$C4)),3,4)))),0),IF($C4&gt;0,IF(($E4=INDEX(_xlfn.ANCHORARRAY(Sintesi!$C$14),1,$C4))*(INDEX(_xlfn.ANCHORARRAY(Sintesi!$C$15),1,$C4)&gt;0),0,IF(($E4=INDEX(_xlfn.ANCHORARRAY(Sintesi!$C$14),1,$C4))*(INDEX(_xlfn.ANCHORARRAY(Sintesi!$C$15),1,$C4)&lt;0)+($E4&gt;=LOOKUP(2,1/($E:$E&lt;&gt;""),$E:$E))*($E4&lt;=$E5)*($E4&gt;INDEX(_xlfn.ANCHORARRAY(Sintesi!$C$14),1,$C4))*($E4&lt;=INDEX(_xlfn.ANCHORARRAY(Sintesi!$C$15),1,$C4))*(INDEX(_xlfn.ANCHORARRAY(Sintesi!$C$15),1,$C4)&gt;0),1,IF(($E4&gt;=LOOKUP(2,1/($E:$E&lt;&gt;""),$E:$E))*($E4&lt;=$E5)*($E4&gt;INDEX(_xlfn.ANCHORARRAY(Sintesi!$C$14),1,$C4))*($E4&lt;INDEX(_xlfn.ANCHORARRAY(Sintesi!$C$16),1,$C4))*(INDEX(_xlfn.ANCHORARRAY(Sintesi!$C$15),1,$C4)&lt;0)+($E4&gt;=LOOKUP(2,1/($E:$E&lt;&gt;""),$E:$E))*($E4&lt;=$E5)*($E4&gt;INDEX(_xlfn.ANCHORARRAY(Sintesi!$C$15),1,$C4))*($E4&lt;INDEX(_xlfn.ANCHORARRAY(Sintesi!$C$16),1,$C4))*(INDEX(_xlfn.ANCHORARRAY(Sintesi!$C$15),1,$C4)&gt;0),2,IF($E4=(INDEX(_xlfn.ANCHORARRAY(Sintesi!$C$16),1,$C4)),3,4)))),0)))</f>
        <v/>
      </c>
      <c r="E4" s="1">
        <f>'Paste cell here'!F4</f>
        <v/>
      </c>
      <c r="F4" s="1">
        <f>'Paste cell here'!C4</f>
        <v/>
      </c>
      <c r="G4" s="1">
        <f>'Paste cell here'!D4</f>
        <v/>
      </c>
      <c r="H4" s="1">
        <f>'Paste cell here'!E4</f>
        <v/>
      </c>
      <c r="I4" s="1">
        <f>'Paste cell here'!X4</f>
        <v/>
      </c>
      <c r="J4" s="1">
        <f>'Paste cell here'!Y4+'Paste cell here'!S4</f>
        <v/>
      </c>
      <c r="K4" s="1">
        <f>I4/H4</f>
        <v/>
      </c>
      <c r="L4" s="1">
        <f>AVERAGE(($F4+$G4)/2-($F4-$G4)/2*COS(PI()*(8-VLOOKUP(MONTH(B4),$O$1:$Q$13,3))/(VLOOKUP(MONTH(B4),$O$1:$Q$13,2)-VLOOKUP(MONTH(B4),$O$1:$Q$13,3))),($F4+$G4)/2-($F4-$G4)/2*COS(PI()*(9-VLOOKUP(MONTH(B4),$O$1:$Q$13,3))/(VLOOKUP(MONTH(B4),$O$1:$Q$13,2)-VLOOKUP(MONTH(B4),$O$1:$Q$13,3))),($F4+$G4)/2-($F4-$G4)/2*COS(PI()*(10-VLOOKUP(MONTH(B4),$O$1:$Q$13,3))/(VLOOKUP(MONTH(B4),$O$1:$Q$13,2)-VLOOKUP(MONTH(B4),$O$1:$Q$13,3))),($F4+$G4)/2-($F4-$G4)/2*COS(PI()*(11-VLOOKUP(MONTH(B4),$O$1:$Q$13,3))/(VLOOKUP(MONTH(B4),$O$1:$Q$13,2)-VLOOKUP(MONTH(B4),$O$1:$Q$13,3))),($F4+$G4)/2-($F4-$G4)/2*COS(PI()*(12-VLOOKUP(MONTH(B4),$O$1:$Q$13,3))/(VLOOKUP(MONTH(B4),$O$1:$Q$13,2)-VLOOKUP(MONTH(B4),$O$1:$Q$13,3))),($F4+$G4)/2-($F4-$G4)/2*COS(PI()*(13-VLOOKUP(MONTH(B4),$O$1:$Q$13,3))/(VLOOKUP(MONTH(B4),$O$1:$Q$13,2)-VLOOKUP(MONTH(B4),$O$1:$Q$13,3))),($F4+$G4)/2-($F4-$G4)/2*COS(PI()*(14-VLOOKUP(MONTH(B4),$O$1:$Q$13,3))/(VLOOKUP(MONTH(B4),$O$1:$Q$13,2)-VLOOKUP(MONTH(B4),$O$1:$Q$13,3))))</f>
        <v/>
      </c>
      <c r="M4" s="1">
        <f t="array" ref="M4">IF(AND(A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,A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),IF(L4&lt;_xlfn.IFNA(INDEX(_xlfn.ANCHORARRAY(Sintesi!$C$17)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,1,IF(L4&gt;=_xlfn.IFNA(INDEX(_xlfn.ANCHORARRAY(Sintesi!$C$18)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,0,1-(L4-_xlfn.IFNA(INDEX(_xlfn.ANCHORARRAY(Sintesi!$C$17)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)/(_xlfn.IFNA(INDEX(_xlfn.ANCHORARRAY(Sintesi!$C$18)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-_xlfn.IFNA(INDEX(_xlfn.ANCHORARRAY(Sintesi!$C$17)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))),0)</f>
        <v/>
      </c>
      <c r="O4" s="14" t="n">
        <v>3</v>
      </c>
      <c r="P4" s="14" t="n">
        <v>14</v>
      </c>
      <c r="Q4" s="14" t="n">
        <v>5</v>
      </c>
    </row>
    <row r="5">
      <c r="A5" s="1">
        <f>'Paste cell here'!A5</f>
        <v/>
      </c>
      <c r="B5" s="2">
        <f>DATE(Sintesi!$C$4-1,12,31)+A5</f>
        <v/>
      </c>
      <c r="C5" s="34">
        <f t="array" ref="C5">_xlfn.IFNA(MATCH(1,(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)*(_xlfn.ANCHORARRAY(Sintesi!$C$15)&gt;=0)+(_xlfn.ANCHORARRAY(Sintesi!$C$15)&lt;0),0),0)</f>
        <v/>
      </c>
      <c r="D5" s="1">
        <f t="array" ref="D5">IF(ISBLANK($E6),IF(ISNUMBER($E4),IF($C5&gt;0,IF(($E5=INDEX(_xlfn.ANCHORARRAY(Sintesi!$C$14),1,$C5))*(INDEX(_xlfn.ANCHORARRAY(Sintesi!$C$15),1,$C5)&gt;0),0,IF(($E5=INDEX(_xlfn.ANCHORARRAY(Sintesi!$C$14),1,$C5))*(INDEX(_xlfn.ANCHORARRAY(Sintesi!$C$15),1,$C5)&lt;0)+($E5&gt;=$E4)*($E5&lt;=INDEX($E:$E,MATCH(TRUE,INDEX((ISNUMBER($E:$E)),0),0)))*($E5&gt;INDEX(_xlfn.ANCHORARRAY(Sintesi!$C$14),1,$C5))*($E5&lt;=INDEX(_xlfn.ANCHORARRAY(Sintesi!$C$15),1,$C5))*(INDEX(_xlfn.ANCHORARRAY(Sintesi!$C$15),1,$C5)&gt;0),1,IF(($E5&gt;=$E4)*($E5&lt;=INDEX($E:$E,MATCH(TRUE,INDEX((ISNUMBER($E:$E)),0),0)))*($E5&gt;INDEX(_xlfn.ANCHORARRAY(Sintesi!$C$14),1,$C5))*($E5&lt;INDEX(_xlfn.ANCHORARRAY(Sintesi!$C$16),1,$C5))*(INDEX(_xlfn.ANCHORARRAY(Sintesi!$C$15),1,$C5)&lt;0)+($E5&gt;=$E4)*($E5&lt;=INDEX($E:$E,MATCH(TRUE,INDEX((ISNUMBER($E:$E)),0),0)))*($E5&gt;INDEX(_xlfn.ANCHORARRAY(Sintesi!$C$15),1,$C5))*($E5&lt;INDEX(_xlfn.ANCHORARRAY(Sintesi!$C$16),1,$C5))*(INDEX(_xlfn.ANCHORARRAY(Sintesi!$C$15),1,$C5)&gt;0),2,IF($E5=(INDEX(_xlfn.ANCHORARRAY(Sintesi!$C$16),1,$C5)),3,4)))),0),IF($C5&gt;0,IF(($E5=INDEX(_xlfn.ANCHORARRAY(Sintesi!$C$14),1,$C5))*(INDEX(_xlfn.ANCHORARRAY(Sintesi!$C$15),1,$C5)&gt;0),0,IF(($E5=INDEX(_xlfn.ANCHORARRAY(Sintesi!$C$14),1,$C5))*(INDEX(_xlfn.ANCHORARRAY(Sintesi!$C$15),1,$C5)&lt;0)+($E5&gt;=LOOKUP(2,1/($E:$E&lt;&gt;""),$E:$E))*($E5&lt;=INDEX($E:$E,MATCH(TRUE,INDEX((ISNUMBER($E:$E)),0),0)))*($E5&gt;INDEX(_xlfn.ANCHORARRAY(Sintesi!$C$14),1,$C5))*($E5&lt;=INDEX(_xlfn.ANCHORARRAY(Sintesi!$C$15),1,$C5))*(INDEX(_xlfn.ANCHORARRAY(Sintesi!$C$15),1,$C5)&gt;0),1,IF(($E5&gt;=LOOKUP(2,1/($E:$E&lt;&gt;""),$E:$E))*($E5&lt;=INDEX($E:$E,MATCH(TRUE,INDEX((ISNUMBER($E:$E)),0),0)))*($E5&gt;INDEX(_xlfn.ANCHORARRAY(Sintesi!$C$14),1,$C5))*($E5&lt;INDEX(_xlfn.ANCHORARRAY(Sintesi!$C$16),1,$C5))*(INDEX(_xlfn.ANCHORARRAY(Sintesi!$C$15),1,$C5)&lt;0)+($E5&gt;=LOOKUP(2,1/($E:$E&lt;&gt;""),$E:$E))*($E5&lt;=INDEX($E:$E,MATCH(TRUE,INDEX((ISNUMBER($E:$E)),0),0)))*($E5&gt;INDEX(_xlfn.ANCHORARRAY(Sintesi!$C$15),1,$C5))*($E5&lt;INDEX(_xlfn.ANCHORARRAY(Sintesi!$C$16),1,$C5))*(INDEX(_xlfn.ANCHORARRAY(Sintesi!$C$15),1,$C5)&gt;0),2,IF($E5=(INDEX(_xlfn.ANCHORARRAY(Sintesi!$C$16),1,$C5)),3,4)))),0)),IF(ISNUMBER($E4),IF($C5&gt;0,IF(($E5=INDEX(_xlfn.ANCHORARRAY(Sintesi!$C$14),1,$C5))*(INDEX(_xlfn.ANCHORARRAY(Sintesi!$C$15),1,$C5)&gt;0),0,IF(($E5=INDEX(_xlfn.ANCHORARRAY(Sintesi!$C$14),1,$C5))*(INDEX(_xlfn.ANCHORARRAY(Sintesi!$C$15),1,$C5)&lt;0)+($E5&gt;=$E4)*($E5&lt;=$E6)*($E5&gt;INDEX(_xlfn.ANCHORARRAY(Sintesi!$C$14),1,$C5))*($E5&lt;=INDEX(_xlfn.ANCHORARRAY(Sintesi!$C$15),1,$C5))*(INDEX(_xlfn.ANCHORARRAY(Sintesi!$C$15),1,$C5)&gt;0),1,IF(($E5&gt;=$E4)*($E5&lt;=$E6)*($E5&gt;INDEX(_xlfn.ANCHORARRAY(Sintesi!$C$14),1,$C5))*($E5&lt;INDEX(_xlfn.ANCHORARRAY(Sintesi!$C$16),1,$C5))*(INDEX(_xlfn.ANCHORARRAY(Sintesi!$C$15),1,$C5)&lt;0)+($E5&gt;=$E4)*($E5&lt;=$E6)*($E5&gt;INDEX(_xlfn.ANCHORARRAY(Sintesi!$C$15),1,$C5))*($E5&lt;INDEX(_xlfn.ANCHORARRAY(Sintesi!$C$16),1,$C5))*(INDEX(_xlfn.ANCHORARRAY(Sintesi!$C$15),1,$C5)&gt;0),2,IF($E5=(INDEX(_xlfn.ANCHORARRAY(Sintesi!$C$16),1,$C5)),3,4)))),0),IF($C5&gt;0,IF(($E5=INDEX(_xlfn.ANCHORARRAY(Sintesi!$C$14),1,$C5))*(INDEX(_xlfn.ANCHORARRAY(Sintesi!$C$15),1,$C5)&gt;0),0,IF(($E5=INDEX(_xlfn.ANCHORARRAY(Sintesi!$C$14),1,$C5))*(INDEX(_xlfn.ANCHORARRAY(Sintesi!$C$15),1,$C5)&lt;0)+($E5&gt;=LOOKUP(2,1/($E:$E&lt;&gt;""),$E:$E))*($E5&lt;=$E6)*($E5&gt;INDEX(_xlfn.ANCHORARRAY(Sintesi!$C$14),1,$C5))*($E5&lt;=INDEX(_xlfn.ANCHORARRAY(Sintesi!$C$15),1,$C5))*(INDEX(_xlfn.ANCHORARRAY(Sintesi!$C$15),1,$C5)&gt;0),1,IF(($E5&gt;=LOOKUP(2,1/($E:$E&lt;&gt;""),$E:$E))*($E5&lt;=$E6)*($E5&gt;INDEX(_xlfn.ANCHORARRAY(Sintesi!$C$14),1,$C5))*($E5&lt;INDEX(_xlfn.ANCHORARRAY(Sintesi!$C$16),1,$C5))*(INDEX(_xlfn.ANCHORARRAY(Sintesi!$C$15),1,$C5)&lt;0)+($E5&gt;=LOOKUP(2,1/($E:$E&lt;&gt;""),$E:$E))*($E5&lt;=$E6)*($E5&gt;INDEX(_xlfn.ANCHORARRAY(Sintesi!$C$15),1,$C5))*($E5&lt;INDEX(_xlfn.ANCHORARRAY(Sintesi!$C$16),1,$C5))*(INDEX(_xlfn.ANCHORARRAY(Sintesi!$C$15),1,$C5)&gt;0),2,IF($E5=(INDEX(_xlfn.ANCHORARRAY(Sintesi!$C$16),1,$C5)),3,4)))),0)))</f>
        <v/>
      </c>
      <c r="E5" s="1">
        <f>'Paste cell here'!F5</f>
        <v/>
      </c>
      <c r="F5" s="1">
        <f>'Paste cell here'!C5</f>
        <v/>
      </c>
      <c r="G5" s="1">
        <f>'Paste cell here'!D5</f>
        <v/>
      </c>
      <c r="H5" s="1">
        <f>'Paste cell here'!E5</f>
        <v/>
      </c>
      <c r="I5" s="1">
        <f>'Paste cell here'!X5</f>
        <v/>
      </c>
      <c r="J5" s="1">
        <f>'Paste cell here'!Y5+'Paste cell here'!S5</f>
        <v/>
      </c>
      <c r="K5" s="1">
        <f>I5/H5</f>
        <v/>
      </c>
      <c r="L5" s="1">
        <f>AVERAGE(($F5+$G5)/2-($F5-$G5)/2*COS(PI()*(8-VLOOKUP(MONTH(B5),$O$1:$Q$13,3))/(VLOOKUP(MONTH(B5),$O$1:$Q$13,2)-VLOOKUP(MONTH(B5),$O$1:$Q$13,3))),($F5+$G5)/2-($F5-$G5)/2*COS(PI()*(9-VLOOKUP(MONTH(B5),$O$1:$Q$13,3))/(VLOOKUP(MONTH(B5),$O$1:$Q$13,2)-VLOOKUP(MONTH(B5),$O$1:$Q$13,3))),($F5+$G5)/2-($F5-$G5)/2*COS(PI()*(10-VLOOKUP(MONTH(B5),$O$1:$Q$13,3))/(VLOOKUP(MONTH(B5),$O$1:$Q$13,2)-VLOOKUP(MONTH(B5),$O$1:$Q$13,3))),($F5+$G5)/2-($F5-$G5)/2*COS(PI()*(11-VLOOKUP(MONTH(B5),$O$1:$Q$13,3))/(VLOOKUP(MONTH(B5),$O$1:$Q$13,2)-VLOOKUP(MONTH(B5),$O$1:$Q$13,3))),($F5+$G5)/2-($F5-$G5)/2*COS(PI()*(12-VLOOKUP(MONTH(B5),$O$1:$Q$13,3))/(VLOOKUP(MONTH(B5),$O$1:$Q$13,2)-VLOOKUP(MONTH(B5),$O$1:$Q$13,3))),($F5+$G5)/2-($F5-$G5)/2*COS(PI()*(13-VLOOKUP(MONTH(B5),$O$1:$Q$13,3))/(VLOOKUP(MONTH(B5),$O$1:$Q$13,2)-VLOOKUP(MONTH(B5),$O$1:$Q$13,3))),($F5+$G5)/2-($F5-$G5)/2*COS(PI()*(14-VLOOKUP(MONTH(B5),$O$1:$Q$13,3))/(VLOOKUP(MONTH(B5),$O$1:$Q$13,2)-VLOOKUP(MONTH(B5),$O$1:$Q$13,3))))</f>
        <v/>
      </c>
      <c r="M5" s="1">
        <f t="array" ref="M5">IF(AND(A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,A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),IF(L5&lt;_xlfn.IFNA(INDEX(_xlfn.ANCHORARRAY(Sintesi!$C$17)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,1,IF(L5&gt;=_xlfn.IFNA(INDEX(_xlfn.ANCHORARRAY(Sintesi!$C$18)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,0,1-(L5-_xlfn.IFNA(INDEX(_xlfn.ANCHORARRAY(Sintesi!$C$17)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)/(_xlfn.IFNA(INDEX(_xlfn.ANCHORARRAY(Sintesi!$C$18)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-_xlfn.IFNA(INDEX(_xlfn.ANCHORARRAY(Sintesi!$C$17)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))),0)</f>
        <v/>
      </c>
      <c r="O5" s="14" t="n">
        <v>4</v>
      </c>
      <c r="P5" s="14" t="n">
        <v>15</v>
      </c>
      <c r="Q5" s="14" t="n">
        <v>5</v>
      </c>
    </row>
    <row r="6">
      <c r="A6" s="1">
        <f>'Paste cell here'!A6</f>
        <v/>
      </c>
      <c r="B6" s="2">
        <f>DATE(Sintesi!$C$4-1,12,31)+A6</f>
        <v/>
      </c>
      <c r="C6" s="34">
        <f t="array" ref="C6">_xlfn.IFNA(MATCH(1,(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)*(_xlfn.ANCHORARRAY(Sintesi!$C$15)&gt;=0)+(_xlfn.ANCHORARRAY(Sintesi!$C$15)&lt;0),0),0)</f>
        <v/>
      </c>
      <c r="D6" s="1">
        <f t="array" ref="D6">IF(ISBLANK($E7),IF(ISNUMBER($E5),IF($C6&gt;0,IF(($E6=INDEX(_xlfn.ANCHORARRAY(Sintesi!$C$14),1,$C6))*(INDEX(_xlfn.ANCHORARRAY(Sintesi!$C$15),1,$C6)&gt;0),0,IF(($E6=INDEX(_xlfn.ANCHORARRAY(Sintesi!$C$14),1,$C6))*(INDEX(_xlfn.ANCHORARRAY(Sintesi!$C$15),1,$C6)&lt;0)+($E6&gt;=$E5)*($E6&lt;=INDEX($E:$E,MATCH(TRUE,INDEX((ISNUMBER($E:$E)),0),0)))*($E6&gt;INDEX(_xlfn.ANCHORARRAY(Sintesi!$C$14),1,$C6))*($E6&lt;=INDEX(_xlfn.ANCHORARRAY(Sintesi!$C$15),1,$C6))*(INDEX(_xlfn.ANCHORARRAY(Sintesi!$C$15),1,$C6)&gt;0),1,IF(($E6&gt;=$E5)*($E6&lt;=INDEX($E:$E,MATCH(TRUE,INDEX((ISNUMBER($E:$E)),0),0)))*($E6&gt;INDEX(_xlfn.ANCHORARRAY(Sintesi!$C$14),1,$C6))*($E6&lt;INDEX(_xlfn.ANCHORARRAY(Sintesi!$C$16),1,$C6))*(INDEX(_xlfn.ANCHORARRAY(Sintesi!$C$15),1,$C6)&lt;0)+($E6&gt;=$E5)*($E6&lt;=INDEX($E:$E,MATCH(TRUE,INDEX((ISNUMBER($E:$E)),0),0)))*($E6&gt;INDEX(_xlfn.ANCHORARRAY(Sintesi!$C$15),1,$C6))*($E6&lt;INDEX(_xlfn.ANCHORARRAY(Sintesi!$C$16),1,$C6))*(INDEX(_xlfn.ANCHORARRAY(Sintesi!$C$15),1,$C6)&gt;0),2,IF($E6=(INDEX(_xlfn.ANCHORARRAY(Sintesi!$C$16),1,$C6)),3,4)))),0),IF($C6&gt;0,IF(($E6=INDEX(_xlfn.ANCHORARRAY(Sintesi!$C$14),1,$C6))*(INDEX(_xlfn.ANCHORARRAY(Sintesi!$C$15),1,$C6)&gt;0),0,IF(($E6=INDEX(_xlfn.ANCHORARRAY(Sintesi!$C$14),1,$C6))*(INDEX(_xlfn.ANCHORARRAY(Sintesi!$C$15),1,$C6)&lt;0)+($E6&gt;=LOOKUP(2,1/($E:$E&lt;&gt;""),$E:$E))*($E6&lt;=INDEX($E:$E,MATCH(TRUE,INDEX((ISNUMBER($E:$E)),0),0)))*($E6&gt;INDEX(_xlfn.ANCHORARRAY(Sintesi!$C$14),1,$C6))*($E6&lt;=INDEX(_xlfn.ANCHORARRAY(Sintesi!$C$15),1,$C6))*(INDEX(_xlfn.ANCHORARRAY(Sintesi!$C$15),1,$C6)&gt;0),1,IF(($E6&gt;=LOOKUP(2,1/($E:$E&lt;&gt;""),$E:$E))*($E6&lt;=INDEX($E:$E,MATCH(TRUE,INDEX((ISNUMBER($E:$E)),0),0)))*($E6&gt;INDEX(_xlfn.ANCHORARRAY(Sintesi!$C$14),1,$C6))*($E6&lt;INDEX(_xlfn.ANCHORARRAY(Sintesi!$C$16),1,$C6))*(INDEX(_xlfn.ANCHORARRAY(Sintesi!$C$15),1,$C6)&lt;0)+($E6&gt;=LOOKUP(2,1/($E:$E&lt;&gt;""),$E:$E))*($E6&lt;=INDEX($E:$E,MATCH(TRUE,INDEX((ISNUMBER($E:$E)),0),0)))*($E6&gt;INDEX(_xlfn.ANCHORARRAY(Sintesi!$C$15),1,$C6))*($E6&lt;INDEX(_xlfn.ANCHORARRAY(Sintesi!$C$16),1,$C6))*(INDEX(_xlfn.ANCHORARRAY(Sintesi!$C$15),1,$C6)&gt;0),2,IF($E6=(INDEX(_xlfn.ANCHORARRAY(Sintesi!$C$16),1,$C6)),3,4)))),0)),IF(ISNUMBER($E5),IF($C6&gt;0,IF(($E6=INDEX(_xlfn.ANCHORARRAY(Sintesi!$C$14),1,$C6))*(INDEX(_xlfn.ANCHORARRAY(Sintesi!$C$15),1,$C6)&gt;0),0,IF(($E6=INDEX(_xlfn.ANCHORARRAY(Sintesi!$C$14),1,$C6))*(INDEX(_xlfn.ANCHORARRAY(Sintesi!$C$15),1,$C6)&lt;0)+($E6&gt;=$E5)*($E6&lt;=$E7)*($E6&gt;INDEX(_xlfn.ANCHORARRAY(Sintesi!$C$14),1,$C6))*($E6&lt;=INDEX(_xlfn.ANCHORARRAY(Sintesi!$C$15),1,$C6))*(INDEX(_xlfn.ANCHORARRAY(Sintesi!$C$15),1,$C6)&gt;0),1,IF(($E6&gt;=$E5)*($E6&lt;=$E7)*($E6&gt;INDEX(_xlfn.ANCHORARRAY(Sintesi!$C$14),1,$C6))*($E6&lt;INDEX(_xlfn.ANCHORARRAY(Sintesi!$C$16),1,$C6))*(INDEX(_xlfn.ANCHORARRAY(Sintesi!$C$15),1,$C6)&lt;0)+($E6&gt;=$E5)*($E6&lt;=$E7)*($E6&gt;INDEX(_xlfn.ANCHORARRAY(Sintesi!$C$15),1,$C6))*($E6&lt;INDEX(_xlfn.ANCHORARRAY(Sintesi!$C$16),1,$C6))*(INDEX(_xlfn.ANCHORARRAY(Sintesi!$C$15),1,$C6)&gt;0),2,IF($E6=(INDEX(_xlfn.ANCHORARRAY(Sintesi!$C$16),1,$C6)),3,4)))),0),IF($C6&gt;0,IF(($E6=INDEX(_xlfn.ANCHORARRAY(Sintesi!$C$14),1,$C6))*(INDEX(_xlfn.ANCHORARRAY(Sintesi!$C$15),1,$C6)&gt;0),0,IF(($E6=INDEX(_xlfn.ANCHORARRAY(Sintesi!$C$14),1,$C6))*(INDEX(_xlfn.ANCHORARRAY(Sintesi!$C$15),1,$C6)&lt;0)+($E6&gt;=LOOKUP(2,1/($E:$E&lt;&gt;""),$E:$E))*($E6&lt;=$E7)*($E6&gt;INDEX(_xlfn.ANCHORARRAY(Sintesi!$C$14),1,$C6))*($E6&lt;=INDEX(_xlfn.ANCHORARRAY(Sintesi!$C$15),1,$C6))*(INDEX(_xlfn.ANCHORARRAY(Sintesi!$C$15),1,$C6)&gt;0),1,IF(($E6&gt;=LOOKUP(2,1/($E:$E&lt;&gt;""),$E:$E))*($E6&lt;=$E7)*($E6&gt;INDEX(_xlfn.ANCHORARRAY(Sintesi!$C$14),1,$C6))*($E6&lt;INDEX(_xlfn.ANCHORARRAY(Sintesi!$C$16),1,$C6))*(INDEX(_xlfn.ANCHORARRAY(Sintesi!$C$15),1,$C6)&lt;0)+($E6&gt;=LOOKUP(2,1/($E:$E&lt;&gt;""),$E:$E))*($E6&lt;=$E7)*($E6&gt;INDEX(_xlfn.ANCHORARRAY(Sintesi!$C$15),1,$C6))*($E6&lt;INDEX(_xlfn.ANCHORARRAY(Sintesi!$C$16),1,$C6))*(INDEX(_xlfn.ANCHORARRAY(Sintesi!$C$15),1,$C6)&gt;0),2,IF($E6=(INDEX(_xlfn.ANCHORARRAY(Sintesi!$C$16),1,$C6)),3,4)))),0)))</f>
        <v/>
      </c>
      <c r="E6" s="1">
        <f>'Paste cell here'!F6</f>
        <v/>
      </c>
      <c r="F6" s="1">
        <f>'Paste cell here'!C6</f>
        <v/>
      </c>
      <c r="G6" s="1">
        <f>'Paste cell here'!D6</f>
        <v/>
      </c>
      <c r="H6" s="1">
        <f>'Paste cell here'!E6</f>
        <v/>
      </c>
      <c r="I6" s="1">
        <f>'Paste cell here'!X6</f>
        <v/>
      </c>
      <c r="J6" s="1">
        <f>'Paste cell here'!Y6+'Paste cell here'!S6</f>
        <v/>
      </c>
      <c r="K6" s="1">
        <f>I6/H6</f>
        <v/>
      </c>
      <c r="L6" s="1">
        <f>AVERAGE(($F6+$G6)/2-($F6-$G6)/2*COS(PI()*(8-VLOOKUP(MONTH(B6),$O$1:$Q$13,3))/(VLOOKUP(MONTH(B6),$O$1:$Q$13,2)-VLOOKUP(MONTH(B6),$O$1:$Q$13,3))),($F6+$G6)/2-($F6-$G6)/2*COS(PI()*(9-VLOOKUP(MONTH(B6),$O$1:$Q$13,3))/(VLOOKUP(MONTH(B6),$O$1:$Q$13,2)-VLOOKUP(MONTH(B6),$O$1:$Q$13,3))),($F6+$G6)/2-($F6-$G6)/2*COS(PI()*(10-VLOOKUP(MONTH(B6),$O$1:$Q$13,3))/(VLOOKUP(MONTH(B6),$O$1:$Q$13,2)-VLOOKUP(MONTH(B6),$O$1:$Q$13,3))),($F6+$G6)/2-($F6-$G6)/2*COS(PI()*(11-VLOOKUP(MONTH(B6),$O$1:$Q$13,3))/(VLOOKUP(MONTH(B6),$O$1:$Q$13,2)-VLOOKUP(MONTH(B6),$O$1:$Q$13,3))),($F6+$G6)/2-($F6-$G6)/2*COS(PI()*(12-VLOOKUP(MONTH(B6),$O$1:$Q$13,3))/(VLOOKUP(MONTH(B6),$O$1:$Q$13,2)-VLOOKUP(MONTH(B6),$O$1:$Q$13,3))),($F6+$G6)/2-($F6-$G6)/2*COS(PI()*(13-VLOOKUP(MONTH(B6),$O$1:$Q$13,3))/(VLOOKUP(MONTH(B6),$O$1:$Q$13,2)-VLOOKUP(MONTH(B6),$O$1:$Q$13,3))),($F6+$G6)/2-($F6-$G6)/2*COS(PI()*(14-VLOOKUP(MONTH(B6),$O$1:$Q$13,3))/(VLOOKUP(MONTH(B6),$O$1:$Q$13,2)-VLOOKUP(MONTH(B6),$O$1:$Q$13,3))))</f>
        <v/>
      </c>
      <c r="M6" s="1">
        <f t="array" ref="M6">IF(AND(A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,A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),IF(L6&lt;_xlfn.IFNA(INDEX(_xlfn.ANCHORARRAY(Sintesi!$C$17)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,1,IF(L6&gt;=_xlfn.IFNA(INDEX(_xlfn.ANCHORARRAY(Sintesi!$C$18)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,0,1-(L6-_xlfn.IFNA(INDEX(_xlfn.ANCHORARRAY(Sintesi!$C$17)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)/(_xlfn.IFNA(INDEX(_xlfn.ANCHORARRAY(Sintesi!$C$18)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-_xlfn.IFNA(INDEX(_xlfn.ANCHORARRAY(Sintesi!$C$17)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))),0)</f>
        <v/>
      </c>
      <c r="O6" s="14" t="n">
        <v>5</v>
      </c>
      <c r="P6" s="14" t="n">
        <v>15</v>
      </c>
      <c r="Q6" s="14" t="n">
        <v>4</v>
      </c>
    </row>
    <row r="7" ht="11.25" customHeight="1">
      <c r="A7" s="1">
        <f>'Paste cell here'!A7</f>
        <v/>
      </c>
      <c r="B7" s="2">
        <f>DATE(Sintesi!$C$4-1,12,31)+A7</f>
        <v/>
      </c>
      <c r="C7" s="34">
        <f t="array" ref="C7">_xlfn.IFNA(MATCH(1,(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)*(_xlfn.ANCHORARRAY(Sintesi!$C$15)&gt;=0)+(_xlfn.ANCHORARRAY(Sintesi!$C$15)&lt;0),0),0)</f>
        <v/>
      </c>
      <c r="D7" s="1">
        <f t="array" ref="D7">IF(ISBLANK($E8),IF(ISNUMBER($E6),IF($C7&gt;0,IF(($E7=INDEX(_xlfn.ANCHORARRAY(Sintesi!$C$14),1,$C7))*(INDEX(_xlfn.ANCHORARRAY(Sintesi!$C$15),1,$C7)&gt;0),0,IF(($E7=INDEX(_xlfn.ANCHORARRAY(Sintesi!$C$14),1,$C7))*(INDEX(_xlfn.ANCHORARRAY(Sintesi!$C$15),1,$C7)&lt;0)+($E7&gt;=$E6)*($E7&lt;=INDEX($E:$E,MATCH(TRUE,INDEX((ISNUMBER($E:$E)),0),0)))*($E7&gt;INDEX(_xlfn.ANCHORARRAY(Sintesi!$C$14),1,$C7))*($E7&lt;=INDEX(_xlfn.ANCHORARRAY(Sintesi!$C$15),1,$C7))*(INDEX(_xlfn.ANCHORARRAY(Sintesi!$C$15),1,$C7)&gt;0),1,IF(($E7&gt;=$E6)*($E7&lt;=INDEX($E:$E,MATCH(TRUE,INDEX((ISNUMBER($E:$E)),0),0)))*($E7&gt;INDEX(_xlfn.ANCHORARRAY(Sintesi!$C$14),1,$C7))*($E7&lt;INDEX(_xlfn.ANCHORARRAY(Sintesi!$C$16),1,$C7))*(INDEX(_xlfn.ANCHORARRAY(Sintesi!$C$15),1,$C7)&lt;0)+($E7&gt;=$E6)*($E7&lt;=INDEX($E:$E,MATCH(TRUE,INDEX((ISNUMBER($E:$E)),0),0)))*($E7&gt;INDEX(_xlfn.ANCHORARRAY(Sintesi!$C$15),1,$C7))*($E7&lt;INDEX(_xlfn.ANCHORARRAY(Sintesi!$C$16),1,$C7))*(INDEX(_xlfn.ANCHORARRAY(Sintesi!$C$15),1,$C7)&gt;0),2,IF($E7=(INDEX(_xlfn.ANCHORARRAY(Sintesi!$C$16),1,$C7)),3,4)))),0),IF($C7&gt;0,IF(($E7=INDEX(_xlfn.ANCHORARRAY(Sintesi!$C$14),1,$C7))*(INDEX(_xlfn.ANCHORARRAY(Sintesi!$C$15),1,$C7)&gt;0),0,IF(($E7=INDEX(_xlfn.ANCHORARRAY(Sintesi!$C$14),1,$C7))*(INDEX(_xlfn.ANCHORARRAY(Sintesi!$C$15),1,$C7)&lt;0)+($E7&gt;=LOOKUP(2,1/($E:$E&lt;&gt;""),$E:$E))*($E7&lt;=INDEX($E:$E,MATCH(TRUE,INDEX((ISNUMBER($E:$E)),0),0)))*($E7&gt;INDEX(_xlfn.ANCHORARRAY(Sintesi!$C$14),1,$C7))*($E7&lt;=INDEX(_xlfn.ANCHORARRAY(Sintesi!$C$15),1,$C7))*(INDEX(_xlfn.ANCHORARRAY(Sintesi!$C$15),1,$C7)&gt;0),1,IF(($E7&gt;=LOOKUP(2,1/($E:$E&lt;&gt;""),$E:$E))*($E7&lt;=INDEX($E:$E,MATCH(TRUE,INDEX((ISNUMBER($E:$E)),0),0)))*($E7&gt;INDEX(_xlfn.ANCHORARRAY(Sintesi!$C$14),1,$C7))*($E7&lt;INDEX(_xlfn.ANCHORARRAY(Sintesi!$C$16),1,$C7))*(INDEX(_xlfn.ANCHORARRAY(Sintesi!$C$15),1,$C7)&lt;0)+($E7&gt;=LOOKUP(2,1/($E:$E&lt;&gt;""),$E:$E))*($E7&lt;=INDEX($E:$E,MATCH(TRUE,INDEX((ISNUMBER($E:$E)),0),0)))*($E7&gt;INDEX(_xlfn.ANCHORARRAY(Sintesi!$C$15),1,$C7))*($E7&lt;INDEX(_xlfn.ANCHORARRAY(Sintesi!$C$16),1,$C7))*(INDEX(_xlfn.ANCHORARRAY(Sintesi!$C$15),1,$C7)&gt;0),2,IF($E7=(INDEX(_xlfn.ANCHORARRAY(Sintesi!$C$16),1,$C7)),3,4)))),0)),IF(ISNUMBER($E6),IF($C7&gt;0,IF(($E7=INDEX(_xlfn.ANCHORARRAY(Sintesi!$C$14),1,$C7))*(INDEX(_xlfn.ANCHORARRAY(Sintesi!$C$15),1,$C7)&gt;0),0,IF(($E7=INDEX(_xlfn.ANCHORARRAY(Sintesi!$C$14),1,$C7))*(INDEX(_xlfn.ANCHORARRAY(Sintesi!$C$15),1,$C7)&lt;0)+($E7&gt;=$E6)*($E7&lt;=$E8)*($E7&gt;INDEX(_xlfn.ANCHORARRAY(Sintesi!$C$14),1,$C7))*($E7&lt;=INDEX(_xlfn.ANCHORARRAY(Sintesi!$C$15),1,$C7))*(INDEX(_xlfn.ANCHORARRAY(Sintesi!$C$15),1,$C7)&gt;0),1,IF(($E7&gt;=$E6)*($E7&lt;=$E8)*($E7&gt;INDEX(_xlfn.ANCHORARRAY(Sintesi!$C$14),1,$C7))*($E7&lt;INDEX(_xlfn.ANCHORARRAY(Sintesi!$C$16),1,$C7))*(INDEX(_xlfn.ANCHORARRAY(Sintesi!$C$15),1,$C7)&lt;0)+($E7&gt;=$E6)*($E7&lt;=$E8)*($E7&gt;INDEX(_xlfn.ANCHORARRAY(Sintesi!$C$15),1,$C7))*($E7&lt;INDEX(_xlfn.ANCHORARRAY(Sintesi!$C$16),1,$C7))*(INDEX(_xlfn.ANCHORARRAY(Sintesi!$C$15),1,$C7)&gt;0),2,IF($E7=(INDEX(_xlfn.ANCHORARRAY(Sintesi!$C$16),1,$C7)),3,4)))),0),IF($C7&gt;0,IF(($E7=INDEX(_xlfn.ANCHORARRAY(Sintesi!$C$14),1,$C7))*(INDEX(_xlfn.ANCHORARRAY(Sintesi!$C$15),1,$C7)&gt;0),0,IF(($E7=INDEX(_xlfn.ANCHORARRAY(Sintesi!$C$14),1,$C7))*(INDEX(_xlfn.ANCHORARRAY(Sintesi!$C$15),1,$C7)&lt;0)+($E7&gt;=LOOKUP(2,1/($E:$E&lt;&gt;""),$E:$E))*($E7&lt;=$E8)*($E7&gt;INDEX(_xlfn.ANCHORARRAY(Sintesi!$C$14),1,$C7))*($E7&lt;=INDEX(_xlfn.ANCHORARRAY(Sintesi!$C$15),1,$C7))*(INDEX(_xlfn.ANCHORARRAY(Sintesi!$C$15),1,$C7)&gt;0),1,IF(($E7&gt;=LOOKUP(2,1/($E:$E&lt;&gt;""),$E:$E))*($E7&lt;=$E8)*($E7&gt;INDEX(_xlfn.ANCHORARRAY(Sintesi!$C$14),1,$C7))*($E7&lt;INDEX(_xlfn.ANCHORARRAY(Sintesi!$C$16),1,$C7))*(INDEX(_xlfn.ANCHORARRAY(Sintesi!$C$15),1,$C7)&lt;0)+($E7&gt;=LOOKUP(2,1/($E:$E&lt;&gt;""),$E:$E))*($E7&lt;=$E8)*($E7&gt;INDEX(_xlfn.ANCHORARRAY(Sintesi!$C$15),1,$C7))*($E7&lt;INDEX(_xlfn.ANCHORARRAY(Sintesi!$C$16),1,$C7))*(INDEX(_xlfn.ANCHORARRAY(Sintesi!$C$15),1,$C7)&gt;0),2,IF($E7=(INDEX(_xlfn.ANCHORARRAY(Sintesi!$C$16),1,$C7)),3,4)))),0)))</f>
        <v/>
      </c>
      <c r="E7" s="1">
        <f>'Paste cell here'!F7</f>
        <v/>
      </c>
      <c r="F7" s="1">
        <f>'Paste cell here'!C7</f>
        <v/>
      </c>
      <c r="G7" s="1">
        <f>'Paste cell here'!D7</f>
        <v/>
      </c>
      <c r="H7" s="1">
        <f>'Paste cell here'!E7</f>
        <v/>
      </c>
      <c r="I7" s="1">
        <f>'Paste cell here'!X7</f>
        <v/>
      </c>
      <c r="J7" s="1">
        <f>'Paste cell here'!Y7+'Paste cell here'!S7</f>
        <v/>
      </c>
      <c r="K7" s="1">
        <f>I7/H7</f>
        <v/>
      </c>
      <c r="L7" s="1">
        <f>AVERAGE(($F7+$G7)/2-($F7-$G7)/2*COS(PI()*(8-VLOOKUP(MONTH(B7),$O$1:$Q$13,3))/(VLOOKUP(MONTH(B7),$O$1:$Q$13,2)-VLOOKUP(MONTH(B7),$O$1:$Q$13,3))),($F7+$G7)/2-($F7-$G7)/2*COS(PI()*(9-VLOOKUP(MONTH(B7),$O$1:$Q$13,3))/(VLOOKUP(MONTH(B7),$O$1:$Q$13,2)-VLOOKUP(MONTH(B7),$O$1:$Q$13,3))),($F7+$G7)/2-($F7-$G7)/2*COS(PI()*(10-VLOOKUP(MONTH(B7),$O$1:$Q$13,3))/(VLOOKUP(MONTH(B7),$O$1:$Q$13,2)-VLOOKUP(MONTH(B7),$O$1:$Q$13,3))),($F7+$G7)/2-($F7-$G7)/2*COS(PI()*(11-VLOOKUP(MONTH(B7),$O$1:$Q$13,3))/(VLOOKUP(MONTH(B7),$O$1:$Q$13,2)-VLOOKUP(MONTH(B7),$O$1:$Q$13,3))),($F7+$G7)/2-($F7-$G7)/2*COS(PI()*(12-VLOOKUP(MONTH(B7),$O$1:$Q$13,3))/(VLOOKUP(MONTH(B7),$O$1:$Q$13,2)-VLOOKUP(MONTH(B7),$O$1:$Q$13,3))),($F7+$G7)/2-($F7-$G7)/2*COS(PI()*(13-VLOOKUP(MONTH(B7),$O$1:$Q$13,3))/(VLOOKUP(MONTH(B7),$O$1:$Q$13,2)-VLOOKUP(MONTH(B7),$O$1:$Q$13,3))),($F7+$G7)/2-($F7-$G7)/2*COS(PI()*(14-VLOOKUP(MONTH(B7),$O$1:$Q$13,3))/(VLOOKUP(MONTH(B7),$O$1:$Q$13,2)-VLOOKUP(MONTH(B7),$O$1:$Q$13,3))))</f>
        <v/>
      </c>
      <c r="M7" s="1">
        <f t="array" ref="M7">IF(AND(A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,A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),IF(L7&lt;_xlfn.IFNA(INDEX(_xlfn.ANCHORARRAY(Sintesi!$C$17)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,1,IF(L7&gt;=_xlfn.IFNA(INDEX(_xlfn.ANCHORARRAY(Sintesi!$C$18)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,0,1-(L7-_xlfn.IFNA(INDEX(_xlfn.ANCHORARRAY(Sintesi!$C$17)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)/(_xlfn.IFNA(INDEX(_xlfn.ANCHORARRAY(Sintesi!$C$18)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-_xlfn.IFNA(INDEX(_xlfn.ANCHORARRAY(Sintesi!$C$17)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))),0)</f>
        <v/>
      </c>
      <c r="N7" s="31" t="n"/>
      <c r="O7" s="14" t="n">
        <v>6</v>
      </c>
      <c r="P7" s="14" t="n">
        <v>16</v>
      </c>
      <c r="Q7" s="14" t="n">
        <v>4</v>
      </c>
      <c r="R7" s="36" t="n"/>
    </row>
    <row r="8">
      <c r="A8" s="1">
        <f>'Paste cell here'!A8</f>
        <v/>
      </c>
      <c r="B8" s="2">
        <f>DATE(Sintesi!$C$4-1,12,31)+A8</f>
        <v/>
      </c>
      <c r="C8" s="34">
        <f t="array" ref="C8">_xlfn.IFNA(MATCH(1,(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)*(_xlfn.ANCHORARRAY(Sintesi!$C$15)&gt;=0)+(_xlfn.ANCHORARRAY(Sintesi!$C$15)&lt;0),0),0)</f>
        <v/>
      </c>
      <c r="D8" s="1">
        <f t="array" ref="D8">IF(ISBLANK($E9),IF(ISNUMBER($E7),IF($C8&gt;0,IF(($E8=INDEX(_xlfn.ANCHORARRAY(Sintesi!$C$14),1,$C8))*(INDEX(_xlfn.ANCHORARRAY(Sintesi!$C$15),1,$C8)&gt;0),0,IF(($E8=INDEX(_xlfn.ANCHORARRAY(Sintesi!$C$14),1,$C8))*(INDEX(_xlfn.ANCHORARRAY(Sintesi!$C$15),1,$C8)&lt;0)+($E8&gt;=$E7)*($E8&lt;=INDEX($E:$E,MATCH(TRUE,INDEX((ISNUMBER($E:$E)),0),0)))*($E8&gt;INDEX(_xlfn.ANCHORARRAY(Sintesi!$C$14),1,$C8))*($E8&lt;=INDEX(_xlfn.ANCHORARRAY(Sintesi!$C$15),1,$C8))*(INDEX(_xlfn.ANCHORARRAY(Sintesi!$C$15),1,$C8)&gt;0),1,IF(($E8&gt;=$E7)*($E8&lt;=INDEX($E:$E,MATCH(TRUE,INDEX((ISNUMBER($E:$E)),0),0)))*($E8&gt;INDEX(_xlfn.ANCHORARRAY(Sintesi!$C$14),1,$C8))*($E8&lt;INDEX(_xlfn.ANCHORARRAY(Sintesi!$C$16),1,$C8))*(INDEX(_xlfn.ANCHORARRAY(Sintesi!$C$15),1,$C8)&lt;0)+($E8&gt;=$E7)*($E8&lt;=INDEX($E:$E,MATCH(TRUE,INDEX((ISNUMBER($E:$E)),0),0)))*($E8&gt;INDEX(_xlfn.ANCHORARRAY(Sintesi!$C$15),1,$C8))*($E8&lt;INDEX(_xlfn.ANCHORARRAY(Sintesi!$C$16),1,$C8))*(INDEX(_xlfn.ANCHORARRAY(Sintesi!$C$15),1,$C8)&gt;0),2,IF($E8=(INDEX(_xlfn.ANCHORARRAY(Sintesi!$C$16),1,$C8)),3,4)))),0),IF($C8&gt;0,IF(($E8=INDEX(_xlfn.ANCHORARRAY(Sintesi!$C$14),1,$C8))*(INDEX(_xlfn.ANCHORARRAY(Sintesi!$C$15),1,$C8)&gt;0),0,IF(($E8=INDEX(_xlfn.ANCHORARRAY(Sintesi!$C$14),1,$C8))*(INDEX(_xlfn.ANCHORARRAY(Sintesi!$C$15),1,$C8)&lt;0)+($E8&gt;=LOOKUP(2,1/($E:$E&lt;&gt;""),$E:$E))*($E8&lt;=INDEX($E:$E,MATCH(TRUE,INDEX((ISNUMBER($E:$E)),0),0)))*($E8&gt;INDEX(_xlfn.ANCHORARRAY(Sintesi!$C$14),1,$C8))*($E8&lt;=INDEX(_xlfn.ANCHORARRAY(Sintesi!$C$15),1,$C8))*(INDEX(_xlfn.ANCHORARRAY(Sintesi!$C$15),1,$C8)&gt;0),1,IF(($E8&gt;=LOOKUP(2,1/($E:$E&lt;&gt;""),$E:$E))*($E8&lt;=INDEX($E:$E,MATCH(TRUE,INDEX((ISNUMBER($E:$E)),0),0)))*($E8&gt;INDEX(_xlfn.ANCHORARRAY(Sintesi!$C$14),1,$C8))*($E8&lt;INDEX(_xlfn.ANCHORARRAY(Sintesi!$C$16),1,$C8))*(INDEX(_xlfn.ANCHORARRAY(Sintesi!$C$15),1,$C8)&lt;0)+($E8&gt;=LOOKUP(2,1/($E:$E&lt;&gt;""),$E:$E))*($E8&lt;=INDEX($E:$E,MATCH(TRUE,INDEX((ISNUMBER($E:$E)),0),0)))*($E8&gt;INDEX(_xlfn.ANCHORARRAY(Sintesi!$C$15),1,$C8))*($E8&lt;INDEX(_xlfn.ANCHORARRAY(Sintesi!$C$16),1,$C8))*(INDEX(_xlfn.ANCHORARRAY(Sintesi!$C$15),1,$C8)&gt;0),2,IF($E8=(INDEX(_xlfn.ANCHORARRAY(Sintesi!$C$16),1,$C8)),3,4)))),0)),IF(ISNUMBER($E7),IF($C8&gt;0,IF(($E8=INDEX(_xlfn.ANCHORARRAY(Sintesi!$C$14),1,$C8))*(INDEX(_xlfn.ANCHORARRAY(Sintesi!$C$15),1,$C8)&gt;0),0,IF(($E8=INDEX(_xlfn.ANCHORARRAY(Sintesi!$C$14),1,$C8))*(INDEX(_xlfn.ANCHORARRAY(Sintesi!$C$15),1,$C8)&lt;0)+($E8&gt;=$E7)*($E8&lt;=$E9)*($E8&gt;INDEX(_xlfn.ANCHORARRAY(Sintesi!$C$14),1,$C8))*($E8&lt;=INDEX(_xlfn.ANCHORARRAY(Sintesi!$C$15),1,$C8))*(INDEX(_xlfn.ANCHORARRAY(Sintesi!$C$15),1,$C8)&gt;0),1,IF(($E8&gt;=$E7)*($E8&lt;=$E9)*($E8&gt;INDEX(_xlfn.ANCHORARRAY(Sintesi!$C$14),1,$C8))*($E8&lt;INDEX(_xlfn.ANCHORARRAY(Sintesi!$C$16),1,$C8))*(INDEX(_xlfn.ANCHORARRAY(Sintesi!$C$15),1,$C8)&lt;0)+($E8&gt;=$E7)*($E8&lt;=$E9)*($E8&gt;INDEX(_xlfn.ANCHORARRAY(Sintesi!$C$15),1,$C8))*($E8&lt;INDEX(_xlfn.ANCHORARRAY(Sintesi!$C$16),1,$C8))*(INDEX(_xlfn.ANCHORARRAY(Sintesi!$C$15),1,$C8)&gt;0),2,IF($E8=(INDEX(_xlfn.ANCHORARRAY(Sintesi!$C$16),1,$C8)),3,4)))),0),IF($C8&gt;0,IF(($E8=INDEX(_xlfn.ANCHORARRAY(Sintesi!$C$14),1,$C8))*(INDEX(_xlfn.ANCHORARRAY(Sintesi!$C$15),1,$C8)&gt;0),0,IF(($E8=INDEX(_xlfn.ANCHORARRAY(Sintesi!$C$14),1,$C8))*(INDEX(_xlfn.ANCHORARRAY(Sintesi!$C$15),1,$C8)&lt;0)+($E8&gt;=LOOKUP(2,1/($E:$E&lt;&gt;""),$E:$E))*($E8&lt;=$E9)*($E8&gt;INDEX(_xlfn.ANCHORARRAY(Sintesi!$C$14),1,$C8))*($E8&lt;=INDEX(_xlfn.ANCHORARRAY(Sintesi!$C$15),1,$C8))*(INDEX(_xlfn.ANCHORARRAY(Sintesi!$C$15),1,$C8)&gt;0),1,IF(($E8&gt;=LOOKUP(2,1/($E:$E&lt;&gt;""),$E:$E))*($E8&lt;=$E9)*($E8&gt;INDEX(_xlfn.ANCHORARRAY(Sintesi!$C$14),1,$C8))*($E8&lt;INDEX(_xlfn.ANCHORARRAY(Sintesi!$C$16),1,$C8))*(INDEX(_xlfn.ANCHORARRAY(Sintesi!$C$15),1,$C8)&lt;0)+($E8&gt;=LOOKUP(2,1/($E:$E&lt;&gt;""),$E:$E))*($E8&lt;=$E9)*($E8&gt;INDEX(_xlfn.ANCHORARRAY(Sintesi!$C$15),1,$C8))*($E8&lt;INDEX(_xlfn.ANCHORARRAY(Sintesi!$C$16),1,$C8))*(INDEX(_xlfn.ANCHORARRAY(Sintesi!$C$15),1,$C8)&gt;0),2,IF($E8=(INDEX(_xlfn.ANCHORARRAY(Sintesi!$C$16),1,$C8)),3,4)))),0)))</f>
        <v/>
      </c>
      <c r="E8" s="1">
        <f>'Paste cell here'!F8</f>
        <v/>
      </c>
      <c r="F8" s="1">
        <f>'Paste cell here'!C8</f>
        <v/>
      </c>
      <c r="G8" s="1">
        <f>'Paste cell here'!D8</f>
        <v/>
      </c>
      <c r="H8" s="1">
        <f>'Paste cell here'!E8</f>
        <v/>
      </c>
      <c r="I8" s="1">
        <f>'Paste cell here'!X8</f>
        <v/>
      </c>
      <c r="J8" s="1">
        <f>'Paste cell here'!Y8+'Paste cell here'!S8</f>
        <v/>
      </c>
      <c r="K8" s="1">
        <f>I8/H8</f>
        <v/>
      </c>
      <c r="L8" s="1">
        <f>AVERAGE(($F8+$G8)/2-($F8-$G8)/2*COS(PI()*(8-VLOOKUP(MONTH(B8),$O$1:$Q$13,3))/(VLOOKUP(MONTH(B8),$O$1:$Q$13,2)-VLOOKUP(MONTH(B8),$O$1:$Q$13,3))),($F8+$G8)/2-($F8-$G8)/2*COS(PI()*(9-VLOOKUP(MONTH(B8),$O$1:$Q$13,3))/(VLOOKUP(MONTH(B8),$O$1:$Q$13,2)-VLOOKUP(MONTH(B8),$O$1:$Q$13,3))),($F8+$G8)/2-($F8-$G8)/2*COS(PI()*(10-VLOOKUP(MONTH(B8),$O$1:$Q$13,3))/(VLOOKUP(MONTH(B8),$O$1:$Q$13,2)-VLOOKUP(MONTH(B8),$O$1:$Q$13,3))),($F8+$G8)/2-($F8-$G8)/2*COS(PI()*(11-VLOOKUP(MONTH(B8),$O$1:$Q$13,3))/(VLOOKUP(MONTH(B8),$O$1:$Q$13,2)-VLOOKUP(MONTH(B8),$O$1:$Q$13,3))),($F8+$G8)/2-($F8-$G8)/2*COS(PI()*(12-VLOOKUP(MONTH(B8),$O$1:$Q$13,3))/(VLOOKUP(MONTH(B8),$O$1:$Q$13,2)-VLOOKUP(MONTH(B8),$O$1:$Q$13,3))),($F8+$G8)/2-($F8-$G8)/2*COS(PI()*(13-VLOOKUP(MONTH(B8),$O$1:$Q$13,3))/(VLOOKUP(MONTH(B8),$O$1:$Q$13,2)-VLOOKUP(MONTH(B8),$O$1:$Q$13,3))),($F8+$G8)/2-($F8-$G8)/2*COS(PI()*(14-VLOOKUP(MONTH(B8),$O$1:$Q$13,3))/(VLOOKUP(MONTH(B8),$O$1:$Q$13,2)-VLOOKUP(MONTH(B8),$O$1:$Q$13,3))))</f>
        <v/>
      </c>
      <c r="M8" s="1">
        <f t="array" ref="M8">IF(AND(A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,A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),IF(L8&lt;_xlfn.IFNA(INDEX(_xlfn.ANCHORARRAY(Sintesi!$C$17)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,1,IF(L8&gt;=_xlfn.IFNA(INDEX(_xlfn.ANCHORARRAY(Sintesi!$C$18)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,0,1-(L8-_xlfn.IFNA(INDEX(_xlfn.ANCHORARRAY(Sintesi!$C$17)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)/(_xlfn.IFNA(INDEX(_xlfn.ANCHORARRAY(Sintesi!$C$18)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-_xlfn.IFNA(INDEX(_xlfn.ANCHORARRAY(Sintesi!$C$17)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))),0)</f>
        <v/>
      </c>
      <c r="O8" s="14" t="n">
        <v>7</v>
      </c>
      <c r="P8" s="14" t="n">
        <v>15</v>
      </c>
      <c r="Q8" s="14" t="n">
        <v>4</v>
      </c>
    </row>
    <row r="9" ht="11.25" customHeight="1">
      <c r="A9" s="1">
        <f>'Paste cell here'!A9</f>
        <v/>
      </c>
      <c r="B9" s="2">
        <f>DATE(Sintesi!$C$4-1,12,31)+A9</f>
        <v/>
      </c>
      <c r="C9" s="34">
        <f t="array" ref="C9">_xlfn.IFNA(MATCH(1,(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)*(_xlfn.ANCHORARRAY(Sintesi!$C$15)&gt;=0)+(_xlfn.ANCHORARRAY(Sintesi!$C$15)&lt;0),0),0)</f>
        <v/>
      </c>
      <c r="D9" s="1">
        <f t="array" ref="D9">IF(ISBLANK($E10),IF(ISNUMBER($E8),IF($C9&gt;0,IF(($E9=INDEX(_xlfn.ANCHORARRAY(Sintesi!$C$14),1,$C9))*(INDEX(_xlfn.ANCHORARRAY(Sintesi!$C$15),1,$C9)&gt;0),0,IF(($E9=INDEX(_xlfn.ANCHORARRAY(Sintesi!$C$14),1,$C9))*(INDEX(_xlfn.ANCHORARRAY(Sintesi!$C$15),1,$C9)&lt;0)+($E9&gt;=$E8)*($E9&lt;=INDEX($E:$E,MATCH(TRUE,INDEX((ISNUMBER($E:$E)),0),0)))*($E9&gt;INDEX(_xlfn.ANCHORARRAY(Sintesi!$C$14),1,$C9))*($E9&lt;=INDEX(_xlfn.ANCHORARRAY(Sintesi!$C$15),1,$C9))*(INDEX(_xlfn.ANCHORARRAY(Sintesi!$C$15),1,$C9)&gt;0),1,IF(($E9&gt;=$E8)*($E9&lt;=INDEX($E:$E,MATCH(TRUE,INDEX((ISNUMBER($E:$E)),0),0)))*($E9&gt;INDEX(_xlfn.ANCHORARRAY(Sintesi!$C$14),1,$C9))*($E9&lt;INDEX(_xlfn.ANCHORARRAY(Sintesi!$C$16),1,$C9))*(INDEX(_xlfn.ANCHORARRAY(Sintesi!$C$15),1,$C9)&lt;0)+($E9&gt;=$E8)*($E9&lt;=INDEX($E:$E,MATCH(TRUE,INDEX((ISNUMBER($E:$E)),0),0)))*($E9&gt;INDEX(_xlfn.ANCHORARRAY(Sintesi!$C$15),1,$C9))*($E9&lt;INDEX(_xlfn.ANCHORARRAY(Sintesi!$C$16),1,$C9))*(INDEX(_xlfn.ANCHORARRAY(Sintesi!$C$15),1,$C9)&gt;0),2,IF($E9=(INDEX(_xlfn.ANCHORARRAY(Sintesi!$C$16),1,$C9)),3,4)))),0),IF($C9&gt;0,IF(($E9=INDEX(_xlfn.ANCHORARRAY(Sintesi!$C$14),1,$C9))*(INDEX(_xlfn.ANCHORARRAY(Sintesi!$C$15),1,$C9)&gt;0),0,IF(($E9=INDEX(_xlfn.ANCHORARRAY(Sintesi!$C$14),1,$C9))*(INDEX(_xlfn.ANCHORARRAY(Sintesi!$C$15),1,$C9)&lt;0)+($E9&gt;=LOOKUP(2,1/($E:$E&lt;&gt;""),$E:$E))*($E9&lt;=INDEX($E:$E,MATCH(TRUE,INDEX((ISNUMBER($E:$E)),0),0)))*($E9&gt;INDEX(_xlfn.ANCHORARRAY(Sintesi!$C$14),1,$C9))*($E9&lt;=INDEX(_xlfn.ANCHORARRAY(Sintesi!$C$15),1,$C9))*(INDEX(_xlfn.ANCHORARRAY(Sintesi!$C$15),1,$C9)&gt;0),1,IF(($E9&gt;=LOOKUP(2,1/($E:$E&lt;&gt;""),$E:$E))*($E9&lt;=INDEX($E:$E,MATCH(TRUE,INDEX((ISNUMBER($E:$E)),0),0)))*($E9&gt;INDEX(_xlfn.ANCHORARRAY(Sintesi!$C$14),1,$C9))*($E9&lt;INDEX(_xlfn.ANCHORARRAY(Sintesi!$C$16),1,$C9))*(INDEX(_xlfn.ANCHORARRAY(Sintesi!$C$15),1,$C9)&lt;0)+($E9&gt;=LOOKUP(2,1/($E:$E&lt;&gt;""),$E:$E))*($E9&lt;=INDEX($E:$E,MATCH(TRUE,INDEX((ISNUMBER($E:$E)),0),0)))*($E9&gt;INDEX(_xlfn.ANCHORARRAY(Sintesi!$C$15),1,$C9))*($E9&lt;INDEX(_xlfn.ANCHORARRAY(Sintesi!$C$16),1,$C9))*(INDEX(_xlfn.ANCHORARRAY(Sintesi!$C$15),1,$C9)&gt;0),2,IF($E9=(INDEX(_xlfn.ANCHORARRAY(Sintesi!$C$16),1,$C9)),3,4)))),0)),IF(ISNUMBER($E8),IF($C9&gt;0,IF(($E9=INDEX(_xlfn.ANCHORARRAY(Sintesi!$C$14),1,$C9))*(INDEX(_xlfn.ANCHORARRAY(Sintesi!$C$15),1,$C9)&gt;0),0,IF(($E9=INDEX(_xlfn.ANCHORARRAY(Sintesi!$C$14),1,$C9))*(INDEX(_xlfn.ANCHORARRAY(Sintesi!$C$15),1,$C9)&lt;0)+($E9&gt;=$E8)*($E9&lt;=$E10)*($E9&gt;INDEX(_xlfn.ANCHORARRAY(Sintesi!$C$14),1,$C9))*($E9&lt;=INDEX(_xlfn.ANCHORARRAY(Sintesi!$C$15),1,$C9))*(INDEX(_xlfn.ANCHORARRAY(Sintesi!$C$15),1,$C9)&gt;0),1,IF(($E9&gt;=$E8)*($E9&lt;=$E10)*($E9&gt;INDEX(_xlfn.ANCHORARRAY(Sintesi!$C$14),1,$C9))*($E9&lt;INDEX(_xlfn.ANCHORARRAY(Sintesi!$C$16),1,$C9))*(INDEX(_xlfn.ANCHORARRAY(Sintesi!$C$15),1,$C9)&lt;0)+($E9&gt;=$E8)*($E9&lt;=$E10)*($E9&gt;INDEX(_xlfn.ANCHORARRAY(Sintesi!$C$15),1,$C9))*($E9&lt;INDEX(_xlfn.ANCHORARRAY(Sintesi!$C$16),1,$C9))*(INDEX(_xlfn.ANCHORARRAY(Sintesi!$C$15),1,$C9)&gt;0),2,IF($E9=(INDEX(_xlfn.ANCHORARRAY(Sintesi!$C$16),1,$C9)),3,4)))),0),IF($C9&gt;0,IF(($E9=INDEX(_xlfn.ANCHORARRAY(Sintesi!$C$14),1,$C9))*(INDEX(_xlfn.ANCHORARRAY(Sintesi!$C$15),1,$C9)&gt;0),0,IF(($E9=INDEX(_xlfn.ANCHORARRAY(Sintesi!$C$14),1,$C9))*(INDEX(_xlfn.ANCHORARRAY(Sintesi!$C$15),1,$C9)&lt;0)+($E9&gt;=LOOKUP(2,1/($E:$E&lt;&gt;""),$E:$E))*($E9&lt;=$E10)*($E9&gt;INDEX(_xlfn.ANCHORARRAY(Sintesi!$C$14),1,$C9))*($E9&lt;=INDEX(_xlfn.ANCHORARRAY(Sintesi!$C$15),1,$C9))*(INDEX(_xlfn.ANCHORARRAY(Sintesi!$C$15),1,$C9)&gt;0),1,IF(($E9&gt;=LOOKUP(2,1/($E:$E&lt;&gt;""),$E:$E))*($E9&lt;=$E10)*($E9&gt;INDEX(_xlfn.ANCHORARRAY(Sintesi!$C$14),1,$C9))*($E9&lt;INDEX(_xlfn.ANCHORARRAY(Sintesi!$C$16),1,$C9))*(INDEX(_xlfn.ANCHORARRAY(Sintesi!$C$15),1,$C9)&lt;0)+($E9&gt;=LOOKUP(2,1/($E:$E&lt;&gt;""),$E:$E))*($E9&lt;=$E10)*($E9&gt;INDEX(_xlfn.ANCHORARRAY(Sintesi!$C$15),1,$C9))*($E9&lt;INDEX(_xlfn.ANCHORARRAY(Sintesi!$C$16),1,$C9))*(INDEX(_xlfn.ANCHORARRAY(Sintesi!$C$15),1,$C9)&gt;0),2,IF($E9=(INDEX(_xlfn.ANCHORARRAY(Sintesi!$C$16),1,$C9)),3,4)))),0)))</f>
        <v/>
      </c>
      <c r="E9" s="1">
        <f>'Paste cell here'!F9</f>
        <v/>
      </c>
      <c r="F9" s="1">
        <f>'Paste cell here'!C9</f>
        <v/>
      </c>
      <c r="G9" s="1">
        <f>'Paste cell here'!D9</f>
        <v/>
      </c>
      <c r="H9" s="1">
        <f>'Paste cell here'!E9</f>
        <v/>
      </c>
      <c r="I9" s="1">
        <f>'Paste cell here'!X9</f>
        <v/>
      </c>
      <c r="J9" s="1">
        <f>'Paste cell here'!Y9+'Paste cell here'!S9</f>
        <v/>
      </c>
      <c r="K9" s="1">
        <f>I9/H9</f>
        <v/>
      </c>
      <c r="L9" s="1">
        <f>AVERAGE(($F9+$G9)/2-($F9-$G9)/2*COS(PI()*(8-VLOOKUP(MONTH(B9),$O$1:$Q$13,3))/(VLOOKUP(MONTH(B9),$O$1:$Q$13,2)-VLOOKUP(MONTH(B9),$O$1:$Q$13,3))),($F9+$G9)/2-($F9-$G9)/2*COS(PI()*(9-VLOOKUP(MONTH(B9),$O$1:$Q$13,3))/(VLOOKUP(MONTH(B9),$O$1:$Q$13,2)-VLOOKUP(MONTH(B9),$O$1:$Q$13,3))),($F9+$G9)/2-($F9-$G9)/2*COS(PI()*(10-VLOOKUP(MONTH(B9),$O$1:$Q$13,3))/(VLOOKUP(MONTH(B9),$O$1:$Q$13,2)-VLOOKUP(MONTH(B9),$O$1:$Q$13,3))),($F9+$G9)/2-($F9-$G9)/2*COS(PI()*(11-VLOOKUP(MONTH(B9),$O$1:$Q$13,3))/(VLOOKUP(MONTH(B9),$O$1:$Q$13,2)-VLOOKUP(MONTH(B9),$O$1:$Q$13,3))),($F9+$G9)/2-($F9-$G9)/2*COS(PI()*(12-VLOOKUP(MONTH(B9),$O$1:$Q$13,3))/(VLOOKUP(MONTH(B9),$O$1:$Q$13,2)-VLOOKUP(MONTH(B9),$O$1:$Q$13,3))),($F9+$G9)/2-($F9-$G9)/2*COS(PI()*(13-VLOOKUP(MONTH(B9),$O$1:$Q$13,3))/(VLOOKUP(MONTH(B9),$O$1:$Q$13,2)-VLOOKUP(MONTH(B9),$O$1:$Q$13,3))),($F9+$G9)/2-($F9-$G9)/2*COS(PI()*(14-VLOOKUP(MONTH(B9),$O$1:$Q$13,3))/(VLOOKUP(MONTH(B9),$O$1:$Q$13,2)-VLOOKUP(MONTH(B9),$O$1:$Q$13,3))))</f>
        <v/>
      </c>
      <c r="M9" s="1">
        <f t="array" ref="M9">IF(AND(A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,A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),IF(L9&lt;_xlfn.IFNA(INDEX(_xlfn.ANCHORARRAY(Sintesi!$C$17)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,1,IF(L9&gt;=_xlfn.IFNA(INDEX(_xlfn.ANCHORARRAY(Sintesi!$C$18)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,0,1-(L9-_xlfn.IFNA(INDEX(_xlfn.ANCHORARRAY(Sintesi!$C$17)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)/(_xlfn.IFNA(INDEX(_xlfn.ANCHORARRAY(Sintesi!$C$18)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-_xlfn.IFNA(INDEX(_xlfn.ANCHORARRAY(Sintesi!$C$17)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))),0)</f>
        <v/>
      </c>
      <c r="N9" s="32" t="n"/>
      <c r="O9" s="14" t="n">
        <v>8</v>
      </c>
      <c r="P9" s="14" t="n">
        <v>15</v>
      </c>
      <c r="Q9" s="14" t="n">
        <v>5</v>
      </c>
    </row>
    <row r="10">
      <c r="A10" s="1">
        <f>'Paste cell here'!A10</f>
        <v/>
      </c>
      <c r="B10" s="2">
        <f>DATE(Sintesi!$C$4-1,12,31)+A10</f>
        <v/>
      </c>
      <c r="C10" s="34">
        <f t="array" ref="C10">_xlfn.IFNA(MATCH(1,(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)*(_xlfn.ANCHORARRAY(Sintesi!$C$15)&gt;=0)+(_xlfn.ANCHORARRAY(Sintesi!$C$15)&lt;0),0),0)</f>
        <v/>
      </c>
      <c r="D10" s="1">
        <f t="array" ref="D10">IF(ISBLANK($E11),IF(ISNUMBER($E9),IF($C10&gt;0,IF(($E10=INDEX(_xlfn.ANCHORARRAY(Sintesi!$C$14),1,$C10))*(INDEX(_xlfn.ANCHORARRAY(Sintesi!$C$15),1,$C10)&gt;0),0,IF(($E10=INDEX(_xlfn.ANCHORARRAY(Sintesi!$C$14),1,$C10))*(INDEX(_xlfn.ANCHORARRAY(Sintesi!$C$15),1,$C10)&lt;0)+($E10&gt;=$E9)*($E10&lt;=INDEX($E:$E,MATCH(TRUE,INDEX((ISNUMBER($E:$E)),0),0)))*($E10&gt;INDEX(_xlfn.ANCHORARRAY(Sintesi!$C$14),1,$C10))*($E10&lt;=INDEX(_xlfn.ANCHORARRAY(Sintesi!$C$15),1,$C10))*(INDEX(_xlfn.ANCHORARRAY(Sintesi!$C$15),1,$C10)&gt;0),1,IF(($E10&gt;=$E9)*($E10&lt;=INDEX($E:$E,MATCH(TRUE,INDEX((ISNUMBER($E:$E)),0),0)))*($E10&gt;INDEX(_xlfn.ANCHORARRAY(Sintesi!$C$14),1,$C10))*($E10&lt;INDEX(_xlfn.ANCHORARRAY(Sintesi!$C$16),1,$C10))*(INDEX(_xlfn.ANCHORARRAY(Sintesi!$C$15),1,$C10)&lt;0)+($E10&gt;=$E9)*($E10&lt;=INDEX($E:$E,MATCH(TRUE,INDEX((ISNUMBER($E:$E)),0),0)))*($E10&gt;INDEX(_xlfn.ANCHORARRAY(Sintesi!$C$15),1,$C10))*($E10&lt;INDEX(_xlfn.ANCHORARRAY(Sintesi!$C$16),1,$C10))*(INDEX(_xlfn.ANCHORARRAY(Sintesi!$C$15),1,$C10)&gt;0),2,IF($E10=(INDEX(_xlfn.ANCHORARRAY(Sintesi!$C$16),1,$C10)),3,4)))),0),IF($C10&gt;0,IF(($E10=INDEX(_xlfn.ANCHORARRAY(Sintesi!$C$14),1,$C10))*(INDEX(_xlfn.ANCHORARRAY(Sintesi!$C$15),1,$C10)&gt;0),0,IF(($E10=INDEX(_xlfn.ANCHORARRAY(Sintesi!$C$14),1,$C10))*(INDEX(_xlfn.ANCHORARRAY(Sintesi!$C$15),1,$C10)&lt;0)+($E10&gt;=LOOKUP(2,1/($E:$E&lt;&gt;""),$E:$E))*($E10&lt;=INDEX($E:$E,MATCH(TRUE,INDEX((ISNUMBER($E:$E)),0),0)))*($E10&gt;INDEX(_xlfn.ANCHORARRAY(Sintesi!$C$14),1,$C10))*($E10&lt;=INDEX(_xlfn.ANCHORARRAY(Sintesi!$C$15),1,$C10))*(INDEX(_xlfn.ANCHORARRAY(Sintesi!$C$15),1,$C10)&gt;0),1,IF(($E10&gt;=LOOKUP(2,1/($E:$E&lt;&gt;""),$E:$E))*($E10&lt;=INDEX($E:$E,MATCH(TRUE,INDEX((ISNUMBER($E:$E)),0),0)))*($E10&gt;INDEX(_xlfn.ANCHORARRAY(Sintesi!$C$14),1,$C10))*($E10&lt;INDEX(_xlfn.ANCHORARRAY(Sintesi!$C$16),1,$C10))*(INDEX(_xlfn.ANCHORARRAY(Sintesi!$C$15),1,$C10)&lt;0)+($E10&gt;=LOOKUP(2,1/($E:$E&lt;&gt;""),$E:$E))*($E10&lt;=INDEX($E:$E,MATCH(TRUE,INDEX((ISNUMBER($E:$E)),0),0)))*($E10&gt;INDEX(_xlfn.ANCHORARRAY(Sintesi!$C$15),1,$C10))*($E10&lt;INDEX(_xlfn.ANCHORARRAY(Sintesi!$C$16),1,$C10))*(INDEX(_xlfn.ANCHORARRAY(Sintesi!$C$15),1,$C10)&gt;0),2,IF($E10=(INDEX(_xlfn.ANCHORARRAY(Sintesi!$C$16),1,$C10)),3,4)))),0)),IF(ISNUMBER($E9),IF($C10&gt;0,IF(($E10=INDEX(_xlfn.ANCHORARRAY(Sintesi!$C$14),1,$C10))*(INDEX(_xlfn.ANCHORARRAY(Sintesi!$C$15),1,$C10)&gt;0),0,IF(($E10=INDEX(_xlfn.ANCHORARRAY(Sintesi!$C$14),1,$C10))*(INDEX(_xlfn.ANCHORARRAY(Sintesi!$C$15),1,$C10)&lt;0)+($E10&gt;=$E9)*($E10&lt;=$E11)*($E10&gt;INDEX(_xlfn.ANCHORARRAY(Sintesi!$C$14),1,$C10))*($E10&lt;=INDEX(_xlfn.ANCHORARRAY(Sintesi!$C$15),1,$C10))*(INDEX(_xlfn.ANCHORARRAY(Sintesi!$C$15),1,$C10)&gt;0),1,IF(($E10&gt;=$E9)*($E10&lt;=$E11)*($E10&gt;INDEX(_xlfn.ANCHORARRAY(Sintesi!$C$14),1,$C10))*($E10&lt;INDEX(_xlfn.ANCHORARRAY(Sintesi!$C$16),1,$C10))*(INDEX(_xlfn.ANCHORARRAY(Sintesi!$C$15),1,$C10)&lt;0)+($E10&gt;=$E9)*($E10&lt;=$E11)*($E10&gt;INDEX(_xlfn.ANCHORARRAY(Sintesi!$C$15),1,$C10))*($E10&lt;INDEX(_xlfn.ANCHORARRAY(Sintesi!$C$16),1,$C10))*(INDEX(_xlfn.ANCHORARRAY(Sintesi!$C$15),1,$C10)&gt;0),2,IF($E10=(INDEX(_xlfn.ANCHORARRAY(Sintesi!$C$16),1,$C10)),3,4)))),0),IF($C10&gt;0,IF(($E10=INDEX(_xlfn.ANCHORARRAY(Sintesi!$C$14),1,$C10))*(INDEX(_xlfn.ANCHORARRAY(Sintesi!$C$15),1,$C10)&gt;0),0,IF(($E10=INDEX(_xlfn.ANCHORARRAY(Sintesi!$C$14),1,$C10))*(INDEX(_xlfn.ANCHORARRAY(Sintesi!$C$15),1,$C10)&lt;0)+($E10&gt;=LOOKUP(2,1/($E:$E&lt;&gt;""),$E:$E))*($E10&lt;=$E11)*($E10&gt;INDEX(_xlfn.ANCHORARRAY(Sintesi!$C$14),1,$C10))*($E10&lt;=INDEX(_xlfn.ANCHORARRAY(Sintesi!$C$15),1,$C10))*(INDEX(_xlfn.ANCHORARRAY(Sintesi!$C$15),1,$C10)&gt;0),1,IF(($E10&gt;=LOOKUP(2,1/($E:$E&lt;&gt;""),$E:$E))*($E10&lt;=$E11)*($E10&gt;INDEX(_xlfn.ANCHORARRAY(Sintesi!$C$14),1,$C10))*($E10&lt;INDEX(_xlfn.ANCHORARRAY(Sintesi!$C$16),1,$C10))*(INDEX(_xlfn.ANCHORARRAY(Sintesi!$C$15),1,$C10)&lt;0)+($E10&gt;=LOOKUP(2,1/($E:$E&lt;&gt;""),$E:$E))*($E10&lt;=$E11)*($E10&gt;INDEX(_xlfn.ANCHORARRAY(Sintesi!$C$15),1,$C10))*($E10&lt;INDEX(_xlfn.ANCHORARRAY(Sintesi!$C$16),1,$C10))*(INDEX(_xlfn.ANCHORARRAY(Sintesi!$C$15),1,$C10)&gt;0),2,IF($E10=(INDEX(_xlfn.ANCHORARRAY(Sintesi!$C$16),1,$C10)),3,4)))),0)))</f>
        <v/>
      </c>
      <c r="E10" s="1">
        <f>'Paste cell here'!F10</f>
        <v/>
      </c>
      <c r="F10" s="1">
        <f>'Paste cell here'!C10</f>
        <v/>
      </c>
      <c r="G10" s="1">
        <f>'Paste cell here'!D10</f>
        <v/>
      </c>
      <c r="H10" s="1">
        <f>'Paste cell here'!E10</f>
        <v/>
      </c>
      <c r="I10" s="1">
        <f>'Paste cell here'!X10</f>
        <v/>
      </c>
      <c r="J10" s="1">
        <f>'Paste cell here'!Y10+'Paste cell here'!S10</f>
        <v/>
      </c>
      <c r="K10" s="1">
        <f>I10/H10</f>
        <v/>
      </c>
      <c r="L10" s="1">
        <f>AVERAGE(($F10+$G10)/2-($F10-$G10)/2*COS(PI()*(8-VLOOKUP(MONTH(B10),$O$1:$Q$13,3))/(VLOOKUP(MONTH(B10),$O$1:$Q$13,2)-VLOOKUP(MONTH(B10),$O$1:$Q$13,3))),($F10+$G10)/2-($F10-$G10)/2*COS(PI()*(9-VLOOKUP(MONTH(B10),$O$1:$Q$13,3))/(VLOOKUP(MONTH(B10),$O$1:$Q$13,2)-VLOOKUP(MONTH(B10),$O$1:$Q$13,3))),($F10+$G10)/2-($F10-$G10)/2*COS(PI()*(10-VLOOKUP(MONTH(B10),$O$1:$Q$13,3))/(VLOOKUP(MONTH(B10),$O$1:$Q$13,2)-VLOOKUP(MONTH(B10),$O$1:$Q$13,3))),($F10+$G10)/2-($F10-$G10)/2*COS(PI()*(11-VLOOKUP(MONTH(B10),$O$1:$Q$13,3))/(VLOOKUP(MONTH(B10),$O$1:$Q$13,2)-VLOOKUP(MONTH(B10),$O$1:$Q$13,3))),($F10+$G10)/2-($F10-$G10)/2*COS(PI()*(12-VLOOKUP(MONTH(B10),$O$1:$Q$13,3))/(VLOOKUP(MONTH(B10),$O$1:$Q$13,2)-VLOOKUP(MONTH(B10),$O$1:$Q$13,3))),($F10+$G10)/2-($F10-$G10)/2*COS(PI()*(13-VLOOKUP(MONTH(B10),$O$1:$Q$13,3))/(VLOOKUP(MONTH(B10),$O$1:$Q$13,2)-VLOOKUP(MONTH(B10),$O$1:$Q$13,3))),($F10+$G10)/2-($F10-$G10)/2*COS(PI()*(14-VLOOKUP(MONTH(B10),$O$1:$Q$13,3))/(VLOOKUP(MONTH(B10),$O$1:$Q$13,2)-VLOOKUP(MONTH(B10),$O$1:$Q$13,3))))</f>
        <v/>
      </c>
      <c r="M10" s="1">
        <f t="array" ref="M10">IF(AND(A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,A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),IF(L10&lt;_xlfn.IFNA(INDEX(_xlfn.ANCHORARRAY(Sintesi!$C$17)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,1,IF(L10&gt;=_xlfn.IFNA(INDEX(_xlfn.ANCHORARRAY(Sintesi!$C$18)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,0,1-(L10-_xlfn.IFNA(INDEX(_xlfn.ANCHORARRAY(Sintesi!$C$17)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)/(_xlfn.IFNA(INDEX(_xlfn.ANCHORARRAY(Sintesi!$C$18)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-_xlfn.IFNA(INDEX(_xlfn.ANCHORARRAY(Sintesi!$C$17)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))),0)</f>
        <v/>
      </c>
      <c r="O10" s="14" t="n">
        <v>9</v>
      </c>
      <c r="P10" s="14" t="n">
        <v>15</v>
      </c>
      <c r="Q10" s="14" t="n">
        <v>5</v>
      </c>
    </row>
    <row r="11" ht="12.75" customHeight="1">
      <c r="A11" s="1">
        <f>'Paste cell here'!A11</f>
        <v/>
      </c>
      <c r="B11" s="2">
        <f>DATE(Sintesi!$C$4-1,12,31)+A11</f>
        <v/>
      </c>
      <c r="C11" s="34">
        <f t="array" ref="C11">_xlfn.IFNA(MATCH(1,(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)*(_xlfn.ANCHORARRAY(Sintesi!$C$15)&gt;=0)+(_xlfn.ANCHORARRAY(Sintesi!$C$15)&lt;0),0),0)</f>
        <v/>
      </c>
      <c r="D11" s="1">
        <f t="array" ref="D11">IF(ISBLANK($E12),IF(ISNUMBER($E10),IF($C11&gt;0,IF(($E11=INDEX(_xlfn.ANCHORARRAY(Sintesi!$C$14),1,$C11))*(INDEX(_xlfn.ANCHORARRAY(Sintesi!$C$15),1,$C11)&gt;0),0,IF(($E11=INDEX(_xlfn.ANCHORARRAY(Sintesi!$C$14),1,$C11))*(INDEX(_xlfn.ANCHORARRAY(Sintesi!$C$15),1,$C11)&lt;0)+($E11&gt;=$E10)*($E11&lt;=INDEX($E:$E,MATCH(TRUE,INDEX((ISNUMBER($E:$E)),0),0)))*($E11&gt;INDEX(_xlfn.ANCHORARRAY(Sintesi!$C$14),1,$C11))*($E11&lt;=INDEX(_xlfn.ANCHORARRAY(Sintesi!$C$15),1,$C11))*(INDEX(_xlfn.ANCHORARRAY(Sintesi!$C$15),1,$C11)&gt;0),1,IF(($E11&gt;=$E10)*($E11&lt;=INDEX($E:$E,MATCH(TRUE,INDEX((ISNUMBER($E:$E)),0),0)))*($E11&gt;INDEX(_xlfn.ANCHORARRAY(Sintesi!$C$14),1,$C11))*($E11&lt;INDEX(_xlfn.ANCHORARRAY(Sintesi!$C$16),1,$C11))*(INDEX(_xlfn.ANCHORARRAY(Sintesi!$C$15),1,$C11)&lt;0)+($E11&gt;=$E10)*($E11&lt;=INDEX($E:$E,MATCH(TRUE,INDEX((ISNUMBER($E:$E)),0),0)))*($E11&gt;INDEX(_xlfn.ANCHORARRAY(Sintesi!$C$15),1,$C11))*($E11&lt;INDEX(_xlfn.ANCHORARRAY(Sintesi!$C$16),1,$C11))*(INDEX(_xlfn.ANCHORARRAY(Sintesi!$C$15),1,$C11)&gt;0),2,IF($E11=(INDEX(_xlfn.ANCHORARRAY(Sintesi!$C$16),1,$C11)),3,4)))),0),IF($C11&gt;0,IF(($E11=INDEX(_xlfn.ANCHORARRAY(Sintesi!$C$14),1,$C11))*(INDEX(_xlfn.ANCHORARRAY(Sintesi!$C$15),1,$C11)&gt;0),0,IF(($E11=INDEX(_xlfn.ANCHORARRAY(Sintesi!$C$14),1,$C11))*(INDEX(_xlfn.ANCHORARRAY(Sintesi!$C$15),1,$C11)&lt;0)+($E11&gt;=LOOKUP(2,1/($E:$E&lt;&gt;""),$E:$E))*($E11&lt;=INDEX($E:$E,MATCH(TRUE,INDEX((ISNUMBER($E:$E)),0),0)))*($E11&gt;INDEX(_xlfn.ANCHORARRAY(Sintesi!$C$14),1,$C11))*($E11&lt;=INDEX(_xlfn.ANCHORARRAY(Sintesi!$C$15),1,$C11))*(INDEX(_xlfn.ANCHORARRAY(Sintesi!$C$15),1,$C11)&gt;0),1,IF(($E11&gt;=LOOKUP(2,1/($E:$E&lt;&gt;""),$E:$E))*($E11&lt;=INDEX($E:$E,MATCH(TRUE,INDEX((ISNUMBER($E:$E)),0),0)))*($E11&gt;INDEX(_xlfn.ANCHORARRAY(Sintesi!$C$14),1,$C11))*($E11&lt;INDEX(_xlfn.ANCHORARRAY(Sintesi!$C$16),1,$C11))*(INDEX(_xlfn.ANCHORARRAY(Sintesi!$C$15),1,$C11)&lt;0)+($E11&gt;=LOOKUP(2,1/($E:$E&lt;&gt;""),$E:$E))*($E11&lt;=INDEX($E:$E,MATCH(TRUE,INDEX((ISNUMBER($E:$E)),0),0)))*($E11&gt;INDEX(_xlfn.ANCHORARRAY(Sintesi!$C$15),1,$C11))*($E11&lt;INDEX(_xlfn.ANCHORARRAY(Sintesi!$C$16),1,$C11))*(INDEX(_xlfn.ANCHORARRAY(Sintesi!$C$15),1,$C11)&gt;0),2,IF($E11=(INDEX(_xlfn.ANCHORARRAY(Sintesi!$C$16),1,$C11)),3,4)))),0)),IF(ISNUMBER($E10),IF($C11&gt;0,IF(($E11=INDEX(_xlfn.ANCHORARRAY(Sintesi!$C$14),1,$C11))*(INDEX(_xlfn.ANCHORARRAY(Sintesi!$C$15),1,$C11)&gt;0),0,IF(($E11=INDEX(_xlfn.ANCHORARRAY(Sintesi!$C$14),1,$C11))*(INDEX(_xlfn.ANCHORARRAY(Sintesi!$C$15),1,$C11)&lt;0)+($E11&gt;=$E10)*($E11&lt;=$E12)*($E11&gt;INDEX(_xlfn.ANCHORARRAY(Sintesi!$C$14),1,$C11))*($E11&lt;=INDEX(_xlfn.ANCHORARRAY(Sintesi!$C$15),1,$C11))*(INDEX(_xlfn.ANCHORARRAY(Sintesi!$C$15),1,$C11)&gt;0),1,IF(($E11&gt;=$E10)*($E11&lt;=$E12)*($E11&gt;INDEX(_xlfn.ANCHORARRAY(Sintesi!$C$14),1,$C11))*($E11&lt;INDEX(_xlfn.ANCHORARRAY(Sintesi!$C$16),1,$C11))*(INDEX(_xlfn.ANCHORARRAY(Sintesi!$C$15),1,$C11)&lt;0)+($E11&gt;=$E10)*($E11&lt;=$E12)*($E11&gt;INDEX(_xlfn.ANCHORARRAY(Sintesi!$C$15),1,$C11))*($E11&lt;INDEX(_xlfn.ANCHORARRAY(Sintesi!$C$16),1,$C11))*(INDEX(_xlfn.ANCHORARRAY(Sintesi!$C$15),1,$C11)&gt;0),2,IF($E11=(INDEX(_xlfn.ANCHORARRAY(Sintesi!$C$16),1,$C11)),3,4)))),0),IF($C11&gt;0,IF(($E11=INDEX(_xlfn.ANCHORARRAY(Sintesi!$C$14),1,$C11))*(INDEX(_xlfn.ANCHORARRAY(Sintesi!$C$15),1,$C11)&gt;0),0,IF(($E11=INDEX(_xlfn.ANCHORARRAY(Sintesi!$C$14),1,$C11))*(INDEX(_xlfn.ANCHORARRAY(Sintesi!$C$15),1,$C11)&lt;0)+($E11&gt;=LOOKUP(2,1/($E:$E&lt;&gt;""),$E:$E))*($E11&lt;=$E12)*($E11&gt;INDEX(_xlfn.ANCHORARRAY(Sintesi!$C$14),1,$C11))*($E11&lt;=INDEX(_xlfn.ANCHORARRAY(Sintesi!$C$15),1,$C11))*(INDEX(_xlfn.ANCHORARRAY(Sintesi!$C$15),1,$C11)&gt;0),1,IF(($E11&gt;=LOOKUP(2,1/($E:$E&lt;&gt;""),$E:$E))*($E11&lt;=$E12)*($E11&gt;INDEX(_xlfn.ANCHORARRAY(Sintesi!$C$14),1,$C11))*($E11&lt;INDEX(_xlfn.ANCHORARRAY(Sintesi!$C$16),1,$C11))*(INDEX(_xlfn.ANCHORARRAY(Sintesi!$C$15),1,$C11)&lt;0)+($E11&gt;=LOOKUP(2,1/($E:$E&lt;&gt;""),$E:$E))*($E11&lt;=$E12)*($E11&gt;INDEX(_xlfn.ANCHORARRAY(Sintesi!$C$15),1,$C11))*($E11&lt;INDEX(_xlfn.ANCHORARRAY(Sintesi!$C$16),1,$C11))*(INDEX(_xlfn.ANCHORARRAY(Sintesi!$C$15),1,$C11)&gt;0),2,IF($E11=(INDEX(_xlfn.ANCHORARRAY(Sintesi!$C$16),1,$C11)),3,4)))),0)))</f>
        <v/>
      </c>
      <c r="E11" s="1">
        <f>'Paste cell here'!F11</f>
        <v/>
      </c>
      <c r="F11" s="1">
        <f>'Paste cell here'!C11</f>
        <v/>
      </c>
      <c r="G11" s="1">
        <f>'Paste cell here'!D11</f>
        <v/>
      </c>
      <c r="H11" s="1">
        <f>'Paste cell here'!E11</f>
        <v/>
      </c>
      <c r="I11" s="1">
        <f>'Paste cell here'!X11</f>
        <v/>
      </c>
      <c r="J11" s="1">
        <f>'Paste cell here'!Y11+'Paste cell here'!S11</f>
        <v/>
      </c>
      <c r="K11" s="1">
        <f>I11/H11</f>
        <v/>
      </c>
      <c r="L11" s="1">
        <f>AVERAGE(($F11+$G11)/2-($F11-$G11)/2*COS(PI()*(8-VLOOKUP(MONTH(B11),$O$1:$Q$13,3))/(VLOOKUP(MONTH(B11),$O$1:$Q$13,2)-VLOOKUP(MONTH(B11),$O$1:$Q$13,3))),($F11+$G11)/2-($F11-$G11)/2*COS(PI()*(9-VLOOKUP(MONTH(B11),$O$1:$Q$13,3))/(VLOOKUP(MONTH(B11),$O$1:$Q$13,2)-VLOOKUP(MONTH(B11),$O$1:$Q$13,3))),($F11+$G11)/2-($F11-$G11)/2*COS(PI()*(10-VLOOKUP(MONTH(B11),$O$1:$Q$13,3))/(VLOOKUP(MONTH(B11),$O$1:$Q$13,2)-VLOOKUP(MONTH(B11),$O$1:$Q$13,3))),($F11+$G11)/2-($F11-$G11)/2*COS(PI()*(11-VLOOKUP(MONTH(B11),$O$1:$Q$13,3))/(VLOOKUP(MONTH(B11),$O$1:$Q$13,2)-VLOOKUP(MONTH(B11),$O$1:$Q$13,3))),($F11+$G11)/2-($F11-$G11)/2*COS(PI()*(12-VLOOKUP(MONTH(B11),$O$1:$Q$13,3))/(VLOOKUP(MONTH(B11),$O$1:$Q$13,2)-VLOOKUP(MONTH(B11),$O$1:$Q$13,3))),($F11+$G11)/2-($F11-$G11)/2*COS(PI()*(13-VLOOKUP(MONTH(B11),$O$1:$Q$13,3))/(VLOOKUP(MONTH(B11),$O$1:$Q$13,2)-VLOOKUP(MONTH(B11),$O$1:$Q$13,3))),($F11+$G11)/2-($F11-$G11)/2*COS(PI()*(14-VLOOKUP(MONTH(B11),$O$1:$Q$13,3))/(VLOOKUP(MONTH(B11),$O$1:$Q$13,2)-VLOOKUP(MONTH(B11),$O$1:$Q$13,3))))</f>
        <v/>
      </c>
      <c r="M11" s="1">
        <f t="array" ref="M11">IF(AND(A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,A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),IF(L11&lt;_xlfn.IFNA(INDEX(_xlfn.ANCHORARRAY(Sintesi!$C$17)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,1,IF(L11&gt;=_xlfn.IFNA(INDEX(_xlfn.ANCHORARRAY(Sintesi!$C$18)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,0,1-(L11-_xlfn.IFNA(INDEX(_xlfn.ANCHORARRAY(Sintesi!$C$17)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)/(_xlfn.IFNA(INDEX(_xlfn.ANCHORARRAY(Sintesi!$C$18)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-_xlfn.IFNA(INDEX(_xlfn.ANCHORARRAY(Sintesi!$C$17)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))),0)</f>
        <v/>
      </c>
      <c r="N11" s="31" t="n"/>
      <c r="O11" s="14" t="n">
        <v>10</v>
      </c>
      <c r="P11" s="14" t="n">
        <v>14</v>
      </c>
      <c r="Q11" s="14" t="n">
        <v>6</v>
      </c>
    </row>
    <row r="12" ht="12.75" customHeight="1">
      <c r="A12" s="1">
        <f>'Paste cell here'!A12</f>
        <v/>
      </c>
      <c r="B12" s="2">
        <f>DATE(Sintesi!$C$4-1,12,31)+A12</f>
        <v/>
      </c>
      <c r="C12" s="34">
        <f t="array" ref="C12">_xlfn.IFNA(MATCH(1,(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)*(_xlfn.ANCHORARRAY(Sintesi!$C$15)&gt;=0)+(_xlfn.ANCHORARRAY(Sintesi!$C$15)&lt;0),0),0)</f>
        <v/>
      </c>
      <c r="D12" s="1">
        <f t="array" ref="D12">IF(ISBLANK($E13),IF(ISNUMBER($E11),IF($C12&gt;0,IF(($E12=INDEX(_xlfn.ANCHORARRAY(Sintesi!$C$14),1,$C12))*(INDEX(_xlfn.ANCHORARRAY(Sintesi!$C$15),1,$C12)&gt;0),0,IF(($E12=INDEX(_xlfn.ANCHORARRAY(Sintesi!$C$14),1,$C12))*(INDEX(_xlfn.ANCHORARRAY(Sintesi!$C$15),1,$C12)&lt;0)+($E12&gt;=$E11)*($E12&lt;=INDEX($E:$E,MATCH(TRUE,INDEX((ISNUMBER($E:$E)),0),0)))*($E12&gt;INDEX(_xlfn.ANCHORARRAY(Sintesi!$C$14),1,$C12))*($E12&lt;=INDEX(_xlfn.ANCHORARRAY(Sintesi!$C$15),1,$C12))*(INDEX(_xlfn.ANCHORARRAY(Sintesi!$C$15),1,$C12)&gt;0),1,IF(($E12&gt;=$E11)*($E12&lt;=INDEX($E:$E,MATCH(TRUE,INDEX((ISNUMBER($E:$E)),0),0)))*($E12&gt;INDEX(_xlfn.ANCHORARRAY(Sintesi!$C$14),1,$C12))*($E12&lt;INDEX(_xlfn.ANCHORARRAY(Sintesi!$C$16),1,$C12))*(INDEX(_xlfn.ANCHORARRAY(Sintesi!$C$15),1,$C12)&lt;0)+($E12&gt;=$E11)*($E12&lt;=INDEX($E:$E,MATCH(TRUE,INDEX((ISNUMBER($E:$E)),0),0)))*($E12&gt;INDEX(_xlfn.ANCHORARRAY(Sintesi!$C$15),1,$C12))*($E12&lt;INDEX(_xlfn.ANCHORARRAY(Sintesi!$C$16),1,$C12))*(INDEX(_xlfn.ANCHORARRAY(Sintesi!$C$15),1,$C12)&gt;0),2,IF($E12=(INDEX(_xlfn.ANCHORARRAY(Sintesi!$C$16),1,$C12)),3,4)))),0),IF($C12&gt;0,IF(($E12=INDEX(_xlfn.ANCHORARRAY(Sintesi!$C$14),1,$C12))*(INDEX(_xlfn.ANCHORARRAY(Sintesi!$C$15),1,$C12)&gt;0),0,IF(($E12=INDEX(_xlfn.ANCHORARRAY(Sintesi!$C$14),1,$C12))*(INDEX(_xlfn.ANCHORARRAY(Sintesi!$C$15),1,$C12)&lt;0)+($E12&gt;=LOOKUP(2,1/($E:$E&lt;&gt;""),$E:$E))*($E12&lt;=INDEX($E:$E,MATCH(TRUE,INDEX((ISNUMBER($E:$E)),0),0)))*($E12&gt;INDEX(_xlfn.ANCHORARRAY(Sintesi!$C$14),1,$C12))*($E12&lt;=INDEX(_xlfn.ANCHORARRAY(Sintesi!$C$15),1,$C12))*(INDEX(_xlfn.ANCHORARRAY(Sintesi!$C$15),1,$C12)&gt;0),1,IF(($E12&gt;=LOOKUP(2,1/($E:$E&lt;&gt;""),$E:$E))*($E12&lt;=INDEX($E:$E,MATCH(TRUE,INDEX((ISNUMBER($E:$E)),0),0)))*($E12&gt;INDEX(_xlfn.ANCHORARRAY(Sintesi!$C$14),1,$C12))*($E12&lt;INDEX(_xlfn.ANCHORARRAY(Sintesi!$C$16),1,$C12))*(INDEX(_xlfn.ANCHORARRAY(Sintesi!$C$15),1,$C12)&lt;0)+($E12&gt;=LOOKUP(2,1/($E:$E&lt;&gt;""),$E:$E))*($E12&lt;=INDEX($E:$E,MATCH(TRUE,INDEX((ISNUMBER($E:$E)),0),0)))*($E12&gt;INDEX(_xlfn.ANCHORARRAY(Sintesi!$C$15),1,$C12))*($E12&lt;INDEX(_xlfn.ANCHORARRAY(Sintesi!$C$16),1,$C12))*(INDEX(_xlfn.ANCHORARRAY(Sintesi!$C$15),1,$C12)&gt;0),2,IF($E12=(INDEX(_xlfn.ANCHORARRAY(Sintesi!$C$16),1,$C12)),3,4)))),0)),IF(ISNUMBER($E11),IF($C12&gt;0,IF(($E12=INDEX(_xlfn.ANCHORARRAY(Sintesi!$C$14),1,$C12))*(INDEX(_xlfn.ANCHORARRAY(Sintesi!$C$15),1,$C12)&gt;0),0,IF(($E12=INDEX(_xlfn.ANCHORARRAY(Sintesi!$C$14),1,$C12))*(INDEX(_xlfn.ANCHORARRAY(Sintesi!$C$15),1,$C12)&lt;0)+($E12&gt;=$E11)*($E12&lt;=$E13)*($E12&gt;INDEX(_xlfn.ANCHORARRAY(Sintesi!$C$14),1,$C12))*($E12&lt;=INDEX(_xlfn.ANCHORARRAY(Sintesi!$C$15),1,$C12))*(INDEX(_xlfn.ANCHORARRAY(Sintesi!$C$15),1,$C12)&gt;0),1,IF(($E12&gt;=$E11)*($E12&lt;=$E13)*($E12&gt;INDEX(_xlfn.ANCHORARRAY(Sintesi!$C$14),1,$C12))*($E12&lt;INDEX(_xlfn.ANCHORARRAY(Sintesi!$C$16),1,$C12))*(INDEX(_xlfn.ANCHORARRAY(Sintesi!$C$15),1,$C12)&lt;0)+($E12&gt;=$E11)*($E12&lt;=$E13)*($E12&gt;INDEX(_xlfn.ANCHORARRAY(Sintesi!$C$15),1,$C12))*($E12&lt;INDEX(_xlfn.ANCHORARRAY(Sintesi!$C$16),1,$C12))*(INDEX(_xlfn.ANCHORARRAY(Sintesi!$C$15),1,$C12)&gt;0),2,IF($E12=(INDEX(_xlfn.ANCHORARRAY(Sintesi!$C$16),1,$C12)),3,4)))),0),IF($C12&gt;0,IF(($E12=INDEX(_xlfn.ANCHORARRAY(Sintesi!$C$14),1,$C12))*(INDEX(_xlfn.ANCHORARRAY(Sintesi!$C$15),1,$C12)&gt;0),0,IF(($E12=INDEX(_xlfn.ANCHORARRAY(Sintesi!$C$14),1,$C12))*(INDEX(_xlfn.ANCHORARRAY(Sintesi!$C$15),1,$C12)&lt;0)+($E12&gt;=LOOKUP(2,1/($E:$E&lt;&gt;""),$E:$E))*($E12&lt;=$E13)*($E12&gt;INDEX(_xlfn.ANCHORARRAY(Sintesi!$C$14),1,$C12))*($E12&lt;=INDEX(_xlfn.ANCHORARRAY(Sintesi!$C$15),1,$C12))*(INDEX(_xlfn.ANCHORARRAY(Sintesi!$C$15),1,$C12)&gt;0),1,IF(($E12&gt;=LOOKUP(2,1/($E:$E&lt;&gt;""),$E:$E))*($E12&lt;=$E13)*($E12&gt;INDEX(_xlfn.ANCHORARRAY(Sintesi!$C$14),1,$C12))*($E12&lt;INDEX(_xlfn.ANCHORARRAY(Sintesi!$C$16),1,$C12))*(INDEX(_xlfn.ANCHORARRAY(Sintesi!$C$15),1,$C12)&lt;0)+($E12&gt;=LOOKUP(2,1/($E:$E&lt;&gt;""),$E:$E))*($E12&lt;=$E13)*($E12&gt;INDEX(_xlfn.ANCHORARRAY(Sintesi!$C$15),1,$C12))*($E12&lt;INDEX(_xlfn.ANCHORARRAY(Sintesi!$C$16),1,$C12))*(INDEX(_xlfn.ANCHORARRAY(Sintesi!$C$15),1,$C12)&gt;0),2,IF($E12=(INDEX(_xlfn.ANCHORARRAY(Sintesi!$C$16),1,$C12)),3,4)))),0)))</f>
        <v/>
      </c>
      <c r="E12" s="1">
        <f>'Paste cell here'!F12</f>
        <v/>
      </c>
      <c r="F12" s="1">
        <f>'Paste cell here'!C12</f>
        <v/>
      </c>
      <c r="G12" s="1">
        <f>'Paste cell here'!D12</f>
        <v/>
      </c>
      <c r="H12" s="1">
        <f>'Paste cell here'!E12</f>
        <v/>
      </c>
      <c r="I12" s="1">
        <f>'Paste cell here'!X12</f>
        <v/>
      </c>
      <c r="J12" s="1">
        <f>'Paste cell here'!Y12+'Paste cell here'!S12</f>
        <v/>
      </c>
      <c r="K12" s="1">
        <f>I12/H12</f>
        <v/>
      </c>
      <c r="L12" s="1">
        <f>AVERAGE(($F12+$G12)/2-($F12-$G12)/2*COS(PI()*(8-VLOOKUP(MONTH(B12),$O$1:$Q$13,3))/(VLOOKUP(MONTH(B12),$O$1:$Q$13,2)-VLOOKUP(MONTH(B12),$O$1:$Q$13,3))),($F12+$G12)/2-($F12-$G12)/2*COS(PI()*(9-VLOOKUP(MONTH(B12),$O$1:$Q$13,3))/(VLOOKUP(MONTH(B12),$O$1:$Q$13,2)-VLOOKUP(MONTH(B12),$O$1:$Q$13,3))),($F12+$G12)/2-($F12-$G12)/2*COS(PI()*(10-VLOOKUP(MONTH(B12),$O$1:$Q$13,3))/(VLOOKUP(MONTH(B12),$O$1:$Q$13,2)-VLOOKUP(MONTH(B12),$O$1:$Q$13,3))),($F12+$G12)/2-($F12-$G12)/2*COS(PI()*(11-VLOOKUP(MONTH(B12),$O$1:$Q$13,3))/(VLOOKUP(MONTH(B12),$O$1:$Q$13,2)-VLOOKUP(MONTH(B12),$O$1:$Q$13,3))),($F12+$G12)/2-($F12-$G12)/2*COS(PI()*(12-VLOOKUP(MONTH(B12),$O$1:$Q$13,3))/(VLOOKUP(MONTH(B12),$O$1:$Q$13,2)-VLOOKUP(MONTH(B12),$O$1:$Q$13,3))),($F12+$G12)/2-($F12-$G12)/2*COS(PI()*(13-VLOOKUP(MONTH(B12),$O$1:$Q$13,3))/(VLOOKUP(MONTH(B12),$O$1:$Q$13,2)-VLOOKUP(MONTH(B12),$O$1:$Q$13,3))),($F12+$G12)/2-($F12-$G12)/2*COS(PI()*(14-VLOOKUP(MONTH(B12),$O$1:$Q$13,3))/(VLOOKUP(MONTH(B12),$O$1:$Q$13,2)-VLOOKUP(MONTH(B12),$O$1:$Q$13,3))))</f>
        <v/>
      </c>
      <c r="M12" s="1">
        <f t="array" ref="M12">IF(AND(A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,A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),IF(L12&lt;_xlfn.IFNA(INDEX(_xlfn.ANCHORARRAY(Sintesi!$C$17)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,1,IF(L12&gt;=_xlfn.IFNA(INDEX(_xlfn.ANCHORARRAY(Sintesi!$C$18)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,0,1-(L12-_xlfn.IFNA(INDEX(_xlfn.ANCHORARRAY(Sintesi!$C$17)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)/(_xlfn.IFNA(INDEX(_xlfn.ANCHORARRAY(Sintesi!$C$18)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-_xlfn.IFNA(INDEX(_xlfn.ANCHORARRAY(Sintesi!$C$17)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))),0)</f>
        <v/>
      </c>
      <c r="N12" s="31" t="n"/>
      <c r="O12" s="14" t="n">
        <v>11</v>
      </c>
      <c r="P12" s="14" t="n">
        <v>14</v>
      </c>
      <c r="Q12" s="14" t="n">
        <v>6</v>
      </c>
    </row>
    <row r="13">
      <c r="A13" s="1">
        <f>'Paste cell here'!A13</f>
        <v/>
      </c>
      <c r="B13" s="2">
        <f>DATE(Sintesi!$C$4-1,12,31)+A13</f>
        <v/>
      </c>
      <c r="C13" s="34">
        <f t="array" ref="C13">_xlfn.IFNA(MATCH(1,(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)*(_xlfn.ANCHORARRAY(Sintesi!$C$15)&gt;=0)+(_xlfn.ANCHORARRAY(Sintesi!$C$15)&lt;0),0),0)</f>
        <v/>
      </c>
      <c r="D13" s="1">
        <f t="array" ref="D13">IF(ISBLANK($E14),IF(ISNUMBER($E12),IF($C13&gt;0,IF(($E13=INDEX(_xlfn.ANCHORARRAY(Sintesi!$C$14),1,$C13))*(INDEX(_xlfn.ANCHORARRAY(Sintesi!$C$15),1,$C13)&gt;0),0,IF(($E13=INDEX(_xlfn.ANCHORARRAY(Sintesi!$C$14),1,$C13))*(INDEX(_xlfn.ANCHORARRAY(Sintesi!$C$15),1,$C13)&lt;0)+($E13&gt;=$E12)*($E13&lt;=INDEX($E:$E,MATCH(TRUE,INDEX((ISNUMBER($E:$E)),0),0)))*($E13&gt;INDEX(_xlfn.ANCHORARRAY(Sintesi!$C$14),1,$C13))*($E13&lt;=INDEX(_xlfn.ANCHORARRAY(Sintesi!$C$15),1,$C13))*(INDEX(_xlfn.ANCHORARRAY(Sintesi!$C$15),1,$C13)&gt;0),1,IF(($E13&gt;=$E12)*($E13&lt;=INDEX($E:$E,MATCH(TRUE,INDEX((ISNUMBER($E:$E)),0),0)))*($E13&gt;INDEX(_xlfn.ANCHORARRAY(Sintesi!$C$14),1,$C13))*($E13&lt;INDEX(_xlfn.ANCHORARRAY(Sintesi!$C$16),1,$C13))*(INDEX(_xlfn.ANCHORARRAY(Sintesi!$C$15),1,$C13)&lt;0)+($E13&gt;=$E12)*($E13&lt;=INDEX($E:$E,MATCH(TRUE,INDEX((ISNUMBER($E:$E)),0),0)))*($E13&gt;INDEX(_xlfn.ANCHORARRAY(Sintesi!$C$15),1,$C13))*($E13&lt;INDEX(_xlfn.ANCHORARRAY(Sintesi!$C$16),1,$C13))*(INDEX(_xlfn.ANCHORARRAY(Sintesi!$C$15),1,$C13)&gt;0),2,IF($E13=(INDEX(_xlfn.ANCHORARRAY(Sintesi!$C$16),1,$C13)),3,4)))),0),IF($C13&gt;0,IF(($E13=INDEX(_xlfn.ANCHORARRAY(Sintesi!$C$14),1,$C13))*(INDEX(_xlfn.ANCHORARRAY(Sintesi!$C$15),1,$C13)&gt;0),0,IF(($E13=INDEX(_xlfn.ANCHORARRAY(Sintesi!$C$14),1,$C13))*(INDEX(_xlfn.ANCHORARRAY(Sintesi!$C$15),1,$C13)&lt;0)+($E13&gt;=LOOKUP(2,1/($E:$E&lt;&gt;""),$E:$E))*($E13&lt;=INDEX($E:$E,MATCH(TRUE,INDEX((ISNUMBER($E:$E)),0),0)))*($E13&gt;INDEX(_xlfn.ANCHORARRAY(Sintesi!$C$14),1,$C13))*($E13&lt;=INDEX(_xlfn.ANCHORARRAY(Sintesi!$C$15),1,$C13))*(INDEX(_xlfn.ANCHORARRAY(Sintesi!$C$15),1,$C13)&gt;0),1,IF(($E13&gt;=LOOKUP(2,1/($E:$E&lt;&gt;""),$E:$E))*($E13&lt;=INDEX($E:$E,MATCH(TRUE,INDEX((ISNUMBER($E:$E)),0),0)))*($E13&gt;INDEX(_xlfn.ANCHORARRAY(Sintesi!$C$14),1,$C13))*($E13&lt;INDEX(_xlfn.ANCHORARRAY(Sintesi!$C$16),1,$C13))*(INDEX(_xlfn.ANCHORARRAY(Sintesi!$C$15),1,$C13)&lt;0)+($E13&gt;=LOOKUP(2,1/($E:$E&lt;&gt;""),$E:$E))*($E13&lt;=INDEX($E:$E,MATCH(TRUE,INDEX((ISNUMBER($E:$E)),0),0)))*($E13&gt;INDEX(_xlfn.ANCHORARRAY(Sintesi!$C$15),1,$C13))*($E13&lt;INDEX(_xlfn.ANCHORARRAY(Sintesi!$C$16),1,$C13))*(INDEX(_xlfn.ANCHORARRAY(Sintesi!$C$15),1,$C13)&gt;0),2,IF($E13=(INDEX(_xlfn.ANCHORARRAY(Sintesi!$C$16),1,$C13)),3,4)))),0)),IF(ISNUMBER($E12),IF($C13&gt;0,IF(($E13=INDEX(_xlfn.ANCHORARRAY(Sintesi!$C$14),1,$C13))*(INDEX(_xlfn.ANCHORARRAY(Sintesi!$C$15),1,$C13)&gt;0),0,IF(($E13=INDEX(_xlfn.ANCHORARRAY(Sintesi!$C$14),1,$C13))*(INDEX(_xlfn.ANCHORARRAY(Sintesi!$C$15),1,$C13)&lt;0)+($E13&gt;=$E12)*($E13&lt;=$E14)*($E13&gt;INDEX(_xlfn.ANCHORARRAY(Sintesi!$C$14),1,$C13))*($E13&lt;=INDEX(_xlfn.ANCHORARRAY(Sintesi!$C$15),1,$C13))*(INDEX(_xlfn.ANCHORARRAY(Sintesi!$C$15),1,$C13)&gt;0),1,IF(($E13&gt;=$E12)*($E13&lt;=$E14)*($E13&gt;INDEX(_xlfn.ANCHORARRAY(Sintesi!$C$14),1,$C13))*($E13&lt;INDEX(_xlfn.ANCHORARRAY(Sintesi!$C$16),1,$C13))*(INDEX(_xlfn.ANCHORARRAY(Sintesi!$C$15),1,$C13)&lt;0)+($E13&gt;=$E12)*($E13&lt;=$E14)*($E13&gt;INDEX(_xlfn.ANCHORARRAY(Sintesi!$C$15),1,$C13))*($E13&lt;INDEX(_xlfn.ANCHORARRAY(Sintesi!$C$16),1,$C13))*(INDEX(_xlfn.ANCHORARRAY(Sintesi!$C$15),1,$C13)&gt;0),2,IF($E13=(INDEX(_xlfn.ANCHORARRAY(Sintesi!$C$16),1,$C13)),3,4)))),0),IF($C13&gt;0,IF(($E13=INDEX(_xlfn.ANCHORARRAY(Sintesi!$C$14),1,$C13))*(INDEX(_xlfn.ANCHORARRAY(Sintesi!$C$15),1,$C13)&gt;0),0,IF(($E13=INDEX(_xlfn.ANCHORARRAY(Sintesi!$C$14),1,$C13))*(INDEX(_xlfn.ANCHORARRAY(Sintesi!$C$15),1,$C13)&lt;0)+($E13&gt;=LOOKUP(2,1/($E:$E&lt;&gt;""),$E:$E))*($E13&lt;=$E14)*($E13&gt;INDEX(_xlfn.ANCHORARRAY(Sintesi!$C$14),1,$C13))*($E13&lt;=INDEX(_xlfn.ANCHORARRAY(Sintesi!$C$15),1,$C13))*(INDEX(_xlfn.ANCHORARRAY(Sintesi!$C$15),1,$C13)&gt;0),1,IF(($E13&gt;=LOOKUP(2,1/($E:$E&lt;&gt;""),$E:$E))*($E13&lt;=$E14)*($E13&gt;INDEX(_xlfn.ANCHORARRAY(Sintesi!$C$14),1,$C13))*($E13&lt;INDEX(_xlfn.ANCHORARRAY(Sintesi!$C$16),1,$C13))*(INDEX(_xlfn.ANCHORARRAY(Sintesi!$C$15),1,$C13)&lt;0)+($E13&gt;=LOOKUP(2,1/($E:$E&lt;&gt;""),$E:$E))*($E13&lt;=$E14)*($E13&gt;INDEX(_xlfn.ANCHORARRAY(Sintesi!$C$15),1,$C13))*($E13&lt;INDEX(_xlfn.ANCHORARRAY(Sintesi!$C$16),1,$C13))*(INDEX(_xlfn.ANCHORARRAY(Sintesi!$C$15),1,$C13)&gt;0),2,IF($E13=(INDEX(_xlfn.ANCHORARRAY(Sintesi!$C$16),1,$C13)),3,4)))),0)))</f>
        <v/>
      </c>
      <c r="E13" s="1">
        <f>'Paste cell here'!F13</f>
        <v/>
      </c>
      <c r="F13" s="1">
        <f>'Paste cell here'!C13</f>
        <v/>
      </c>
      <c r="G13" s="1">
        <f>'Paste cell here'!D13</f>
        <v/>
      </c>
      <c r="H13" s="1">
        <f>'Paste cell here'!E13</f>
        <v/>
      </c>
      <c r="I13" s="1">
        <f>'Paste cell here'!X13</f>
        <v/>
      </c>
      <c r="J13" s="1">
        <f>'Paste cell here'!Y13+'Paste cell here'!S13</f>
        <v/>
      </c>
      <c r="K13" s="1">
        <f>I13/H13</f>
        <v/>
      </c>
      <c r="L13" s="1">
        <f>AVERAGE(($F13+$G13)/2-($F13-$G13)/2*COS(PI()*(8-VLOOKUP(MONTH(B13),$O$1:$Q$13,3))/(VLOOKUP(MONTH(B13),$O$1:$Q$13,2)-VLOOKUP(MONTH(B13),$O$1:$Q$13,3))),($F13+$G13)/2-($F13-$G13)/2*COS(PI()*(9-VLOOKUP(MONTH(B13),$O$1:$Q$13,3))/(VLOOKUP(MONTH(B13),$O$1:$Q$13,2)-VLOOKUP(MONTH(B13),$O$1:$Q$13,3))),($F13+$G13)/2-($F13-$G13)/2*COS(PI()*(10-VLOOKUP(MONTH(B13),$O$1:$Q$13,3))/(VLOOKUP(MONTH(B13),$O$1:$Q$13,2)-VLOOKUP(MONTH(B13),$O$1:$Q$13,3))),($F13+$G13)/2-($F13-$G13)/2*COS(PI()*(11-VLOOKUP(MONTH(B13),$O$1:$Q$13,3))/(VLOOKUP(MONTH(B13),$O$1:$Q$13,2)-VLOOKUP(MONTH(B13),$O$1:$Q$13,3))),($F13+$G13)/2-($F13-$G13)/2*COS(PI()*(12-VLOOKUP(MONTH(B13),$O$1:$Q$13,3))/(VLOOKUP(MONTH(B13),$O$1:$Q$13,2)-VLOOKUP(MONTH(B13),$O$1:$Q$13,3))),($F13+$G13)/2-($F13-$G13)/2*COS(PI()*(13-VLOOKUP(MONTH(B13),$O$1:$Q$13,3))/(VLOOKUP(MONTH(B13),$O$1:$Q$13,2)-VLOOKUP(MONTH(B13),$O$1:$Q$13,3))),($F13+$G13)/2-($F13-$G13)/2*COS(PI()*(14-VLOOKUP(MONTH(B13),$O$1:$Q$13,3))/(VLOOKUP(MONTH(B13),$O$1:$Q$13,2)-VLOOKUP(MONTH(B13),$O$1:$Q$13,3))))</f>
        <v/>
      </c>
      <c r="M13" s="1">
        <f t="array" ref="M13">IF(AND(A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,A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),IF(L13&lt;_xlfn.IFNA(INDEX(_xlfn.ANCHORARRAY(Sintesi!$C$17)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,1,IF(L13&gt;=_xlfn.IFNA(INDEX(_xlfn.ANCHORARRAY(Sintesi!$C$18)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,0,1-(L13-_xlfn.IFNA(INDEX(_xlfn.ANCHORARRAY(Sintesi!$C$17)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)/(_xlfn.IFNA(INDEX(_xlfn.ANCHORARRAY(Sintesi!$C$18)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-_xlfn.IFNA(INDEX(_xlfn.ANCHORARRAY(Sintesi!$C$17)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))),0)</f>
        <v/>
      </c>
      <c r="O13" s="14" t="n">
        <v>12</v>
      </c>
      <c r="P13" s="14" t="n">
        <v>14</v>
      </c>
      <c r="Q13" s="14" t="n">
        <v>7</v>
      </c>
    </row>
    <row r="14">
      <c r="A14" s="1">
        <f>'Paste cell here'!A14</f>
        <v/>
      </c>
      <c r="B14" s="2">
        <f>DATE(Sintesi!$C$4-1,12,31)+A14</f>
        <v/>
      </c>
      <c r="C14" s="34">
        <f t="array" ref="C14">_xlfn.IFNA(MATCH(1,(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)*(_xlfn.ANCHORARRAY(Sintesi!$C$15)&gt;=0)+(_xlfn.ANCHORARRAY(Sintesi!$C$15)&lt;0),0),0)</f>
        <v/>
      </c>
      <c r="D14" s="1">
        <f t="array" ref="D14">IF(ISBLANK($E15),IF(ISNUMBER($E13),IF($C14&gt;0,IF(($E14=INDEX(_xlfn.ANCHORARRAY(Sintesi!$C$14),1,$C14))*(INDEX(_xlfn.ANCHORARRAY(Sintesi!$C$15),1,$C14)&gt;0),0,IF(($E14=INDEX(_xlfn.ANCHORARRAY(Sintesi!$C$14),1,$C14))*(INDEX(_xlfn.ANCHORARRAY(Sintesi!$C$15),1,$C14)&lt;0)+($E14&gt;=$E13)*($E14&lt;=INDEX($E:$E,MATCH(TRUE,INDEX((ISNUMBER($E:$E)),0),0)))*($E14&gt;INDEX(_xlfn.ANCHORARRAY(Sintesi!$C$14),1,$C14))*($E14&lt;=INDEX(_xlfn.ANCHORARRAY(Sintesi!$C$15),1,$C14))*(INDEX(_xlfn.ANCHORARRAY(Sintesi!$C$15),1,$C14)&gt;0),1,IF(($E14&gt;=$E13)*($E14&lt;=INDEX($E:$E,MATCH(TRUE,INDEX((ISNUMBER($E:$E)),0),0)))*($E14&gt;INDEX(_xlfn.ANCHORARRAY(Sintesi!$C$14),1,$C14))*($E14&lt;INDEX(_xlfn.ANCHORARRAY(Sintesi!$C$16),1,$C14))*(INDEX(_xlfn.ANCHORARRAY(Sintesi!$C$15),1,$C14)&lt;0)+($E14&gt;=$E13)*($E14&lt;=INDEX($E:$E,MATCH(TRUE,INDEX((ISNUMBER($E:$E)),0),0)))*($E14&gt;INDEX(_xlfn.ANCHORARRAY(Sintesi!$C$15),1,$C14))*($E14&lt;INDEX(_xlfn.ANCHORARRAY(Sintesi!$C$16),1,$C14))*(INDEX(_xlfn.ANCHORARRAY(Sintesi!$C$15),1,$C14)&gt;0),2,IF($E14=(INDEX(_xlfn.ANCHORARRAY(Sintesi!$C$16),1,$C14)),3,4)))),0),IF($C14&gt;0,IF(($E14=INDEX(_xlfn.ANCHORARRAY(Sintesi!$C$14),1,$C14))*(INDEX(_xlfn.ANCHORARRAY(Sintesi!$C$15),1,$C14)&gt;0),0,IF(($E14=INDEX(_xlfn.ANCHORARRAY(Sintesi!$C$14),1,$C14))*(INDEX(_xlfn.ANCHORARRAY(Sintesi!$C$15),1,$C14)&lt;0)+($E14&gt;=LOOKUP(2,1/($E:$E&lt;&gt;""),$E:$E))*($E14&lt;=INDEX($E:$E,MATCH(TRUE,INDEX((ISNUMBER($E:$E)),0),0)))*($E14&gt;INDEX(_xlfn.ANCHORARRAY(Sintesi!$C$14),1,$C14))*($E14&lt;=INDEX(_xlfn.ANCHORARRAY(Sintesi!$C$15),1,$C14))*(INDEX(_xlfn.ANCHORARRAY(Sintesi!$C$15),1,$C14)&gt;0),1,IF(($E14&gt;=LOOKUP(2,1/($E:$E&lt;&gt;""),$E:$E))*($E14&lt;=INDEX($E:$E,MATCH(TRUE,INDEX((ISNUMBER($E:$E)),0),0)))*($E14&gt;INDEX(_xlfn.ANCHORARRAY(Sintesi!$C$14),1,$C14))*($E14&lt;INDEX(_xlfn.ANCHORARRAY(Sintesi!$C$16),1,$C14))*(INDEX(_xlfn.ANCHORARRAY(Sintesi!$C$15),1,$C14)&lt;0)+($E14&gt;=LOOKUP(2,1/($E:$E&lt;&gt;""),$E:$E))*($E14&lt;=INDEX($E:$E,MATCH(TRUE,INDEX((ISNUMBER($E:$E)),0),0)))*($E14&gt;INDEX(_xlfn.ANCHORARRAY(Sintesi!$C$15),1,$C14))*($E14&lt;INDEX(_xlfn.ANCHORARRAY(Sintesi!$C$16),1,$C14))*(INDEX(_xlfn.ANCHORARRAY(Sintesi!$C$15),1,$C14)&gt;0),2,IF($E14=(INDEX(_xlfn.ANCHORARRAY(Sintesi!$C$16),1,$C14)),3,4)))),0)),IF(ISNUMBER($E13),IF($C14&gt;0,IF(($E14=INDEX(_xlfn.ANCHORARRAY(Sintesi!$C$14),1,$C14))*(INDEX(_xlfn.ANCHORARRAY(Sintesi!$C$15),1,$C14)&gt;0),0,IF(($E14=INDEX(_xlfn.ANCHORARRAY(Sintesi!$C$14),1,$C14))*(INDEX(_xlfn.ANCHORARRAY(Sintesi!$C$15),1,$C14)&lt;0)+($E14&gt;=$E13)*($E14&lt;=$E15)*($E14&gt;INDEX(_xlfn.ANCHORARRAY(Sintesi!$C$14),1,$C14))*($E14&lt;=INDEX(_xlfn.ANCHORARRAY(Sintesi!$C$15),1,$C14))*(INDEX(_xlfn.ANCHORARRAY(Sintesi!$C$15),1,$C14)&gt;0),1,IF(($E14&gt;=$E13)*($E14&lt;=$E15)*($E14&gt;INDEX(_xlfn.ANCHORARRAY(Sintesi!$C$14),1,$C14))*($E14&lt;INDEX(_xlfn.ANCHORARRAY(Sintesi!$C$16),1,$C14))*(INDEX(_xlfn.ANCHORARRAY(Sintesi!$C$15),1,$C14)&lt;0)+($E14&gt;=$E13)*($E14&lt;=$E15)*($E14&gt;INDEX(_xlfn.ANCHORARRAY(Sintesi!$C$15),1,$C14))*($E14&lt;INDEX(_xlfn.ANCHORARRAY(Sintesi!$C$16),1,$C14))*(INDEX(_xlfn.ANCHORARRAY(Sintesi!$C$15),1,$C14)&gt;0),2,IF($E14=(INDEX(_xlfn.ANCHORARRAY(Sintesi!$C$16),1,$C14)),3,4)))),0),IF($C14&gt;0,IF(($E14=INDEX(_xlfn.ANCHORARRAY(Sintesi!$C$14),1,$C14))*(INDEX(_xlfn.ANCHORARRAY(Sintesi!$C$15),1,$C14)&gt;0),0,IF(($E14=INDEX(_xlfn.ANCHORARRAY(Sintesi!$C$14),1,$C14))*(INDEX(_xlfn.ANCHORARRAY(Sintesi!$C$15),1,$C14)&lt;0)+($E14&gt;=LOOKUP(2,1/($E:$E&lt;&gt;""),$E:$E))*($E14&lt;=$E15)*($E14&gt;INDEX(_xlfn.ANCHORARRAY(Sintesi!$C$14),1,$C14))*($E14&lt;=INDEX(_xlfn.ANCHORARRAY(Sintesi!$C$15),1,$C14))*(INDEX(_xlfn.ANCHORARRAY(Sintesi!$C$15),1,$C14)&gt;0),1,IF(($E14&gt;=LOOKUP(2,1/($E:$E&lt;&gt;""),$E:$E))*($E14&lt;=$E15)*($E14&gt;INDEX(_xlfn.ANCHORARRAY(Sintesi!$C$14),1,$C14))*($E14&lt;INDEX(_xlfn.ANCHORARRAY(Sintesi!$C$16),1,$C14))*(INDEX(_xlfn.ANCHORARRAY(Sintesi!$C$15),1,$C14)&lt;0)+($E14&gt;=LOOKUP(2,1/($E:$E&lt;&gt;""),$E:$E))*($E14&lt;=$E15)*($E14&gt;INDEX(_xlfn.ANCHORARRAY(Sintesi!$C$15),1,$C14))*($E14&lt;INDEX(_xlfn.ANCHORARRAY(Sintesi!$C$16),1,$C14))*(INDEX(_xlfn.ANCHORARRAY(Sintesi!$C$15),1,$C14)&gt;0),2,IF($E14=(INDEX(_xlfn.ANCHORARRAY(Sintesi!$C$16),1,$C14)),3,4)))),0)))</f>
        <v/>
      </c>
      <c r="E14" s="1">
        <f>'Paste cell here'!F14</f>
        <v/>
      </c>
      <c r="F14" s="1">
        <f>'Paste cell here'!C14</f>
        <v/>
      </c>
      <c r="G14" s="1">
        <f>'Paste cell here'!D14</f>
        <v/>
      </c>
      <c r="H14" s="1">
        <f>'Paste cell here'!E14</f>
        <v/>
      </c>
      <c r="I14" s="1">
        <f>'Paste cell here'!X14</f>
        <v/>
      </c>
      <c r="J14" s="1">
        <f>'Paste cell here'!Y14+'Paste cell here'!S14</f>
        <v/>
      </c>
      <c r="K14" s="1">
        <f>I14/H14</f>
        <v/>
      </c>
      <c r="L14" s="1">
        <f>AVERAGE(($F14+$G14)/2-($F14-$G14)/2*COS(PI()*(8-VLOOKUP(MONTH(B14),$O$1:$Q$13,3))/(VLOOKUP(MONTH(B14),$O$1:$Q$13,2)-VLOOKUP(MONTH(B14),$O$1:$Q$13,3))),($F14+$G14)/2-($F14-$G14)/2*COS(PI()*(9-VLOOKUP(MONTH(B14),$O$1:$Q$13,3))/(VLOOKUP(MONTH(B14),$O$1:$Q$13,2)-VLOOKUP(MONTH(B14),$O$1:$Q$13,3))),($F14+$G14)/2-($F14-$G14)/2*COS(PI()*(10-VLOOKUP(MONTH(B14),$O$1:$Q$13,3))/(VLOOKUP(MONTH(B14),$O$1:$Q$13,2)-VLOOKUP(MONTH(B14),$O$1:$Q$13,3))),($F14+$G14)/2-($F14-$G14)/2*COS(PI()*(11-VLOOKUP(MONTH(B14),$O$1:$Q$13,3))/(VLOOKUP(MONTH(B14),$O$1:$Q$13,2)-VLOOKUP(MONTH(B14),$O$1:$Q$13,3))),($F14+$G14)/2-($F14-$G14)/2*COS(PI()*(12-VLOOKUP(MONTH(B14),$O$1:$Q$13,3))/(VLOOKUP(MONTH(B14),$O$1:$Q$13,2)-VLOOKUP(MONTH(B14),$O$1:$Q$13,3))),($F14+$G14)/2-($F14-$G14)/2*COS(PI()*(13-VLOOKUP(MONTH(B14),$O$1:$Q$13,3))/(VLOOKUP(MONTH(B14),$O$1:$Q$13,2)-VLOOKUP(MONTH(B14),$O$1:$Q$13,3))),($F14+$G14)/2-($F14-$G14)/2*COS(PI()*(14-VLOOKUP(MONTH(B14),$O$1:$Q$13,3))/(VLOOKUP(MONTH(B14),$O$1:$Q$13,2)-VLOOKUP(MONTH(B14),$O$1:$Q$13,3))))</f>
        <v/>
      </c>
      <c r="M14" s="1">
        <f t="array" ref="M14">IF(AND(A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,A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),IF(L14&lt;_xlfn.IFNA(INDEX(_xlfn.ANCHORARRAY(Sintesi!$C$17)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,1,IF(L14&gt;=_xlfn.IFNA(INDEX(_xlfn.ANCHORARRAY(Sintesi!$C$18)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,0,1-(L14-_xlfn.IFNA(INDEX(_xlfn.ANCHORARRAY(Sintesi!$C$17)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)/(_xlfn.IFNA(INDEX(_xlfn.ANCHORARRAY(Sintesi!$C$18)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-_xlfn.IFNA(INDEX(_xlfn.ANCHORARRAY(Sintesi!$C$17)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))),0)</f>
        <v/>
      </c>
    </row>
    <row r="15">
      <c r="A15" s="1">
        <f>'Paste cell here'!A15</f>
        <v/>
      </c>
      <c r="B15" s="2">
        <f>DATE(Sintesi!$C$4-1,12,31)+A15</f>
        <v/>
      </c>
      <c r="C15" s="34">
        <f t="array" ref="C15">_xlfn.IFNA(MATCH(1,(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)*(_xlfn.ANCHORARRAY(Sintesi!$C$15)&gt;=0)+(_xlfn.ANCHORARRAY(Sintesi!$C$15)&lt;0),0),0)</f>
        <v/>
      </c>
      <c r="D15" s="1">
        <f t="array" ref="D15">IF(ISBLANK($E16),IF(ISNUMBER($E14),IF($C15&gt;0,IF(($E15=INDEX(_xlfn.ANCHORARRAY(Sintesi!$C$14),1,$C15))*(INDEX(_xlfn.ANCHORARRAY(Sintesi!$C$15),1,$C15)&gt;0),0,IF(($E15=INDEX(_xlfn.ANCHORARRAY(Sintesi!$C$14),1,$C15))*(INDEX(_xlfn.ANCHORARRAY(Sintesi!$C$15),1,$C15)&lt;0)+($E15&gt;=$E14)*($E15&lt;=INDEX($E:$E,MATCH(TRUE,INDEX((ISNUMBER($E:$E)),0),0)))*($E15&gt;INDEX(_xlfn.ANCHORARRAY(Sintesi!$C$14),1,$C15))*($E15&lt;=INDEX(_xlfn.ANCHORARRAY(Sintesi!$C$15),1,$C15))*(INDEX(_xlfn.ANCHORARRAY(Sintesi!$C$15),1,$C15)&gt;0),1,IF(($E15&gt;=$E14)*($E15&lt;=INDEX($E:$E,MATCH(TRUE,INDEX((ISNUMBER($E:$E)),0),0)))*($E15&gt;INDEX(_xlfn.ANCHORARRAY(Sintesi!$C$14),1,$C15))*($E15&lt;INDEX(_xlfn.ANCHORARRAY(Sintesi!$C$16),1,$C15))*(INDEX(_xlfn.ANCHORARRAY(Sintesi!$C$15),1,$C15)&lt;0)+($E15&gt;=$E14)*($E15&lt;=INDEX($E:$E,MATCH(TRUE,INDEX((ISNUMBER($E:$E)),0),0)))*($E15&gt;INDEX(_xlfn.ANCHORARRAY(Sintesi!$C$15),1,$C15))*($E15&lt;INDEX(_xlfn.ANCHORARRAY(Sintesi!$C$16),1,$C15))*(INDEX(_xlfn.ANCHORARRAY(Sintesi!$C$15),1,$C15)&gt;0),2,IF($E15=(INDEX(_xlfn.ANCHORARRAY(Sintesi!$C$16),1,$C15)),3,4)))),0),IF($C15&gt;0,IF(($E15=INDEX(_xlfn.ANCHORARRAY(Sintesi!$C$14),1,$C15))*(INDEX(_xlfn.ANCHORARRAY(Sintesi!$C$15),1,$C15)&gt;0),0,IF(($E15=INDEX(_xlfn.ANCHORARRAY(Sintesi!$C$14),1,$C15))*(INDEX(_xlfn.ANCHORARRAY(Sintesi!$C$15),1,$C15)&lt;0)+($E15&gt;=LOOKUP(2,1/($E:$E&lt;&gt;""),$E:$E))*($E15&lt;=INDEX($E:$E,MATCH(TRUE,INDEX((ISNUMBER($E:$E)),0),0)))*($E15&gt;INDEX(_xlfn.ANCHORARRAY(Sintesi!$C$14),1,$C15))*($E15&lt;=INDEX(_xlfn.ANCHORARRAY(Sintesi!$C$15),1,$C15))*(INDEX(_xlfn.ANCHORARRAY(Sintesi!$C$15),1,$C15)&gt;0),1,IF(($E15&gt;=LOOKUP(2,1/($E:$E&lt;&gt;""),$E:$E))*($E15&lt;=INDEX($E:$E,MATCH(TRUE,INDEX((ISNUMBER($E:$E)),0),0)))*($E15&gt;INDEX(_xlfn.ANCHORARRAY(Sintesi!$C$14),1,$C15))*($E15&lt;INDEX(_xlfn.ANCHORARRAY(Sintesi!$C$16),1,$C15))*(INDEX(_xlfn.ANCHORARRAY(Sintesi!$C$15),1,$C15)&lt;0)+($E15&gt;=LOOKUP(2,1/($E:$E&lt;&gt;""),$E:$E))*($E15&lt;=INDEX($E:$E,MATCH(TRUE,INDEX((ISNUMBER($E:$E)),0),0)))*($E15&gt;INDEX(_xlfn.ANCHORARRAY(Sintesi!$C$15),1,$C15))*($E15&lt;INDEX(_xlfn.ANCHORARRAY(Sintesi!$C$16),1,$C15))*(INDEX(_xlfn.ANCHORARRAY(Sintesi!$C$15),1,$C15)&gt;0),2,IF($E15=(INDEX(_xlfn.ANCHORARRAY(Sintesi!$C$16),1,$C15)),3,4)))),0)),IF(ISNUMBER($E14),IF($C15&gt;0,IF(($E15=INDEX(_xlfn.ANCHORARRAY(Sintesi!$C$14),1,$C15))*(INDEX(_xlfn.ANCHORARRAY(Sintesi!$C$15),1,$C15)&gt;0),0,IF(($E15=INDEX(_xlfn.ANCHORARRAY(Sintesi!$C$14),1,$C15))*(INDEX(_xlfn.ANCHORARRAY(Sintesi!$C$15),1,$C15)&lt;0)+($E15&gt;=$E14)*($E15&lt;=$E16)*($E15&gt;INDEX(_xlfn.ANCHORARRAY(Sintesi!$C$14),1,$C15))*($E15&lt;=INDEX(_xlfn.ANCHORARRAY(Sintesi!$C$15),1,$C15))*(INDEX(_xlfn.ANCHORARRAY(Sintesi!$C$15),1,$C15)&gt;0),1,IF(($E15&gt;=$E14)*($E15&lt;=$E16)*($E15&gt;INDEX(_xlfn.ANCHORARRAY(Sintesi!$C$14),1,$C15))*($E15&lt;INDEX(_xlfn.ANCHORARRAY(Sintesi!$C$16),1,$C15))*(INDEX(_xlfn.ANCHORARRAY(Sintesi!$C$15),1,$C15)&lt;0)+($E15&gt;=$E14)*($E15&lt;=$E16)*($E15&gt;INDEX(_xlfn.ANCHORARRAY(Sintesi!$C$15),1,$C15))*($E15&lt;INDEX(_xlfn.ANCHORARRAY(Sintesi!$C$16),1,$C15))*(INDEX(_xlfn.ANCHORARRAY(Sintesi!$C$15),1,$C15)&gt;0),2,IF($E15=(INDEX(_xlfn.ANCHORARRAY(Sintesi!$C$16),1,$C15)),3,4)))),0),IF($C15&gt;0,IF(($E15=INDEX(_xlfn.ANCHORARRAY(Sintesi!$C$14),1,$C15))*(INDEX(_xlfn.ANCHORARRAY(Sintesi!$C$15),1,$C15)&gt;0),0,IF(($E15=INDEX(_xlfn.ANCHORARRAY(Sintesi!$C$14),1,$C15))*(INDEX(_xlfn.ANCHORARRAY(Sintesi!$C$15),1,$C15)&lt;0)+($E15&gt;=LOOKUP(2,1/($E:$E&lt;&gt;""),$E:$E))*($E15&lt;=$E16)*($E15&gt;INDEX(_xlfn.ANCHORARRAY(Sintesi!$C$14),1,$C15))*($E15&lt;=INDEX(_xlfn.ANCHORARRAY(Sintesi!$C$15),1,$C15))*(INDEX(_xlfn.ANCHORARRAY(Sintesi!$C$15),1,$C15)&gt;0),1,IF(($E15&gt;=LOOKUP(2,1/($E:$E&lt;&gt;""),$E:$E))*($E15&lt;=$E16)*($E15&gt;INDEX(_xlfn.ANCHORARRAY(Sintesi!$C$14),1,$C15))*($E15&lt;INDEX(_xlfn.ANCHORARRAY(Sintesi!$C$16),1,$C15))*(INDEX(_xlfn.ANCHORARRAY(Sintesi!$C$15),1,$C15)&lt;0)+($E15&gt;=LOOKUP(2,1/($E:$E&lt;&gt;""),$E:$E))*($E15&lt;=$E16)*($E15&gt;INDEX(_xlfn.ANCHORARRAY(Sintesi!$C$15),1,$C15))*($E15&lt;INDEX(_xlfn.ANCHORARRAY(Sintesi!$C$16),1,$C15))*(INDEX(_xlfn.ANCHORARRAY(Sintesi!$C$15),1,$C15)&gt;0),2,IF($E15=(INDEX(_xlfn.ANCHORARRAY(Sintesi!$C$16),1,$C15)),3,4)))),0)))</f>
        <v/>
      </c>
      <c r="E15" s="1">
        <f>'Paste cell here'!F15</f>
        <v/>
      </c>
      <c r="F15" s="1">
        <f>'Paste cell here'!C15</f>
        <v/>
      </c>
      <c r="G15" s="1">
        <f>'Paste cell here'!D15</f>
        <v/>
      </c>
      <c r="H15" s="1">
        <f>'Paste cell here'!E15</f>
        <v/>
      </c>
      <c r="I15" s="1">
        <f>'Paste cell here'!X15</f>
        <v/>
      </c>
      <c r="J15" s="1">
        <f>'Paste cell here'!Y15+'Paste cell here'!S15</f>
        <v/>
      </c>
      <c r="K15" s="1">
        <f>I15/H15</f>
        <v/>
      </c>
      <c r="L15" s="1">
        <f>AVERAGE(($F15+$G15)/2-($F15-$G15)/2*COS(PI()*(8-VLOOKUP(MONTH(B15),$O$1:$Q$13,3))/(VLOOKUP(MONTH(B15),$O$1:$Q$13,2)-VLOOKUP(MONTH(B15),$O$1:$Q$13,3))),($F15+$G15)/2-($F15-$G15)/2*COS(PI()*(9-VLOOKUP(MONTH(B15),$O$1:$Q$13,3))/(VLOOKUP(MONTH(B15),$O$1:$Q$13,2)-VLOOKUP(MONTH(B15),$O$1:$Q$13,3))),($F15+$G15)/2-($F15-$G15)/2*COS(PI()*(10-VLOOKUP(MONTH(B15),$O$1:$Q$13,3))/(VLOOKUP(MONTH(B15),$O$1:$Q$13,2)-VLOOKUP(MONTH(B15),$O$1:$Q$13,3))),($F15+$G15)/2-($F15-$G15)/2*COS(PI()*(11-VLOOKUP(MONTH(B15),$O$1:$Q$13,3))/(VLOOKUP(MONTH(B15),$O$1:$Q$13,2)-VLOOKUP(MONTH(B15),$O$1:$Q$13,3))),($F15+$G15)/2-($F15-$G15)/2*COS(PI()*(12-VLOOKUP(MONTH(B15),$O$1:$Q$13,3))/(VLOOKUP(MONTH(B15),$O$1:$Q$13,2)-VLOOKUP(MONTH(B15),$O$1:$Q$13,3))),($F15+$G15)/2-($F15-$G15)/2*COS(PI()*(13-VLOOKUP(MONTH(B15),$O$1:$Q$13,3))/(VLOOKUP(MONTH(B15),$O$1:$Q$13,2)-VLOOKUP(MONTH(B15),$O$1:$Q$13,3))),($F15+$G15)/2-($F15-$G15)/2*COS(PI()*(14-VLOOKUP(MONTH(B15),$O$1:$Q$13,3))/(VLOOKUP(MONTH(B15),$O$1:$Q$13,2)-VLOOKUP(MONTH(B15),$O$1:$Q$13,3))))</f>
        <v/>
      </c>
      <c r="M15" s="1">
        <f t="array" ref="M15">IF(AND(A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,A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),IF(L15&lt;_xlfn.IFNA(INDEX(_xlfn.ANCHORARRAY(Sintesi!$C$17)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,1,IF(L15&gt;=_xlfn.IFNA(INDEX(_xlfn.ANCHORARRAY(Sintesi!$C$18)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,0,1-(L15-_xlfn.IFNA(INDEX(_xlfn.ANCHORARRAY(Sintesi!$C$17)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)/(_xlfn.IFNA(INDEX(_xlfn.ANCHORARRAY(Sintesi!$C$18)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-_xlfn.IFNA(INDEX(_xlfn.ANCHORARRAY(Sintesi!$C$17)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))),0)</f>
        <v/>
      </c>
    </row>
    <row r="16">
      <c r="A16" s="1">
        <f>'Paste cell here'!A16</f>
        <v/>
      </c>
      <c r="B16" s="2">
        <f>DATE(Sintesi!$C$4-1,12,31)+A16</f>
        <v/>
      </c>
      <c r="C16" s="34">
        <f t="array" ref="C16">_xlfn.IFNA(MATCH(1,(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)*(_xlfn.ANCHORARRAY(Sintesi!$C$15)&gt;=0)+(_xlfn.ANCHORARRAY(Sintesi!$C$15)&lt;0),0),0)</f>
        <v/>
      </c>
      <c r="D16" s="1">
        <f t="array" ref="D16">IF(ISBLANK($E17),IF(ISNUMBER($E15),IF($C16&gt;0,IF(($E16=INDEX(_xlfn.ANCHORARRAY(Sintesi!$C$14),1,$C16))*(INDEX(_xlfn.ANCHORARRAY(Sintesi!$C$15),1,$C16)&gt;0),0,IF(($E16=INDEX(_xlfn.ANCHORARRAY(Sintesi!$C$14),1,$C16))*(INDEX(_xlfn.ANCHORARRAY(Sintesi!$C$15),1,$C16)&lt;0)+($E16&gt;=$E15)*($E16&lt;=INDEX($E:$E,MATCH(TRUE,INDEX((ISNUMBER($E:$E)),0),0)))*($E16&gt;INDEX(_xlfn.ANCHORARRAY(Sintesi!$C$14),1,$C16))*($E16&lt;=INDEX(_xlfn.ANCHORARRAY(Sintesi!$C$15),1,$C16))*(INDEX(_xlfn.ANCHORARRAY(Sintesi!$C$15),1,$C16)&gt;0),1,IF(($E16&gt;=$E15)*($E16&lt;=INDEX($E:$E,MATCH(TRUE,INDEX((ISNUMBER($E:$E)),0),0)))*($E16&gt;INDEX(_xlfn.ANCHORARRAY(Sintesi!$C$14),1,$C16))*($E16&lt;INDEX(_xlfn.ANCHORARRAY(Sintesi!$C$16),1,$C16))*(INDEX(_xlfn.ANCHORARRAY(Sintesi!$C$15),1,$C16)&lt;0)+($E16&gt;=$E15)*($E16&lt;=INDEX($E:$E,MATCH(TRUE,INDEX((ISNUMBER($E:$E)),0),0)))*($E16&gt;INDEX(_xlfn.ANCHORARRAY(Sintesi!$C$15),1,$C16))*($E16&lt;INDEX(_xlfn.ANCHORARRAY(Sintesi!$C$16),1,$C16))*(INDEX(_xlfn.ANCHORARRAY(Sintesi!$C$15),1,$C16)&gt;0),2,IF($E16=(INDEX(_xlfn.ANCHORARRAY(Sintesi!$C$16),1,$C16)),3,4)))),0),IF($C16&gt;0,IF(($E16=INDEX(_xlfn.ANCHORARRAY(Sintesi!$C$14),1,$C16))*(INDEX(_xlfn.ANCHORARRAY(Sintesi!$C$15),1,$C16)&gt;0),0,IF(($E16=INDEX(_xlfn.ANCHORARRAY(Sintesi!$C$14),1,$C16))*(INDEX(_xlfn.ANCHORARRAY(Sintesi!$C$15),1,$C16)&lt;0)+($E16&gt;=LOOKUP(2,1/($E:$E&lt;&gt;""),$E:$E))*($E16&lt;=INDEX($E:$E,MATCH(TRUE,INDEX((ISNUMBER($E:$E)),0),0)))*($E16&gt;INDEX(_xlfn.ANCHORARRAY(Sintesi!$C$14),1,$C16))*($E16&lt;=INDEX(_xlfn.ANCHORARRAY(Sintesi!$C$15),1,$C16))*(INDEX(_xlfn.ANCHORARRAY(Sintesi!$C$15),1,$C16)&gt;0),1,IF(($E16&gt;=LOOKUP(2,1/($E:$E&lt;&gt;""),$E:$E))*($E16&lt;=INDEX($E:$E,MATCH(TRUE,INDEX((ISNUMBER($E:$E)),0),0)))*($E16&gt;INDEX(_xlfn.ANCHORARRAY(Sintesi!$C$14),1,$C16))*($E16&lt;INDEX(_xlfn.ANCHORARRAY(Sintesi!$C$16),1,$C16))*(INDEX(_xlfn.ANCHORARRAY(Sintesi!$C$15),1,$C16)&lt;0)+($E16&gt;=LOOKUP(2,1/($E:$E&lt;&gt;""),$E:$E))*($E16&lt;=INDEX($E:$E,MATCH(TRUE,INDEX((ISNUMBER($E:$E)),0),0)))*($E16&gt;INDEX(_xlfn.ANCHORARRAY(Sintesi!$C$15),1,$C16))*($E16&lt;INDEX(_xlfn.ANCHORARRAY(Sintesi!$C$16),1,$C16))*(INDEX(_xlfn.ANCHORARRAY(Sintesi!$C$15),1,$C16)&gt;0),2,IF($E16=(INDEX(_xlfn.ANCHORARRAY(Sintesi!$C$16),1,$C16)),3,4)))),0)),IF(ISNUMBER($E15),IF($C16&gt;0,IF(($E16=INDEX(_xlfn.ANCHORARRAY(Sintesi!$C$14),1,$C16))*(INDEX(_xlfn.ANCHORARRAY(Sintesi!$C$15),1,$C16)&gt;0),0,IF(($E16=INDEX(_xlfn.ANCHORARRAY(Sintesi!$C$14),1,$C16))*(INDEX(_xlfn.ANCHORARRAY(Sintesi!$C$15),1,$C16)&lt;0)+($E16&gt;=$E15)*($E16&lt;=$E17)*($E16&gt;INDEX(_xlfn.ANCHORARRAY(Sintesi!$C$14),1,$C16))*($E16&lt;=INDEX(_xlfn.ANCHORARRAY(Sintesi!$C$15),1,$C16))*(INDEX(_xlfn.ANCHORARRAY(Sintesi!$C$15),1,$C16)&gt;0),1,IF(($E16&gt;=$E15)*($E16&lt;=$E17)*($E16&gt;INDEX(_xlfn.ANCHORARRAY(Sintesi!$C$14),1,$C16))*($E16&lt;INDEX(_xlfn.ANCHORARRAY(Sintesi!$C$16),1,$C16))*(INDEX(_xlfn.ANCHORARRAY(Sintesi!$C$15),1,$C16)&lt;0)+($E16&gt;=$E15)*($E16&lt;=$E17)*($E16&gt;INDEX(_xlfn.ANCHORARRAY(Sintesi!$C$15),1,$C16))*($E16&lt;INDEX(_xlfn.ANCHORARRAY(Sintesi!$C$16),1,$C16))*(INDEX(_xlfn.ANCHORARRAY(Sintesi!$C$15),1,$C16)&gt;0),2,IF($E16=(INDEX(_xlfn.ANCHORARRAY(Sintesi!$C$16),1,$C16)),3,4)))),0),IF($C16&gt;0,IF(($E16=INDEX(_xlfn.ANCHORARRAY(Sintesi!$C$14),1,$C16))*(INDEX(_xlfn.ANCHORARRAY(Sintesi!$C$15),1,$C16)&gt;0),0,IF(($E16=INDEX(_xlfn.ANCHORARRAY(Sintesi!$C$14),1,$C16))*(INDEX(_xlfn.ANCHORARRAY(Sintesi!$C$15),1,$C16)&lt;0)+($E16&gt;=LOOKUP(2,1/($E:$E&lt;&gt;""),$E:$E))*($E16&lt;=$E17)*($E16&gt;INDEX(_xlfn.ANCHORARRAY(Sintesi!$C$14),1,$C16))*($E16&lt;=INDEX(_xlfn.ANCHORARRAY(Sintesi!$C$15),1,$C16))*(INDEX(_xlfn.ANCHORARRAY(Sintesi!$C$15),1,$C16)&gt;0),1,IF(($E16&gt;=LOOKUP(2,1/($E:$E&lt;&gt;""),$E:$E))*($E16&lt;=$E17)*($E16&gt;INDEX(_xlfn.ANCHORARRAY(Sintesi!$C$14),1,$C16))*($E16&lt;INDEX(_xlfn.ANCHORARRAY(Sintesi!$C$16),1,$C16))*(INDEX(_xlfn.ANCHORARRAY(Sintesi!$C$15),1,$C16)&lt;0)+($E16&gt;=LOOKUP(2,1/($E:$E&lt;&gt;""),$E:$E))*($E16&lt;=$E17)*($E16&gt;INDEX(_xlfn.ANCHORARRAY(Sintesi!$C$15),1,$C16))*($E16&lt;INDEX(_xlfn.ANCHORARRAY(Sintesi!$C$16),1,$C16))*(INDEX(_xlfn.ANCHORARRAY(Sintesi!$C$15),1,$C16)&gt;0),2,IF($E16=(INDEX(_xlfn.ANCHORARRAY(Sintesi!$C$16),1,$C16)),3,4)))),0)))</f>
        <v/>
      </c>
      <c r="E16" s="1">
        <f>'Paste cell here'!F16</f>
        <v/>
      </c>
      <c r="F16" s="1">
        <f>'Paste cell here'!C16</f>
        <v/>
      </c>
      <c r="G16" s="1">
        <f>'Paste cell here'!D16</f>
        <v/>
      </c>
      <c r="H16" s="1">
        <f>'Paste cell here'!E16</f>
        <v/>
      </c>
      <c r="I16" s="1">
        <f>'Paste cell here'!X16</f>
        <v/>
      </c>
      <c r="J16" s="1">
        <f>'Paste cell here'!Y16+'Paste cell here'!S16</f>
        <v/>
      </c>
      <c r="K16" s="1">
        <f>I16/H16</f>
        <v/>
      </c>
      <c r="L16" s="1">
        <f>AVERAGE(($F16+$G16)/2-($F16-$G16)/2*COS(PI()*(8-VLOOKUP(MONTH(B16),$O$1:$Q$13,3))/(VLOOKUP(MONTH(B16),$O$1:$Q$13,2)-VLOOKUP(MONTH(B16),$O$1:$Q$13,3))),($F16+$G16)/2-($F16-$G16)/2*COS(PI()*(9-VLOOKUP(MONTH(B16),$O$1:$Q$13,3))/(VLOOKUP(MONTH(B16),$O$1:$Q$13,2)-VLOOKUP(MONTH(B16),$O$1:$Q$13,3))),($F16+$G16)/2-($F16-$G16)/2*COS(PI()*(10-VLOOKUP(MONTH(B16),$O$1:$Q$13,3))/(VLOOKUP(MONTH(B16),$O$1:$Q$13,2)-VLOOKUP(MONTH(B16),$O$1:$Q$13,3))),($F16+$G16)/2-($F16-$G16)/2*COS(PI()*(11-VLOOKUP(MONTH(B16),$O$1:$Q$13,3))/(VLOOKUP(MONTH(B16),$O$1:$Q$13,2)-VLOOKUP(MONTH(B16),$O$1:$Q$13,3))),($F16+$G16)/2-($F16-$G16)/2*COS(PI()*(12-VLOOKUP(MONTH(B16),$O$1:$Q$13,3))/(VLOOKUP(MONTH(B16),$O$1:$Q$13,2)-VLOOKUP(MONTH(B16),$O$1:$Q$13,3))),($F16+$G16)/2-($F16-$G16)/2*COS(PI()*(13-VLOOKUP(MONTH(B16),$O$1:$Q$13,3))/(VLOOKUP(MONTH(B16),$O$1:$Q$13,2)-VLOOKUP(MONTH(B16),$O$1:$Q$13,3))),($F16+$G16)/2-($F16-$G16)/2*COS(PI()*(14-VLOOKUP(MONTH(B16),$O$1:$Q$13,3))/(VLOOKUP(MONTH(B16),$O$1:$Q$13,2)-VLOOKUP(MONTH(B16),$O$1:$Q$13,3))))</f>
        <v/>
      </c>
      <c r="M16" s="1">
        <f t="array" ref="M16">IF(AND(A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,A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),IF(L16&lt;_xlfn.IFNA(INDEX(_xlfn.ANCHORARRAY(Sintesi!$C$17)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,1,IF(L16&gt;=_xlfn.IFNA(INDEX(_xlfn.ANCHORARRAY(Sintesi!$C$18)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,0,1-(L16-_xlfn.IFNA(INDEX(_xlfn.ANCHORARRAY(Sintesi!$C$17)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)/(_xlfn.IFNA(INDEX(_xlfn.ANCHORARRAY(Sintesi!$C$18)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-_xlfn.IFNA(INDEX(_xlfn.ANCHORARRAY(Sintesi!$C$17)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))),0)</f>
        <v/>
      </c>
    </row>
    <row r="17">
      <c r="A17" s="1">
        <f>'Paste cell here'!A17</f>
        <v/>
      </c>
      <c r="B17" s="2">
        <f>DATE(Sintesi!$C$4-1,12,31)+A17</f>
        <v/>
      </c>
      <c r="C17" s="34">
        <f t="array" ref="C17">_xlfn.IFNA(MATCH(1,(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)*(_xlfn.ANCHORARRAY(Sintesi!$C$15)&gt;=0)+(_xlfn.ANCHORARRAY(Sintesi!$C$15)&lt;0),0),0)</f>
        <v/>
      </c>
      <c r="D17" s="1">
        <f t="array" ref="D17">IF(ISBLANK($E18),IF(ISNUMBER($E16),IF($C17&gt;0,IF(($E17=INDEX(_xlfn.ANCHORARRAY(Sintesi!$C$14),1,$C17))*(INDEX(_xlfn.ANCHORARRAY(Sintesi!$C$15),1,$C17)&gt;0),0,IF(($E17=INDEX(_xlfn.ANCHORARRAY(Sintesi!$C$14),1,$C17))*(INDEX(_xlfn.ANCHORARRAY(Sintesi!$C$15),1,$C17)&lt;0)+($E17&gt;=$E16)*($E17&lt;=INDEX($E:$E,MATCH(TRUE,INDEX((ISNUMBER($E:$E)),0),0)))*($E17&gt;INDEX(_xlfn.ANCHORARRAY(Sintesi!$C$14),1,$C17))*($E17&lt;=INDEX(_xlfn.ANCHORARRAY(Sintesi!$C$15),1,$C17))*(INDEX(_xlfn.ANCHORARRAY(Sintesi!$C$15),1,$C17)&gt;0),1,IF(($E17&gt;=$E16)*($E17&lt;=INDEX($E:$E,MATCH(TRUE,INDEX((ISNUMBER($E:$E)),0),0)))*($E17&gt;INDEX(_xlfn.ANCHORARRAY(Sintesi!$C$14),1,$C17))*($E17&lt;INDEX(_xlfn.ANCHORARRAY(Sintesi!$C$16),1,$C17))*(INDEX(_xlfn.ANCHORARRAY(Sintesi!$C$15),1,$C17)&lt;0)+($E17&gt;=$E16)*($E17&lt;=INDEX($E:$E,MATCH(TRUE,INDEX((ISNUMBER($E:$E)),0),0)))*($E17&gt;INDEX(_xlfn.ANCHORARRAY(Sintesi!$C$15),1,$C17))*($E17&lt;INDEX(_xlfn.ANCHORARRAY(Sintesi!$C$16),1,$C17))*(INDEX(_xlfn.ANCHORARRAY(Sintesi!$C$15),1,$C17)&gt;0),2,IF($E17=(INDEX(_xlfn.ANCHORARRAY(Sintesi!$C$16),1,$C17)),3,4)))),0),IF($C17&gt;0,IF(($E17=INDEX(_xlfn.ANCHORARRAY(Sintesi!$C$14),1,$C17))*(INDEX(_xlfn.ANCHORARRAY(Sintesi!$C$15),1,$C17)&gt;0),0,IF(($E17=INDEX(_xlfn.ANCHORARRAY(Sintesi!$C$14),1,$C17))*(INDEX(_xlfn.ANCHORARRAY(Sintesi!$C$15),1,$C17)&lt;0)+($E17&gt;=LOOKUP(2,1/($E:$E&lt;&gt;""),$E:$E))*($E17&lt;=INDEX($E:$E,MATCH(TRUE,INDEX((ISNUMBER($E:$E)),0),0)))*($E17&gt;INDEX(_xlfn.ANCHORARRAY(Sintesi!$C$14),1,$C17))*($E17&lt;=INDEX(_xlfn.ANCHORARRAY(Sintesi!$C$15),1,$C17))*(INDEX(_xlfn.ANCHORARRAY(Sintesi!$C$15),1,$C17)&gt;0),1,IF(($E17&gt;=LOOKUP(2,1/($E:$E&lt;&gt;""),$E:$E))*($E17&lt;=INDEX($E:$E,MATCH(TRUE,INDEX((ISNUMBER($E:$E)),0),0)))*($E17&gt;INDEX(_xlfn.ANCHORARRAY(Sintesi!$C$14),1,$C17))*($E17&lt;INDEX(_xlfn.ANCHORARRAY(Sintesi!$C$16),1,$C17))*(INDEX(_xlfn.ANCHORARRAY(Sintesi!$C$15),1,$C17)&lt;0)+($E17&gt;=LOOKUP(2,1/($E:$E&lt;&gt;""),$E:$E))*($E17&lt;=INDEX($E:$E,MATCH(TRUE,INDEX((ISNUMBER($E:$E)),0),0)))*($E17&gt;INDEX(_xlfn.ANCHORARRAY(Sintesi!$C$15),1,$C17))*($E17&lt;INDEX(_xlfn.ANCHORARRAY(Sintesi!$C$16),1,$C17))*(INDEX(_xlfn.ANCHORARRAY(Sintesi!$C$15),1,$C17)&gt;0),2,IF($E17=(INDEX(_xlfn.ANCHORARRAY(Sintesi!$C$16),1,$C17)),3,4)))),0)),IF(ISNUMBER($E16),IF($C17&gt;0,IF(($E17=INDEX(_xlfn.ANCHORARRAY(Sintesi!$C$14),1,$C17))*(INDEX(_xlfn.ANCHORARRAY(Sintesi!$C$15),1,$C17)&gt;0),0,IF(($E17=INDEX(_xlfn.ANCHORARRAY(Sintesi!$C$14),1,$C17))*(INDEX(_xlfn.ANCHORARRAY(Sintesi!$C$15),1,$C17)&lt;0)+($E17&gt;=$E16)*($E17&lt;=$E18)*($E17&gt;INDEX(_xlfn.ANCHORARRAY(Sintesi!$C$14),1,$C17))*($E17&lt;=INDEX(_xlfn.ANCHORARRAY(Sintesi!$C$15),1,$C17))*(INDEX(_xlfn.ANCHORARRAY(Sintesi!$C$15),1,$C17)&gt;0),1,IF(($E17&gt;=$E16)*($E17&lt;=$E18)*($E17&gt;INDEX(_xlfn.ANCHORARRAY(Sintesi!$C$14),1,$C17))*($E17&lt;INDEX(_xlfn.ANCHORARRAY(Sintesi!$C$16),1,$C17))*(INDEX(_xlfn.ANCHORARRAY(Sintesi!$C$15),1,$C17)&lt;0)+($E17&gt;=$E16)*($E17&lt;=$E18)*($E17&gt;INDEX(_xlfn.ANCHORARRAY(Sintesi!$C$15),1,$C17))*($E17&lt;INDEX(_xlfn.ANCHORARRAY(Sintesi!$C$16),1,$C17))*(INDEX(_xlfn.ANCHORARRAY(Sintesi!$C$15),1,$C17)&gt;0),2,IF($E17=(INDEX(_xlfn.ANCHORARRAY(Sintesi!$C$16),1,$C17)),3,4)))),0),IF($C17&gt;0,IF(($E17=INDEX(_xlfn.ANCHORARRAY(Sintesi!$C$14),1,$C17))*(INDEX(_xlfn.ANCHORARRAY(Sintesi!$C$15),1,$C17)&gt;0),0,IF(($E17=INDEX(_xlfn.ANCHORARRAY(Sintesi!$C$14),1,$C17))*(INDEX(_xlfn.ANCHORARRAY(Sintesi!$C$15),1,$C17)&lt;0)+($E17&gt;=LOOKUP(2,1/($E:$E&lt;&gt;""),$E:$E))*($E17&lt;=$E18)*($E17&gt;INDEX(_xlfn.ANCHORARRAY(Sintesi!$C$14),1,$C17))*($E17&lt;=INDEX(_xlfn.ANCHORARRAY(Sintesi!$C$15),1,$C17))*(INDEX(_xlfn.ANCHORARRAY(Sintesi!$C$15),1,$C17)&gt;0),1,IF(($E17&gt;=LOOKUP(2,1/($E:$E&lt;&gt;""),$E:$E))*($E17&lt;=$E18)*($E17&gt;INDEX(_xlfn.ANCHORARRAY(Sintesi!$C$14),1,$C17))*($E17&lt;INDEX(_xlfn.ANCHORARRAY(Sintesi!$C$16),1,$C17))*(INDEX(_xlfn.ANCHORARRAY(Sintesi!$C$15),1,$C17)&lt;0)+($E17&gt;=LOOKUP(2,1/($E:$E&lt;&gt;""),$E:$E))*($E17&lt;=$E18)*($E17&gt;INDEX(_xlfn.ANCHORARRAY(Sintesi!$C$15),1,$C17))*($E17&lt;INDEX(_xlfn.ANCHORARRAY(Sintesi!$C$16),1,$C17))*(INDEX(_xlfn.ANCHORARRAY(Sintesi!$C$15),1,$C17)&gt;0),2,IF($E17=(INDEX(_xlfn.ANCHORARRAY(Sintesi!$C$16),1,$C17)),3,4)))),0)))</f>
        <v/>
      </c>
      <c r="E17" s="1">
        <f>'Paste cell here'!F17</f>
        <v/>
      </c>
      <c r="F17" s="1">
        <f>'Paste cell here'!C17</f>
        <v/>
      </c>
      <c r="G17" s="1">
        <f>'Paste cell here'!D17</f>
        <v/>
      </c>
      <c r="H17" s="1">
        <f>'Paste cell here'!E17</f>
        <v/>
      </c>
      <c r="I17" s="1">
        <f>'Paste cell here'!X17</f>
        <v/>
      </c>
      <c r="J17" s="1">
        <f>'Paste cell here'!Y17+'Paste cell here'!S17</f>
        <v/>
      </c>
      <c r="K17" s="1">
        <f>I17/H17</f>
        <v/>
      </c>
      <c r="L17" s="1">
        <f>AVERAGE(($F17+$G17)/2-($F17-$G17)/2*COS(PI()*(8-VLOOKUP(MONTH(B17),$O$1:$Q$13,3))/(VLOOKUP(MONTH(B17),$O$1:$Q$13,2)-VLOOKUP(MONTH(B17),$O$1:$Q$13,3))),($F17+$G17)/2-($F17-$G17)/2*COS(PI()*(9-VLOOKUP(MONTH(B17),$O$1:$Q$13,3))/(VLOOKUP(MONTH(B17),$O$1:$Q$13,2)-VLOOKUP(MONTH(B17),$O$1:$Q$13,3))),($F17+$G17)/2-($F17-$G17)/2*COS(PI()*(10-VLOOKUP(MONTH(B17),$O$1:$Q$13,3))/(VLOOKUP(MONTH(B17),$O$1:$Q$13,2)-VLOOKUP(MONTH(B17),$O$1:$Q$13,3))),($F17+$G17)/2-($F17-$G17)/2*COS(PI()*(11-VLOOKUP(MONTH(B17),$O$1:$Q$13,3))/(VLOOKUP(MONTH(B17),$O$1:$Q$13,2)-VLOOKUP(MONTH(B17),$O$1:$Q$13,3))),($F17+$G17)/2-($F17-$G17)/2*COS(PI()*(12-VLOOKUP(MONTH(B17),$O$1:$Q$13,3))/(VLOOKUP(MONTH(B17),$O$1:$Q$13,2)-VLOOKUP(MONTH(B17),$O$1:$Q$13,3))),($F17+$G17)/2-($F17-$G17)/2*COS(PI()*(13-VLOOKUP(MONTH(B17),$O$1:$Q$13,3))/(VLOOKUP(MONTH(B17),$O$1:$Q$13,2)-VLOOKUP(MONTH(B17),$O$1:$Q$13,3))),($F17+$G17)/2-($F17-$G17)/2*COS(PI()*(14-VLOOKUP(MONTH(B17),$O$1:$Q$13,3))/(VLOOKUP(MONTH(B17),$O$1:$Q$13,2)-VLOOKUP(MONTH(B17),$O$1:$Q$13,3))))</f>
        <v/>
      </c>
      <c r="M17" s="1">
        <f t="array" ref="M17">IF(AND(A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,A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),IF(L17&lt;_xlfn.IFNA(INDEX(_xlfn.ANCHORARRAY(Sintesi!$C$17)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,1,IF(L17&gt;=_xlfn.IFNA(INDEX(_xlfn.ANCHORARRAY(Sintesi!$C$18)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,0,1-(L17-_xlfn.IFNA(INDEX(_xlfn.ANCHORARRAY(Sintesi!$C$17)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)/(_xlfn.IFNA(INDEX(_xlfn.ANCHORARRAY(Sintesi!$C$18)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-_xlfn.IFNA(INDEX(_xlfn.ANCHORARRAY(Sintesi!$C$17)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))),0)</f>
        <v/>
      </c>
    </row>
    <row r="18">
      <c r="A18" s="1">
        <f>'Paste cell here'!A18</f>
        <v/>
      </c>
      <c r="B18" s="2">
        <f>DATE(Sintesi!$C$4-1,12,31)+A18</f>
        <v/>
      </c>
      <c r="C18" s="34">
        <f t="array" ref="C18">_xlfn.IFNA(MATCH(1,(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)*(_xlfn.ANCHORARRAY(Sintesi!$C$15)&gt;=0)+(_xlfn.ANCHORARRAY(Sintesi!$C$15)&lt;0),0),0)</f>
        <v/>
      </c>
      <c r="D18" s="1">
        <f t="array" ref="D18">IF(ISBLANK($E19),IF(ISNUMBER($E17),IF($C18&gt;0,IF(($E18=INDEX(_xlfn.ANCHORARRAY(Sintesi!$C$14),1,$C18))*(INDEX(_xlfn.ANCHORARRAY(Sintesi!$C$15),1,$C18)&gt;0),0,IF(($E18=INDEX(_xlfn.ANCHORARRAY(Sintesi!$C$14),1,$C18))*(INDEX(_xlfn.ANCHORARRAY(Sintesi!$C$15),1,$C18)&lt;0)+($E18&gt;=$E17)*($E18&lt;=INDEX($E:$E,MATCH(TRUE,INDEX((ISNUMBER($E:$E)),0),0)))*($E18&gt;INDEX(_xlfn.ANCHORARRAY(Sintesi!$C$14),1,$C18))*($E18&lt;=INDEX(_xlfn.ANCHORARRAY(Sintesi!$C$15),1,$C18))*(INDEX(_xlfn.ANCHORARRAY(Sintesi!$C$15),1,$C18)&gt;0),1,IF(($E18&gt;=$E17)*($E18&lt;=INDEX($E:$E,MATCH(TRUE,INDEX((ISNUMBER($E:$E)),0),0)))*($E18&gt;INDEX(_xlfn.ANCHORARRAY(Sintesi!$C$14),1,$C18))*($E18&lt;INDEX(_xlfn.ANCHORARRAY(Sintesi!$C$16),1,$C18))*(INDEX(_xlfn.ANCHORARRAY(Sintesi!$C$15),1,$C18)&lt;0)+($E18&gt;=$E17)*($E18&lt;=INDEX($E:$E,MATCH(TRUE,INDEX((ISNUMBER($E:$E)),0),0)))*($E18&gt;INDEX(_xlfn.ANCHORARRAY(Sintesi!$C$15),1,$C18))*($E18&lt;INDEX(_xlfn.ANCHORARRAY(Sintesi!$C$16),1,$C18))*(INDEX(_xlfn.ANCHORARRAY(Sintesi!$C$15),1,$C18)&gt;0),2,IF($E18=(INDEX(_xlfn.ANCHORARRAY(Sintesi!$C$16),1,$C18)),3,4)))),0),IF($C18&gt;0,IF(($E18=INDEX(_xlfn.ANCHORARRAY(Sintesi!$C$14),1,$C18))*(INDEX(_xlfn.ANCHORARRAY(Sintesi!$C$15),1,$C18)&gt;0),0,IF(($E18=INDEX(_xlfn.ANCHORARRAY(Sintesi!$C$14),1,$C18))*(INDEX(_xlfn.ANCHORARRAY(Sintesi!$C$15),1,$C18)&lt;0)+($E18&gt;=LOOKUP(2,1/($E:$E&lt;&gt;""),$E:$E))*($E18&lt;=INDEX($E:$E,MATCH(TRUE,INDEX((ISNUMBER($E:$E)),0),0)))*($E18&gt;INDEX(_xlfn.ANCHORARRAY(Sintesi!$C$14),1,$C18))*($E18&lt;=INDEX(_xlfn.ANCHORARRAY(Sintesi!$C$15),1,$C18))*(INDEX(_xlfn.ANCHORARRAY(Sintesi!$C$15),1,$C18)&gt;0),1,IF(($E18&gt;=LOOKUP(2,1/($E:$E&lt;&gt;""),$E:$E))*($E18&lt;=INDEX($E:$E,MATCH(TRUE,INDEX((ISNUMBER($E:$E)),0),0)))*($E18&gt;INDEX(_xlfn.ANCHORARRAY(Sintesi!$C$14),1,$C18))*($E18&lt;INDEX(_xlfn.ANCHORARRAY(Sintesi!$C$16),1,$C18))*(INDEX(_xlfn.ANCHORARRAY(Sintesi!$C$15),1,$C18)&lt;0)+($E18&gt;=LOOKUP(2,1/($E:$E&lt;&gt;""),$E:$E))*($E18&lt;=INDEX($E:$E,MATCH(TRUE,INDEX((ISNUMBER($E:$E)),0),0)))*($E18&gt;INDEX(_xlfn.ANCHORARRAY(Sintesi!$C$15),1,$C18))*($E18&lt;INDEX(_xlfn.ANCHORARRAY(Sintesi!$C$16),1,$C18))*(INDEX(_xlfn.ANCHORARRAY(Sintesi!$C$15),1,$C18)&gt;0),2,IF($E18=(INDEX(_xlfn.ANCHORARRAY(Sintesi!$C$16),1,$C18)),3,4)))),0)),IF(ISNUMBER($E17),IF($C18&gt;0,IF(($E18=INDEX(_xlfn.ANCHORARRAY(Sintesi!$C$14),1,$C18))*(INDEX(_xlfn.ANCHORARRAY(Sintesi!$C$15),1,$C18)&gt;0),0,IF(($E18=INDEX(_xlfn.ANCHORARRAY(Sintesi!$C$14),1,$C18))*(INDEX(_xlfn.ANCHORARRAY(Sintesi!$C$15),1,$C18)&lt;0)+($E18&gt;=$E17)*($E18&lt;=$E19)*($E18&gt;INDEX(_xlfn.ANCHORARRAY(Sintesi!$C$14),1,$C18))*($E18&lt;=INDEX(_xlfn.ANCHORARRAY(Sintesi!$C$15),1,$C18))*(INDEX(_xlfn.ANCHORARRAY(Sintesi!$C$15),1,$C18)&gt;0),1,IF(($E18&gt;=$E17)*($E18&lt;=$E19)*($E18&gt;INDEX(_xlfn.ANCHORARRAY(Sintesi!$C$14),1,$C18))*($E18&lt;INDEX(_xlfn.ANCHORARRAY(Sintesi!$C$16),1,$C18))*(INDEX(_xlfn.ANCHORARRAY(Sintesi!$C$15),1,$C18)&lt;0)+($E18&gt;=$E17)*($E18&lt;=$E19)*($E18&gt;INDEX(_xlfn.ANCHORARRAY(Sintesi!$C$15),1,$C18))*($E18&lt;INDEX(_xlfn.ANCHORARRAY(Sintesi!$C$16),1,$C18))*(INDEX(_xlfn.ANCHORARRAY(Sintesi!$C$15),1,$C18)&gt;0),2,IF($E18=(INDEX(_xlfn.ANCHORARRAY(Sintesi!$C$16),1,$C18)),3,4)))),0),IF($C18&gt;0,IF(($E18=INDEX(_xlfn.ANCHORARRAY(Sintesi!$C$14),1,$C18))*(INDEX(_xlfn.ANCHORARRAY(Sintesi!$C$15),1,$C18)&gt;0),0,IF(($E18=INDEX(_xlfn.ANCHORARRAY(Sintesi!$C$14),1,$C18))*(INDEX(_xlfn.ANCHORARRAY(Sintesi!$C$15),1,$C18)&lt;0)+($E18&gt;=LOOKUP(2,1/($E:$E&lt;&gt;""),$E:$E))*($E18&lt;=$E19)*($E18&gt;INDEX(_xlfn.ANCHORARRAY(Sintesi!$C$14),1,$C18))*($E18&lt;=INDEX(_xlfn.ANCHORARRAY(Sintesi!$C$15),1,$C18))*(INDEX(_xlfn.ANCHORARRAY(Sintesi!$C$15),1,$C18)&gt;0),1,IF(($E18&gt;=LOOKUP(2,1/($E:$E&lt;&gt;""),$E:$E))*($E18&lt;=$E19)*($E18&gt;INDEX(_xlfn.ANCHORARRAY(Sintesi!$C$14),1,$C18))*($E18&lt;INDEX(_xlfn.ANCHORARRAY(Sintesi!$C$16),1,$C18))*(INDEX(_xlfn.ANCHORARRAY(Sintesi!$C$15),1,$C18)&lt;0)+($E18&gt;=LOOKUP(2,1/($E:$E&lt;&gt;""),$E:$E))*($E18&lt;=$E19)*($E18&gt;INDEX(_xlfn.ANCHORARRAY(Sintesi!$C$15),1,$C18))*($E18&lt;INDEX(_xlfn.ANCHORARRAY(Sintesi!$C$16),1,$C18))*(INDEX(_xlfn.ANCHORARRAY(Sintesi!$C$15),1,$C18)&gt;0),2,IF($E18=(INDEX(_xlfn.ANCHORARRAY(Sintesi!$C$16),1,$C18)),3,4)))),0)))</f>
        <v/>
      </c>
      <c r="E18" s="1">
        <f>'Paste cell here'!F18</f>
        <v/>
      </c>
      <c r="F18" s="1">
        <f>'Paste cell here'!C18</f>
        <v/>
      </c>
      <c r="G18" s="1">
        <f>'Paste cell here'!D18</f>
        <v/>
      </c>
      <c r="H18" s="1">
        <f>'Paste cell here'!E18</f>
        <v/>
      </c>
      <c r="I18" s="1">
        <f>'Paste cell here'!X18</f>
        <v/>
      </c>
      <c r="J18" s="1">
        <f>'Paste cell here'!Y18+'Paste cell here'!S18</f>
        <v/>
      </c>
      <c r="K18" s="1">
        <f>I18/H18</f>
        <v/>
      </c>
      <c r="L18" s="1">
        <f>AVERAGE(($F18+$G18)/2-($F18-$G18)/2*COS(PI()*(8-VLOOKUP(MONTH(B18),$O$1:$Q$13,3))/(VLOOKUP(MONTH(B18),$O$1:$Q$13,2)-VLOOKUP(MONTH(B18),$O$1:$Q$13,3))),($F18+$G18)/2-($F18-$G18)/2*COS(PI()*(9-VLOOKUP(MONTH(B18),$O$1:$Q$13,3))/(VLOOKUP(MONTH(B18),$O$1:$Q$13,2)-VLOOKUP(MONTH(B18),$O$1:$Q$13,3))),($F18+$G18)/2-($F18-$G18)/2*COS(PI()*(10-VLOOKUP(MONTH(B18),$O$1:$Q$13,3))/(VLOOKUP(MONTH(B18),$O$1:$Q$13,2)-VLOOKUP(MONTH(B18),$O$1:$Q$13,3))),($F18+$G18)/2-($F18-$G18)/2*COS(PI()*(11-VLOOKUP(MONTH(B18),$O$1:$Q$13,3))/(VLOOKUP(MONTH(B18),$O$1:$Q$13,2)-VLOOKUP(MONTH(B18),$O$1:$Q$13,3))),($F18+$G18)/2-($F18-$G18)/2*COS(PI()*(12-VLOOKUP(MONTH(B18),$O$1:$Q$13,3))/(VLOOKUP(MONTH(B18),$O$1:$Q$13,2)-VLOOKUP(MONTH(B18),$O$1:$Q$13,3))),($F18+$G18)/2-($F18-$G18)/2*COS(PI()*(13-VLOOKUP(MONTH(B18),$O$1:$Q$13,3))/(VLOOKUP(MONTH(B18),$O$1:$Q$13,2)-VLOOKUP(MONTH(B18),$O$1:$Q$13,3))),($F18+$G18)/2-($F18-$G18)/2*COS(PI()*(14-VLOOKUP(MONTH(B18),$O$1:$Q$13,3))/(VLOOKUP(MONTH(B18),$O$1:$Q$13,2)-VLOOKUP(MONTH(B18),$O$1:$Q$13,3))))</f>
        <v/>
      </c>
      <c r="M18" s="1">
        <f t="array" ref="M18">IF(AND(A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,A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),IF(L18&lt;_xlfn.IFNA(INDEX(_xlfn.ANCHORARRAY(Sintesi!$C$17)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,1,IF(L18&gt;=_xlfn.IFNA(INDEX(_xlfn.ANCHORARRAY(Sintesi!$C$18)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,0,1-(L18-_xlfn.IFNA(INDEX(_xlfn.ANCHORARRAY(Sintesi!$C$17)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)/(_xlfn.IFNA(INDEX(_xlfn.ANCHORARRAY(Sintesi!$C$18)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-_xlfn.IFNA(INDEX(_xlfn.ANCHORARRAY(Sintesi!$C$17)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))),0)</f>
        <v/>
      </c>
    </row>
    <row r="19">
      <c r="A19" s="1">
        <f>'Paste cell here'!A19</f>
        <v/>
      </c>
      <c r="B19" s="2">
        <f>DATE(Sintesi!$C$4-1,12,31)+A19</f>
        <v/>
      </c>
      <c r="C19" s="34">
        <f t="array" ref="C19">_xlfn.IFNA(MATCH(1,(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)*(_xlfn.ANCHORARRAY(Sintesi!$C$15)&gt;=0)+(_xlfn.ANCHORARRAY(Sintesi!$C$15)&lt;0),0),0)</f>
        <v/>
      </c>
      <c r="D19" s="1">
        <f t="array" ref="D19">IF(ISBLANK($E20),IF(ISNUMBER($E18),IF($C19&gt;0,IF(($E19=INDEX(_xlfn.ANCHORARRAY(Sintesi!$C$14),1,$C19))*(INDEX(_xlfn.ANCHORARRAY(Sintesi!$C$15),1,$C19)&gt;0),0,IF(($E19=INDEX(_xlfn.ANCHORARRAY(Sintesi!$C$14),1,$C19))*(INDEX(_xlfn.ANCHORARRAY(Sintesi!$C$15),1,$C19)&lt;0)+($E19&gt;=$E18)*($E19&lt;=INDEX($E:$E,MATCH(TRUE,INDEX((ISNUMBER($E:$E)),0),0)))*($E19&gt;INDEX(_xlfn.ANCHORARRAY(Sintesi!$C$14),1,$C19))*($E19&lt;=INDEX(_xlfn.ANCHORARRAY(Sintesi!$C$15),1,$C19))*(INDEX(_xlfn.ANCHORARRAY(Sintesi!$C$15),1,$C19)&gt;0),1,IF(($E19&gt;=$E18)*($E19&lt;=INDEX($E:$E,MATCH(TRUE,INDEX((ISNUMBER($E:$E)),0),0)))*($E19&gt;INDEX(_xlfn.ANCHORARRAY(Sintesi!$C$14),1,$C19))*($E19&lt;INDEX(_xlfn.ANCHORARRAY(Sintesi!$C$16),1,$C19))*(INDEX(_xlfn.ANCHORARRAY(Sintesi!$C$15),1,$C19)&lt;0)+($E19&gt;=$E18)*($E19&lt;=INDEX($E:$E,MATCH(TRUE,INDEX((ISNUMBER($E:$E)),0),0)))*($E19&gt;INDEX(_xlfn.ANCHORARRAY(Sintesi!$C$15),1,$C19))*($E19&lt;INDEX(_xlfn.ANCHORARRAY(Sintesi!$C$16),1,$C19))*(INDEX(_xlfn.ANCHORARRAY(Sintesi!$C$15),1,$C19)&gt;0),2,IF($E19=(INDEX(_xlfn.ANCHORARRAY(Sintesi!$C$16),1,$C19)),3,4)))),0),IF($C19&gt;0,IF(($E19=INDEX(_xlfn.ANCHORARRAY(Sintesi!$C$14),1,$C19))*(INDEX(_xlfn.ANCHORARRAY(Sintesi!$C$15),1,$C19)&gt;0),0,IF(($E19=INDEX(_xlfn.ANCHORARRAY(Sintesi!$C$14),1,$C19))*(INDEX(_xlfn.ANCHORARRAY(Sintesi!$C$15),1,$C19)&lt;0)+($E19&gt;=LOOKUP(2,1/($E:$E&lt;&gt;""),$E:$E))*($E19&lt;=INDEX($E:$E,MATCH(TRUE,INDEX((ISNUMBER($E:$E)),0),0)))*($E19&gt;INDEX(_xlfn.ANCHORARRAY(Sintesi!$C$14),1,$C19))*($E19&lt;=INDEX(_xlfn.ANCHORARRAY(Sintesi!$C$15),1,$C19))*(INDEX(_xlfn.ANCHORARRAY(Sintesi!$C$15),1,$C19)&gt;0),1,IF(($E19&gt;=LOOKUP(2,1/($E:$E&lt;&gt;""),$E:$E))*($E19&lt;=INDEX($E:$E,MATCH(TRUE,INDEX((ISNUMBER($E:$E)),0),0)))*($E19&gt;INDEX(_xlfn.ANCHORARRAY(Sintesi!$C$14),1,$C19))*($E19&lt;INDEX(_xlfn.ANCHORARRAY(Sintesi!$C$16),1,$C19))*(INDEX(_xlfn.ANCHORARRAY(Sintesi!$C$15),1,$C19)&lt;0)+($E19&gt;=LOOKUP(2,1/($E:$E&lt;&gt;""),$E:$E))*($E19&lt;=INDEX($E:$E,MATCH(TRUE,INDEX((ISNUMBER($E:$E)),0),0)))*($E19&gt;INDEX(_xlfn.ANCHORARRAY(Sintesi!$C$15),1,$C19))*($E19&lt;INDEX(_xlfn.ANCHORARRAY(Sintesi!$C$16),1,$C19))*(INDEX(_xlfn.ANCHORARRAY(Sintesi!$C$15),1,$C19)&gt;0),2,IF($E19=(INDEX(_xlfn.ANCHORARRAY(Sintesi!$C$16),1,$C19)),3,4)))),0)),IF(ISNUMBER($E18),IF($C19&gt;0,IF(($E19=INDEX(_xlfn.ANCHORARRAY(Sintesi!$C$14),1,$C19))*(INDEX(_xlfn.ANCHORARRAY(Sintesi!$C$15),1,$C19)&gt;0),0,IF(($E19=INDEX(_xlfn.ANCHORARRAY(Sintesi!$C$14),1,$C19))*(INDEX(_xlfn.ANCHORARRAY(Sintesi!$C$15),1,$C19)&lt;0)+($E19&gt;=$E18)*($E19&lt;=$E20)*($E19&gt;INDEX(_xlfn.ANCHORARRAY(Sintesi!$C$14),1,$C19))*($E19&lt;=INDEX(_xlfn.ANCHORARRAY(Sintesi!$C$15),1,$C19))*(INDEX(_xlfn.ANCHORARRAY(Sintesi!$C$15),1,$C19)&gt;0),1,IF(($E19&gt;=$E18)*($E19&lt;=$E20)*($E19&gt;INDEX(_xlfn.ANCHORARRAY(Sintesi!$C$14),1,$C19))*($E19&lt;INDEX(_xlfn.ANCHORARRAY(Sintesi!$C$16),1,$C19))*(INDEX(_xlfn.ANCHORARRAY(Sintesi!$C$15),1,$C19)&lt;0)+($E19&gt;=$E18)*($E19&lt;=$E20)*($E19&gt;INDEX(_xlfn.ANCHORARRAY(Sintesi!$C$15),1,$C19))*($E19&lt;INDEX(_xlfn.ANCHORARRAY(Sintesi!$C$16),1,$C19))*(INDEX(_xlfn.ANCHORARRAY(Sintesi!$C$15),1,$C19)&gt;0),2,IF($E19=(INDEX(_xlfn.ANCHORARRAY(Sintesi!$C$16),1,$C19)),3,4)))),0),IF($C19&gt;0,IF(($E19=INDEX(_xlfn.ANCHORARRAY(Sintesi!$C$14),1,$C19))*(INDEX(_xlfn.ANCHORARRAY(Sintesi!$C$15),1,$C19)&gt;0),0,IF(($E19=INDEX(_xlfn.ANCHORARRAY(Sintesi!$C$14),1,$C19))*(INDEX(_xlfn.ANCHORARRAY(Sintesi!$C$15),1,$C19)&lt;0)+($E19&gt;=LOOKUP(2,1/($E:$E&lt;&gt;""),$E:$E))*($E19&lt;=$E20)*($E19&gt;INDEX(_xlfn.ANCHORARRAY(Sintesi!$C$14),1,$C19))*($E19&lt;=INDEX(_xlfn.ANCHORARRAY(Sintesi!$C$15),1,$C19))*(INDEX(_xlfn.ANCHORARRAY(Sintesi!$C$15),1,$C19)&gt;0),1,IF(($E19&gt;=LOOKUP(2,1/($E:$E&lt;&gt;""),$E:$E))*($E19&lt;=$E20)*($E19&gt;INDEX(_xlfn.ANCHORARRAY(Sintesi!$C$14),1,$C19))*($E19&lt;INDEX(_xlfn.ANCHORARRAY(Sintesi!$C$16),1,$C19))*(INDEX(_xlfn.ANCHORARRAY(Sintesi!$C$15),1,$C19)&lt;0)+($E19&gt;=LOOKUP(2,1/($E:$E&lt;&gt;""),$E:$E))*($E19&lt;=$E20)*($E19&gt;INDEX(_xlfn.ANCHORARRAY(Sintesi!$C$15),1,$C19))*($E19&lt;INDEX(_xlfn.ANCHORARRAY(Sintesi!$C$16),1,$C19))*(INDEX(_xlfn.ANCHORARRAY(Sintesi!$C$15),1,$C19)&gt;0),2,IF($E19=(INDEX(_xlfn.ANCHORARRAY(Sintesi!$C$16),1,$C19)),3,4)))),0)))</f>
        <v/>
      </c>
      <c r="E19" s="1">
        <f>'Paste cell here'!F19</f>
        <v/>
      </c>
      <c r="F19" s="1">
        <f>'Paste cell here'!C19</f>
        <v/>
      </c>
      <c r="G19" s="1">
        <f>'Paste cell here'!D19</f>
        <v/>
      </c>
      <c r="H19" s="1">
        <f>'Paste cell here'!E19</f>
        <v/>
      </c>
      <c r="I19" s="1">
        <f>'Paste cell here'!X19</f>
        <v/>
      </c>
      <c r="J19" s="1">
        <f>'Paste cell here'!Y19+'Paste cell here'!S19</f>
        <v/>
      </c>
      <c r="K19" s="1">
        <f>I19/H19</f>
        <v/>
      </c>
      <c r="L19" s="1">
        <f>AVERAGE(($F19+$G19)/2-($F19-$G19)/2*COS(PI()*(8-VLOOKUP(MONTH(B19),$O$1:$Q$13,3))/(VLOOKUP(MONTH(B19),$O$1:$Q$13,2)-VLOOKUP(MONTH(B19),$O$1:$Q$13,3))),($F19+$G19)/2-($F19-$G19)/2*COS(PI()*(9-VLOOKUP(MONTH(B19),$O$1:$Q$13,3))/(VLOOKUP(MONTH(B19),$O$1:$Q$13,2)-VLOOKUP(MONTH(B19),$O$1:$Q$13,3))),($F19+$G19)/2-($F19-$G19)/2*COS(PI()*(10-VLOOKUP(MONTH(B19),$O$1:$Q$13,3))/(VLOOKUP(MONTH(B19),$O$1:$Q$13,2)-VLOOKUP(MONTH(B19),$O$1:$Q$13,3))),($F19+$G19)/2-($F19-$G19)/2*COS(PI()*(11-VLOOKUP(MONTH(B19),$O$1:$Q$13,3))/(VLOOKUP(MONTH(B19),$O$1:$Q$13,2)-VLOOKUP(MONTH(B19),$O$1:$Q$13,3))),($F19+$G19)/2-($F19-$G19)/2*COS(PI()*(12-VLOOKUP(MONTH(B19),$O$1:$Q$13,3))/(VLOOKUP(MONTH(B19),$O$1:$Q$13,2)-VLOOKUP(MONTH(B19),$O$1:$Q$13,3))),($F19+$G19)/2-($F19-$G19)/2*COS(PI()*(13-VLOOKUP(MONTH(B19),$O$1:$Q$13,3))/(VLOOKUP(MONTH(B19),$O$1:$Q$13,2)-VLOOKUP(MONTH(B19),$O$1:$Q$13,3))),($F19+$G19)/2-($F19-$G19)/2*COS(PI()*(14-VLOOKUP(MONTH(B19),$O$1:$Q$13,3))/(VLOOKUP(MONTH(B19),$O$1:$Q$13,2)-VLOOKUP(MONTH(B19),$O$1:$Q$13,3))))</f>
        <v/>
      </c>
      <c r="M19" s="1">
        <f t="array" ref="M19">IF(AND(A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,A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),IF(L19&lt;_xlfn.IFNA(INDEX(_xlfn.ANCHORARRAY(Sintesi!$C$17)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,1,IF(L19&gt;=_xlfn.IFNA(INDEX(_xlfn.ANCHORARRAY(Sintesi!$C$18)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,0,1-(L19-_xlfn.IFNA(INDEX(_xlfn.ANCHORARRAY(Sintesi!$C$17)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)/(_xlfn.IFNA(INDEX(_xlfn.ANCHORARRAY(Sintesi!$C$18)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-_xlfn.IFNA(INDEX(_xlfn.ANCHORARRAY(Sintesi!$C$17)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))),0)</f>
        <v/>
      </c>
    </row>
    <row r="20">
      <c r="A20" s="1">
        <f>'Paste cell here'!A20</f>
        <v/>
      </c>
      <c r="B20" s="2">
        <f>DATE(Sintesi!$C$4-1,12,31)+A20</f>
        <v/>
      </c>
      <c r="C20" s="34">
        <f t="array" ref="C20">_xlfn.IFNA(MATCH(1,(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)*(_xlfn.ANCHORARRAY(Sintesi!$C$15)&gt;=0)+(_xlfn.ANCHORARRAY(Sintesi!$C$15)&lt;0),0),0)</f>
        <v/>
      </c>
      <c r="D20" s="1">
        <f t="array" ref="D20">IF(ISBLANK($E21),IF(ISNUMBER($E19),IF($C20&gt;0,IF(($E20=INDEX(_xlfn.ANCHORARRAY(Sintesi!$C$14),1,$C20))*(INDEX(_xlfn.ANCHORARRAY(Sintesi!$C$15),1,$C20)&gt;0),0,IF(($E20=INDEX(_xlfn.ANCHORARRAY(Sintesi!$C$14),1,$C20))*(INDEX(_xlfn.ANCHORARRAY(Sintesi!$C$15),1,$C20)&lt;0)+($E20&gt;=$E19)*($E20&lt;=INDEX($E:$E,MATCH(TRUE,INDEX((ISNUMBER($E:$E)),0),0)))*($E20&gt;INDEX(_xlfn.ANCHORARRAY(Sintesi!$C$14),1,$C20))*($E20&lt;=INDEX(_xlfn.ANCHORARRAY(Sintesi!$C$15),1,$C20))*(INDEX(_xlfn.ANCHORARRAY(Sintesi!$C$15),1,$C20)&gt;0),1,IF(($E20&gt;=$E19)*($E20&lt;=INDEX($E:$E,MATCH(TRUE,INDEX((ISNUMBER($E:$E)),0),0)))*($E20&gt;INDEX(_xlfn.ANCHORARRAY(Sintesi!$C$14),1,$C20))*($E20&lt;INDEX(_xlfn.ANCHORARRAY(Sintesi!$C$16),1,$C20))*(INDEX(_xlfn.ANCHORARRAY(Sintesi!$C$15),1,$C20)&lt;0)+($E20&gt;=$E19)*($E20&lt;=INDEX($E:$E,MATCH(TRUE,INDEX((ISNUMBER($E:$E)),0),0)))*($E20&gt;INDEX(_xlfn.ANCHORARRAY(Sintesi!$C$15),1,$C20))*($E20&lt;INDEX(_xlfn.ANCHORARRAY(Sintesi!$C$16),1,$C20))*(INDEX(_xlfn.ANCHORARRAY(Sintesi!$C$15),1,$C20)&gt;0),2,IF($E20=(INDEX(_xlfn.ANCHORARRAY(Sintesi!$C$16),1,$C20)),3,4)))),0),IF($C20&gt;0,IF(($E20=INDEX(_xlfn.ANCHORARRAY(Sintesi!$C$14),1,$C20))*(INDEX(_xlfn.ANCHORARRAY(Sintesi!$C$15),1,$C20)&gt;0),0,IF(($E20=INDEX(_xlfn.ANCHORARRAY(Sintesi!$C$14),1,$C20))*(INDEX(_xlfn.ANCHORARRAY(Sintesi!$C$15),1,$C20)&lt;0)+($E20&gt;=LOOKUP(2,1/($E:$E&lt;&gt;""),$E:$E))*($E20&lt;=INDEX($E:$E,MATCH(TRUE,INDEX((ISNUMBER($E:$E)),0),0)))*($E20&gt;INDEX(_xlfn.ANCHORARRAY(Sintesi!$C$14),1,$C20))*($E20&lt;=INDEX(_xlfn.ANCHORARRAY(Sintesi!$C$15),1,$C20))*(INDEX(_xlfn.ANCHORARRAY(Sintesi!$C$15),1,$C20)&gt;0),1,IF(($E20&gt;=LOOKUP(2,1/($E:$E&lt;&gt;""),$E:$E))*($E20&lt;=INDEX($E:$E,MATCH(TRUE,INDEX((ISNUMBER($E:$E)),0),0)))*($E20&gt;INDEX(_xlfn.ANCHORARRAY(Sintesi!$C$14),1,$C20))*($E20&lt;INDEX(_xlfn.ANCHORARRAY(Sintesi!$C$16),1,$C20))*(INDEX(_xlfn.ANCHORARRAY(Sintesi!$C$15),1,$C20)&lt;0)+($E20&gt;=LOOKUP(2,1/($E:$E&lt;&gt;""),$E:$E))*($E20&lt;=INDEX($E:$E,MATCH(TRUE,INDEX((ISNUMBER($E:$E)),0),0)))*($E20&gt;INDEX(_xlfn.ANCHORARRAY(Sintesi!$C$15),1,$C20))*($E20&lt;INDEX(_xlfn.ANCHORARRAY(Sintesi!$C$16),1,$C20))*(INDEX(_xlfn.ANCHORARRAY(Sintesi!$C$15),1,$C20)&gt;0),2,IF($E20=(INDEX(_xlfn.ANCHORARRAY(Sintesi!$C$16),1,$C20)),3,4)))),0)),IF(ISNUMBER($E19),IF($C20&gt;0,IF(($E20=INDEX(_xlfn.ANCHORARRAY(Sintesi!$C$14),1,$C20))*(INDEX(_xlfn.ANCHORARRAY(Sintesi!$C$15),1,$C20)&gt;0),0,IF(($E20=INDEX(_xlfn.ANCHORARRAY(Sintesi!$C$14),1,$C20))*(INDEX(_xlfn.ANCHORARRAY(Sintesi!$C$15),1,$C20)&lt;0)+($E20&gt;=$E19)*($E20&lt;=$E21)*($E20&gt;INDEX(_xlfn.ANCHORARRAY(Sintesi!$C$14),1,$C20))*($E20&lt;=INDEX(_xlfn.ANCHORARRAY(Sintesi!$C$15),1,$C20))*(INDEX(_xlfn.ANCHORARRAY(Sintesi!$C$15),1,$C20)&gt;0),1,IF(($E20&gt;=$E19)*($E20&lt;=$E21)*($E20&gt;INDEX(_xlfn.ANCHORARRAY(Sintesi!$C$14),1,$C20))*($E20&lt;INDEX(_xlfn.ANCHORARRAY(Sintesi!$C$16),1,$C20))*(INDEX(_xlfn.ANCHORARRAY(Sintesi!$C$15),1,$C20)&lt;0)+($E20&gt;=$E19)*($E20&lt;=$E21)*($E20&gt;INDEX(_xlfn.ANCHORARRAY(Sintesi!$C$15),1,$C20))*($E20&lt;INDEX(_xlfn.ANCHORARRAY(Sintesi!$C$16),1,$C20))*(INDEX(_xlfn.ANCHORARRAY(Sintesi!$C$15),1,$C20)&gt;0),2,IF($E20=(INDEX(_xlfn.ANCHORARRAY(Sintesi!$C$16),1,$C20)),3,4)))),0),IF($C20&gt;0,IF(($E20=INDEX(_xlfn.ANCHORARRAY(Sintesi!$C$14),1,$C20))*(INDEX(_xlfn.ANCHORARRAY(Sintesi!$C$15),1,$C20)&gt;0),0,IF(($E20=INDEX(_xlfn.ANCHORARRAY(Sintesi!$C$14),1,$C20))*(INDEX(_xlfn.ANCHORARRAY(Sintesi!$C$15),1,$C20)&lt;0)+($E20&gt;=LOOKUP(2,1/($E:$E&lt;&gt;""),$E:$E))*($E20&lt;=$E21)*($E20&gt;INDEX(_xlfn.ANCHORARRAY(Sintesi!$C$14),1,$C20))*($E20&lt;=INDEX(_xlfn.ANCHORARRAY(Sintesi!$C$15),1,$C20))*(INDEX(_xlfn.ANCHORARRAY(Sintesi!$C$15),1,$C20)&gt;0),1,IF(($E20&gt;=LOOKUP(2,1/($E:$E&lt;&gt;""),$E:$E))*($E20&lt;=$E21)*($E20&gt;INDEX(_xlfn.ANCHORARRAY(Sintesi!$C$14),1,$C20))*($E20&lt;INDEX(_xlfn.ANCHORARRAY(Sintesi!$C$16),1,$C20))*(INDEX(_xlfn.ANCHORARRAY(Sintesi!$C$15),1,$C20)&lt;0)+($E20&gt;=LOOKUP(2,1/($E:$E&lt;&gt;""),$E:$E))*($E20&lt;=$E21)*($E20&gt;INDEX(_xlfn.ANCHORARRAY(Sintesi!$C$15),1,$C20))*($E20&lt;INDEX(_xlfn.ANCHORARRAY(Sintesi!$C$16),1,$C20))*(INDEX(_xlfn.ANCHORARRAY(Sintesi!$C$15),1,$C20)&gt;0),2,IF($E20=(INDEX(_xlfn.ANCHORARRAY(Sintesi!$C$16),1,$C20)),3,4)))),0)))</f>
        <v/>
      </c>
      <c r="E20" s="1">
        <f>'Paste cell here'!F20</f>
        <v/>
      </c>
      <c r="F20" s="1">
        <f>'Paste cell here'!C20</f>
        <v/>
      </c>
      <c r="G20" s="1">
        <f>'Paste cell here'!D20</f>
        <v/>
      </c>
      <c r="H20" s="1">
        <f>'Paste cell here'!E20</f>
        <v/>
      </c>
      <c r="I20" s="1">
        <f>'Paste cell here'!X20</f>
        <v/>
      </c>
      <c r="J20" s="1">
        <f>'Paste cell here'!Y20+'Paste cell here'!S20</f>
        <v/>
      </c>
      <c r="K20" s="1">
        <f>I20/H20</f>
        <v/>
      </c>
      <c r="L20" s="1">
        <f>AVERAGE(($F20+$G20)/2-($F20-$G20)/2*COS(PI()*(8-VLOOKUP(MONTH(B20),$O$1:$Q$13,3))/(VLOOKUP(MONTH(B20),$O$1:$Q$13,2)-VLOOKUP(MONTH(B20),$O$1:$Q$13,3))),($F20+$G20)/2-($F20-$G20)/2*COS(PI()*(9-VLOOKUP(MONTH(B20),$O$1:$Q$13,3))/(VLOOKUP(MONTH(B20),$O$1:$Q$13,2)-VLOOKUP(MONTH(B20),$O$1:$Q$13,3))),($F20+$G20)/2-($F20-$G20)/2*COS(PI()*(10-VLOOKUP(MONTH(B20),$O$1:$Q$13,3))/(VLOOKUP(MONTH(B20),$O$1:$Q$13,2)-VLOOKUP(MONTH(B20),$O$1:$Q$13,3))),($F20+$G20)/2-($F20-$G20)/2*COS(PI()*(11-VLOOKUP(MONTH(B20),$O$1:$Q$13,3))/(VLOOKUP(MONTH(B20),$O$1:$Q$13,2)-VLOOKUP(MONTH(B20),$O$1:$Q$13,3))),($F20+$G20)/2-($F20-$G20)/2*COS(PI()*(12-VLOOKUP(MONTH(B20),$O$1:$Q$13,3))/(VLOOKUP(MONTH(B20),$O$1:$Q$13,2)-VLOOKUP(MONTH(B20),$O$1:$Q$13,3))),($F20+$G20)/2-($F20-$G20)/2*COS(PI()*(13-VLOOKUP(MONTH(B20),$O$1:$Q$13,3))/(VLOOKUP(MONTH(B20),$O$1:$Q$13,2)-VLOOKUP(MONTH(B20),$O$1:$Q$13,3))),($F20+$G20)/2-($F20-$G20)/2*COS(PI()*(14-VLOOKUP(MONTH(B20),$O$1:$Q$13,3))/(VLOOKUP(MONTH(B20),$O$1:$Q$13,2)-VLOOKUP(MONTH(B20),$O$1:$Q$13,3))))</f>
        <v/>
      </c>
      <c r="M20" s="1">
        <f t="array" ref="M20">IF(AND(A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,A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),IF(L20&lt;_xlfn.IFNA(INDEX(_xlfn.ANCHORARRAY(Sintesi!$C$17)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,1,IF(L20&gt;=_xlfn.IFNA(INDEX(_xlfn.ANCHORARRAY(Sintesi!$C$18)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,0,1-(L20-_xlfn.IFNA(INDEX(_xlfn.ANCHORARRAY(Sintesi!$C$17)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)/(_xlfn.IFNA(INDEX(_xlfn.ANCHORARRAY(Sintesi!$C$18)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-_xlfn.IFNA(INDEX(_xlfn.ANCHORARRAY(Sintesi!$C$17)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))),0)</f>
        <v/>
      </c>
    </row>
    <row r="21">
      <c r="A21" s="1">
        <f>'Paste cell here'!A21</f>
        <v/>
      </c>
      <c r="B21" s="2">
        <f>DATE(Sintesi!$C$4-1,12,31)+A21</f>
        <v/>
      </c>
      <c r="C21" s="34">
        <f t="array" ref="C21">_xlfn.IFNA(MATCH(1,(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)*(_xlfn.ANCHORARRAY(Sintesi!$C$15)&gt;=0)+(_xlfn.ANCHORARRAY(Sintesi!$C$15)&lt;0),0),0)</f>
        <v/>
      </c>
      <c r="D21" s="1">
        <f t="array" ref="D21">IF(ISBLANK($E22),IF(ISNUMBER($E20),IF($C21&gt;0,IF(($E21=INDEX(_xlfn.ANCHORARRAY(Sintesi!$C$14),1,$C21))*(INDEX(_xlfn.ANCHORARRAY(Sintesi!$C$15),1,$C21)&gt;0),0,IF(($E21=INDEX(_xlfn.ANCHORARRAY(Sintesi!$C$14),1,$C21))*(INDEX(_xlfn.ANCHORARRAY(Sintesi!$C$15),1,$C21)&lt;0)+($E21&gt;=$E20)*($E21&lt;=INDEX($E:$E,MATCH(TRUE,INDEX((ISNUMBER($E:$E)),0),0)))*($E21&gt;INDEX(_xlfn.ANCHORARRAY(Sintesi!$C$14),1,$C21))*($E21&lt;=INDEX(_xlfn.ANCHORARRAY(Sintesi!$C$15),1,$C21))*(INDEX(_xlfn.ANCHORARRAY(Sintesi!$C$15),1,$C21)&gt;0),1,IF(($E21&gt;=$E20)*($E21&lt;=INDEX($E:$E,MATCH(TRUE,INDEX((ISNUMBER($E:$E)),0),0)))*($E21&gt;INDEX(_xlfn.ANCHORARRAY(Sintesi!$C$14),1,$C21))*($E21&lt;INDEX(_xlfn.ANCHORARRAY(Sintesi!$C$16),1,$C21))*(INDEX(_xlfn.ANCHORARRAY(Sintesi!$C$15),1,$C21)&lt;0)+($E21&gt;=$E20)*($E21&lt;=INDEX($E:$E,MATCH(TRUE,INDEX((ISNUMBER($E:$E)),0),0)))*($E21&gt;INDEX(_xlfn.ANCHORARRAY(Sintesi!$C$15),1,$C21))*($E21&lt;INDEX(_xlfn.ANCHORARRAY(Sintesi!$C$16),1,$C21))*(INDEX(_xlfn.ANCHORARRAY(Sintesi!$C$15),1,$C21)&gt;0),2,IF($E21=(INDEX(_xlfn.ANCHORARRAY(Sintesi!$C$16),1,$C21)),3,4)))),0),IF($C21&gt;0,IF(($E21=INDEX(_xlfn.ANCHORARRAY(Sintesi!$C$14),1,$C21))*(INDEX(_xlfn.ANCHORARRAY(Sintesi!$C$15),1,$C21)&gt;0),0,IF(($E21=INDEX(_xlfn.ANCHORARRAY(Sintesi!$C$14),1,$C21))*(INDEX(_xlfn.ANCHORARRAY(Sintesi!$C$15),1,$C21)&lt;0)+($E21&gt;=LOOKUP(2,1/($E:$E&lt;&gt;""),$E:$E))*($E21&lt;=INDEX($E:$E,MATCH(TRUE,INDEX((ISNUMBER($E:$E)),0),0)))*($E21&gt;INDEX(_xlfn.ANCHORARRAY(Sintesi!$C$14),1,$C21))*($E21&lt;=INDEX(_xlfn.ANCHORARRAY(Sintesi!$C$15),1,$C21))*(INDEX(_xlfn.ANCHORARRAY(Sintesi!$C$15),1,$C21)&gt;0),1,IF(($E21&gt;=LOOKUP(2,1/($E:$E&lt;&gt;""),$E:$E))*($E21&lt;=INDEX($E:$E,MATCH(TRUE,INDEX((ISNUMBER($E:$E)),0),0)))*($E21&gt;INDEX(_xlfn.ANCHORARRAY(Sintesi!$C$14),1,$C21))*($E21&lt;INDEX(_xlfn.ANCHORARRAY(Sintesi!$C$16),1,$C21))*(INDEX(_xlfn.ANCHORARRAY(Sintesi!$C$15),1,$C21)&lt;0)+($E21&gt;=LOOKUP(2,1/($E:$E&lt;&gt;""),$E:$E))*($E21&lt;=INDEX($E:$E,MATCH(TRUE,INDEX((ISNUMBER($E:$E)),0),0)))*($E21&gt;INDEX(_xlfn.ANCHORARRAY(Sintesi!$C$15),1,$C21))*($E21&lt;INDEX(_xlfn.ANCHORARRAY(Sintesi!$C$16),1,$C21))*(INDEX(_xlfn.ANCHORARRAY(Sintesi!$C$15),1,$C21)&gt;0),2,IF($E21=(INDEX(_xlfn.ANCHORARRAY(Sintesi!$C$16),1,$C21)),3,4)))),0)),IF(ISNUMBER($E20),IF($C21&gt;0,IF(($E21=INDEX(_xlfn.ANCHORARRAY(Sintesi!$C$14),1,$C21))*(INDEX(_xlfn.ANCHORARRAY(Sintesi!$C$15),1,$C21)&gt;0),0,IF(($E21=INDEX(_xlfn.ANCHORARRAY(Sintesi!$C$14),1,$C21))*(INDEX(_xlfn.ANCHORARRAY(Sintesi!$C$15),1,$C21)&lt;0)+($E21&gt;=$E20)*($E21&lt;=$E22)*($E21&gt;INDEX(_xlfn.ANCHORARRAY(Sintesi!$C$14),1,$C21))*($E21&lt;=INDEX(_xlfn.ANCHORARRAY(Sintesi!$C$15),1,$C21))*(INDEX(_xlfn.ANCHORARRAY(Sintesi!$C$15),1,$C21)&gt;0),1,IF(($E21&gt;=$E20)*($E21&lt;=$E22)*($E21&gt;INDEX(_xlfn.ANCHORARRAY(Sintesi!$C$14),1,$C21))*($E21&lt;INDEX(_xlfn.ANCHORARRAY(Sintesi!$C$16),1,$C21))*(INDEX(_xlfn.ANCHORARRAY(Sintesi!$C$15),1,$C21)&lt;0)+($E21&gt;=$E20)*($E21&lt;=$E22)*($E21&gt;INDEX(_xlfn.ANCHORARRAY(Sintesi!$C$15),1,$C21))*($E21&lt;INDEX(_xlfn.ANCHORARRAY(Sintesi!$C$16),1,$C21))*(INDEX(_xlfn.ANCHORARRAY(Sintesi!$C$15),1,$C21)&gt;0),2,IF($E21=(INDEX(_xlfn.ANCHORARRAY(Sintesi!$C$16),1,$C21)),3,4)))),0),IF($C21&gt;0,IF(($E21=INDEX(_xlfn.ANCHORARRAY(Sintesi!$C$14),1,$C21))*(INDEX(_xlfn.ANCHORARRAY(Sintesi!$C$15),1,$C21)&gt;0),0,IF(($E21=INDEX(_xlfn.ANCHORARRAY(Sintesi!$C$14),1,$C21))*(INDEX(_xlfn.ANCHORARRAY(Sintesi!$C$15),1,$C21)&lt;0)+($E21&gt;=LOOKUP(2,1/($E:$E&lt;&gt;""),$E:$E))*($E21&lt;=$E22)*($E21&gt;INDEX(_xlfn.ANCHORARRAY(Sintesi!$C$14),1,$C21))*($E21&lt;=INDEX(_xlfn.ANCHORARRAY(Sintesi!$C$15),1,$C21))*(INDEX(_xlfn.ANCHORARRAY(Sintesi!$C$15),1,$C21)&gt;0),1,IF(($E21&gt;=LOOKUP(2,1/($E:$E&lt;&gt;""),$E:$E))*($E21&lt;=$E22)*($E21&gt;INDEX(_xlfn.ANCHORARRAY(Sintesi!$C$14),1,$C21))*($E21&lt;INDEX(_xlfn.ANCHORARRAY(Sintesi!$C$16),1,$C21))*(INDEX(_xlfn.ANCHORARRAY(Sintesi!$C$15),1,$C21)&lt;0)+($E21&gt;=LOOKUP(2,1/($E:$E&lt;&gt;""),$E:$E))*($E21&lt;=$E22)*($E21&gt;INDEX(_xlfn.ANCHORARRAY(Sintesi!$C$15),1,$C21))*($E21&lt;INDEX(_xlfn.ANCHORARRAY(Sintesi!$C$16),1,$C21))*(INDEX(_xlfn.ANCHORARRAY(Sintesi!$C$15),1,$C21)&gt;0),2,IF($E21=(INDEX(_xlfn.ANCHORARRAY(Sintesi!$C$16),1,$C21)),3,4)))),0)))</f>
        <v/>
      </c>
      <c r="E21" s="1">
        <f>'Paste cell here'!F21</f>
        <v/>
      </c>
      <c r="F21" s="1">
        <f>'Paste cell here'!C21</f>
        <v/>
      </c>
      <c r="G21" s="1">
        <f>'Paste cell here'!D21</f>
        <v/>
      </c>
      <c r="H21" s="1">
        <f>'Paste cell here'!E21</f>
        <v/>
      </c>
      <c r="I21" s="1">
        <f>'Paste cell here'!X21</f>
        <v/>
      </c>
      <c r="J21" s="1">
        <f>'Paste cell here'!Y21+'Paste cell here'!S21</f>
        <v/>
      </c>
      <c r="K21" s="1">
        <f>I21/H21</f>
        <v/>
      </c>
      <c r="L21" s="1">
        <f>AVERAGE(($F21+$G21)/2-($F21-$G21)/2*COS(PI()*(8-VLOOKUP(MONTH(B21),$O$1:$Q$13,3))/(VLOOKUP(MONTH(B21),$O$1:$Q$13,2)-VLOOKUP(MONTH(B21),$O$1:$Q$13,3))),($F21+$G21)/2-($F21-$G21)/2*COS(PI()*(9-VLOOKUP(MONTH(B21),$O$1:$Q$13,3))/(VLOOKUP(MONTH(B21),$O$1:$Q$13,2)-VLOOKUP(MONTH(B21),$O$1:$Q$13,3))),($F21+$G21)/2-($F21-$G21)/2*COS(PI()*(10-VLOOKUP(MONTH(B21),$O$1:$Q$13,3))/(VLOOKUP(MONTH(B21),$O$1:$Q$13,2)-VLOOKUP(MONTH(B21),$O$1:$Q$13,3))),($F21+$G21)/2-($F21-$G21)/2*COS(PI()*(11-VLOOKUP(MONTH(B21),$O$1:$Q$13,3))/(VLOOKUP(MONTH(B21),$O$1:$Q$13,2)-VLOOKUP(MONTH(B21),$O$1:$Q$13,3))),($F21+$G21)/2-($F21-$G21)/2*COS(PI()*(12-VLOOKUP(MONTH(B21),$O$1:$Q$13,3))/(VLOOKUP(MONTH(B21),$O$1:$Q$13,2)-VLOOKUP(MONTH(B21),$O$1:$Q$13,3))),($F21+$G21)/2-($F21-$G21)/2*COS(PI()*(13-VLOOKUP(MONTH(B21),$O$1:$Q$13,3))/(VLOOKUP(MONTH(B21),$O$1:$Q$13,2)-VLOOKUP(MONTH(B21),$O$1:$Q$13,3))),($F21+$G21)/2-($F21-$G21)/2*COS(PI()*(14-VLOOKUP(MONTH(B21),$O$1:$Q$13,3))/(VLOOKUP(MONTH(B21),$O$1:$Q$13,2)-VLOOKUP(MONTH(B21),$O$1:$Q$13,3))))</f>
        <v/>
      </c>
      <c r="M21" s="1">
        <f t="array" ref="M21">IF(AND(A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,A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),IF(L21&lt;_xlfn.IFNA(INDEX(_xlfn.ANCHORARRAY(Sintesi!$C$17)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,1,IF(L21&gt;=_xlfn.IFNA(INDEX(_xlfn.ANCHORARRAY(Sintesi!$C$18)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,0,1-(L21-_xlfn.IFNA(INDEX(_xlfn.ANCHORARRAY(Sintesi!$C$17)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)/(_xlfn.IFNA(INDEX(_xlfn.ANCHORARRAY(Sintesi!$C$18)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-_xlfn.IFNA(INDEX(_xlfn.ANCHORARRAY(Sintesi!$C$17)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))),0)</f>
        <v/>
      </c>
    </row>
    <row r="22">
      <c r="A22" s="1">
        <f>'Paste cell here'!A22</f>
        <v/>
      </c>
      <c r="B22" s="2">
        <f>DATE(Sintesi!$C$4-1,12,31)+A22</f>
        <v/>
      </c>
      <c r="C22" s="34">
        <f t="array" ref="C22">_xlfn.IFNA(MATCH(1,(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)*(_xlfn.ANCHORARRAY(Sintesi!$C$15)&gt;=0)+(_xlfn.ANCHORARRAY(Sintesi!$C$15)&lt;0),0),0)</f>
        <v/>
      </c>
      <c r="D22" s="1">
        <f t="array" ref="D22">IF(ISBLANK($E23),IF(ISNUMBER($E21),IF($C22&gt;0,IF(($E22=INDEX(_xlfn.ANCHORARRAY(Sintesi!$C$14),1,$C22))*(INDEX(_xlfn.ANCHORARRAY(Sintesi!$C$15),1,$C22)&gt;0),0,IF(($E22=INDEX(_xlfn.ANCHORARRAY(Sintesi!$C$14),1,$C22))*(INDEX(_xlfn.ANCHORARRAY(Sintesi!$C$15),1,$C22)&lt;0)+($E22&gt;=$E21)*($E22&lt;=INDEX($E:$E,MATCH(TRUE,INDEX((ISNUMBER($E:$E)),0),0)))*($E22&gt;INDEX(_xlfn.ANCHORARRAY(Sintesi!$C$14),1,$C22))*($E22&lt;=INDEX(_xlfn.ANCHORARRAY(Sintesi!$C$15),1,$C22))*(INDEX(_xlfn.ANCHORARRAY(Sintesi!$C$15),1,$C22)&gt;0),1,IF(($E22&gt;=$E21)*($E22&lt;=INDEX($E:$E,MATCH(TRUE,INDEX((ISNUMBER($E:$E)),0),0)))*($E22&gt;INDEX(_xlfn.ANCHORARRAY(Sintesi!$C$14),1,$C22))*($E22&lt;INDEX(_xlfn.ANCHORARRAY(Sintesi!$C$16),1,$C22))*(INDEX(_xlfn.ANCHORARRAY(Sintesi!$C$15),1,$C22)&lt;0)+($E22&gt;=$E21)*($E22&lt;=INDEX($E:$E,MATCH(TRUE,INDEX((ISNUMBER($E:$E)),0),0)))*($E22&gt;INDEX(_xlfn.ANCHORARRAY(Sintesi!$C$15),1,$C22))*($E22&lt;INDEX(_xlfn.ANCHORARRAY(Sintesi!$C$16),1,$C22))*(INDEX(_xlfn.ANCHORARRAY(Sintesi!$C$15),1,$C22)&gt;0),2,IF($E22=(INDEX(_xlfn.ANCHORARRAY(Sintesi!$C$16),1,$C22)),3,4)))),0),IF($C22&gt;0,IF(($E22=INDEX(_xlfn.ANCHORARRAY(Sintesi!$C$14),1,$C22))*(INDEX(_xlfn.ANCHORARRAY(Sintesi!$C$15),1,$C22)&gt;0),0,IF(($E22=INDEX(_xlfn.ANCHORARRAY(Sintesi!$C$14),1,$C22))*(INDEX(_xlfn.ANCHORARRAY(Sintesi!$C$15),1,$C22)&lt;0)+($E22&gt;=LOOKUP(2,1/($E:$E&lt;&gt;""),$E:$E))*($E22&lt;=INDEX($E:$E,MATCH(TRUE,INDEX((ISNUMBER($E:$E)),0),0)))*($E22&gt;INDEX(_xlfn.ANCHORARRAY(Sintesi!$C$14),1,$C22))*($E22&lt;=INDEX(_xlfn.ANCHORARRAY(Sintesi!$C$15),1,$C22))*(INDEX(_xlfn.ANCHORARRAY(Sintesi!$C$15),1,$C22)&gt;0),1,IF(($E22&gt;=LOOKUP(2,1/($E:$E&lt;&gt;""),$E:$E))*($E22&lt;=INDEX($E:$E,MATCH(TRUE,INDEX((ISNUMBER($E:$E)),0),0)))*($E22&gt;INDEX(_xlfn.ANCHORARRAY(Sintesi!$C$14),1,$C22))*($E22&lt;INDEX(_xlfn.ANCHORARRAY(Sintesi!$C$16),1,$C22))*(INDEX(_xlfn.ANCHORARRAY(Sintesi!$C$15),1,$C22)&lt;0)+($E22&gt;=LOOKUP(2,1/($E:$E&lt;&gt;""),$E:$E))*($E22&lt;=INDEX($E:$E,MATCH(TRUE,INDEX((ISNUMBER($E:$E)),0),0)))*($E22&gt;INDEX(_xlfn.ANCHORARRAY(Sintesi!$C$15),1,$C22))*($E22&lt;INDEX(_xlfn.ANCHORARRAY(Sintesi!$C$16),1,$C22))*(INDEX(_xlfn.ANCHORARRAY(Sintesi!$C$15),1,$C22)&gt;0),2,IF($E22=(INDEX(_xlfn.ANCHORARRAY(Sintesi!$C$16),1,$C22)),3,4)))),0)),IF(ISNUMBER($E21),IF($C22&gt;0,IF(($E22=INDEX(_xlfn.ANCHORARRAY(Sintesi!$C$14),1,$C22))*(INDEX(_xlfn.ANCHORARRAY(Sintesi!$C$15),1,$C22)&gt;0),0,IF(($E22=INDEX(_xlfn.ANCHORARRAY(Sintesi!$C$14),1,$C22))*(INDEX(_xlfn.ANCHORARRAY(Sintesi!$C$15),1,$C22)&lt;0)+($E22&gt;=$E21)*($E22&lt;=$E23)*($E22&gt;INDEX(_xlfn.ANCHORARRAY(Sintesi!$C$14),1,$C22))*($E22&lt;=INDEX(_xlfn.ANCHORARRAY(Sintesi!$C$15),1,$C22))*(INDEX(_xlfn.ANCHORARRAY(Sintesi!$C$15),1,$C22)&gt;0),1,IF(($E22&gt;=$E21)*($E22&lt;=$E23)*($E22&gt;INDEX(_xlfn.ANCHORARRAY(Sintesi!$C$14),1,$C22))*($E22&lt;INDEX(_xlfn.ANCHORARRAY(Sintesi!$C$16),1,$C22))*(INDEX(_xlfn.ANCHORARRAY(Sintesi!$C$15),1,$C22)&lt;0)+($E22&gt;=$E21)*($E22&lt;=$E23)*($E22&gt;INDEX(_xlfn.ANCHORARRAY(Sintesi!$C$15),1,$C22))*($E22&lt;INDEX(_xlfn.ANCHORARRAY(Sintesi!$C$16),1,$C22))*(INDEX(_xlfn.ANCHORARRAY(Sintesi!$C$15),1,$C22)&gt;0),2,IF($E22=(INDEX(_xlfn.ANCHORARRAY(Sintesi!$C$16),1,$C22)),3,4)))),0),IF($C22&gt;0,IF(($E22=INDEX(_xlfn.ANCHORARRAY(Sintesi!$C$14),1,$C22))*(INDEX(_xlfn.ANCHORARRAY(Sintesi!$C$15),1,$C22)&gt;0),0,IF(($E22=INDEX(_xlfn.ANCHORARRAY(Sintesi!$C$14),1,$C22))*(INDEX(_xlfn.ANCHORARRAY(Sintesi!$C$15),1,$C22)&lt;0)+($E22&gt;=LOOKUP(2,1/($E:$E&lt;&gt;""),$E:$E))*($E22&lt;=$E23)*($E22&gt;INDEX(_xlfn.ANCHORARRAY(Sintesi!$C$14),1,$C22))*($E22&lt;=INDEX(_xlfn.ANCHORARRAY(Sintesi!$C$15),1,$C22))*(INDEX(_xlfn.ANCHORARRAY(Sintesi!$C$15),1,$C22)&gt;0),1,IF(($E22&gt;=LOOKUP(2,1/($E:$E&lt;&gt;""),$E:$E))*($E22&lt;=$E23)*($E22&gt;INDEX(_xlfn.ANCHORARRAY(Sintesi!$C$14),1,$C22))*($E22&lt;INDEX(_xlfn.ANCHORARRAY(Sintesi!$C$16),1,$C22))*(INDEX(_xlfn.ANCHORARRAY(Sintesi!$C$15),1,$C22)&lt;0)+($E22&gt;=LOOKUP(2,1/($E:$E&lt;&gt;""),$E:$E))*($E22&lt;=$E23)*($E22&gt;INDEX(_xlfn.ANCHORARRAY(Sintesi!$C$15),1,$C22))*($E22&lt;INDEX(_xlfn.ANCHORARRAY(Sintesi!$C$16),1,$C22))*(INDEX(_xlfn.ANCHORARRAY(Sintesi!$C$15),1,$C22)&gt;0),2,IF($E22=(INDEX(_xlfn.ANCHORARRAY(Sintesi!$C$16),1,$C22)),3,4)))),0)))</f>
        <v/>
      </c>
      <c r="E22" s="1">
        <f>'Paste cell here'!F22</f>
        <v/>
      </c>
      <c r="F22" s="1">
        <f>'Paste cell here'!C22</f>
        <v/>
      </c>
      <c r="G22" s="1">
        <f>'Paste cell here'!D22</f>
        <v/>
      </c>
      <c r="H22" s="1">
        <f>'Paste cell here'!E22</f>
        <v/>
      </c>
      <c r="I22" s="1">
        <f>'Paste cell here'!X22</f>
        <v/>
      </c>
      <c r="J22" s="1">
        <f>'Paste cell here'!Y22+'Paste cell here'!S22</f>
        <v/>
      </c>
      <c r="K22" s="1">
        <f>I22/H22</f>
        <v/>
      </c>
      <c r="L22" s="1">
        <f>AVERAGE(($F22+$G22)/2-($F22-$G22)/2*COS(PI()*(8-VLOOKUP(MONTH(B22),$O$1:$Q$13,3))/(VLOOKUP(MONTH(B22),$O$1:$Q$13,2)-VLOOKUP(MONTH(B22),$O$1:$Q$13,3))),($F22+$G22)/2-($F22-$G22)/2*COS(PI()*(9-VLOOKUP(MONTH(B22),$O$1:$Q$13,3))/(VLOOKUP(MONTH(B22),$O$1:$Q$13,2)-VLOOKUP(MONTH(B22),$O$1:$Q$13,3))),($F22+$G22)/2-($F22-$G22)/2*COS(PI()*(10-VLOOKUP(MONTH(B22),$O$1:$Q$13,3))/(VLOOKUP(MONTH(B22),$O$1:$Q$13,2)-VLOOKUP(MONTH(B22),$O$1:$Q$13,3))),($F22+$G22)/2-($F22-$G22)/2*COS(PI()*(11-VLOOKUP(MONTH(B22),$O$1:$Q$13,3))/(VLOOKUP(MONTH(B22),$O$1:$Q$13,2)-VLOOKUP(MONTH(B22),$O$1:$Q$13,3))),($F22+$G22)/2-($F22-$G22)/2*COS(PI()*(12-VLOOKUP(MONTH(B22),$O$1:$Q$13,3))/(VLOOKUP(MONTH(B22),$O$1:$Q$13,2)-VLOOKUP(MONTH(B22),$O$1:$Q$13,3))),($F22+$G22)/2-($F22-$G22)/2*COS(PI()*(13-VLOOKUP(MONTH(B22),$O$1:$Q$13,3))/(VLOOKUP(MONTH(B22),$O$1:$Q$13,2)-VLOOKUP(MONTH(B22),$O$1:$Q$13,3))),($F22+$G22)/2-($F22-$G22)/2*COS(PI()*(14-VLOOKUP(MONTH(B22),$O$1:$Q$13,3))/(VLOOKUP(MONTH(B22),$O$1:$Q$13,2)-VLOOKUP(MONTH(B22),$O$1:$Q$13,3))))</f>
        <v/>
      </c>
      <c r="M22" s="1">
        <f t="array" ref="M22">IF(AND(A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,A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),IF(L22&lt;_xlfn.IFNA(INDEX(_xlfn.ANCHORARRAY(Sintesi!$C$17)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,1,IF(L22&gt;=_xlfn.IFNA(INDEX(_xlfn.ANCHORARRAY(Sintesi!$C$18)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,0,1-(L22-_xlfn.IFNA(INDEX(_xlfn.ANCHORARRAY(Sintesi!$C$17)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)/(_xlfn.IFNA(INDEX(_xlfn.ANCHORARRAY(Sintesi!$C$18)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-_xlfn.IFNA(INDEX(_xlfn.ANCHORARRAY(Sintesi!$C$17)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))),0)</f>
        <v/>
      </c>
    </row>
    <row r="23">
      <c r="A23" s="1">
        <f>'Paste cell here'!A23</f>
        <v/>
      </c>
      <c r="B23" s="2">
        <f>DATE(Sintesi!$C$4-1,12,31)+A23</f>
        <v/>
      </c>
      <c r="C23" s="34">
        <f t="array" ref="C23">_xlfn.IFNA(MATCH(1,(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)*(_xlfn.ANCHORARRAY(Sintesi!$C$15)&gt;=0)+(_xlfn.ANCHORARRAY(Sintesi!$C$15)&lt;0),0),0)</f>
        <v/>
      </c>
      <c r="D23" s="1">
        <f t="array" ref="D23">IF(ISBLANK($E24),IF(ISNUMBER($E22),IF($C23&gt;0,IF(($E23=INDEX(_xlfn.ANCHORARRAY(Sintesi!$C$14),1,$C23))*(INDEX(_xlfn.ANCHORARRAY(Sintesi!$C$15),1,$C23)&gt;0),0,IF(($E23=INDEX(_xlfn.ANCHORARRAY(Sintesi!$C$14),1,$C23))*(INDEX(_xlfn.ANCHORARRAY(Sintesi!$C$15),1,$C23)&lt;0)+($E23&gt;=$E22)*($E23&lt;=INDEX($E:$E,MATCH(TRUE,INDEX((ISNUMBER($E:$E)),0),0)))*($E23&gt;INDEX(_xlfn.ANCHORARRAY(Sintesi!$C$14),1,$C23))*($E23&lt;=INDEX(_xlfn.ANCHORARRAY(Sintesi!$C$15),1,$C23))*(INDEX(_xlfn.ANCHORARRAY(Sintesi!$C$15),1,$C23)&gt;0),1,IF(($E23&gt;=$E22)*($E23&lt;=INDEX($E:$E,MATCH(TRUE,INDEX((ISNUMBER($E:$E)),0),0)))*($E23&gt;INDEX(_xlfn.ANCHORARRAY(Sintesi!$C$14),1,$C23))*($E23&lt;INDEX(_xlfn.ANCHORARRAY(Sintesi!$C$16),1,$C23))*(INDEX(_xlfn.ANCHORARRAY(Sintesi!$C$15),1,$C23)&lt;0)+($E23&gt;=$E22)*($E23&lt;=INDEX($E:$E,MATCH(TRUE,INDEX((ISNUMBER($E:$E)),0),0)))*($E23&gt;INDEX(_xlfn.ANCHORARRAY(Sintesi!$C$15),1,$C23))*($E23&lt;INDEX(_xlfn.ANCHORARRAY(Sintesi!$C$16),1,$C23))*(INDEX(_xlfn.ANCHORARRAY(Sintesi!$C$15),1,$C23)&gt;0),2,IF($E23=(INDEX(_xlfn.ANCHORARRAY(Sintesi!$C$16),1,$C23)),3,4)))),0),IF($C23&gt;0,IF(($E23=INDEX(_xlfn.ANCHORARRAY(Sintesi!$C$14),1,$C23))*(INDEX(_xlfn.ANCHORARRAY(Sintesi!$C$15),1,$C23)&gt;0),0,IF(($E23=INDEX(_xlfn.ANCHORARRAY(Sintesi!$C$14),1,$C23))*(INDEX(_xlfn.ANCHORARRAY(Sintesi!$C$15),1,$C23)&lt;0)+($E23&gt;=LOOKUP(2,1/($E:$E&lt;&gt;""),$E:$E))*($E23&lt;=INDEX($E:$E,MATCH(TRUE,INDEX((ISNUMBER($E:$E)),0),0)))*($E23&gt;INDEX(_xlfn.ANCHORARRAY(Sintesi!$C$14),1,$C23))*($E23&lt;=INDEX(_xlfn.ANCHORARRAY(Sintesi!$C$15),1,$C23))*(INDEX(_xlfn.ANCHORARRAY(Sintesi!$C$15),1,$C23)&gt;0),1,IF(($E23&gt;=LOOKUP(2,1/($E:$E&lt;&gt;""),$E:$E))*($E23&lt;=INDEX($E:$E,MATCH(TRUE,INDEX((ISNUMBER($E:$E)),0),0)))*($E23&gt;INDEX(_xlfn.ANCHORARRAY(Sintesi!$C$14),1,$C23))*($E23&lt;INDEX(_xlfn.ANCHORARRAY(Sintesi!$C$16),1,$C23))*(INDEX(_xlfn.ANCHORARRAY(Sintesi!$C$15),1,$C23)&lt;0)+($E23&gt;=LOOKUP(2,1/($E:$E&lt;&gt;""),$E:$E))*($E23&lt;=INDEX($E:$E,MATCH(TRUE,INDEX((ISNUMBER($E:$E)),0),0)))*($E23&gt;INDEX(_xlfn.ANCHORARRAY(Sintesi!$C$15),1,$C23))*($E23&lt;INDEX(_xlfn.ANCHORARRAY(Sintesi!$C$16),1,$C23))*(INDEX(_xlfn.ANCHORARRAY(Sintesi!$C$15),1,$C23)&gt;0),2,IF($E23=(INDEX(_xlfn.ANCHORARRAY(Sintesi!$C$16),1,$C23)),3,4)))),0)),IF(ISNUMBER($E22),IF($C23&gt;0,IF(($E23=INDEX(_xlfn.ANCHORARRAY(Sintesi!$C$14),1,$C23))*(INDEX(_xlfn.ANCHORARRAY(Sintesi!$C$15),1,$C23)&gt;0),0,IF(($E23=INDEX(_xlfn.ANCHORARRAY(Sintesi!$C$14),1,$C23))*(INDEX(_xlfn.ANCHORARRAY(Sintesi!$C$15),1,$C23)&lt;0)+($E23&gt;=$E22)*($E23&lt;=$E24)*($E23&gt;INDEX(_xlfn.ANCHORARRAY(Sintesi!$C$14),1,$C23))*($E23&lt;=INDEX(_xlfn.ANCHORARRAY(Sintesi!$C$15),1,$C23))*(INDEX(_xlfn.ANCHORARRAY(Sintesi!$C$15),1,$C23)&gt;0),1,IF(($E23&gt;=$E22)*($E23&lt;=$E24)*($E23&gt;INDEX(_xlfn.ANCHORARRAY(Sintesi!$C$14),1,$C23))*($E23&lt;INDEX(_xlfn.ANCHORARRAY(Sintesi!$C$16),1,$C23))*(INDEX(_xlfn.ANCHORARRAY(Sintesi!$C$15),1,$C23)&lt;0)+($E23&gt;=$E22)*($E23&lt;=$E24)*($E23&gt;INDEX(_xlfn.ANCHORARRAY(Sintesi!$C$15),1,$C23))*($E23&lt;INDEX(_xlfn.ANCHORARRAY(Sintesi!$C$16),1,$C23))*(INDEX(_xlfn.ANCHORARRAY(Sintesi!$C$15),1,$C23)&gt;0),2,IF($E23=(INDEX(_xlfn.ANCHORARRAY(Sintesi!$C$16),1,$C23)),3,4)))),0),IF($C23&gt;0,IF(($E23=INDEX(_xlfn.ANCHORARRAY(Sintesi!$C$14),1,$C23))*(INDEX(_xlfn.ANCHORARRAY(Sintesi!$C$15),1,$C23)&gt;0),0,IF(($E23=INDEX(_xlfn.ANCHORARRAY(Sintesi!$C$14),1,$C23))*(INDEX(_xlfn.ANCHORARRAY(Sintesi!$C$15),1,$C23)&lt;0)+($E23&gt;=LOOKUP(2,1/($E:$E&lt;&gt;""),$E:$E))*($E23&lt;=$E24)*($E23&gt;INDEX(_xlfn.ANCHORARRAY(Sintesi!$C$14),1,$C23))*($E23&lt;=INDEX(_xlfn.ANCHORARRAY(Sintesi!$C$15),1,$C23))*(INDEX(_xlfn.ANCHORARRAY(Sintesi!$C$15),1,$C23)&gt;0),1,IF(($E23&gt;=LOOKUP(2,1/($E:$E&lt;&gt;""),$E:$E))*($E23&lt;=$E24)*($E23&gt;INDEX(_xlfn.ANCHORARRAY(Sintesi!$C$14),1,$C23))*($E23&lt;INDEX(_xlfn.ANCHORARRAY(Sintesi!$C$16),1,$C23))*(INDEX(_xlfn.ANCHORARRAY(Sintesi!$C$15),1,$C23)&lt;0)+($E23&gt;=LOOKUP(2,1/($E:$E&lt;&gt;""),$E:$E))*($E23&lt;=$E24)*($E23&gt;INDEX(_xlfn.ANCHORARRAY(Sintesi!$C$15),1,$C23))*($E23&lt;INDEX(_xlfn.ANCHORARRAY(Sintesi!$C$16),1,$C23))*(INDEX(_xlfn.ANCHORARRAY(Sintesi!$C$15),1,$C23)&gt;0),2,IF($E23=(INDEX(_xlfn.ANCHORARRAY(Sintesi!$C$16),1,$C23)),3,4)))),0)))</f>
        <v/>
      </c>
      <c r="E23" s="1">
        <f>'Paste cell here'!F23</f>
        <v/>
      </c>
      <c r="F23" s="1">
        <f>'Paste cell here'!C23</f>
        <v/>
      </c>
      <c r="G23" s="1">
        <f>'Paste cell here'!D23</f>
        <v/>
      </c>
      <c r="H23" s="1">
        <f>'Paste cell here'!E23</f>
        <v/>
      </c>
      <c r="I23" s="1">
        <f>'Paste cell here'!X23</f>
        <v/>
      </c>
      <c r="J23" s="1">
        <f>'Paste cell here'!Y23+'Paste cell here'!S23</f>
        <v/>
      </c>
      <c r="K23" s="1">
        <f>I23/H23</f>
        <v/>
      </c>
      <c r="L23" s="1">
        <f>AVERAGE(($F23+$G23)/2-($F23-$G23)/2*COS(PI()*(8-VLOOKUP(MONTH(B23),$O$1:$Q$13,3))/(VLOOKUP(MONTH(B23),$O$1:$Q$13,2)-VLOOKUP(MONTH(B23),$O$1:$Q$13,3))),($F23+$G23)/2-($F23-$G23)/2*COS(PI()*(9-VLOOKUP(MONTH(B23),$O$1:$Q$13,3))/(VLOOKUP(MONTH(B23),$O$1:$Q$13,2)-VLOOKUP(MONTH(B23),$O$1:$Q$13,3))),($F23+$G23)/2-($F23-$G23)/2*COS(PI()*(10-VLOOKUP(MONTH(B23),$O$1:$Q$13,3))/(VLOOKUP(MONTH(B23),$O$1:$Q$13,2)-VLOOKUP(MONTH(B23),$O$1:$Q$13,3))),($F23+$G23)/2-($F23-$G23)/2*COS(PI()*(11-VLOOKUP(MONTH(B23),$O$1:$Q$13,3))/(VLOOKUP(MONTH(B23),$O$1:$Q$13,2)-VLOOKUP(MONTH(B23),$O$1:$Q$13,3))),($F23+$G23)/2-($F23-$G23)/2*COS(PI()*(12-VLOOKUP(MONTH(B23),$O$1:$Q$13,3))/(VLOOKUP(MONTH(B23),$O$1:$Q$13,2)-VLOOKUP(MONTH(B23),$O$1:$Q$13,3))),($F23+$G23)/2-($F23-$G23)/2*COS(PI()*(13-VLOOKUP(MONTH(B23),$O$1:$Q$13,3))/(VLOOKUP(MONTH(B23),$O$1:$Q$13,2)-VLOOKUP(MONTH(B23),$O$1:$Q$13,3))),($F23+$G23)/2-($F23-$G23)/2*COS(PI()*(14-VLOOKUP(MONTH(B23),$O$1:$Q$13,3))/(VLOOKUP(MONTH(B23),$O$1:$Q$13,2)-VLOOKUP(MONTH(B23),$O$1:$Q$13,3))))</f>
        <v/>
      </c>
      <c r="M23" s="1">
        <f t="array" ref="M23">IF(AND(A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,A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),IF(L23&lt;_xlfn.IFNA(INDEX(_xlfn.ANCHORARRAY(Sintesi!$C$17)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,1,IF(L23&gt;=_xlfn.IFNA(INDEX(_xlfn.ANCHORARRAY(Sintesi!$C$18)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,0,1-(L23-_xlfn.IFNA(INDEX(_xlfn.ANCHORARRAY(Sintesi!$C$17)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)/(_xlfn.IFNA(INDEX(_xlfn.ANCHORARRAY(Sintesi!$C$18)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-_xlfn.IFNA(INDEX(_xlfn.ANCHORARRAY(Sintesi!$C$17)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))),0)</f>
        <v/>
      </c>
    </row>
    <row r="24">
      <c r="A24" s="1">
        <f>'Paste cell here'!A24</f>
        <v/>
      </c>
      <c r="B24" s="2">
        <f>DATE(Sintesi!$C$4-1,12,31)+A24</f>
        <v/>
      </c>
      <c r="C24" s="34">
        <f t="array" ref="C24">_xlfn.IFNA(MATCH(1,(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)*(_xlfn.ANCHORARRAY(Sintesi!$C$15)&gt;=0)+(_xlfn.ANCHORARRAY(Sintesi!$C$15)&lt;0),0),0)</f>
        <v/>
      </c>
      <c r="D24" s="1">
        <f t="array" ref="D24">IF(ISBLANK($E25),IF(ISNUMBER($E23),IF($C24&gt;0,IF(($E24=INDEX(_xlfn.ANCHORARRAY(Sintesi!$C$14),1,$C24))*(INDEX(_xlfn.ANCHORARRAY(Sintesi!$C$15),1,$C24)&gt;0),0,IF(($E24=INDEX(_xlfn.ANCHORARRAY(Sintesi!$C$14),1,$C24))*(INDEX(_xlfn.ANCHORARRAY(Sintesi!$C$15),1,$C24)&lt;0)+($E24&gt;=$E23)*($E24&lt;=INDEX($E:$E,MATCH(TRUE,INDEX((ISNUMBER($E:$E)),0),0)))*($E24&gt;INDEX(_xlfn.ANCHORARRAY(Sintesi!$C$14),1,$C24))*($E24&lt;=INDEX(_xlfn.ANCHORARRAY(Sintesi!$C$15),1,$C24))*(INDEX(_xlfn.ANCHORARRAY(Sintesi!$C$15),1,$C24)&gt;0),1,IF(($E24&gt;=$E23)*($E24&lt;=INDEX($E:$E,MATCH(TRUE,INDEX((ISNUMBER($E:$E)),0),0)))*($E24&gt;INDEX(_xlfn.ANCHORARRAY(Sintesi!$C$14),1,$C24))*($E24&lt;INDEX(_xlfn.ANCHORARRAY(Sintesi!$C$16),1,$C24))*(INDEX(_xlfn.ANCHORARRAY(Sintesi!$C$15),1,$C24)&lt;0)+($E24&gt;=$E23)*($E24&lt;=INDEX($E:$E,MATCH(TRUE,INDEX((ISNUMBER($E:$E)),0),0)))*($E24&gt;INDEX(_xlfn.ANCHORARRAY(Sintesi!$C$15),1,$C24))*($E24&lt;INDEX(_xlfn.ANCHORARRAY(Sintesi!$C$16),1,$C24))*(INDEX(_xlfn.ANCHORARRAY(Sintesi!$C$15),1,$C24)&gt;0),2,IF($E24=(INDEX(_xlfn.ANCHORARRAY(Sintesi!$C$16),1,$C24)),3,4)))),0),IF($C24&gt;0,IF(($E24=INDEX(_xlfn.ANCHORARRAY(Sintesi!$C$14),1,$C24))*(INDEX(_xlfn.ANCHORARRAY(Sintesi!$C$15),1,$C24)&gt;0),0,IF(($E24=INDEX(_xlfn.ANCHORARRAY(Sintesi!$C$14),1,$C24))*(INDEX(_xlfn.ANCHORARRAY(Sintesi!$C$15),1,$C24)&lt;0)+($E24&gt;=LOOKUP(2,1/($E:$E&lt;&gt;""),$E:$E))*($E24&lt;=INDEX($E:$E,MATCH(TRUE,INDEX((ISNUMBER($E:$E)),0),0)))*($E24&gt;INDEX(_xlfn.ANCHORARRAY(Sintesi!$C$14),1,$C24))*($E24&lt;=INDEX(_xlfn.ANCHORARRAY(Sintesi!$C$15),1,$C24))*(INDEX(_xlfn.ANCHORARRAY(Sintesi!$C$15),1,$C24)&gt;0),1,IF(($E24&gt;=LOOKUP(2,1/($E:$E&lt;&gt;""),$E:$E))*($E24&lt;=INDEX($E:$E,MATCH(TRUE,INDEX((ISNUMBER($E:$E)),0),0)))*($E24&gt;INDEX(_xlfn.ANCHORARRAY(Sintesi!$C$14),1,$C24))*($E24&lt;INDEX(_xlfn.ANCHORARRAY(Sintesi!$C$16),1,$C24))*(INDEX(_xlfn.ANCHORARRAY(Sintesi!$C$15),1,$C24)&lt;0)+($E24&gt;=LOOKUP(2,1/($E:$E&lt;&gt;""),$E:$E))*($E24&lt;=INDEX($E:$E,MATCH(TRUE,INDEX((ISNUMBER($E:$E)),0),0)))*($E24&gt;INDEX(_xlfn.ANCHORARRAY(Sintesi!$C$15),1,$C24))*($E24&lt;INDEX(_xlfn.ANCHORARRAY(Sintesi!$C$16),1,$C24))*(INDEX(_xlfn.ANCHORARRAY(Sintesi!$C$15),1,$C24)&gt;0),2,IF($E24=(INDEX(_xlfn.ANCHORARRAY(Sintesi!$C$16),1,$C24)),3,4)))),0)),IF(ISNUMBER($E23),IF($C24&gt;0,IF(($E24=INDEX(_xlfn.ANCHORARRAY(Sintesi!$C$14),1,$C24))*(INDEX(_xlfn.ANCHORARRAY(Sintesi!$C$15),1,$C24)&gt;0),0,IF(($E24=INDEX(_xlfn.ANCHORARRAY(Sintesi!$C$14),1,$C24))*(INDEX(_xlfn.ANCHORARRAY(Sintesi!$C$15),1,$C24)&lt;0)+($E24&gt;=$E23)*($E24&lt;=$E25)*($E24&gt;INDEX(_xlfn.ANCHORARRAY(Sintesi!$C$14),1,$C24))*($E24&lt;=INDEX(_xlfn.ANCHORARRAY(Sintesi!$C$15),1,$C24))*(INDEX(_xlfn.ANCHORARRAY(Sintesi!$C$15),1,$C24)&gt;0),1,IF(($E24&gt;=$E23)*($E24&lt;=$E25)*($E24&gt;INDEX(_xlfn.ANCHORARRAY(Sintesi!$C$14),1,$C24))*($E24&lt;INDEX(_xlfn.ANCHORARRAY(Sintesi!$C$16),1,$C24))*(INDEX(_xlfn.ANCHORARRAY(Sintesi!$C$15),1,$C24)&lt;0)+($E24&gt;=$E23)*($E24&lt;=$E25)*($E24&gt;INDEX(_xlfn.ANCHORARRAY(Sintesi!$C$15),1,$C24))*($E24&lt;INDEX(_xlfn.ANCHORARRAY(Sintesi!$C$16),1,$C24))*(INDEX(_xlfn.ANCHORARRAY(Sintesi!$C$15),1,$C24)&gt;0),2,IF($E24=(INDEX(_xlfn.ANCHORARRAY(Sintesi!$C$16),1,$C24)),3,4)))),0),IF($C24&gt;0,IF(($E24=INDEX(_xlfn.ANCHORARRAY(Sintesi!$C$14),1,$C24))*(INDEX(_xlfn.ANCHORARRAY(Sintesi!$C$15),1,$C24)&gt;0),0,IF(($E24=INDEX(_xlfn.ANCHORARRAY(Sintesi!$C$14),1,$C24))*(INDEX(_xlfn.ANCHORARRAY(Sintesi!$C$15),1,$C24)&lt;0)+($E24&gt;=LOOKUP(2,1/($E:$E&lt;&gt;""),$E:$E))*($E24&lt;=$E25)*($E24&gt;INDEX(_xlfn.ANCHORARRAY(Sintesi!$C$14),1,$C24))*($E24&lt;=INDEX(_xlfn.ANCHORARRAY(Sintesi!$C$15),1,$C24))*(INDEX(_xlfn.ANCHORARRAY(Sintesi!$C$15),1,$C24)&gt;0),1,IF(($E24&gt;=LOOKUP(2,1/($E:$E&lt;&gt;""),$E:$E))*($E24&lt;=$E25)*($E24&gt;INDEX(_xlfn.ANCHORARRAY(Sintesi!$C$14),1,$C24))*($E24&lt;INDEX(_xlfn.ANCHORARRAY(Sintesi!$C$16),1,$C24))*(INDEX(_xlfn.ANCHORARRAY(Sintesi!$C$15),1,$C24)&lt;0)+($E24&gt;=LOOKUP(2,1/($E:$E&lt;&gt;""),$E:$E))*($E24&lt;=$E25)*($E24&gt;INDEX(_xlfn.ANCHORARRAY(Sintesi!$C$15),1,$C24))*($E24&lt;INDEX(_xlfn.ANCHORARRAY(Sintesi!$C$16),1,$C24))*(INDEX(_xlfn.ANCHORARRAY(Sintesi!$C$15),1,$C24)&gt;0),2,IF($E24=(INDEX(_xlfn.ANCHORARRAY(Sintesi!$C$16),1,$C24)),3,4)))),0)))</f>
        <v/>
      </c>
      <c r="E24" s="1">
        <f>'Paste cell here'!F24</f>
        <v/>
      </c>
      <c r="F24" s="1">
        <f>'Paste cell here'!C24</f>
        <v/>
      </c>
      <c r="G24" s="1">
        <f>'Paste cell here'!D24</f>
        <v/>
      </c>
      <c r="H24" s="1">
        <f>'Paste cell here'!E24</f>
        <v/>
      </c>
      <c r="I24" s="1">
        <f>'Paste cell here'!X24</f>
        <v/>
      </c>
      <c r="J24" s="1">
        <f>'Paste cell here'!Y24+'Paste cell here'!S24</f>
        <v/>
      </c>
      <c r="K24" s="1">
        <f>I24/H24</f>
        <v/>
      </c>
      <c r="L24" s="1">
        <f>AVERAGE(($F24+$G24)/2-($F24-$G24)/2*COS(PI()*(8-VLOOKUP(MONTH(B24),$O$1:$Q$13,3))/(VLOOKUP(MONTH(B24),$O$1:$Q$13,2)-VLOOKUP(MONTH(B24),$O$1:$Q$13,3))),($F24+$G24)/2-($F24-$G24)/2*COS(PI()*(9-VLOOKUP(MONTH(B24),$O$1:$Q$13,3))/(VLOOKUP(MONTH(B24),$O$1:$Q$13,2)-VLOOKUP(MONTH(B24),$O$1:$Q$13,3))),($F24+$G24)/2-($F24-$G24)/2*COS(PI()*(10-VLOOKUP(MONTH(B24),$O$1:$Q$13,3))/(VLOOKUP(MONTH(B24),$O$1:$Q$13,2)-VLOOKUP(MONTH(B24),$O$1:$Q$13,3))),($F24+$G24)/2-($F24-$G24)/2*COS(PI()*(11-VLOOKUP(MONTH(B24),$O$1:$Q$13,3))/(VLOOKUP(MONTH(B24),$O$1:$Q$13,2)-VLOOKUP(MONTH(B24),$O$1:$Q$13,3))),($F24+$G24)/2-($F24-$G24)/2*COS(PI()*(12-VLOOKUP(MONTH(B24),$O$1:$Q$13,3))/(VLOOKUP(MONTH(B24),$O$1:$Q$13,2)-VLOOKUP(MONTH(B24),$O$1:$Q$13,3))),($F24+$G24)/2-($F24-$G24)/2*COS(PI()*(13-VLOOKUP(MONTH(B24),$O$1:$Q$13,3))/(VLOOKUP(MONTH(B24),$O$1:$Q$13,2)-VLOOKUP(MONTH(B24),$O$1:$Q$13,3))),($F24+$G24)/2-($F24-$G24)/2*COS(PI()*(14-VLOOKUP(MONTH(B24),$O$1:$Q$13,3))/(VLOOKUP(MONTH(B24),$O$1:$Q$13,2)-VLOOKUP(MONTH(B24),$O$1:$Q$13,3))))</f>
        <v/>
      </c>
      <c r="M24" s="1">
        <f t="array" ref="M24">IF(AND(A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,A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),IF(L24&lt;_xlfn.IFNA(INDEX(_xlfn.ANCHORARRAY(Sintesi!$C$17)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,1,IF(L24&gt;=_xlfn.IFNA(INDEX(_xlfn.ANCHORARRAY(Sintesi!$C$18)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,0,1-(L24-_xlfn.IFNA(INDEX(_xlfn.ANCHORARRAY(Sintesi!$C$17)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)/(_xlfn.IFNA(INDEX(_xlfn.ANCHORARRAY(Sintesi!$C$18)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-_xlfn.IFNA(INDEX(_xlfn.ANCHORARRAY(Sintesi!$C$17)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))),0)</f>
        <v/>
      </c>
    </row>
    <row r="25">
      <c r="A25" s="1">
        <f>'Paste cell here'!A25</f>
        <v/>
      </c>
      <c r="B25" s="2">
        <f>DATE(Sintesi!$C$4-1,12,31)+A25</f>
        <v/>
      </c>
      <c r="C25" s="34">
        <f t="array" ref="C25">_xlfn.IFNA(MATCH(1,(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)*(_xlfn.ANCHORARRAY(Sintesi!$C$15)&gt;=0)+(_xlfn.ANCHORARRAY(Sintesi!$C$15)&lt;0),0),0)</f>
        <v/>
      </c>
      <c r="D25" s="1">
        <f t="array" ref="D25">IF(ISBLANK($E26),IF(ISNUMBER($E24),IF($C25&gt;0,IF(($E25=INDEX(_xlfn.ANCHORARRAY(Sintesi!$C$14),1,$C25))*(INDEX(_xlfn.ANCHORARRAY(Sintesi!$C$15),1,$C25)&gt;0),0,IF(($E25=INDEX(_xlfn.ANCHORARRAY(Sintesi!$C$14),1,$C25))*(INDEX(_xlfn.ANCHORARRAY(Sintesi!$C$15),1,$C25)&lt;0)+($E25&gt;=$E24)*($E25&lt;=INDEX($E:$E,MATCH(TRUE,INDEX((ISNUMBER($E:$E)),0),0)))*($E25&gt;INDEX(_xlfn.ANCHORARRAY(Sintesi!$C$14),1,$C25))*($E25&lt;=INDEX(_xlfn.ANCHORARRAY(Sintesi!$C$15),1,$C25))*(INDEX(_xlfn.ANCHORARRAY(Sintesi!$C$15),1,$C25)&gt;0),1,IF(($E25&gt;=$E24)*($E25&lt;=INDEX($E:$E,MATCH(TRUE,INDEX((ISNUMBER($E:$E)),0),0)))*($E25&gt;INDEX(_xlfn.ANCHORARRAY(Sintesi!$C$14),1,$C25))*($E25&lt;INDEX(_xlfn.ANCHORARRAY(Sintesi!$C$16),1,$C25))*(INDEX(_xlfn.ANCHORARRAY(Sintesi!$C$15),1,$C25)&lt;0)+($E25&gt;=$E24)*($E25&lt;=INDEX($E:$E,MATCH(TRUE,INDEX((ISNUMBER($E:$E)),0),0)))*($E25&gt;INDEX(_xlfn.ANCHORARRAY(Sintesi!$C$15),1,$C25))*($E25&lt;INDEX(_xlfn.ANCHORARRAY(Sintesi!$C$16),1,$C25))*(INDEX(_xlfn.ANCHORARRAY(Sintesi!$C$15),1,$C25)&gt;0),2,IF($E25=(INDEX(_xlfn.ANCHORARRAY(Sintesi!$C$16),1,$C25)),3,4)))),0),IF($C25&gt;0,IF(($E25=INDEX(_xlfn.ANCHORARRAY(Sintesi!$C$14),1,$C25))*(INDEX(_xlfn.ANCHORARRAY(Sintesi!$C$15),1,$C25)&gt;0),0,IF(($E25=INDEX(_xlfn.ANCHORARRAY(Sintesi!$C$14),1,$C25))*(INDEX(_xlfn.ANCHORARRAY(Sintesi!$C$15),1,$C25)&lt;0)+($E25&gt;=LOOKUP(2,1/($E:$E&lt;&gt;""),$E:$E))*($E25&lt;=INDEX($E:$E,MATCH(TRUE,INDEX((ISNUMBER($E:$E)),0),0)))*($E25&gt;INDEX(_xlfn.ANCHORARRAY(Sintesi!$C$14),1,$C25))*($E25&lt;=INDEX(_xlfn.ANCHORARRAY(Sintesi!$C$15),1,$C25))*(INDEX(_xlfn.ANCHORARRAY(Sintesi!$C$15),1,$C25)&gt;0),1,IF(($E25&gt;=LOOKUP(2,1/($E:$E&lt;&gt;""),$E:$E))*($E25&lt;=INDEX($E:$E,MATCH(TRUE,INDEX((ISNUMBER($E:$E)),0),0)))*($E25&gt;INDEX(_xlfn.ANCHORARRAY(Sintesi!$C$14),1,$C25))*($E25&lt;INDEX(_xlfn.ANCHORARRAY(Sintesi!$C$16),1,$C25))*(INDEX(_xlfn.ANCHORARRAY(Sintesi!$C$15),1,$C25)&lt;0)+($E25&gt;=LOOKUP(2,1/($E:$E&lt;&gt;""),$E:$E))*($E25&lt;=INDEX($E:$E,MATCH(TRUE,INDEX((ISNUMBER($E:$E)),0),0)))*($E25&gt;INDEX(_xlfn.ANCHORARRAY(Sintesi!$C$15),1,$C25))*($E25&lt;INDEX(_xlfn.ANCHORARRAY(Sintesi!$C$16),1,$C25))*(INDEX(_xlfn.ANCHORARRAY(Sintesi!$C$15),1,$C25)&gt;0),2,IF($E25=(INDEX(_xlfn.ANCHORARRAY(Sintesi!$C$16),1,$C25)),3,4)))),0)),IF(ISNUMBER($E24),IF($C25&gt;0,IF(($E25=INDEX(_xlfn.ANCHORARRAY(Sintesi!$C$14),1,$C25))*(INDEX(_xlfn.ANCHORARRAY(Sintesi!$C$15),1,$C25)&gt;0),0,IF(($E25=INDEX(_xlfn.ANCHORARRAY(Sintesi!$C$14),1,$C25))*(INDEX(_xlfn.ANCHORARRAY(Sintesi!$C$15),1,$C25)&lt;0)+($E25&gt;=$E24)*($E25&lt;=$E26)*($E25&gt;INDEX(_xlfn.ANCHORARRAY(Sintesi!$C$14),1,$C25))*($E25&lt;=INDEX(_xlfn.ANCHORARRAY(Sintesi!$C$15),1,$C25))*(INDEX(_xlfn.ANCHORARRAY(Sintesi!$C$15),1,$C25)&gt;0),1,IF(($E25&gt;=$E24)*($E25&lt;=$E26)*($E25&gt;INDEX(_xlfn.ANCHORARRAY(Sintesi!$C$14),1,$C25))*($E25&lt;INDEX(_xlfn.ANCHORARRAY(Sintesi!$C$16),1,$C25))*(INDEX(_xlfn.ANCHORARRAY(Sintesi!$C$15),1,$C25)&lt;0)+($E25&gt;=$E24)*($E25&lt;=$E26)*($E25&gt;INDEX(_xlfn.ANCHORARRAY(Sintesi!$C$15),1,$C25))*($E25&lt;INDEX(_xlfn.ANCHORARRAY(Sintesi!$C$16),1,$C25))*(INDEX(_xlfn.ANCHORARRAY(Sintesi!$C$15),1,$C25)&gt;0),2,IF($E25=(INDEX(_xlfn.ANCHORARRAY(Sintesi!$C$16),1,$C25)),3,4)))),0),IF($C25&gt;0,IF(($E25=INDEX(_xlfn.ANCHORARRAY(Sintesi!$C$14),1,$C25))*(INDEX(_xlfn.ANCHORARRAY(Sintesi!$C$15),1,$C25)&gt;0),0,IF(($E25=INDEX(_xlfn.ANCHORARRAY(Sintesi!$C$14),1,$C25))*(INDEX(_xlfn.ANCHORARRAY(Sintesi!$C$15),1,$C25)&lt;0)+($E25&gt;=LOOKUP(2,1/($E:$E&lt;&gt;""),$E:$E))*($E25&lt;=$E26)*($E25&gt;INDEX(_xlfn.ANCHORARRAY(Sintesi!$C$14),1,$C25))*($E25&lt;=INDEX(_xlfn.ANCHORARRAY(Sintesi!$C$15),1,$C25))*(INDEX(_xlfn.ANCHORARRAY(Sintesi!$C$15),1,$C25)&gt;0),1,IF(($E25&gt;=LOOKUP(2,1/($E:$E&lt;&gt;""),$E:$E))*($E25&lt;=$E26)*($E25&gt;INDEX(_xlfn.ANCHORARRAY(Sintesi!$C$14),1,$C25))*($E25&lt;INDEX(_xlfn.ANCHORARRAY(Sintesi!$C$16),1,$C25))*(INDEX(_xlfn.ANCHORARRAY(Sintesi!$C$15),1,$C25)&lt;0)+($E25&gt;=LOOKUP(2,1/($E:$E&lt;&gt;""),$E:$E))*($E25&lt;=$E26)*($E25&gt;INDEX(_xlfn.ANCHORARRAY(Sintesi!$C$15),1,$C25))*($E25&lt;INDEX(_xlfn.ANCHORARRAY(Sintesi!$C$16),1,$C25))*(INDEX(_xlfn.ANCHORARRAY(Sintesi!$C$15),1,$C25)&gt;0),2,IF($E25=(INDEX(_xlfn.ANCHORARRAY(Sintesi!$C$16),1,$C25)),3,4)))),0)))</f>
        <v/>
      </c>
      <c r="E25" s="1">
        <f>'Paste cell here'!F25</f>
        <v/>
      </c>
      <c r="F25" s="1">
        <f>'Paste cell here'!C25</f>
        <v/>
      </c>
      <c r="G25" s="1">
        <f>'Paste cell here'!D25</f>
        <v/>
      </c>
      <c r="H25" s="1">
        <f>'Paste cell here'!E25</f>
        <v/>
      </c>
      <c r="I25" s="1">
        <f>'Paste cell here'!X25</f>
        <v/>
      </c>
      <c r="J25" s="1">
        <f>'Paste cell here'!Y25+'Paste cell here'!S25</f>
        <v/>
      </c>
      <c r="K25" s="1">
        <f>I25/H25</f>
        <v/>
      </c>
      <c r="L25" s="1">
        <f>AVERAGE(($F25+$G25)/2-($F25-$G25)/2*COS(PI()*(8-VLOOKUP(MONTH(B25),$O$1:$Q$13,3))/(VLOOKUP(MONTH(B25),$O$1:$Q$13,2)-VLOOKUP(MONTH(B25),$O$1:$Q$13,3))),($F25+$G25)/2-($F25-$G25)/2*COS(PI()*(9-VLOOKUP(MONTH(B25),$O$1:$Q$13,3))/(VLOOKUP(MONTH(B25),$O$1:$Q$13,2)-VLOOKUP(MONTH(B25),$O$1:$Q$13,3))),($F25+$G25)/2-($F25-$G25)/2*COS(PI()*(10-VLOOKUP(MONTH(B25),$O$1:$Q$13,3))/(VLOOKUP(MONTH(B25),$O$1:$Q$13,2)-VLOOKUP(MONTH(B25),$O$1:$Q$13,3))),($F25+$G25)/2-($F25-$G25)/2*COS(PI()*(11-VLOOKUP(MONTH(B25),$O$1:$Q$13,3))/(VLOOKUP(MONTH(B25),$O$1:$Q$13,2)-VLOOKUP(MONTH(B25),$O$1:$Q$13,3))),($F25+$G25)/2-($F25-$G25)/2*COS(PI()*(12-VLOOKUP(MONTH(B25),$O$1:$Q$13,3))/(VLOOKUP(MONTH(B25),$O$1:$Q$13,2)-VLOOKUP(MONTH(B25),$O$1:$Q$13,3))),($F25+$G25)/2-($F25-$G25)/2*COS(PI()*(13-VLOOKUP(MONTH(B25),$O$1:$Q$13,3))/(VLOOKUP(MONTH(B25),$O$1:$Q$13,2)-VLOOKUP(MONTH(B25),$O$1:$Q$13,3))),($F25+$G25)/2-($F25-$G25)/2*COS(PI()*(14-VLOOKUP(MONTH(B25),$O$1:$Q$13,3))/(VLOOKUP(MONTH(B25),$O$1:$Q$13,2)-VLOOKUP(MONTH(B25),$O$1:$Q$13,3))))</f>
        <v/>
      </c>
      <c r="M25" s="1">
        <f t="array" ref="M25">IF(AND(A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,A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),IF(L25&lt;_xlfn.IFNA(INDEX(_xlfn.ANCHORARRAY(Sintesi!$C$17)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,1,IF(L25&gt;=_xlfn.IFNA(INDEX(_xlfn.ANCHORARRAY(Sintesi!$C$18)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,0,1-(L25-_xlfn.IFNA(INDEX(_xlfn.ANCHORARRAY(Sintesi!$C$17)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)/(_xlfn.IFNA(INDEX(_xlfn.ANCHORARRAY(Sintesi!$C$18)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-_xlfn.IFNA(INDEX(_xlfn.ANCHORARRAY(Sintesi!$C$17)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))),0)</f>
        <v/>
      </c>
    </row>
    <row r="26">
      <c r="A26" s="1">
        <f>'Paste cell here'!A26</f>
        <v/>
      </c>
      <c r="B26" s="2">
        <f>DATE(Sintesi!$C$4-1,12,31)+A26</f>
        <v/>
      </c>
      <c r="C26" s="34">
        <f t="array" ref="C26">_xlfn.IFNA(MATCH(1,(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)*(_xlfn.ANCHORARRAY(Sintesi!$C$15)&gt;=0)+(_xlfn.ANCHORARRAY(Sintesi!$C$15)&lt;0),0),0)</f>
        <v/>
      </c>
      <c r="D26" s="1">
        <f t="array" ref="D26">IF(ISBLANK($E27),IF(ISNUMBER($E25),IF($C26&gt;0,IF(($E26=INDEX(_xlfn.ANCHORARRAY(Sintesi!$C$14),1,$C26))*(INDEX(_xlfn.ANCHORARRAY(Sintesi!$C$15),1,$C26)&gt;0),0,IF(($E26=INDEX(_xlfn.ANCHORARRAY(Sintesi!$C$14),1,$C26))*(INDEX(_xlfn.ANCHORARRAY(Sintesi!$C$15),1,$C26)&lt;0)+($E26&gt;=$E25)*($E26&lt;=INDEX($E:$E,MATCH(TRUE,INDEX((ISNUMBER($E:$E)),0),0)))*($E26&gt;INDEX(_xlfn.ANCHORARRAY(Sintesi!$C$14),1,$C26))*($E26&lt;=INDEX(_xlfn.ANCHORARRAY(Sintesi!$C$15),1,$C26))*(INDEX(_xlfn.ANCHORARRAY(Sintesi!$C$15),1,$C26)&gt;0),1,IF(($E26&gt;=$E25)*($E26&lt;=INDEX($E:$E,MATCH(TRUE,INDEX((ISNUMBER($E:$E)),0),0)))*($E26&gt;INDEX(_xlfn.ANCHORARRAY(Sintesi!$C$14),1,$C26))*($E26&lt;INDEX(_xlfn.ANCHORARRAY(Sintesi!$C$16),1,$C26))*(INDEX(_xlfn.ANCHORARRAY(Sintesi!$C$15),1,$C26)&lt;0)+($E26&gt;=$E25)*($E26&lt;=INDEX($E:$E,MATCH(TRUE,INDEX((ISNUMBER($E:$E)),0),0)))*($E26&gt;INDEX(_xlfn.ANCHORARRAY(Sintesi!$C$15),1,$C26))*($E26&lt;INDEX(_xlfn.ANCHORARRAY(Sintesi!$C$16),1,$C26))*(INDEX(_xlfn.ANCHORARRAY(Sintesi!$C$15),1,$C26)&gt;0),2,IF($E26=(INDEX(_xlfn.ANCHORARRAY(Sintesi!$C$16),1,$C26)),3,4)))),0),IF($C26&gt;0,IF(($E26=INDEX(_xlfn.ANCHORARRAY(Sintesi!$C$14),1,$C26))*(INDEX(_xlfn.ANCHORARRAY(Sintesi!$C$15),1,$C26)&gt;0),0,IF(($E26=INDEX(_xlfn.ANCHORARRAY(Sintesi!$C$14),1,$C26))*(INDEX(_xlfn.ANCHORARRAY(Sintesi!$C$15),1,$C26)&lt;0)+($E26&gt;=LOOKUP(2,1/($E:$E&lt;&gt;""),$E:$E))*($E26&lt;=INDEX($E:$E,MATCH(TRUE,INDEX((ISNUMBER($E:$E)),0),0)))*($E26&gt;INDEX(_xlfn.ANCHORARRAY(Sintesi!$C$14),1,$C26))*($E26&lt;=INDEX(_xlfn.ANCHORARRAY(Sintesi!$C$15),1,$C26))*(INDEX(_xlfn.ANCHORARRAY(Sintesi!$C$15),1,$C26)&gt;0),1,IF(($E26&gt;=LOOKUP(2,1/($E:$E&lt;&gt;""),$E:$E))*($E26&lt;=INDEX($E:$E,MATCH(TRUE,INDEX((ISNUMBER($E:$E)),0),0)))*($E26&gt;INDEX(_xlfn.ANCHORARRAY(Sintesi!$C$14),1,$C26))*($E26&lt;INDEX(_xlfn.ANCHORARRAY(Sintesi!$C$16),1,$C26))*(INDEX(_xlfn.ANCHORARRAY(Sintesi!$C$15),1,$C26)&lt;0)+($E26&gt;=LOOKUP(2,1/($E:$E&lt;&gt;""),$E:$E))*($E26&lt;=INDEX($E:$E,MATCH(TRUE,INDEX((ISNUMBER($E:$E)),0),0)))*($E26&gt;INDEX(_xlfn.ANCHORARRAY(Sintesi!$C$15),1,$C26))*($E26&lt;INDEX(_xlfn.ANCHORARRAY(Sintesi!$C$16),1,$C26))*(INDEX(_xlfn.ANCHORARRAY(Sintesi!$C$15),1,$C26)&gt;0),2,IF($E26=(INDEX(_xlfn.ANCHORARRAY(Sintesi!$C$16),1,$C26)),3,4)))),0)),IF(ISNUMBER($E25),IF($C26&gt;0,IF(($E26=INDEX(_xlfn.ANCHORARRAY(Sintesi!$C$14),1,$C26))*(INDEX(_xlfn.ANCHORARRAY(Sintesi!$C$15),1,$C26)&gt;0),0,IF(($E26=INDEX(_xlfn.ANCHORARRAY(Sintesi!$C$14),1,$C26))*(INDEX(_xlfn.ANCHORARRAY(Sintesi!$C$15),1,$C26)&lt;0)+($E26&gt;=$E25)*($E26&lt;=$E27)*($E26&gt;INDEX(_xlfn.ANCHORARRAY(Sintesi!$C$14),1,$C26))*($E26&lt;=INDEX(_xlfn.ANCHORARRAY(Sintesi!$C$15),1,$C26))*(INDEX(_xlfn.ANCHORARRAY(Sintesi!$C$15),1,$C26)&gt;0),1,IF(($E26&gt;=$E25)*($E26&lt;=$E27)*($E26&gt;INDEX(_xlfn.ANCHORARRAY(Sintesi!$C$14),1,$C26))*($E26&lt;INDEX(_xlfn.ANCHORARRAY(Sintesi!$C$16),1,$C26))*(INDEX(_xlfn.ANCHORARRAY(Sintesi!$C$15),1,$C26)&lt;0)+($E26&gt;=$E25)*($E26&lt;=$E27)*($E26&gt;INDEX(_xlfn.ANCHORARRAY(Sintesi!$C$15),1,$C26))*($E26&lt;INDEX(_xlfn.ANCHORARRAY(Sintesi!$C$16),1,$C26))*(INDEX(_xlfn.ANCHORARRAY(Sintesi!$C$15),1,$C26)&gt;0),2,IF($E26=(INDEX(_xlfn.ANCHORARRAY(Sintesi!$C$16),1,$C26)),3,4)))),0),IF($C26&gt;0,IF(($E26=INDEX(_xlfn.ANCHORARRAY(Sintesi!$C$14),1,$C26))*(INDEX(_xlfn.ANCHORARRAY(Sintesi!$C$15),1,$C26)&gt;0),0,IF(($E26=INDEX(_xlfn.ANCHORARRAY(Sintesi!$C$14),1,$C26))*(INDEX(_xlfn.ANCHORARRAY(Sintesi!$C$15),1,$C26)&lt;0)+($E26&gt;=LOOKUP(2,1/($E:$E&lt;&gt;""),$E:$E))*($E26&lt;=$E27)*($E26&gt;INDEX(_xlfn.ANCHORARRAY(Sintesi!$C$14),1,$C26))*($E26&lt;=INDEX(_xlfn.ANCHORARRAY(Sintesi!$C$15),1,$C26))*(INDEX(_xlfn.ANCHORARRAY(Sintesi!$C$15),1,$C26)&gt;0),1,IF(($E26&gt;=LOOKUP(2,1/($E:$E&lt;&gt;""),$E:$E))*($E26&lt;=$E27)*($E26&gt;INDEX(_xlfn.ANCHORARRAY(Sintesi!$C$14),1,$C26))*($E26&lt;INDEX(_xlfn.ANCHORARRAY(Sintesi!$C$16),1,$C26))*(INDEX(_xlfn.ANCHORARRAY(Sintesi!$C$15),1,$C26)&lt;0)+($E26&gt;=LOOKUP(2,1/($E:$E&lt;&gt;""),$E:$E))*($E26&lt;=$E27)*($E26&gt;INDEX(_xlfn.ANCHORARRAY(Sintesi!$C$15),1,$C26))*($E26&lt;INDEX(_xlfn.ANCHORARRAY(Sintesi!$C$16),1,$C26))*(INDEX(_xlfn.ANCHORARRAY(Sintesi!$C$15),1,$C26)&gt;0),2,IF($E26=(INDEX(_xlfn.ANCHORARRAY(Sintesi!$C$16),1,$C26)),3,4)))),0)))</f>
        <v/>
      </c>
      <c r="E26" s="1">
        <f>'Paste cell here'!F26</f>
        <v/>
      </c>
      <c r="F26" s="1">
        <f>'Paste cell here'!C26</f>
        <v/>
      </c>
      <c r="G26" s="1">
        <f>'Paste cell here'!D26</f>
        <v/>
      </c>
      <c r="H26" s="1">
        <f>'Paste cell here'!E26</f>
        <v/>
      </c>
      <c r="I26" s="1">
        <f>'Paste cell here'!X26</f>
        <v/>
      </c>
      <c r="J26" s="1">
        <f>'Paste cell here'!Y26+'Paste cell here'!S26</f>
        <v/>
      </c>
      <c r="K26" s="1">
        <f>I26/H26</f>
        <v/>
      </c>
      <c r="L26" s="1">
        <f>AVERAGE(($F26+$G26)/2-($F26-$G26)/2*COS(PI()*(8-VLOOKUP(MONTH(B26),$O$1:$Q$13,3))/(VLOOKUP(MONTH(B26),$O$1:$Q$13,2)-VLOOKUP(MONTH(B26),$O$1:$Q$13,3))),($F26+$G26)/2-($F26-$G26)/2*COS(PI()*(9-VLOOKUP(MONTH(B26),$O$1:$Q$13,3))/(VLOOKUP(MONTH(B26),$O$1:$Q$13,2)-VLOOKUP(MONTH(B26),$O$1:$Q$13,3))),($F26+$G26)/2-($F26-$G26)/2*COS(PI()*(10-VLOOKUP(MONTH(B26),$O$1:$Q$13,3))/(VLOOKUP(MONTH(B26),$O$1:$Q$13,2)-VLOOKUP(MONTH(B26),$O$1:$Q$13,3))),($F26+$G26)/2-($F26-$G26)/2*COS(PI()*(11-VLOOKUP(MONTH(B26),$O$1:$Q$13,3))/(VLOOKUP(MONTH(B26),$O$1:$Q$13,2)-VLOOKUP(MONTH(B26),$O$1:$Q$13,3))),($F26+$G26)/2-($F26-$G26)/2*COS(PI()*(12-VLOOKUP(MONTH(B26),$O$1:$Q$13,3))/(VLOOKUP(MONTH(B26),$O$1:$Q$13,2)-VLOOKUP(MONTH(B26),$O$1:$Q$13,3))),($F26+$G26)/2-($F26-$G26)/2*COS(PI()*(13-VLOOKUP(MONTH(B26),$O$1:$Q$13,3))/(VLOOKUP(MONTH(B26),$O$1:$Q$13,2)-VLOOKUP(MONTH(B26),$O$1:$Q$13,3))),($F26+$G26)/2-($F26-$G26)/2*COS(PI()*(14-VLOOKUP(MONTH(B26),$O$1:$Q$13,3))/(VLOOKUP(MONTH(B26),$O$1:$Q$13,2)-VLOOKUP(MONTH(B26),$O$1:$Q$13,3))))</f>
        <v/>
      </c>
      <c r="M26" s="1">
        <f t="array" ref="M26">IF(AND(A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,A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),IF(L26&lt;_xlfn.IFNA(INDEX(_xlfn.ANCHORARRAY(Sintesi!$C$17)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,1,IF(L26&gt;=_xlfn.IFNA(INDEX(_xlfn.ANCHORARRAY(Sintesi!$C$18)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,0,1-(L26-_xlfn.IFNA(INDEX(_xlfn.ANCHORARRAY(Sintesi!$C$17)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)/(_xlfn.IFNA(INDEX(_xlfn.ANCHORARRAY(Sintesi!$C$18)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-_xlfn.IFNA(INDEX(_xlfn.ANCHORARRAY(Sintesi!$C$17)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))),0)</f>
        <v/>
      </c>
    </row>
    <row r="27">
      <c r="A27" s="1">
        <f>'Paste cell here'!A27</f>
        <v/>
      </c>
      <c r="B27" s="2">
        <f>DATE(Sintesi!$C$4-1,12,31)+A27</f>
        <v/>
      </c>
      <c r="C27" s="34">
        <f t="array" ref="C27">_xlfn.IFNA(MATCH(1,(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)*(_xlfn.ANCHORARRAY(Sintesi!$C$15)&gt;=0)+(_xlfn.ANCHORARRAY(Sintesi!$C$15)&lt;0),0),0)</f>
        <v/>
      </c>
      <c r="D27" s="1">
        <f t="array" ref="D27">IF(ISBLANK($E28),IF(ISNUMBER($E26),IF($C27&gt;0,IF(($E27=INDEX(_xlfn.ANCHORARRAY(Sintesi!$C$14),1,$C27))*(INDEX(_xlfn.ANCHORARRAY(Sintesi!$C$15),1,$C27)&gt;0),0,IF(($E27=INDEX(_xlfn.ANCHORARRAY(Sintesi!$C$14),1,$C27))*(INDEX(_xlfn.ANCHORARRAY(Sintesi!$C$15),1,$C27)&lt;0)+($E27&gt;=$E26)*($E27&lt;=INDEX($E:$E,MATCH(TRUE,INDEX((ISNUMBER($E:$E)),0),0)))*($E27&gt;INDEX(_xlfn.ANCHORARRAY(Sintesi!$C$14),1,$C27))*($E27&lt;=INDEX(_xlfn.ANCHORARRAY(Sintesi!$C$15),1,$C27))*(INDEX(_xlfn.ANCHORARRAY(Sintesi!$C$15),1,$C27)&gt;0),1,IF(($E27&gt;=$E26)*($E27&lt;=INDEX($E:$E,MATCH(TRUE,INDEX((ISNUMBER($E:$E)),0),0)))*($E27&gt;INDEX(_xlfn.ANCHORARRAY(Sintesi!$C$14),1,$C27))*($E27&lt;INDEX(_xlfn.ANCHORARRAY(Sintesi!$C$16),1,$C27))*(INDEX(_xlfn.ANCHORARRAY(Sintesi!$C$15),1,$C27)&lt;0)+($E27&gt;=$E26)*($E27&lt;=INDEX($E:$E,MATCH(TRUE,INDEX((ISNUMBER($E:$E)),0),0)))*($E27&gt;INDEX(_xlfn.ANCHORARRAY(Sintesi!$C$15),1,$C27))*($E27&lt;INDEX(_xlfn.ANCHORARRAY(Sintesi!$C$16),1,$C27))*(INDEX(_xlfn.ANCHORARRAY(Sintesi!$C$15),1,$C27)&gt;0),2,IF($E27=(INDEX(_xlfn.ANCHORARRAY(Sintesi!$C$16),1,$C27)),3,4)))),0),IF($C27&gt;0,IF(($E27=INDEX(_xlfn.ANCHORARRAY(Sintesi!$C$14),1,$C27))*(INDEX(_xlfn.ANCHORARRAY(Sintesi!$C$15),1,$C27)&gt;0),0,IF(($E27=INDEX(_xlfn.ANCHORARRAY(Sintesi!$C$14),1,$C27))*(INDEX(_xlfn.ANCHORARRAY(Sintesi!$C$15),1,$C27)&lt;0)+($E27&gt;=LOOKUP(2,1/($E:$E&lt;&gt;""),$E:$E))*($E27&lt;=INDEX($E:$E,MATCH(TRUE,INDEX((ISNUMBER($E:$E)),0),0)))*($E27&gt;INDEX(_xlfn.ANCHORARRAY(Sintesi!$C$14),1,$C27))*($E27&lt;=INDEX(_xlfn.ANCHORARRAY(Sintesi!$C$15),1,$C27))*(INDEX(_xlfn.ANCHORARRAY(Sintesi!$C$15),1,$C27)&gt;0),1,IF(($E27&gt;=LOOKUP(2,1/($E:$E&lt;&gt;""),$E:$E))*($E27&lt;=INDEX($E:$E,MATCH(TRUE,INDEX((ISNUMBER($E:$E)),0),0)))*($E27&gt;INDEX(_xlfn.ANCHORARRAY(Sintesi!$C$14),1,$C27))*($E27&lt;INDEX(_xlfn.ANCHORARRAY(Sintesi!$C$16),1,$C27))*(INDEX(_xlfn.ANCHORARRAY(Sintesi!$C$15),1,$C27)&lt;0)+($E27&gt;=LOOKUP(2,1/($E:$E&lt;&gt;""),$E:$E))*($E27&lt;=INDEX($E:$E,MATCH(TRUE,INDEX((ISNUMBER($E:$E)),0),0)))*($E27&gt;INDEX(_xlfn.ANCHORARRAY(Sintesi!$C$15),1,$C27))*($E27&lt;INDEX(_xlfn.ANCHORARRAY(Sintesi!$C$16),1,$C27))*(INDEX(_xlfn.ANCHORARRAY(Sintesi!$C$15),1,$C27)&gt;0),2,IF($E27=(INDEX(_xlfn.ANCHORARRAY(Sintesi!$C$16),1,$C27)),3,4)))),0)),IF(ISNUMBER($E26),IF($C27&gt;0,IF(($E27=INDEX(_xlfn.ANCHORARRAY(Sintesi!$C$14),1,$C27))*(INDEX(_xlfn.ANCHORARRAY(Sintesi!$C$15),1,$C27)&gt;0),0,IF(($E27=INDEX(_xlfn.ANCHORARRAY(Sintesi!$C$14),1,$C27))*(INDEX(_xlfn.ANCHORARRAY(Sintesi!$C$15),1,$C27)&lt;0)+($E27&gt;=$E26)*($E27&lt;=$E28)*($E27&gt;INDEX(_xlfn.ANCHORARRAY(Sintesi!$C$14),1,$C27))*($E27&lt;=INDEX(_xlfn.ANCHORARRAY(Sintesi!$C$15),1,$C27))*(INDEX(_xlfn.ANCHORARRAY(Sintesi!$C$15),1,$C27)&gt;0),1,IF(($E27&gt;=$E26)*($E27&lt;=$E28)*($E27&gt;INDEX(_xlfn.ANCHORARRAY(Sintesi!$C$14),1,$C27))*($E27&lt;INDEX(_xlfn.ANCHORARRAY(Sintesi!$C$16),1,$C27))*(INDEX(_xlfn.ANCHORARRAY(Sintesi!$C$15),1,$C27)&lt;0)+($E27&gt;=$E26)*($E27&lt;=$E28)*($E27&gt;INDEX(_xlfn.ANCHORARRAY(Sintesi!$C$15),1,$C27))*($E27&lt;INDEX(_xlfn.ANCHORARRAY(Sintesi!$C$16),1,$C27))*(INDEX(_xlfn.ANCHORARRAY(Sintesi!$C$15),1,$C27)&gt;0),2,IF($E27=(INDEX(_xlfn.ANCHORARRAY(Sintesi!$C$16),1,$C27)),3,4)))),0),IF($C27&gt;0,IF(($E27=INDEX(_xlfn.ANCHORARRAY(Sintesi!$C$14),1,$C27))*(INDEX(_xlfn.ANCHORARRAY(Sintesi!$C$15),1,$C27)&gt;0),0,IF(($E27=INDEX(_xlfn.ANCHORARRAY(Sintesi!$C$14),1,$C27))*(INDEX(_xlfn.ANCHORARRAY(Sintesi!$C$15),1,$C27)&lt;0)+($E27&gt;=LOOKUP(2,1/($E:$E&lt;&gt;""),$E:$E))*($E27&lt;=$E28)*($E27&gt;INDEX(_xlfn.ANCHORARRAY(Sintesi!$C$14),1,$C27))*($E27&lt;=INDEX(_xlfn.ANCHORARRAY(Sintesi!$C$15),1,$C27))*(INDEX(_xlfn.ANCHORARRAY(Sintesi!$C$15),1,$C27)&gt;0),1,IF(($E27&gt;=LOOKUP(2,1/($E:$E&lt;&gt;""),$E:$E))*($E27&lt;=$E28)*($E27&gt;INDEX(_xlfn.ANCHORARRAY(Sintesi!$C$14),1,$C27))*($E27&lt;INDEX(_xlfn.ANCHORARRAY(Sintesi!$C$16),1,$C27))*(INDEX(_xlfn.ANCHORARRAY(Sintesi!$C$15),1,$C27)&lt;0)+($E27&gt;=LOOKUP(2,1/($E:$E&lt;&gt;""),$E:$E))*($E27&lt;=$E28)*($E27&gt;INDEX(_xlfn.ANCHORARRAY(Sintesi!$C$15),1,$C27))*($E27&lt;INDEX(_xlfn.ANCHORARRAY(Sintesi!$C$16),1,$C27))*(INDEX(_xlfn.ANCHORARRAY(Sintesi!$C$15),1,$C27)&gt;0),2,IF($E27=(INDEX(_xlfn.ANCHORARRAY(Sintesi!$C$16),1,$C27)),3,4)))),0)))</f>
        <v/>
      </c>
      <c r="E27" s="1">
        <f>'Paste cell here'!F27</f>
        <v/>
      </c>
      <c r="F27" s="1">
        <f>'Paste cell here'!C27</f>
        <v/>
      </c>
      <c r="G27" s="1">
        <f>'Paste cell here'!D27</f>
        <v/>
      </c>
      <c r="H27" s="1">
        <f>'Paste cell here'!E27</f>
        <v/>
      </c>
      <c r="I27" s="1">
        <f>'Paste cell here'!X27</f>
        <v/>
      </c>
      <c r="J27" s="1">
        <f>'Paste cell here'!Y27+'Paste cell here'!S27</f>
        <v/>
      </c>
      <c r="K27" s="1">
        <f>I27/H27</f>
        <v/>
      </c>
      <c r="L27" s="1">
        <f>AVERAGE(($F27+$G27)/2-($F27-$G27)/2*COS(PI()*(8-VLOOKUP(MONTH(B27),$O$1:$Q$13,3))/(VLOOKUP(MONTH(B27),$O$1:$Q$13,2)-VLOOKUP(MONTH(B27),$O$1:$Q$13,3))),($F27+$G27)/2-($F27-$G27)/2*COS(PI()*(9-VLOOKUP(MONTH(B27),$O$1:$Q$13,3))/(VLOOKUP(MONTH(B27),$O$1:$Q$13,2)-VLOOKUP(MONTH(B27),$O$1:$Q$13,3))),($F27+$G27)/2-($F27-$G27)/2*COS(PI()*(10-VLOOKUP(MONTH(B27),$O$1:$Q$13,3))/(VLOOKUP(MONTH(B27),$O$1:$Q$13,2)-VLOOKUP(MONTH(B27),$O$1:$Q$13,3))),($F27+$G27)/2-($F27-$G27)/2*COS(PI()*(11-VLOOKUP(MONTH(B27),$O$1:$Q$13,3))/(VLOOKUP(MONTH(B27),$O$1:$Q$13,2)-VLOOKUP(MONTH(B27),$O$1:$Q$13,3))),($F27+$G27)/2-($F27-$G27)/2*COS(PI()*(12-VLOOKUP(MONTH(B27),$O$1:$Q$13,3))/(VLOOKUP(MONTH(B27),$O$1:$Q$13,2)-VLOOKUP(MONTH(B27),$O$1:$Q$13,3))),($F27+$G27)/2-($F27-$G27)/2*COS(PI()*(13-VLOOKUP(MONTH(B27),$O$1:$Q$13,3))/(VLOOKUP(MONTH(B27),$O$1:$Q$13,2)-VLOOKUP(MONTH(B27),$O$1:$Q$13,3))),($F27+$G27)/2-($F27-$G27)/2*COS(PI()*(14-VLOOKUP(MONTH(B27),$O$1:$Q$13,3))/(VLOOKUP(MONTH(B27),$O$1:$Q$13,2)-VLOOKUP(MONTH(B27),$O$1:$Q$13,3))))</f>
        <v/>
      </c>
      <c r="M27" s="1">
        <f t="array" ref="M27">IF(AND(A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,A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),IF(L27&lt;_xlfn.IFNA(INDEX(_xlfn.ANCHORARRAY(Sintesi!$C$17)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,1,IF(L27&gt;=_xlfn.IFNA(INDEX(_xlfn.ANCHORARRAY(Sintesi!$C$18)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,0,1-(L27-_xlfn.IFNA(INDEX(_xlfn.ANCHORARRAY(Sintesi!$C$17)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)/(_xlfn.IFNA(INDEX(_xlfn.ANCHORARRAY(Sintesi!$C$18)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-_xlfn.IFNA(INDEX(_xlfn.ANCHORARRAY(Sintesi!$C$17)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))),0)</f>
        <v/>
      </c>
    </row>
    <row r="28">
      <c r="A28" s="1">
        <f>'Paste cell here'!A28</f>
        <v/>
      </c>
      <c r="B28" s="2">
        <f>DATE(Sintesi!$C$4-1,12,31)+A28</f>
        <v/>
      </c>
      <c r="C28" s="34">
        <f t="array" ref="C28">_xlfn.IFNA(MATCH(1,(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)*(_xlfn.ANCHORARRAY(Sintesi!$C$15)&gt;=0)+(_xlfn.ANCHORARRAY(Sintesi!$C$15)&lt;0),0),0)</f>
        <v/>
      </c>
      <c r="D28" s="1">
        <f t="array" ref="D28">IF(ISBLANK($E29),IF(ISNUMBER($E27),IF($C28&gt;0,IF(($E28=INDEX(_xlfn.ANCHORARRAY(Sintesi!$C$14),1,$C28))*(INDEX(_xlfn.ANCHORARRAY(Sintesi!$C$15),1,$C28)&gt;0),0,IF(($E28=INDEX(_xlfn.ANCHORARRAY(Sintesi!$C$14),1,$C28))*(INDEX(_xlfn.ANCHORARRAY(Sintesi!$C$15),1,$C28)&lt;0)+($E28&gt;=$E27)*($E28&lt;=INDEX($E:$E,MATCH(TRUE,INDEX((ISNUMBER($E:$E)),0),0)))*($E28&gt;INDEX(_xlfn.ANCHORARRAY(Sintesi!$C$14),1,$C28))*($E28&lt;=INDEX(_xlfn.ANCHORARRAY(Sintesi!$C$15),1,$C28))*(INDEX(_xlfn.ANCHORARRAY(Sintesi!$C$15),1,$C28)&gt;0),1,IF(($E28&gt;=$E27)*($E28&lt;=INDEX($E:$E,MATCH(TRUE,INDEX((ISNUMBER($E:$E)),0),0)))*($E28&gt;INDEX(_xlfn.ANCHORARRAY(Sintesi!$C$14),1,$C28))*($E28&lt;INDEX(_xlfn.ANCHORARRAY(Sintesi!$C$16),1,$C28))*(INDEX(_xlfn.ANCHORARRAY(Sintesi!$C$15),1,$C28)&lt;0)+($E28&gt;=$E27)*($E28&lt;=INDEX($E:$E,MATCH(TRUE,INDEX((ISNUMBER($E:$E)),0),0)))*($E28&gt;INDEX(_xlfn.ANCHORARRAY(Sintesi!$C$15),1,$C28))*($E28&lt;INDEX(_xlfn.ANCHORARRAY(Sintesi!$C$16),1,$C28))*(INDEX(_xlfn.ANCHORARRAY(Sintesi!$C$15),1,$C28)&gt;0),2,IF($E28=(INDEX(_xlfn.ANCHORARRAY(Sintesi!$C$16),1,$C28)),3,4)))),0),IF($C28&gt;0,IF(($E28=INDEX(_xlfn.ANCHORARRAY(Sintesi!$C$14),1,$C28))*(INDEX(_xlfn.ANCHORARRAY(Sintesi!$C$15),1,$C28)&gt;0),0,IF(($E28=INDEX(_xlfn.ANCHORARRAY(Sintesi!$C$14),1,$C28))*(INDEX(_xlfn.ANCHORARRAY(Sintesi!$C$15),1,$C28)&lt;0)+($E28&gt;=LOOKUP(2,1/($E:$E&lt;&gt;""),$E:$E))*($E28&lt;=INDEX($E:$E,MATCH(TRUE,INDEX((ISNUMBER($E:$E)),0),0)))*($E28&gt;INDEX(_xlfn.ANCHORARRAY(Sintesi!$C$14),1,$C28))*($E28&lt;=INDEX(_xlfn.ANCHORARRAY(Sintesi!$C$15),1,$C28))*(INDEX(_xlfn.ANCHORARRAY(Sintesi!$C$15),1,$C28)&gt;0),1,IF(($E28&gt;=LOOKUP(2,1/($E:$E&lt;&gt;""),$E:$E))*($E28&lt;=INDEX($E:$E,MATCH(TRUE,INDEX((ISNUMBER($E:$E)),0),0)))*($E28&gt;INDEX(_xlfn.ANCHORARRAY(Sintesi!$C$14),1,$C28))*($E28&lt;INDEX(_xlfn.ANCHORARRAY(Sintesi!$C$16),1,$C28))*(INDEX(_xlfn.ANCHORARRAY(Sintesi!$C$15),1,$C28)&lt;0)+($E28&gt;=LOOKUP(2,1/($E:$E&lt;&gt;""),$E:$E))*($E28&lt;=INDEX($E:$E,MATCH(TRUE,INDEX((ISNUMBER($E:$E)),0),0)))*($E28&gt;INDEX(_xlfn.ANCHORARRAY(Sintesi!$C$15),1,$C28))*($E28&lt;INDEX(_xlfn.ANCHORARRAY(Sintesi!$C$16),1,$C28))*(INDEX(_xlfn.ANCHORARRAY(Sintesi!$C$15),1,$C28)&gt;0),2,IF($E28=(INDEX(_xlfn.ANCHORARRAY(Sintesi!$C$16),1,$C28)),3,4)))),0)),IF(ISNUMBER($E27),IF($C28&gt;0,IF(($E28=INDEX(_xlfn.ANCHORARRAY(Sintesi!$C$14),1,$C28))*(INDEX(_xlfn.ANCHORARRAY(Sintesi!$C$15),1,$C28)&gt;0),0,IF(($E28=INDEX(_xlfn.ANCHORARRAY(Sintesi!$C$14),1,$C28))*(INDEX(_xlfn.ANCHORARRAY(Sintesi!$C$15),1,$C28)&lt;0)+($E28&gt;=$E27)*($E28&lt;=$E29)*($E28&gt;INDEX(_xlfn.ANCHORARRAY(Sintesi!$C$14),1,$C28))*($E28&lt;=INDEX(_xlfn.ANCHORARRAY(Sintesi!$C$15),1,$C28))*(INDEX(_xlfn.ANCHORARRAY(Sintesi!$C$15),1,$C28)&gt;0),1,IF(($E28&gt;=$E27)*($E28&lt;=$E29)*($E28&gt;INDEX(_xlfn.ANCHORARRAY(Sintesi!$C$14),1,$C28))*($E28&lt;INDEX(_xlfn.ANCHORARRAY(Sintesi!$C$16),1,$C28))*(INDEX(_xlfn.ANCHORARRAY(Sintesi!$C$15),1,$C28)&lt;0)+($E28&gt;=$E27)*($E28&lt;=$E29)*($E28&gt;INDEX(_xlfn.ANCHORARRAY(Sintesi!$C$15),1,$C28))*($E28&lt;INDEX(_xlfn.ANCHORARRAY(Sintesi!$C$16),1,$C28))*(INDEX(_xlfn.ANCHORARRAY(Sintesi!$C$15),1,$C28)&gt;0),2,IF($E28=(INDEX(_xlfn.ANCHORARRAY(Sintesi!$C$16),1,$C28)),3,4)))),0),IF($C28&gt;0,IF(($E28=INDEX(_xlfn.ANCHORARRAY(Sintesi!$C$14),1,$C28))*(INDEX(_xlfn.ANCHORARRAY(Sintesi!$C$15),1,$C28)&gt;0),0,IF(($E28=INDEX(_xlfn.ANCHORARRAY(Sintesi!$C$14),1,$C28))*(INDEX(_xlfn.ANCHORARRAY(Sintesi!$C$15),1,$C28)&lt;0)+($E28&gt;=LOOKUP(2,1/($E:$E&lt;&gt;""),$E:$E))*($E28&lt;=$E29)*($E28&gt;INDEX(_xlfn.ANCHORARRAY(Sintesi!$C$14),1,$C28))*($E28&lt;=INDEX(_xlfn.ANCHORARRAY(Sintesi!$C$15),1,$C28))*(INDEX(_xlfn.ANCHORARRAY(Sintesi!$C$15),1,$C28)&gt;0),1,IF(($E28&gt;=LOOKUP(2,1/($E:$E&lt;&gt;""),$E:$E))*($E28&lt;=$E29)*($E28&gt;INDEX(_xlfn.ANCHORARRAY(Sintesi!$C$14),1,$C28))*($E28&lt;INDEX(_xlfn.ANCHORARRAY(Sintesi!$C$16),1,$C28))*(INDEX(_xlfn.ANCHORARRAY(Sintesi!$C$15),1,$C28)&lt;0)+($E28&gt;=LOOKUP(2,1/($E:$E&lt;&gt;""),$E:$E))*($E28&lt;=$E29)*($E28&gt;INDEX(_xlfn.ANCHORARRAY(Sintesi!$C$15),1,$C28))*($E28&lt;INDEX(_xlfn.ANCHORARRAY(Sintesi!$C$16),1,$C28))*(INDEX(_xlfn.ANCHORARRAY(Sintesi!$C$15),1,$C28)&gt;0),2,IF($E28=(INDEX(_xlfn.ANCHORARRAY(Sintesi!$C$16),1,$C28)),3,4)))),0)))</f>
        <v/>
      </c>
      <c r="E28" s="1">
        <f>'Paste cell here'!F28</f>
        <v/>
      </c>
      <c r="F28" s="1">
        <f>'Paste cell here'!C28</f>
        <v/>
      </c>
      <c r="G28" s="1">
        <f>'Paste cell here'!D28</f>
        <v/>
      </c>
      <c r="H28" s="1">
        <f>'Paste cell here'!E28</f>
        <v/>
      </c>
      <c r="I28" s="1">
        <f>'Paste cell here'!X28</f>
        <v/>
      </c>
      <c r="J28" s="1">
        <f>'Paste cell here'!Y28+'Paste cell here'!S28</f>
        <v/>
      </c>
      <c r="K28" s="1">
        <f>I28/H28</f>
        <v/>
      </c>
      <c r="L28" s="1">
        <f>AVERAGE(($F28+$G28)/2-($F28-$G28)/2*COS(PI()*(8-VLOOKUP(MONTH(B28),$O$1:$Q$13,3))/(VLOOKUP(MONTH(B28),$O$1:$Q$13,2)-VLOOKUP(MONTH(B28),$O$1:$Q$13,3))),($F28+$G28)/2-($F28-$G28)/2*COS(PI()*(9-VLOOKUP(MONTH(B28),$O$1:$Q$13,3))/(VLOOKUP(MONTH(B28),$O$1:$Q$13,2)-VLOOKUP(MONTH(B28),$O$1:$Q$13,3))),($F28+$G28)/2-($F28-$G28)/2*COS(PI()*(10-VLOOKUP(MONTH(B28),$O$1:$Q$13,3))/(VLOOKUP(MONTH(B28),$O$1:$Q$13,2)-VLOOKUP(MONTH(B28),$O$1:$Q$13,3))),($F28+$G28)/2-($F28-$G28)/2*COS(PI()*(11-VLOOKUP(MONTH(B28),$O$1:$Q$13,3))/(VLOOKUP(MONTH(B28),$O$1:$Q$13,2)-VLOOKUP(MONTH(B28),$O$1:$Q$13,3))),($F28+$G28)/2-($F28-$G28)/2*COS(PI()*(12-VLOOKUP(MONTH(B28),$O$1:$Q$13,3))/(VLOOKUP(MONTH(B28),$O$1:$Q$13,2)-VLOOKUP(MONTH(B28),$O$1:$Q$13,3))),($F28+$G28)/2-($F28-$G28)/2*COS(PI()*(13-VLOOKUP(MONTH(B28),$O$1:$Q$13,3))/(VLOOKUP(MONTH(B28),$O$1:$Q$13,2)-VLOOKUP(MONTH(B28),$O$1:$Q$13,3))),($F28+$G28)/2-($F28-$G28)/2*COS(PI()*(14-VLOOKUP(MONTH(B28),$O$1:$Q$13,3))/(VLOOKUP(MONTH(B28),$O$1:$Q$13,2)-VLOOKUP(MONTH(B28),$O$1:$Q$13,3))))</f>
        <v/>
      </c>
      <c r="M28" s="1">
        <f t="array" ref="M28">IF(AND(A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,A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),IF(L28&lt;_xlfn.IFNA(INDEX(_xlfn.ANCHORARRAY(Sintesi!$C$17)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,1,IF(L28&gt;=_xlfn.IFNA(INDEX(_xlfn.ANCHORARRAY(Sintesi!$C$18)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,0,1-(L28-_xlfn.IFNA(INDEX(_xlfn.ANCHORARRAY(Sintesi!$C$17)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)/(_xlfn.IFNA(INDEX(_xlfn.ANCHORARRAY(Sintesi!$C$18)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-_xlfn.IFNA(INDEX(_xlfn.ANCHORARRAY(Sintesi!$C$17)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))),0)</f>
        <v/>
      </c>
    </row>
    <row r="29">
      <c r="A29" s="1">
        <f>'Paste cell here'!A29</f>
        <v/>
      </c>
      <c r="B29" s="2">
        <f>DATE(Sintesi!$C$4-1,12,31)+A29</f>
        <v/>
      </c>
      <c r="C29" s="34">
        <f t="array" ref="C29">_xlfn.IFNA(MATCH(1,(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)*(_xlfn.ANCHORARRAY(Sintesi!$C$15)&gt;=0)+(_xlfn.ANCHORARRAY(Sintesi!$C$15)&lt;0),0),0)</f>
        <v/>
      </c>
      <c r="D29" s="1">
        <f t="array" ref="D29">IF(ISBLANK($E30),IF(ISNUMBER($E28),IF($C29&gt;0,IF(($E29=INDEX(_xlfn.ANCHORARRAY(Sintesi!$C$14),1,$C29))*(INDEX(_xlfn.ANCHORARRAY(Sintesi!$C$15),1,$C29)&gt;0),0,IF(($E29=INDEX(_xlfn.ANCHORARRAY(Sintesi!$C$14),1,$C29))*(INDEX(_xlfn.ANCHORARRAY(Sintesi!$C$15),1,$C29)&lt;0)+($E29&gt;=$E28)*($E29&lt;=INDEX($E:$E,MATCH(TRUE,INDEX((ISNUMBER($E:$E)),0),0)))*($E29&gt;INDEX(_xlfn.ANCHORARRAY(Sintesi!$C$14),1,$C29))*($E29&lt;=INDEX(_xlfn.ANCHORARRAY(Sintesi!$C$15),1,$C29))*(INDEX(_xlfn.ANCHORARRAY(Sintesi!$C$15),1,$C29)&gt;0),1,IF(($E29&gt;=$E28)*($E29&lt;=INDEX($E:$E,MATCH(TRUE,INDEX((ISNUMBER($E:$E)),0),0)))*($E29&gt;INDEX(_xlfn.ANCHORARRAY(Sintesi!$C$14),1,$C29))*($E29&lt;INDEX(_xlfn.ANCHORARRAY(Sintesi!$C$16),1,$C29))*(INDEX(_xlfn.ANCHORARRAY(Sintesi!$C$15),1,$C29)&lt;0)+($E29&gt;=$E28)*($E29&lt;=INDEX($E:$E,MATCH(TRUE,INDEX((ISNUMBER($E:$E)),0),0)))*($E29&gt;INDEX(_xlfn.ANCHORARRAY(Sintesi!$C$15),1,$C29))*($E29&lt;INDEX(_xlfn.ANCHORARRAY(Sintesi!$C$16),1,$C29))*(INDEX(_xlfn.ANCHORARRAY(Sintesi!$C$15),1,$C29)&gt;0),2,IF($E29=(INDEX(_xlfn.ANCHORARRAY(Sintesi!$C$16),1,$C29)),3,4)))),0),IF($C29&gt;0,IF(($E29=INDEX(_xlfn.ANCHORARRAY(Sintesi!$C$14),1,$C29))*(INDEX(_xlfn.ANCHORARRAY(Sintesi!$C$15),1,$C29)&gt;0),0,IF(($E29=INDEX(_xlfn.ANCHORARRAY(Sintesi!$C$14),1,$C29))*(INDEX(_xlfn.ANCHORARRAY(Sintesi!$C$15),1,$C29)&lt;0)+($E29&gt;=LOOKUP(2,1/($E:$E&lt;&gt;""),$E:$E))*($E29&lt;=INDEX($E:$E,MATCH(TRUE,INDEX((ISNUMBER($E:$E)),0),0)))*($E29&gt;INDEX(_xlfn.ANCHORARRAY(Sintesi!$C$14),1,$C29))*($E29&lt;=INDEX(_xlfn.ANCHORARRAY(Sintesi!$C$15),1,$C29))*(INDEX(_xlfn.ANCHORARRAY(Sintesi!$C$15),1,$C29)&gt;0),1,IF(($E29&gt;=LOOKUP(2,1/($E:$E&lt;&gt;""),$E:$E))*($E29&lt;=INDEX($E:$E,MATCH(TRUE,INDEX((ISNUMBER($E:$E)),0),0)))*($E29&gt;INDEX(_xlfn.ANCHORARRAY(Sintesi!$C$14),1,$C29))*($E29&lt;INDEX(_xlfn.ANCHORARRAY(Sintesi!$C$16),1,$C29))*(INDEX(_xlfn.ANCHORARRAY(Sintesi!$C$15),1,$C29)&lt;0)+($E29&gt;=LOOKUP(2,1/($E:$E&lt;&gt;""),$E:$E))*($E29&lt;=INDEX($E:$E,MATCH(TRUE,INDEX((ISNUMBER($E:$E)),0),0)))*($E29&gt;INDEX(_xlfn.ANCHORARRAY(Sintesi!$C$15),1,$C29))*($E29&lt;INDEX(_xlfn.ANCHORARRAY(Sintesi!$C$16),1,$C29))*(INDEX(_xlfn.ANCHORARRAY(Sintesi!$C$15),1,$C29)&gt;0),2,IF($E29=(INDEX(_xlfn.ANCHORARRAY(Sintesi!$C$16),1,$C29)),3,4)))),0)),IF(ISNUMBER($E28),IF($C29&gt;0,IF(($E29=INDEX(_xlfn.ANCHORARRAY(Sintesi!$C$14),1,$C29))*(INDEX(_xlfn.ANCHORARRAY(Sintesi!$C$15),1,$C29)&gt;0),0,IF(($E29=INDEX(_xlfn.ANCHORARRAY(Sintesi!$C$14),1,$C29))*(INDEX(_xlfn.ANCHORARRAY(Sintesi!$C$15),1,$C29)&lt;0)+($E29&gt;=$E28)*($E29&lt;=$E30)*($E29&gt;INDEX(_xlfn.ANCHORARRAY(Sintesi!$C$14),1,$C29))*($E29&lt;=INDEX(_xlfn.ANCHORARRAY(Sintesi!$C$15),1,$C29))*(INDEX(_xlfn.ANCHORARRAY(Sintesi!$C$15),1,$C29)&gt;0),1,IF(($E29&gt;=$E28)*($E29&lt;=$E30)*($E29&gt;INDEX(_xlfn.ANCHORARRAY(Sintesi!$C$14),1,$C29))*($E29&lt;INDEX(_xlfn.ANCHORARRAY(Sintesi!$C$16),1,$C29))*(INDEX(_xlfn.ANCHORARRAY(Sintesi!$C$15),1,$C29)&lt;0)+($E29&gt;=$E28)*($E29&lt;=$E30)*($E29&gt;INDEX(_xlfn.ANCHORARRAY(Sintesi!$C$15),1,$C29))*($E29&lt;INDEX(_xlfn.ANCHORARRAY(Sintesi!$C$16),1,$C29))*(INDEX(_xlfn.ANCHORARRAY(Sintesi!$C$15),1,$C29)&gt;0),2,IF($E29=(INDEX(_xlfn.ANCHORARRAY(Sintesi!$C$16),1,$C29)),3,4)))),0),IF($C29&gt;0,IF(($E29=INDEX(_xlfn.ANCHORARRAY(Sintesi!$C$14),1,$C29))*(INDEX(_xlfn.ANCHORARRAY(Sintesi!$C$15),1,$C29)&gt;0),0,IF(($E29=INDEX(_xlfn.ANCHORARRAY(Sintesi!$C$14),1,$C29))*(INDEX(_xlfn.ANCHORARRAY(Sintesi!$C$15),1,$C29)&lt;0)+($E29&gt;=LOOKUP(2,1/($E:$E&lt;&gt;""),$E:$E))*($E29&lt;=$E30)*($E29&gt;INDEX(_xlfn.ANCHORARRAY(Sintesi!$C$14),1,$C29))*($E29&lt;=INDEX(_xlfn.ANCHORARRAY(Sintesi!$C$15),1,$C29))*(INDEX(_xlfn.ANCHORARRAY(Sintesi!$C$15),1,$C29)&gt;0),1,IF(($E29&gt;=LOOKUP(2,1/($E:$E&lt;&gt;""),$E:$E))*($E29&lt;=$E30)*($E29&gt;INDEX(_xlfn.ANCHORARRAY(Sintesi!$C$14),1,$C29))*($E29&lt;INDEX(_xlfn.ANCHORARRAY(Sintesi!$C$16),1,$C29))*(INDEX(_xlfn.ANCHORARRAY(Sintesi!$C$15),1,$C29)&lt;0)+($E29&gt;=LOOKUP(2,1/($E:$E&lt;&gt;""),$E:$E))*($E29&lt;=$E30)*($E29&gt;INDEX(_xlfn.ANCHORARRAY(Sintesi!$C$15),1,$C29))*($E29&lt;INDEX(_xlfn.ANCHORARRAY(Sintesi!$C$16),1,$C29))*(INDEX(_xlfn.ANCHORARRAY(Sintesi!$C$15),1,$C29)&gt;0),2,IF($E29=(INDEX(_xlfn.ANCHORARRAY(Sintesi!$C$16),1,$C29)),3,4)))),0)))</f>
        <v/>
      </c>
      <c r="E29" s="1">
        <f>'Paste cell here'!F29</f>
        <v/>
      </c>
      <c r="F29" s="1">
        <f>'Paste cell here'!C29</f>
        <v/>
      </c>
      <c r="G29" s="1">
        <f>'Paste cell here'!D29</f>
        <v/>
      </c>
      <c r="H29" s="1">
        <f>'Paste cell here'!E29</f>
        <v/>
      </c>
      <c r="I29" s="1">
        <f>'Paste cell here'!X29</f>
        <v/>
      </c>
      <c r="J29" s="1">
        <f>'Paste cell here'!Y29+'Paste cell here'!S29</f>
        <v/>
      </c>
      <c r="K29" s="1">
        <f>I29/H29</f>
        <v/>
      </c>
      <c r="L29" s="1">
        <f>AVERAGE(($F29+$G29)/2-($F29-$G29)/2*COS(PI()*(8-VLOOKUP(MONTH(B29),$O$1:$Q$13,3))/(VLOOKUP(MONTH(B29),$O$1:$Q$13,2)-VLOOKUP(MONTH(B29),$O$1:$Q$13,3))),($F29+$G29)/2-($F29-$G29)/2*COS(PI()*(9-VLOOKUP(MONTH(B29),$O$1:$Q$13,3))/(VLOOKUP(MONTH(B29),$O$1:$Q$13,2)-VLOOKUP(MONTH(B29),$O$1:$Q$13,3))),($F29+$G29)/2-($F29-$G29)/2*COS(PI()*(10-VLOOKUP(MONTH(B29),$O$1:$Q$13,3))/(VLOOKUP(MONTH(B29),$O$1:$Q$13,2)-VLOOKUP(MONTH(B29),$O$1:$Q$13,3))),($F29+$G29)/2-($F29-$G29)/2*COS(PI()*(11-VLOOKUP(MONTH(B29),$O$1:$Q$13,3))/(VLOOKUP(MONTH(B29),$O$1:$Q$13,2)-VLOOKUP(MONTH(B29),$O$1:$Q$13,3))),($F29+$G29)/2-($F29-$G29)/2*COS(PI()*(12-VLOOKUP(MONTH(B29),$O$1:$Q$13,3))/(VLOOKUP(MONTH(B29),$O$1:$Q$13,2)-VLOOKUP(MONTH(B29),$O$1:$Q$13,3))),($F29+$G29)/2-($F29-$G29)/2*COS(PI()*(13-VLOOKUP(MONTH(B29),$O$1:$Q$13,3))/(VLOOKUP(MONTH(B29),$O$1:$Q$13,2)-VLOOKUP(MONTH(B29),$O$1:$Q$13,3))),($F29+$G29)/2-($F29-$G29)/2*COS(PI()*(14-VLOOKUP(MONTH(B29),$O$1:$Q$13,3))/(VLOOKUP(MONTH(B29),$O$1:$Q$13,2)-VLOOKUP(MONTH(B29),$O$1:$Q$13,3))))</f>
        <v/>
      </c>
      <c r="M29" s="1">
        <f t="array" ref="M29">IF(AND(A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,A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),IF(L29&lt;_xlfn.IFNA(INDEX(_xlfn.ANCHORARRAY(Sintesi!$C$17)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,1,IF(L29&gt;=_xlfn.IFNA(INDEX(_xlfn.ANCHORARRAY(Sintesi!$C$18)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,0,1-(L29-_xlfn.IFNA(INDEX(_xlfn.ANCHORARRAY(Sintesi!$C$17)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)/(_xlfn.IFNA(INDEX(_xlfn.ANCHORARRAY(Sintesi!$C$18)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-_xlfn.IFNA(INDEX(_xlfn.ANCHORARRAY(Sintesi!$C$17)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))),0)</f>
        <v/>
      </c>
    </row>
    <row r="30">
      <c r="A30" s="1">
        <f>'Paste cell here'!A30</f>
        <v/>
      </c>
      <c r="B30" s="2">
        <f>DATE(Sintesi!$C$4-1,12,31)+A30</f>
        <v/>
      </c>
      <c r="C30" s="34">
        <f t="array" ref="C30">_xlfn.IFNA(MATCH(1,(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)*(_xlfn.ANCHORARRAY(Sintesi!$C$15)&gt;=0)+(_xlfn.ANCHORARRAY(Sintesi!$C$15)&lt;0),0),0)</f>
        <v/>
      </c>
      <c r="D30" s="1">
        <f t="array" ref="D30">IF(ISBLANK($E31),IF(ISNUMBER($E29),IF($C30&gt;0,IF(($E30=INDEX(_xlfn.ANCHORARRAY(Sintesi!$C$14),1,$C30))*(INDEX(_xlfn.ANCHORARRAY(Sintesi!$C$15),1,$C30)&gt;0),0,IF(($E30=INDEX(_xlfn.ANCHORARRAY(Sintesi!$C$14),1,$C30))*(INDEX(_xlfn.ANCHORARRAY(Sintesi!$C$15),1,$C30)&lt;0)+($E30&gt;=$E29)*($E30&lt;=INDEX($E:$E,MATCH(TRUE,INDEX((ISNUMBER($E:$E)),0),0)))*($E30&gt;INDEX(_xlfn.ANCHORARRAY(Sintesi!$C$14),1,$C30))*($E30&lt;=INDEX(_xlfn.ANCHORARRAY(Sintesi!$C$15),1,$C30))*(INDEX(_xlfn.ANCHORARRAY(Sintesi!$C$15),1,$C30)&gt;0),1,IF(($E30&gt;=$E29)*($E30&lt;=INDEX($E:$E,MATCH(TRUE,INDEX((ISNUMBER($E:$E)),0),0)))*($E30&gt;INDEX(_xlfn.ANCHORARRAY(Sintesi!$C$14),1,$C30))*($E30&lt;INDEX(_xlfn.ANCHORARRAY(Sintesi!$C$16),1,$C30))*(INDEX(_xlfn.ANCHORARRAY(Sintesi!$C$15),1,$C30)&lt;0)+($E30&gt;=$E29)*($E30&lt;=INDEX($E:$E,MATCH(TRUE,INDEX((ISNUMBER($E:$E)),0),0)))*($E30&gt;INDEX(_xlfn.ANCHORARRAY(Sintesi!$C$15),1,$C30))*($E30&lt;INDEX(_xlfn.ANCHORARRAY(Sintesi!$C$16),1,$C30))*(INDEX(_xlfn.ANCHORARRAY(Sintesi!$C$15),1,$C30)&gt;0),2,IF($E30=(INDEX(_xlfn.ANCHORARRAY(Sintesi!$C$16),1,$C30)),3,4)))),0),IF($C30&gt;0,IF(($E30=INDEX(_xlfn.ANCHORARRAY(Sintesi!$C$14),1,$C30))*(INDEX(_xlfn.ANCHORARRAY(Sintesi!$C$15),1,$C30)&gt;0),0,IF(($E30=INDEX(_xlfn.ANCHORARRAY(Sintesi!$C$14),1,$C30))*(INDEX(_xlfn.ANCHORARRAY(Sintesi!$C$15),1,$C30)&lt;0)+($E30&gt;=LOOKUP(2,1/($E:$E&lt;&gt;""),$E:$E))*($E30&lt;=INDEX($E:$E,MATCH(TRUE,INDEX((ISNUMBER($E:$E)),0),0)))*($E30&gt;INDEX(_xlfn.ANCHORARRAY(Sintesi!$C$14),1,$C30))*($E30&lt;=INDEX(_xlfn.ANCHORARRAY(Sintesi!$C$15),1,$C30))*(INDEX(_xlfn.ANCHORARRAY(Sintesi!$C$15),1,$C30)&gt;0),1,IF(($E30&gt;=LOOKUP(2,1/($E:$E&lt;&gt;""),$E:$E))*($E30&lt;=INDEX($E:$E,MATCH(TRUE,INDEX((ISNUMBER($E:$E)),0),0)))*($E30&gt;INDEX(_xlfn.ANCHORARRAY(Sintesi!$C$14),1,$C30))*($E30&lt;INDEX(_xlfn.ANCHORARRAY(Sintesi!$C$16),1,$C30))*(INDEX(_xlfn.ANCHORARRAY(Sintesi!$C$15),1,$C30)&lt;0)+($E30&gt;=LOOKUP(2,1/($E:$E&lt;&gt;""),$E:$E))*($E30&lt;=INDEX($E:$E,MATCH(TRUE,INDEX((ISNUMBER($E:$E)),0),0)))*($E30&gt;INDEX(_xlfn.ANCHORARRAY(Sintesi!$C$15),1,$C30))*($E30&lt;INDEX(_xlfn.ANCHORARRAY(Sintesi!$C$16),1,$C30))*(INDEX(_xlfn.ANCHORARRAY(Sintesi!$C$15),1,$C30)&gt;0),2,IF($E30=(INDEX(_xlfn.ANCHORARRAY(Sintesi!$C$16),1,$C30)),3,4)))),0)),IF(ISNUMBER($E29),IF($C30&gt;0,IF(($E30=INDEX(_xlfn.ANCHORARRAY(Sintesi!$C$14),1,$C30))*(INDEX(_xlfn.ANCHORARRAY(Sintesi!$C$15),1,$C30)&gt;0),0,IF(($E30=INDEX(_xlfn.ANCHORARRAY(Sintesi!$C$14),1,$C30))*(INDEX(_xlfn.ANCHORARRAY(Sintesi!$C$15),1,$C30)&lt;0)+($E30&gt;=$E29)*($E30&lt;=$E31)*($E30&gt;INDEX(_xlfn.ANCHORARRAY(Sintesi!$C$14),1,$C30))*($E30&lt;=INDEX(_xlfn.ANCHORARRAY(Sintesi!$C$15),1,$C30))*(INDEX(_xlfn.ANCHORARRAY(Sintesi!$C$15),1,$C30)&gt;0),1,IF(($E30&gt;=$E29)*($E30&lt;=$E31)*($E30&gt;INDEX(_xlfn.ANCHORARRAY(Sintesi!$C$14),1,$C30))*($E30&lt;INDEX(_xlfn.ANCHORARRAY(Sintesi!$C$16),1,$C30))*(INDEX(_xlfn.ANCHORARRAY(Sintesi!$C$15),1,$C30)&lt;0)+($E30&gt;=$E29)*($E30&lt;=$E31)*($E30&gt;INDEX(_xlfn.ANCHORARRAY(Sintesi!$C$15),1,$C30))*($E30&lt;INDEX(_xlfn.ANCHORARRAY(Sintesi!$C$16),1,$C30))*(INDEX(_xlfn.ANCHORARRAY(Sintesi!$C$15),1,$C30)&gt;0),2,IF($E30=(INDEX(_xlfn.ANCHORARRAY(Sintesi!$C$16),1,$C30)),3,4)))),0),IF($C30&gt;0,IF(($E30=INDEX(_xlfn.ANCHORARRAY(Sintesi!$C$14),1,$C30))*(INDEX(_xlfn.ANCHORARRAY(Sintesi!$C$15),1,$C30)&gt;0),0,IF(($E30=INDEX(_xlfn.ANCHORARRAY(Sintesi!$C$14),1,$C30))*(INDEX(_xlfn.ANCHORARRAY(Sintesi!$C$15),1,$C30)&lt;0)+($E30&gt;=LOOKUP(2,1/($E:$E&lt;&gt;""),$E:$E))*($E30&lt;=$E31)*($E30&gt;INDEX(_xlfn.ANCHORARRAY(Sintesi!$C$14),1,$C30))*($E30&lt;=INDEX(_xlfn.ANCHORARRAY(Sintesi!$C$15),1,$C30))*(INDEX(_xlfn.ANCHORARRAY(Sintesi!$C$15),1,$C30)&gt;0),1,IF(($E30&gt;=LOOKUP(2,1/($E:$E&lt;&gt;""),$E:$E))*($E30&lt;=$E31)*($E30&gt;INDEX(_xlfn.ANCHORARRAY(Sintesi!$C$14),1,$C30))*($E30&lt;INDEX(_xlfn.ANCHORARRAY(Sintesi!$C$16),1,$C30))*(INDEX(_xlfn.ANCHORARRAY(Sintesi!$C$15),1,$C30)&lt;0)+($E30&gt;=LOOKUP(2,1/($E:$E&lt;&gt;""),$E:$E))*($E30&lt;=$E31)*($E30&gt;INDEX(_xlfn.ANCHORARRAY(Sintesi!$C$15),1,$C30))*($E30&lt;INDEX(_xlfn.ANCHORARRAY(Sintesi!$C$16),1,$C30))*(INDEX(_xlfn.ANCHORARRAY(Sintesi!$C$15),1,$C30)&gt;0),2,IF($E30=(INDEX(_xlfn.ANCHORARRAY(Sintesi!$C$16),1,$C30)),3,4)))),0)))</f>
        <v/>
      </c>
      <c r="E30" s="1">
        <f>'Paste cell here'!F30</f>
        <v/>
      </c>
      <c r="F30" s="1">
        <f>'Paste cell here'!C30</f>
        <v/>
      </c>
      <c r="G30" s="1">
        <f>'Paste cell here'!D30</f>
        <v/>
      </c>
      <c r="H30" s="1">
        <f>'Paste cell here'!E30</f>
        <v/>
      </c>
      <c r="I30" s="1">
        <f>'Paste cell here'!X30</f>
        <v/>
      </c>
      <c r="J30" s="1">
        <f>'Paste cell here'!Y30+'Paste cell here'!S30</f>
        <v/>
      </c>
      <c r="K30" s="1">
        <f>I30/H30</f>
        <v/>
      </c>
      <c r="L30" s="1">
        <f>AVERAGE(($F30+$G30)/2-($F30-$G30)/2*COS(PI()*(8-VLOOKUP(MONTH(B30),$O$1:$Q$13,3))/(VLOOKUP(MONTH(B30),$O$1:$Q$13,2)-VLOOKUP(MONTH(B30),$O$1:$Q$13,3))),($F30+$G30)/2-($F30-$G30)/2*COS(PI()*(9-VLOOKUP(MONTH(B30),$O$1:$Q$13,3))/(VLOOKUP(MONTH(B30),$O$1:$Q$13,2)-VLOOKUP(MONTH(B30),$O$1:$Q$13,3))),($F30+$G30)/2-($F30-$G30)/2*COS(PI()*(10-VLOOKUP(MONTH(B30),$O$1:$Q$13,3))/(VLOOKUP(MONTH(B30),$O$1:$Q$13,2)-VLOOKUP(MONTH(B30),$O$1:$Q$13,3))),($F30+$G30)/2-($F30-$G30)/2*COS(PI()*(11-VLOOKUP(MONTH(B30),$O$1:$Q$13,3))/(VLOOKUP(MONTH(B30),$O$1:$Q$13,2)-VLOOKUP(MONTH(B30),$O$1:$Q$13,3))),($F30+$G30)/2-($F30-$G30)/2*COS(PI()*(12-VLOOKUP(MONTH(B30),$O$1:$Q$13,3))/(VLOOKUP(MONTH(B30),$O$1:$Q$13,2)-VLOOKUP(MONTH(B30),$O$1:$Q$13,3))),($F30+$G30)/2-($F30-$G30)/2*COS(PI()*(13-VLOOKUP(MONTH(B30),$O$1:$Q$13,3))/(VLOOKUP(MONTH(B30),$O$1:$Q$13,2)-VLOOKUP(MONTH(B30),$O$1:$Q$13,3))),($F30+$G30)/2-($F30-$G30)/2*COS(PI()*(14-VLOOKUP(MONTH(B30),$O$1:$Q$13,3))/(VLOOKUP(MONTH(B30),$O$1:$Q$13,2)-VLOOKUP(MONTH(B30),$O$1:$Q$13,3))))</f>
        <v/>
      </c>
      <c r="M30" s="1">
        <f t="array" ref="M30">IF(AND(A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,A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),IF(L30&lt;_xlfn.IFNA(INDEX(_xlfn.ANCHORARRAY(Sintesi!$C$17)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,1,IF(L30&gt;=_xlfn.IFNA(INDEX(_xlfn.ANCHORARRAY(Sintesi!$C$18)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,0,1-(L30-_xlfn.IFNA(INDEX(_xlfn.ANCHORARRAY(Sintesi!$C$17)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)/(_xlfn.IFNA(INDEX(_xlfn.ANCHORARRAY(Sintesi!$C$18)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-_xlfn.IFNA(INDEX(_xlfn.ANCHORARRAY(Sintesi!$C$17)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))),0)</f>
        <v/>
      </c>
    </row>
    <row r="31">
      <c r="A31" s="1">
        <f>'Paste cell here'!A31</f>
        <v/>
      </c>
      <c r="B31" s="2">
        <f>DATE(Sintesi!$C$4-1,12,31)+A31</f>
        <v/>
      </c>
      <c r="C31" s="34">
        <f t="array" ref="C31">_xlfn.IFNA(MATCH(1,(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)*(_xlfn.ANCHORARRAY(Sintesi!$C$15)&gt;=0)+(_xlfn.ANCHORARRAY(Sintesi!$C$15)&lt;0),0),0)</f>
        <v/>
      </c>
      <c r="D31" s="1">
        <f t="array" ref="D31">IF(ISBLANK($E32),IF(ISNUMBER($E30),IF($C31&gt;0,IF(($E31=INDEX(_xlfn.ANCHORARRAY(Sintesi!$C$14),1,$C31))*(INDEX(_xlfn.ANCHORARRAY(Sintesi!$C$15),1,$C31)&gt;0),0,IF(($E31=INDEX(_xlfn.ANCHORARRAY(Sintesi!$C$14),1,$C31))*(INDEX(_xlfn.ANCHORARRAY(Sintesi!$C$15),1,$C31)&lt;0)+($E31&gt;=$E30)*($E31&lt;=INDEX($E:$E,MATCH(TRUE,INDEX((ISNUMBER($E:$E)),0),0)))*($E31&gt;INDEX(_xlfn.ANCHORARRAY(Sintesi!$C$14),1,$C31))*($E31&lt;=INDEX(_xlfn.ANCHORARRAY(Sintesi!$C$15),1,$C31))*(INDEX(_xlfn.ANCHORARRAY(Sintesi!$C$15),1,$C31)&gt;0),1,IF(($E31&gt;=$E30)*($E31&lt;=INDEX($E:$E,MATCH(TRUE,INDEX((ISNUMBER($E:$E)),0),0)))*($E31&gt;INDEX(_xlfn.ANCHORARRAY(Sintesi!$C$14),1,$C31))*($E31&lt;INDEX(_xlfn.ANCHORARRAY(Sintesi!$C$16),1,$C31))*(INDEX(_xlfn.ANCHORARRAY(Sintesi!$C$15),1,$C31)&lt;0)+($E31&gt;=$E30)*($E31&lt;=INDEX($E:$E,MATCH(TRUE,INDEX((ISNUMBER($E:$E)),0),0)))*($E31&gt;INDEX(_xlfn.ANCHORARRAY(Sintesi!$C$15),1,$C31))*($E31&lt;INDEX(_xlfn.ANCHORARRAY(Sintesi!$C$16),1,$C31))*(INDEX(_xlfn.ANCHORARRAY(Sintesi!$C$15),1,$C31)&gt;0),2,IF($E31=(INDEX(_xlfn.ANCHORARRAY(Sintesi!$C$16),1,$C31)),3,4)))),0),IF($C31&gt;0,IF(($E31=INDEX(_xlfn.ANCHORARRAY(Sintesi!$C$14),1,$C31))*(INDEX(_xlfn.ANCHORARRAY(Sintesi!$C$15),1,$C31)&gt;0),0,IF(($E31=INDEX(_xlfn.ANCHORARRAY(Sintesi!$C$14),1,$C31))*(INDEX(_xlfn.ANCHORARRAY(Sintesi!$C$15),1,$C31)&lt;0)+($E31&gt;=LOOKUP(2,1/($E:$E&lt;&gt;""),$E:$E))*($E31&lt;=INDEX($E:$E,MATCH(TRUE,INDEX((ISNUMBER($E:$E)),0),0)))*($E31&gt;INDEX(_xlfn.ANCHORARRAY(Sintesi!$C$14),1,$C31))*($E31&lt;=INDEX(_xlfn.ANCHORARRAY(Sintesi!$C$15),1,$C31))*(INDEX(_xlfn.ANCHORARRAY(Sintesi!$C$15),1,$C31)&gt;0),1,IF(($E31&gt;=LOOKUP(2,1/($E:$E&lt;&gt;""),$E:$E))*($E31&lt;=INDEX($E:$E,MATCH(TRUE,INDEX((ISNUMBER($E:$E)),0),0)))*($E31&gt;INDEX(_xlfn.ANCHORARRAY(Sintesi!$C$14),1,$C31))*($E31&lt;INDEX(_xlfn.ANCHORARRAY(Sintesi!$C$16),1,$C31))*(INDEX(_xlfn.ANCHORARRAY(Sintesi!$C$15),1,$C31)&lt;0)+($E31&gt;=LOOKUP(2,1/($E:$E&lt;&gt;""),$E:$E))*($E31&lt;=INDEX($E:$E,MATCH(TRUE,INDEX((ISNUMBER($E:$E)),0),0)))*($E31&gt;INDEX(_xlfn.ANCHORARRAY(Sintesi!$C$15),1,$C31))*($E31&lt;INDEX(_xlfn.ANCHORARRAY(Sintesi!$C$16),1,$C31))*(INDEX(_xlfn.ANCHORARRAY(Sintesi!$C$15),1,$C31)&gt;0),2,IF($E31=(INDEX(_xlfn.ANCHORARRAY(Sintesi!$C$16),1,$C31)),3,4)))),0)),IF(ISNUMBER($E30),IF($C31&gt;0,IF(($E31=INDEX(_xlfn.ANCHORARRAY(Sintesi!$C$14),1,$C31))*(INDEX(_xlfn.ANCHORARRAY(Sintesi!$C$15),1,$C31)&gt;0),0,IF(($E31=INDEX(_xlfn.ANCHORARRAY(Sintesi!$C$14),1,$C31))*(INDEX(_xlfn.ANCHORARRAY(Sintesi!$C$15),1,$C31)&lt;0)+($E31&gt;=$E30)*($E31&lt;=$E32)*($E31&gt;INDEX(_xlfn.ANCHORARRAY(Sintesi!$C$14),1,$C31))*($E31&lt;=INDEX(_xlfn.ANCHORARRAY(Sintesi!$C$15),1,$C31))*(INDEX(_xlfn.ANCHORARRAY(Sintesi!$C$15),1,$C31)&gt;0),1,IF(($E31&gt;=$E30)*($E31&lt;=$E32)*($E31&gt;INDEX(_xlfn.ANCHORARRAY(Sintesi!$C$14),1,$C31))*($E31&lt;INDEX(_xlfn.ANCHORARRAY(Sintesi!$C$16),1,$C31))*(INDEX(_xlfn.ANCHORARRAY(Sintesi!$C$15),1,$C31)&lt;0)+($E31&gt;=$E30)*($E31&lt;=$E32)*($E31&gt;INDEX(_xlfn.ANCHORARRAY(Sintesi!$C$15),1,$C31))*($E31&lt;INDEX(_xlfn.ANCHORARRAY(Sintesi!$C$16),1,$C31))*(INDEX(_xlfn.ANCHORARRAY(Sintesi!$C$15),1,$C31)&gt;0),2,IF($E31=(INDEX(_xlfn.ANCHORARRAY(Sintesi!$C$16),1,$C31)),3,4)))),0),IF($C31&gt;0,IF(($E31=INDEX(_xlfn.ANCHORARRAY(Sintesi!$C$14),1,$C31))*(INDEX(_xlfn.ANCHORARRAY(Sintesi!$C$15),1,$C31)&gt;0),0,IF(($E31=INDEX(_xlfn.ANCHORARRAY(Sintesi!$C$14),1,$C31))*(INDEX(_xlfn.ANCHORARRAY(Sintesi!$C$15),1,$C31)&lt;0)+($E31&gt;=LOOKUP(2,1/($E:$E&lt;&gt;""),$E:$E))*($E31&lt;=$E32)*($E31&gt;INDEX(_xlfn.ANCHORARRAY(Sintesi!$C$14),1,$C31))*($E31&lt;=INDEX(_xlfn.ANCHORARRAY(Sintesi!$C$15),1,$C31))*(INDEX(_xlfn.ANCHORARRAY(Sintesi!$C$15),1,$C31)&gt;0),1,IF(($E31&gt;=LOOKUP(2,1/($E:$E&lt;&gt;""),$E:$E))*($E31&lt;=$E32)*($E31&gt;INDEX(_xlfn.ANCHORARRAY(Sintesi!$C$14),1,$C31))*($E31&lt;INDEX(_xlfn.ANCHORARRAY(Sintesi!$C$16),1,$C31))*(INDEX(_xlfn.ANCHORARRAY(Sintesi!$C$15),1,$C31)&lt;0)+($E31&gt;=LOOKUP(2,1/($E:$E&lt;&gt;""),$E:$E))*($E31&lt;=$E32)*($E31&gt;INDEX(_xlfn.ANCHORARRAY(Sintesi!$C$15),1,$C31))*($E31&lt;INDEX(_xlfn.ANCHORARRAY(Sintesi!$C$16),1,$C31))*(INDEX(_xlfn.ANCHORARRAY(Sintesi!$C$15),1,$C31)&gt;0),2,IF($E31=(INDEX(_xlfn.ANCHORARRAY(Sintesi!$C$16),1,$C31)),3,4)))),0)))</f>
        <v/>
      </c>
      <c r="E31" s="1">
        <f>'Paste cell here'!F31</f>
        <v/>
      </c>
      <c r="F31" s="1">
        <f>'Paste cell here'!C31</f>
        <v/>
      </c>
      <c r="G31" s="1">
        <f>'Paste cell here'!D31</f>
        <v/>
      </c>
      <c r="H31" s="1">
        <f>'Paste cell here'!E31</f>
        <v/>
      </c>
      <c r="I31" s="1">
        <f>'Paste cell here'!X31</f>
        <v/>
      </c>
      <c r="J31" s="1">
        <f>'Paste cell here'!Y31+'Paste cell here'!S31</f>
        <v/>
      </c>
      <c r="K31" s="1">
        <f>I31/H31</f>
        <v/>
      </c>
      <c r="L31" s="1">
        <f>AVERAGE(($F31+$G31)/2-($F31-$G31)/2*COS(PI()*(8-VLOOKUP(MONTH(B31),$O$1:$Q$13,3))/(VLOOKUP(MONTH(B31),$O$1:$Q$13,2)-VLOOKUP(MONTH(B31),$O$1:$Q$13,3))),($F31+$G31)/2-($F31-$G31)/2*COS(PI()*(9-VLOOKUP(MONTH(B31),$O$1:$Q$13,3))/(VLOOKUP(MONTH(B31),$O$1:$Q$13,2)-VLOOKUP(MONTH(B31),$O$1:$Q$13,3))),($F31+$G31)/2-($F31-$G31)/2*COS(PI()*(10-VLOOKUP(MONTH(B31),$O$1:$Q$13,3))/(VLOOKUP(MONTH(B31),$O$1:$Q$13,2)-VLOOKUP(MONTH(B31),$O$1:$Q$13,3))),($F31+$G31)/2-($F31-$G31)/2*COS(PI()*(11-VLOOKUP(MONTH(B31),$O$1:$Q$13,3))/(VLOOKUP(MONTH(B31),$O$1:$Q$13,2)-VLOOKUP(MONTH(B31),$O$1:$Q$13,3))),($F31+$G31)/2-($F31-$G31)/2*COS(PI()*(12-VLOOKUP(MONTH(B31),$O$1:$Q$13,3))/(VLOOKUP(MONTH(B31),$O$1:$Q$13,2)-VLOOKUP(MONTH(B31),$O$1:$Q$13,3))),($F31+$G31)/2-($F31-$G31)/2*COS(PI()*(13-VLOOKUP(MONTH(B31),$O$1:$Q$13,3))/(VLOOKUP(MONTH(B31),$O$1:$Q$13,2)-VLOOKUP(MONTH(B31),$O$1:$Q$13,3))),($F31+$G31)/2-($F31-$G31)/2*COS(PI()*(14-VLOOKUP(MONTH(B31),$O$1:$Q$13,3))/(VLOOKUP(MONTH(B31),$O$1:$Q$13,2)-VLOOKUP(MONTH(B31),$O$1:$Q$13,3))))</f>
        <v/>
      </c>
      <c r="M31" s="1">
        <f t="array" ref="M31">IF(AND(A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,A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),IF(L31&lt;_xlfn.IFNA(INDEX(_xlfn.ANCHORARRAY(Sintesi!$C$17)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,1,IF(L31&gt;=_xlfn.IFNA(INDEX(_xlfn.ANCHORARRAY(Sintesi!$C$18)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,0,1-(L31-_xlfn.IFNA(INDEX(_xlfn.ANCHORARRAY(Sintesi!$C$17)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)/(_xlfn.IFNA(INDEX(_xlfn.ANCHORARRAY(Sintesi!$C$18)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-_xlfn.IFNA(INDEX(_xlfn.ANCHORARRAY(Sintesi!$C$17)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))),0)</f>
        <v/>
      </c>
    </row>
    <row r="32">
      <c r="A32" s="1">
        <f>'Paste cell here'!A32</f>
        <v/>
      </c>
      <c r="B32" s="2">
        <f>DATE(Sintesi!$C$4-1,12,31)+A32</f>
        <v/>
      </c>
      <c r="C32" s="34">
        <f t="array" ref="C32">_xlfn.IFNA(MATCH(1,(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)*(_xlfn.ANCHORARRAY(Sintesi!$C$15)&gt;=0)+(_xlfn.ANCHORARRAY(Sintesi!$C$15)&lt;0),0),0)</f>
        <v/>
      </c>
      <c r="D32" s="1">
        <f t="array" ref="D32">IF(ISBLANK($E33),IF(ISNUMBER($E31),IF($C32&gt;0,IF(($E32=INDEX(_xlfn.ANCHORARRAY(Sintesi!$C$14),1,$C32))*(INDEX(_xlfn.ANCHORARRAY(Sintesi!$C$15),1,$C32)&gt;0),0,IF(($E32=INDEX(_xlfn.ANCHORARRAY(Sintesi!$C$14),1,$C32))*(INDEX(_xlfn.ANCHORARRAY(Sintesi!$C$15),1,$C32)&lt;0)+($E32&gt;=$E31)*($E32&lt;=INDEX($E:$E,MATCH(TRUE,INDEX((ISNUMBER($E:$E)),0),0)))*($E32&gt;INDEX(_xlfn.ANCHORARRAY(Sintesi!$C$14),1,$C32))*($E32&lt;=INDEX(_xlfn.ANCHORARRAY(Sintesi!$C$15),1,$C32))*(INDEX(_xlfn.ANCHORARRAY(Sintesi!$C$15),1,$C32)&gt;0),1,IF(($E32&gt;=$E31)*($E32&lt;=INDEX($E:$E,MATCH(TRUE,INDEX((ISNUMBER($E:$E)),0),0)))*($E32&gt;INDEX(_xlfn.ANCHORARRAY(Sintesi!$C$14),1,$C32))*($E32&lt;INDEX(_xlfn.ANCHORARRAY(Sintesi!$C$16),1,$C32))*(INDEX(_xlfn.ANCHORARRAY(Sintesi!$C$15),1,$C32)&lt;0)+($E32&gt;=$E31)*($E32&lt;=INDEX($E:$E,MATCH(TRUE,INDEX((ISNUMBER($E:$E)),0),0)))*($E32&gt;INDEX(_xlfn.ANCHORARRAY(Sintesi!$C$15),1,$C32))*($E32&lt;INDEX(_xlfn.ANCHORARRAY(Sintesi!$C$16),1,$C32))*(INDEX(_xlfn.ANCHORARRAY(Sintesi!$C$15),1,$C32)&gt;0),2,IF($E32=(INDEX(_xlfn.ANCHORARRAY(Sintesi!$C$16),1,$C32)),3,4)))),0),IF($C32&gt;0,IF(($E32=INDEX(_xlfn.ANCHORARRAY(Sintesi!$C$14),1,$C32))*(INDEX(_xlfn.ANCHORARRAY(Sintesi!$C$15),1,$C32)&gt;0),0,IF(($E32=INDEX(_xlfn.ANCHORARRAY(Sintesi!$C$14),1,$C32))*(INDEX(_xlfn.ANCHORARRAY(Sintesi!$C$15),1,$C32)&lt;0)+($E32&gt;=LOOKUP(2,1/($E:$E&lt;&gt;""),$E:$E))*($E32&lt;=INDEX($E:$E,MATCH(TRUE,INDEX((ISNUMBER($E:$E)),0),0)))*($E32&gt;INDEX(_xlfn.ANCHORARRAY(Sintesi!$C$14),1,$C32))*($E32&lt;=INDEX(_xlfn.ANCHORARRAY(Sintesi!$C$15),1,$C32))*(INDEX(_xlfn.ANCHORARRAY(Sintesi!$C$15),1,$C32)&gt;0),1,IF(($E32&gt;=LOOKUP(2,1/($E:$E&lt;&gt;""),$E:$E))*($E32&lt;=INDEX($E:$E,MATCH(TRUE,INDEX((ISNUMBER($E:$E)),0),0)))*($E32&gt;INDEX(_xlfn.ANCHORARRAY(Sintesi!$C$14),1,$C32))*($E32&lt;INDEX(_xlfn.ANCHORARRAY(Sintesi!$C$16),1,$C32))*(INDEX(_xlfn.ANCHORARRAY(Sintesi!$C$15),1,$C32)&lt;0)+($E32&gt;=LOOKUP(2,1/($E:$E&lt;&gt;""),$E:$E))*($E32&lt;=INDEX($E:$E,MATCH(TRUE,INDEX((ISNUMBER($E:$E)),0),0)))*($E32&gt;INDEX(_xlfn.ANCHORARRAY(Sintesi!$C$15),1,$C32))*($E32&lt;INDEX(_xlfn.ANCHORARRAY(Sintesi!$C$16),1,$C32))*(INDEX(_xlfn.ANCHORARRAY(Sintesi!$C$15),1,$C32)&gt;0),2,IF($E32=(INDEX(_xlfn.ANCHORARRAY(Sintesi!$C$16),1,$C32)),3,4)))),0)),IF(ISNUMBER($E31),IF($C32&gt;0,IF(($E32=INDEX(_xlfn.ANCHORARRAY(Sintesi!$C$14),1,$C32))*(INDEX(_xlfn.ANCHORARRAY(Sintesi!$C$15),1,$C32)&gt;0),0,IF(($E32=INDEX(_xlfn.ANCHORARRAY(Sintesi!$C$14),1,$C32))*(INDEX(_xlfn.ANCHORARRAY(Sintesi!$C$15),1,$C32)&lt;0)+($E32&gt;=$E31)*($E32&lt;=$E33)*($E32&gt;INDEX(_xlfn.ANCHORARRAY(Sintesi!$C$14),1,$C32))*($E32&lt;=INDEX(_xlfn.ANCHORARRAY(Sintesi!$C$15),1,$C32))*(INDEX(_xlfn.ANCHORARRAY(Sintesi!$C$15),1,$C32)&gt;0),1,IF(($E32&gt;=$E31)*($E32&lt;=$E33)*($E32&gt;INDEX(_xlfn.ANCHORARRAY(Sintesi!$C$14),1,$C32))*($E32&lt;INDEX(_xlfn.ANCHORARRAY(Sintesi!$C$16),1,$C32))*(INDEX(_xlfn.ANCHORARRAY(Sintesi!$C$15),1,$C32)&lt;0)+($E32&gt;=$E31)*($E32&lt;=$E33)*($E32&gt;INDEX(_xlfn.ANCHORARRAY(Sintesi!$C$15),1,$C32))*($E32&lt;INDEX(_xlfn.ANCHORARRAY(Sintesi!$C$16),1,$C32))*(INDEX(_xlfn.ANCHORARRAY(Sintesi!$C$15),1,$C32)&gt;0),2,IF($E32=(INDEX(_xlfn.ANCHORARRAY(Sintesi!$C$16),1,$C32)),3,4)))),0),IF($C32&gt;0,IF(($E32=INDEX(_xlfn.ANCHORARRAY(Sintesi!$C$14),1,$C32))*(INDEX(_xlfn.ANCHORARRAY(Sintesi!$C$15),1,$C32)&gt;0),0,IF(($E32=INDEX(_xlfn.ANCHORARRAY(Sintesi!$C$14),1,$C32))*(INDEX(_xlfn.ANCHORARRAY(Sintesi!$C$15),1,$C32)&lt;0)+($E32&gt;=LOOKUP(2,1/($E:$E&lt;&gt;""),$E:$E))*($E32&lt;=$E33)*($E32&gt;INDEX(_xlfn.ANCHORARRAY(Sintesi!$C$14),1,$C32))*($E32&lt;=INDEX(_xlfn.ANCHORARRAY(Sintesi!$C$15),1,$C32))*(INDEX(_xlfn.ANCHORARRAY(Sintesi!$C$15),1,$C32)&gt;0),1,IF(($E32&gt;=LOOKUP(2,1/($E:$E&lt;&gt;""),$E:$E))*($E32&lt;=$E33)*($E32&gt;INDEX(_xlfn.ANCHORARRAY(Sintesi!$C$14),1,$C32))*($E32&lt;INDEX(_xlfn.ANCHORARRAY(Sintesi!$C$16),1,$C32))*(INDEX(_xlfn.ANCHORARRAY(Sintesi!$C$15),1,$C32)&lt;0)+($E32&gt;=LOOKUP(2,1/($E:$E&lt;&gt;""),$E:$E))*($E32&lt;=$E33)*($E32&gt;INDEX(_xlfn.ANCHORARRAY(Sintesi!$C$15),1,$C32))*($E32&lt;INDEX(_xlfn.ANCHORARRAY(Sintesi!$C$16),1,$C32))*(INDEX(_xlfn.ANCHORARRAY(Sintesi!$C$15),1,$C32)&gt;0),2,IF($E32=(INDEX(_xlfn.ANCHORARRAY(Sintesi!$C$16),1,$C32)),3,4)))),0)))</f>
        <v/>
      </c>
      <c r="E32" s="1">
        <f>'Paste cell here'!F32</f>
        <v/>
      </c>
      <c r="F32" s="1">
        <f>'Paste cell here'!C32</f>
        <v/>
      </c>
      <c r="G32" s="1">
        <f>'Paste cell here'!D32</f>
        <v/>
      </c>
      <c r="H32" s="1">
        <f>'Paste cell here'!E32</f>
        <v/>
      </c>
      <c r="I32" s="1">
        <f>'Paste cell here'!X32</f>
        <v/>
      </c>
      <c r="J32" s="1">
        <f>'Paste cell here'!Y32+'Paste cell here'!S32</f>
        <v/>
      </c>
      <c r="K32" s="1">
        <f>I32/H32</f>
        <v/>
      </c>
      <c r="L32" s="1">
        <f>AVERAGE(($F32+$G32)/2-($F32-$G32)/2*COS(PI()*(8-VLOOKUP(MONTH(B32),$O$1:$Q$13,3))/(VLOOKUP(MONTH(B32),$O$1:$Q$13,2)-VLOOKUP(MONTH(B32),$O$1:$Q$13,3))),($F32+$G32)/2-($F32-$G32)/2*COS(PI()*(9-VLOOKUP(MONTH(B32),$O$1:$Q$13,3))/(VLOOKUP(MONTH(B32),$O$1:$Q$13,2)-VLOOKUP(MONTH(B32),$O$1:$Q$13,3))),($F32+$G32)/2-($F32-$G32)/2*COS(PI()*(10-VLOOKUP(MONTH(B32),$O$1:$Q$13,3))/(VLOOKUP(MONTH(B32),$O$1:$Q$13,2)-VLOOKUP(MONTH(B32),$O$1:$Q$13,3))),($F32+$G32)/2-($F32-$G32)/2*COS(PI()*(11-VLOOKUP(MONTH(B32),$O$1:$Q$13,3))/(VLOOKUP(MONTH(B32),$O$1:$Q$13,2)-VLOOKUP(MONTH(B32),$O$1:$Q$13,3))),($F32+$G32)/2-($F32-$G32)/2*COS(PI()*(12-VLOOKUP(MONTH(B32),$O$1:$Q$13,3))/(VLOOKUP(MONTH(B32),$O$1:$Q$13,2)-VLOOKUP(MONTH(B32),$O$1:$Q$13,3))),($F32+$G32)/2-($F32-$G32)/2*COS(PI()*(13-VLOOKUP(MONTH(B32),$O$1:$Q$13,3))/(VLOOKUP(MONTH(B32),$O$1:$Q$13,2)-VLOOKUP(MONTH(B32),$O$1:$Q$13,3))),($F32+$G32)/2-($F32-$G32)/2*COS(PI()*(14-VLOOKUP(MONTH(B32),$O$1:$Q$13,3))/(VLOOKUP(MONTH(B32),$O$1:$Q$13,2)-VLOOKUP(MONTH(B32),$O$1:$Q$13,3))))</f>
        <v/>
      </c>
      <c r="M32" s="1">
        <f t="array" ref="M32">IF(AND(A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,A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),IF(L32&lt;_xlfn.IFNA(INDEX(_xlfn.ANCHORARRAY(Sintesi!$C$17)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,1,IF(L32&gt;=_xlfn.IFNA(INDEX(_xlfn.ANCHORARRAY(Sintesi!$C$18)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,0,1-(L32-_xlfn.IFNA(INDEX(_xlfn.ANCHORARRAY(Sintesi!$C$17)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)/(_xlfn.IFNA(INDEX(_xlfn.ANCHORARRAY(Sintesi!$C$18)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-_xlfn.IFNA(INDEX(_xlfn.ANCHORARRAY(Sintesi!$C$17)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))),0)</f>
        <v/>
      </c>
    </row>
    <row r="33">
      <c r="A33" s="1">
        <f>'Paste cell here'!A33</f>
        <v/>
      </c>
      <c r="B33" s="2">
        <f>DATE(Sintesi!$C$4-1,12,31)+A33</f>
        <v/>
      </c>
      <c r="C33" s="34">
        <f t="array" ref="C33">_xlfn.IFNA(MATCH(1,(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)*(_xlfn.ANCHORARRAY(Sintesi!$C$15)&gt;=0)+(_xlfn.ANCHORARRAY(Sintesi!$C$15)&lt;0),0),0)</f>
        <v/>
      </c>
      <c r="D33" s="1">
        <f t="array" ref="D33">IF(ISBLANK($E34),IF(ISNUMBER($E32),IF($C33&gt;0,IF(($E33=INDEX(_xlfn.ANCHORARRAY(Sintesi!$C$14),1,$C33))*(INDEX(_xlfn.ANCHORARRAY(Sintesi!$C$15),1,$C33)&gt;0),0,IF(($E33=INDEX(_xlfn.ANCHORARRAY(Sintesi!$C$14),1,$C33))*(INDEX(_xlfn.ANCHORARRAY(Sintesi!$C$15),1,$C33)&lt;0)+($E33&gt;=$E32)*($E33&lt;=INDEX($E:$E,MATCH(TRUE,INDEX((ISNUMBER($E:$E)),0),0)))*($E33&gt;INDEX(_xlfn.ANCHORARRAY(Sintesi!$C$14),1,$C33))*($E33&lt;=INDEX(_xlfn.ANCHORARRAY(Sintesi!$C$15),1,$C33))*(INDEX(_xlfn.ANCHORARRAY(Sintesi!$C$15),1,$C33)&gt;0),1,IF(($E33&gt;=$E32)*($E33&lt;=INDEX($E:$E,MATCH(TRUE,INDEX((ISNUMBER($E:$E)),0),0)))*($E33&gt;INDEX(_xlfn.ANCHORARRAY(Sintesi!$C$14),1,$C33))*($E33&lt;INDEX(_xlfn.ANCHORARRAY(Sintesi!$C$16),1,$C33))*(INDEX(_xlfn.ANCHORARRAY(Sintesi!$C$15),1,$C33)&lt;0)+($E33&gt;=$E32)*($E33&lt;=INDEX($E:$E,MATCH(TRUE,INDEX((ISNUMBER($E:$E)),0),0)))*($E33&gt;INDEX(_xlfn.ANCHORARRAY(Sintesi!$C$15),1,$C33))*($E33&lt;INDEX(_xlfn.ANCHORARRAY(Sintesi!$C$16),1,$C33))*(INDEX(_xlfn.ANCHORARRAY(Sintesi!$C$15),1,$C33)&gt;0),2,IF($E33=(INDEX(_xlfn.ANCHORARRAY(Sintesi!$C$16),1,$C33)),3,4)))),0),IF($C33&gt;0,IF(($E33=INDEX(_xlfn.ANCHORARRAY(Sintesi!$C$14),1,$C33))*(INDEX(_xlfn.ANCHORARRAY(Sintesi!$C$15),1,$C33)&gt;0),0,IF(($E33=INDEX(_xlfn.ANCHORARRAY(Sintesi!$C$14),1,$C33))*(INDEX(_xlfn.ANCHORARRAY(Sintesi!$C$15),1,$C33)&lt;0)+($E33&gt;=LOOKUP(2,1/($E:$E&lt;&gt;""),$E:$E))*($E33&lt;=INDEX($E:$E,MATCH(TRUE,INDEX((ISNUMBER($E:$E)),0),0)))*($E33&gt;INDEX(_xlfn.ANCHORARRAY(Sintesi!$C$14),1,$C33))*($E33&lt;=INDEX(_xlfn.ANCHORARRAY(Sintesi!$C$15),1,$C33))*(INDEX(_xlfn.ANCHORARRAY(Sintesi!$C$15),1,$C33)&gt;0),1,IF(($E33&gt;=LOOKUP(2,1/($E:$E&lt;&gt;""),$E:$E))*($E33&lt;=INDEX($E:$E,MATCH(TRUE,INDEX((ISNUMBER($E:$E)),0),0)))*($E33&gt;INDEX(_xlfn.ANCHORARRAY(Sintesi!$C$14),1,$C33))*($E33&lt;INDEX(_xlfn.ANCHORARRAY(Sintesi!$C$16),1,$C33))*(INDEX(_xlfn.ANCHORARRAY(Sintesi!$C$15),1,$C33)&lt;0)+($E33&gt;=LOOKUP(2,1/($E:$E&lt;&gt;""),$E:$E))*($E33&lt;=INDEX($E:$E,MATCH(TRUE,INDEX((ISNUMBER($E:$E)),0),0)))*($E33&gt;INDEX(_xlfn.ANCHORARRAY(Sintesi!$C$15),1,$C33))*($E33&lt;INDEX(_xlfn.ANCHORARRAY(Sintesi!$C$16),1,$C33))*(INDEX(_xlfn.ANCHORARRAY(Sintesi!$C$15),1,$C33)&gt;0),2,IF($E33=(INDEX(_xlfn.ANCHORARRAY(Sintesi!$C$16),1,$C33)),3,4)))),0)),IF(ISNUMBER($E32),IF($C33&gt;0,IF(($E33=INDEX(_xlfn.ANCHORARRAY(Sintesi!$C$14),1,$C33))*(INDEX(_xlfn.ANCHORARRAY(Sintesi!$C$15),1,$C33)&gt;0),0,IF(($E33=INDEX(_xlfn.ANCHORARRAY(Sintesi!$C$14),1,$C33))*(INDEX(_xlfn.ANCHORARRAY(Sintesi!$C$15),1,$C33)&lt;0)+($E33&gt;=$E32)*($E33&lt;=$E34)*($E33&gt;INDEX(_xlfn.ANCHORARRAY(Sintesi!$C$14),1,$C33))*($E33&lt;=INDEX(_xlfn.ANCHORARRAY(Sintesi!$C$15),1,$C33))*(INDEX(_xlfn.ANCHORARRAY(Sintesi!$C$15),1,$C33)&gt;0),1,IF(($E33&gt;=$E32)*($E33&lt;=$E34)*($E33&gt;INDEX(_xlfn.ANCHORARRAY(Sintesi!$C$14),1,$C33))*($E33&lt;INDEX(_xlfn.ANCHORARRAY(Sintesi!$C$16),1,$C33))*(INDEX(_xlfn.ANCHORARRAY(Sintesi!$C$15),1,$C33)&lt;0)+($E33&gt;=$E32)*($E33&lt;=$E34)*($E33&gt;INDEX(_xlfn.ANCHORARRAY(Sintesi!$C$15),1,$C33))*($E33&lt;INDEX(_xlfn.ANCHORARRAY(Sintesi!$C$16),1,$C33))*(INDEX(_xlfn.ANCHORARRAY(Sintesi!$C$15),1,$C33)&gt;0),2,IF($E33=(INDEX(_xlfn.ANCHORARRAY(Sintesi!$C$16),1,$C33)),3,4)))),0),IF($C33&gt;0,IF(($E33=INDEX(_xlfn.ANCHORARRAY(Sintesi!$C$14),1,$C33))*(INDEX(_xlfn.ANCHORARRAY(Sintesi!$C$15),1,$C33)&gt;0),0,IF(($E33=INDEX(_xlfn.ANCHORARRAY(Sintesi!$C$14),1,$C33))*(INDEX(_xlfn.ANCHORARRAY(Sintesi!$C$15),1,$C33)&lt;0)+($E33&gt;=LOOKUP(2,1/($E:$E&lt;&gt;""),$E:$E))*($E33&lt;=$E34)*($E33&gt;INDEX(_xlfn.ANCHORARRAY(Sintesi!$C$14),1,$C33))*($E33&lt;=INDEX(_xlfn.ANCHORARRAY(Sintesi!$C$15),1,$C33))*(INDEX(_xlfn.ANCHORARRAY(Sintesi!$C$15),1,$C33)&gt;0),1,IF(($E33&gt;=LOOKUP(2,1/($E:$E&lt;&gt;""),$E:$E))*($E33&lt;=$E34)*($E33&gt;INDEX(_xlfn.ANCHORARRAY(Sintesi!$C$14),1,$C33))*($E33&lt;INDEX(_xlfn.ANCHORARRAY(Sintesi!$C$16),1,$C33))*(INDEX(_xlfn.ANCHORARRAY(Sintesi!$C$15),1,$C33)&lt;0)+($E33&gt;=LOOKUP(2,1/($E:$E&lt;&gt;""),$E:$E))*($E33&lt;=$E34)*($E33&gt;INDEX(_xlfn.ANCHORARRAY(Sintesi!$C$15),1,$C33))*($E33&lt;INDEX(_xlfn.ANCHORARRAY(Sintesi!$C$16),1,$C33))*(INDEX(_xlfn.ANCHORARRAY(Sintesi!$C$15),1,$C33)&gt;0),2,IF($E33=(INDEX(_xlfn.ANCHORARRAY(Sintesi!$C$16),1,$C33)),3,4)))),0)))</f>
        <v/>
      </c>
      <c r="E33" s="1">
        <f>'Paste cell here'!F33</f>
        <v/>
      </c>
      <c r="F33" s="1">
        <f>'Paste cell here'!C33</f>
        <v/>
      </c>
      <c r="G33" s="1">
        <f>'Paste cell here'!D33</f>
        <v/>
      </c>
      <c r="H33" s="1">
        <f>'Paste cell here'!E33</f>
        <v/>
      </c>
      <c r="I33" s="1">
        <f>'Paste cell here'!X33</f>
        <v/>
      </c>
      <c r="J33" s="1">
        <f>'Paste cell here'!Y33+'Paste cell here'!S33</f>
        <v/>
      </c>
      <c r="K33" s="1">
        <f>I33/H33</f>
        <v/>
      </c>
      <c r="L33" s="1">
        <f>AVERAGE(($F33+$G33)/2-($F33-$G33)/2*COS(PI()*(8-VLOOKUP(MONTH(B33),$O$1:$Q$13,3))/(VLOOKUP(MONTH(B33),$O$1:$Q$13,2)-VLOOKUP(MONTH(B33),$O$1:$Q$13,3))),($F33+$G33)/2-($F33-$G33)/2*COS(PI()*(9-VLOOKUP(MONTH(B33),$O$1:$Q$13,3))/(VLOOKUP(MONTH(B33),$O$1:$Q$13,2)-VLOOKUP(MONTH(B33),$O$1:$Q$13,3))),($F33+$G33)/2-($F33-$G33)/2*COS(PI()*(10-VLOOKUP(MONTH(B33),$O$1:$Q$13,3))/(VLOOKUP(MONTH(B33),$O$1:$Q$13,2)-VLOOKUP(MONTH(B33),$O$1:$Q$13,3))),($F33+$G33)/2-($F33-$G33)/2*COS(PI()*(11-VLOOKUP(MONTH(B33),$O$1:$Q$13,3))/(VLOOKUP(MONTH(B33),$O$1:$Q$13,2)-VLOOKUP(MONTH(B33),$O$1:$Q$13,3))),($F33+$G33)/2-($F33-$G33)/2*COS(PI()*(12-VLOOKUP(MONTH(B33),$O$1:$Q$13,3))/(VLOOKUP(MONTH(B33),$O$1:$Q$13,2)-VLOOKUP(MONTH(B33),$O$1:$Q$13,3))),($F33+$G33)/2-($F33-$G33)/2*COS(PI()*(13-VLOOKUP(MONTH(B33),$O$1:$Q$13,3))/(VLOOKUP(MONTH(B33),$O$1:$Q$13,2)-VLOOKUP(MONTH(B33),$O$1:$Q$13,3))),($F33+$G33)/2-($F33-$G33)/2*COS(PI()*(14-VLOOKUP(MONTH(B33),$O$1:$Q$13,3))/(VLOOKUP(MONTH(B33),$O$1:$Q$13,2)-VLOOKUP(MONTH(B33),$O$1:$Q$13,3))))</f>
        <v/>
      </c>
      <c r="M33" s="1">
        <f t="array" ref="M33">IF(AND(A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,A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),IF(L33&lt;_xlfn.IFNA(INDEX(_xlfn.ANCHORARRAY(Sintesi!$C$17)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,1,IF(L33&gt;=_xlfn.IFNA(INDEX(_xlfn.ANCHORARRAY(Sintesi!$C$18)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,0,1-(L33-_xlfn.IFNA(INDEX(_xlfn.ANCHORARRAY(Sintesi!$C$17)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)/(_xlfn.IFNA(INDEX(_xlfn.ANCHORARRAY(Sintesi!$C$18)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-_xlfn.IFNA(INDEX(_xlfn.ANCHORARRAY(Sintesi!$C$17)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))),0)</f>
        <v/>
      </c>
    </row>
    <row r="34">
      <c r="A34" s="1">
        <f>'Paste cell here'!A34</f>
        <v/>
      </c>
      <c r="B34" s="2">
        <f>DATE(Sintesi!$C$4-1,12,31)+A34</f>
        <v/>
      </c>
      <c r="C34" s="34">
        <f t="array" ref="C34">_xlfn.IFNA(MATCH(1,(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)*(_xlfn.ANCHORARRAY(Sintesi!$C$15)&gt;=0)+(_xlfn.ANCHORARRAY(Sintesi!$C$15)&lt;0),0),0)</f>
        <v/>
      </c>
      <c r="D34" s="1">
        <f t="array" ref="D34">IF(ISBLANK($E35),IF(ISNUMBER($E33),IF($C34&gt;0,IF(($E34=INDEX(_xlfn.ANCHORARRAY(Sintesi!$C$14),1,$C34))*(INDEX(_xlfn.ANCHORARRAY(Sintesi!$C$15),1,$C34)&gt;0),0,IF(($E34=INDEX(_xlfn.ANCHORARRAY(Sintesi!$C$14),1,$C34))*(INDEX(_xlfn.ANCHORARRAY(Sintesi!$C$15),1,$C34)&lt;0)+($E34&gt;=$E33)*($E34&lt;=INDEX($E:$E,MATCH(TRUE,INDEX((ISNUMBER($E:$E)),0),0)))*($E34&gt;INDEX(_xlfn.ANCHORARRAY(Sintesi!$C$14),1,$C34))*($E34&lt;=INDEX(_xlfn.ANCHORARRAY(Sintesi!$C$15),1,$C34))*(INDEX(_xlfn.ANCHORARRAY(Sintesi!$C$15),1,$C34)&gt;0),1,IF(($E34&gt;=$E33)*($E34&lt;=INDEX($E:$E,MATCH(TRUE,INDEX((ISNUMBER($E:$E)),0),0)))*($E34&gt;INDEX(_xlfn.ANCHORARRAY(Sintesi!$C$14),1,$C34))*($E34&lt;INDEX(_xlfn.ANCHORARRAY(Sintesi!$C$16),1,$C34))*(INDEX(_xlfn.ANCHORARRAY(Sintesi!$C$15),1,$C34)&lt;0)+($E34&gt;=$E33)*($E34&lt;=INDEX($E:$E,MATCH(TRUE,INDEX((ISNUMBER($E:$E)),0),0)))*($E34&gt;INDEX(_xlfn.ANCHORARRAY(Sintesi!$C$15),1,$C34))*($E34&lt;INDEX(_xlfn.ANCHORARRAY(Sintesi!$C$16),1,$C34))*(INDEX(_xlfn.ANCHORARRAY(Sintesi!$C$15),1,$C34)&gt;0),2,IF($E34=(INDEX(_xlfn.ANCHORARRAY(Sintesi!$C$16),1,$C34)),3,4)))),0),IF($C34&gt;0,IF(($E34=INDEX(_xlfn.ANCHORARRAY(Sintesi!$C$14),1,$C34))*(INDEX(_xlfn.ANCHORARRAY(Sintesi!$C$15),1,$C34)&gt;0),0,IF(($E34=INDEX(_xlfn.ANCHORARRAY(Sintesi!$C$14),1,$C34))*(INDEX(_xlfn.ANCHORARRAY(Sintesi!$C$15),1,$C34)&lt;0)+($E34&gt;=LOOKUP(2,1/($E:$E&lt;&gt;""),$E:$E))*($E34&lt;=INDEX($E:$E,MATCH(TRUE,INDEX((ISNUMBER($E:$E)),0),0)))*($E34&gt;INDEX(_xlfn.ANCHORARRAY(Sintesi!$C$14),1,$C34))*($E34&lt;=INDEX(_xlfn.ANCHORARRAY(Sintesi!$C$15),1,$C34))*(INDEX(_xlfn.ANCHORARRAY(Sintesi!$C$15),1,$C34)&gt;0),1,IF(($E34&gt;=LOOKUP(2,1/($E:$E&lt;&gt;""),$E:$E))*($E34&lt;=INDEX($E:$E,MATCH(TRUE,INDEX((ISNUMBER($E:$E)),0),0)))*($E34&gt;INDEX(_xlfn.ANCHORARRAY(Sintesi!$C$14),1,$C34))*($E34&lt;INDEX(_xlfn.ANCHORARRAY(Sintesi!$C$16),1,$C34))*(INDEX(_xlfn.ANCHORARRAY(Sintesi!$C$15),1,$C34)&lt;0)+($E34&gt;=LOOKUP(2,1/($E:$E&lt;&gt;""),$E:$E))*($E34&lt;=INDEX($E:$E,MATCH(TRUE,INDEX((ISNUMBER($E:$E)),0),0)))*($E34&gt;INDEX(_xlfn.ANCHORARRAY(Sintesi!$C$15),1,$C34))*($E34&lt;INDEX(_xlfn.ANCHORARRAY(Sintesi!$C$16),1,$C34))*(INDEX(_xlfn.ANCHORARRAY(Sintesi!$C$15),1,$C34)&gt;0),2,IF($E34=(INDEX(_xlfn.ANCHORARRAY(Sintesi!$C$16),1,$C34)),3,4)))),0)),IF(ISNUMBER($E33),IF($C34&gt;0,IF(($E34=INDEX(_xlfn.ANCHORARRAY(Sintesi!$C$14),1,$C34))*(INDEX(_xlfn.ANCHORARRAY(Sintesi!$C$15),1,$C34)&gt;0),0,IF(($E34=INDEX(_xlfn.ANCHORARRAY(Sintesi!$C$14),1,$C34))*(INDEX(_xlfn.ANCHORARRAY(Sintesi!$C$15),1,$C34)&lt;0)+($E34&gt;=$E33)*($E34&lt;=$E35)*($E34&gt;INDEX(_xlfn.ANCHORARRAY(Sintesi!$C$14),1,$C34))*($E34&lt;=INDEX(_xlfn.ANCHORARRAY(Sintesi!$C$15),1,$C34))*(INDEX(_xlfn.ANCHORARRAY(Sintesi!$C$15),1,$C34)&gt;0),1,IF(($E34&gt;=$E33)*($E34&lt;=$E35)*($E34&gt;INDEX(_xlfn.ANCHORARRAY(Sintesi!$C$14),1,$C34))*($E34&lt;INDEX(_xlfn.ANCHORARRAY(Sintesi!$C$16),1,$C34))*(INDEX(_xlfn.ANCHORARRAY(Sintesi!$C$15),1,$C34)&lt;0)+($E34&gt;=$E33)*($E34&lt;=$E35)*($E34&gt;INDEX(_xlfn.ANCHORARRAY(Sintesi!$C$15),1,$C34))*($E34&lt;INDEX(_xlfn.ANCHORARRAY(Sintesi!$C$16),1,$C34))*(INDEX(_xlfn.ANCHORARRAY(Sintesi!$C$15),1,$C34)&gt;0),2,IF($E34=(INDEX(_xlfn.ANCHORARRAY(Sintesi!$C$16),1,$C34)),3,4)))),0),IF($C34&gt;0,IF(($E34=INDEX(_xlfn.ANCHORARRAY(Sintesi!$C$14),1,$C34))*(INDEX(_xlfn.ANCHORARRAY(Sintesi!$C$15),1,$C34)&gt;0),0,IF(($E34=INDEX(_xlfn.ANCHORARRAY(Sintesi!$C$14),1,$C34))*(INDEX(_xlfn.ANCHORARRAY(Sintesi!$C$15),1,$C34)&lt;0)+($E34&gt;=LOOKUP(2,1/($E:$E&lt;&gt;""),$E:$E))*($E34&lt;=$E35)*($E34&gt;INDEX(_xlfn.ANCHORARRAY(Sintesi!$C$14),1,$C34))*($E34&lt;=INDEX(_xlfn.ANCHORARRAY(Sintesi!$C$15),1,$C34))*(INDEX(_xlfn.ANCHORARRAY(Sintesi!$C$15),1,$C34)&gt;0),1,IF(($E34&gt;=LOOKUP(2,1/($E:$E&lt;&gt;""),$E:$E))*($E34&lt;=$E35)*($E34&gt;INDEX(_xlfn.ANCHORARRAY(Sintesi!$C$14),1,$C34))*($E34&lt;INDEX(_xlfn.ANCHORARRAY(Sintesi!$C$16),1,$C34))*(INDEX(_xlfn.ANCHORARRAY(Sintesi!$C$15),1,$C34)&lt;0)+($E34&gt;=LOOKUP(2,1/($E:$E&lt;&gt;""),$E:$E))*($E34&lt;=$E35)*($E34&gt;INDEX(_xlfn.ANCHORARRAY(Sintesi!$C$15),1,$C34))*($E34&lt;INDEX(_xlfn.ANCHORARRAY(Sintesi!$C$16),1,$C34))*(INDEX(_xlfn.ANCHORARRAY(Sintesi!$C$15),1,$C34)&gt;0),2,IF($E34=(INDEX(_xlfn.ANCHORARRAY(Sintesi!$C$16),1,$C34)),3,4)))),0)))</f>
        <v/>
      </c>
      <c r="E34" s="1">
        <f>'Paste cell here'!F34</f>
        <v/>
      </c>
      <c r="F34" s="1">
        <f>'Paste cell here'!C34</f>
        <v/>
      </c>
      <c r="G34" s="1">
        <f>'Paste cell here'!D34</f>
        <v/>
      </c>
      <c r="H34" s="1">
        <f>'Paste cell here'!E34</f>
        <v/>
      </c>
      <c r="I34" s="1">
        <f>'Paste cell here'!X34</f>
        <v/>
      </c>
      <c r="J34" s="1">
        <f>'Paste cell here'!Y34+'Paste cell here'!S34</f>
        <v/>
      </c>
      <c r="K34" s="1">
        <f>I34/H34</f>
        <v/>
      </c>
      <c r="L34" s="1">
        <f>AVERAGE(($F34+$G34)/2-($F34-$G34)/2*COS(PI()*(8-VLOOKUP(MONTH(B34),$O$1:$Q$13,3))/(VLOOKUP(MONTH(B34),$O$1:$Q$13,2)-VLOOKUP(MONTH(B34),$O$1:$Q$13,3))),($F34+$G34)/2-($F34-$G34)/2*COS(PI()*(9-VLOOKUP(MONTH(B34),$O$1:$Q$13,3))/(VLOOKUP(MONTH(B34),$O$1:$Q$13,2)-VLOOKUP(MONTH(B34),$O$1:$Q$13,3))),($F34+$G34)/2-($F34-$G34)/2*COS(PI()*(10-VLOOKUP(MONTH(B34),$O$1:$Q$13,3))/(VLOOKUP(MONTH(B34),$O$1:$Q$13,2)-VLOOKUP(MONTH(B34),$O$1:$Q$13,3))),($F34+$G34)/2-($F34-$G34)/2*COS(PI()*(11-VLOOKUP(MONTH(B34),$O$1:$Q$13,3))/(VLOOKUP(MONTH(B34),$O$1:$Q$13,2)-VLOOKUP(MONTH(B34),$O$1:$Q$13,3))),($F34+$G34)/2-($F34-$G34)/2*COS(PI()*(12-VLOOKUP(MONTH(B34),$O$1:$Q$13,3))/(VLOOKUP(MONTH(B34),$O$1:$Q$13,2)-VLOOKUP(MONTH(B34),$O$1:$Q$13,3))),($F34+$G34)/2-($F34-$G34)/2*COS(PI()*(13-VLOOKUP(MONTH(B34),$O$1:$Q$13,3))/(VLOOKUP(MONTH(B34),$O$1:$Q$13,2)-VLOOKUP(MONTH(B34),$O$1:$Q$13,3))),($F34+$G34)/2-($F34-$G34)/2*COS(PI()*(14-VLOOKUP(MONTH(B34),$O$1:$Q$13,3))/(VLOOKUP(MONTH(B34),$O$1:$Q$13,2)-VLOOKUP(MONTH(B34),$O$1:$Q$13,3))))</f>
        <v/>
      </c>
      <c r="M34" s="1">
        <f t="array" ref="M34">IF(AND(A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,A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),IF(L34&lt;_xlfn.IFNA(INDEX(_xlfn.ANCHORARRAY(Sintesi!$C$17)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,1,IF(L34&gt;=_xlfn.IFNA(INDEX(_xlfn.ANCHORARRAY(Sintesi!$C$18)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,0,1-(L34-_xlfn.IFNA(INDEX(_xlfn.ANCHORARRAY(Sintesi!$C$17)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)/(_xlfn.IFNA(INDEX(_xlfn.ANCHORARRAY(Sintesi!$C$18)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-_xlfn.IFNA(INDEX(_xlfn.ANCHORARRAY(Sintesi!$C$17)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))),0)</f>
        <v/>
      </c>
    </row>
    <row r="35">
      <c r="A35" s="1">
        <f>'Paste cell here'!A35</f>
        <v/>
      </c>
      <c r="B35" s="2">
        <f>DATE(Sintesi!$C$4-1,12,31)+A35</f>
        <v/>
      </c>
      <c r="C35" s="34">
        <f t="array" ref="C35">_xlfn.IFNA(MATCH(1,(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)*(_xlfn.ANCHORARRAY(Sintesi!$C$15)&gt;=0)+(_xlfn.ANCHORARRAY(Sintesi!$C$15)&lt;0),0),0)</f>
        <v/>
      </c>
      <c r="D35" s="1">
        <f t="array" ref="D35">IF(ISBLANK($E36),IF(ISNUMBER($E34),IF($C35&gt;0,IF(($E35=INDEX(_xlfn.ANCHORARRAY(Sintesi!$C$14),1,$C35))*(INDEX(_xlfn.ANCHORARRAY(Sintesi!$C$15),1,$C35)&gt;0),0,IF(($E35=INDEX(_xlfn.ANCHORARRAY(Sintesi!$C$14),1,$C35))*(INDEX(_xlfn.ANCHORARRAY(Sintesi!$C$15),1,$C35)&lt;0)+($E35&gt;=$E34)*($E35&lt;=INDEX($E:$E,MATCH(TRUE,INDEX((ISNUMBER($E:$E)),0),0)))*($E35&gt;INDEX(_xlfn.ANCHORARRAY(Sintesi!$C$14),1,$C35))*($E35&lt;=INDEX(_xlfn.ANCHORARRAY(Sintesi!$C$15),1,$C35))*(INDEX(_xlfn.ANCHORARRAY(Sintesi!$C$15),1,$C35)&gt;0),1,IF(($E35&gt;=$E34)*($E35&lt;=INDEX($E:$E,MATCH(TRUE,INDEX((ISNUMBER($E:$E)),0),0)))*($E35&gt;INDEX(_xlfn.ANCHORARRAY(Sintesi!$C$14),1,$C35))*($E35&lt;INDEX(_xlfn.ANCHORARRAY(Sintesi!$C$16),1,$C35))*(INDEX(_xlfn.ANCHORARRAY(Sintesi!$C$15),1,$C35)&lt;0)+($E35&gt;=$E34)*($E35&lt;=INDEX($E:$E,MATCH(TRUE,INDEX((ISNUMBER($E:$E)),0),0)))*($E35&gt;INDEX(_xlfn.ANCHORARRAY(Sintesi!$C$15),1,$C35))*($E35&lt;INDEX(_xlfn.ANCHORARRAY(Sintesi!$C$16),1,$C35))*(INDEX(_xlfn.ANCHORARRAY(Sintesi!$C$15),1,$C35)&gt;0),2,IF($E35=(INDEX(_xlfn.ANCHORARRAY(Sintesi!$C$16),1,$C35)),3,4)))),0),IF($C35&gt;0,IF(($E35=INDEX(_xlfn.ANCHORARRAY(Sintesi!$C$14),1,$C35))*(INDEX(_xlfn.ANCHORARRAY(Sintesi!$C$15),1,$C35)&gt;0),0,IF(($E35=INDEX(_xlfn.ANCHORARRAY(Sintesi!$C$14),1,$C35))*(INDEX(_xlfn.ANCHORARRAY(Sintesi!$C$15),1,$C35)&lt;0)+($E35&gt;=LOOKUP(2,1/($E:$E&lt;&gt;""),$E:$E))*($E35&lt;=INDEX($E:$E,MATCH(TRUE,INDEX((ISNUMBER($E:$E)),0),0)))*($E35&gt;INDEX(_xlfn.ANCHORARRAY(Sintesi!$C$14),1,$C35))*($E35&lt;=INDEX(_xlfn.ANCHORARRAY(Sintesi!$C$15),1,$C35))*(INDEX(_xlfn.ANCHORARRAY(Sintesi!$C$15),1,$C35)&gt;0),1,IF(($E35&gt;=LOOKUP(2,1/($E:$E&lt;&gt;""),$E:$E))*($E35&lt;=INDEX($E:$E,MATCH(TRUE,INDEX((ISNUMBER($E:$E)),0),0)))*($E35&gt;INDEX(_xlfn.ANCHORARRAY(Sintesi!$C$14),1,$C35))*($E35&lt;INDEX(_xlfn.ANCHORARRAY(Sintesi!$C$16),1,$C35))*(INDEX(_xlfn.ANCHORARRAY(Sintesi!$C$15),1,$C35)&lt;0)+($E35&gt;=LOOKUP(2,1/($E:$E&lt;&gt;""),$E:$E))*($E35&lt;=INDEX($E:$E,MATCH(TRUE,INDEX((ISNUMBER($E:$E)),0),0)))*($E35&gt;INDEX(_xlfn.ANCHORARRAY(Sintesi!$C$15),1,$C35))*($E35&lt;INDEX(_xlfn.ANCHORARRAY(Sintesi!$C$16),1,$C35))*(INDEX(_xlfn.ANCHORARRAY(Sintesi!$C$15),1,$C35)&gt;0),2,IF($E35=(INDEX(_xlfn.ANCHORARRAY(Sintesi!$C$16),1,$C35)),3,4)))),0)),IF(ISNUMBER($E34),IF($C35&gt;0,IF(($E35=INDEX(_xlfn.ANCHORARRAY(Sintesi!$C$14),1,$C35))*(INDEX(_xlfn.ANCHORARRAY(Sintesi!$C$15),1,$C35)&gt;0),0,IF(($E35=INDEX(_xlfn.ANCHORARRAY(Sintesi!$C$14),1,$C35))*(INDEX(_xlfn.ANCHORARRAY(Sintesi!$C$15),1,$C35)&lt;0)+($E35&gt;=$E34)*($E35&lt;=$E36)*($E35&gt;INDEX(_xlfn.ANCHORARRAY(Sintesi!$C$14),1,$C35))*($E35&lt;=INDEX(_xlfn.ANCHORARRAY(Sintesi!$C$15),1,$C35))*(INDEX(_xlfn.ANCHORARRAY(Sintesi!$C$15),1,$C35)&gt;0),1,IF(($E35&gt;=$E34)*($E35&lt;=$E36)*($E35&gt;INDEX(_xlfn.ANCHORARRAY(Sintesi!$C$14),1,$C35))*($E35&lt;INDEX(_xlfn.ANCHORARRAY(Sintesi!$C$16),1,$C35))*(INDEX(_xlfn.ANCHORARRAY(Sintesi!$C$15),1,$C35)&lt;0)+($E35&gt;=$E34)*($E35&lt;=$E36)*($E35&gt;INDEX(_xlfn.ANCHORARRAY(Sintesi!$C$15),1,$C35))*($E35&lt;INDEX(_xlfn.ANCHORARRAY(Sintesi!$C$16),1,$C35))*(INDEX(_xlfn.ANCHORARRAY(Sintesi!$C$15),1,$C35)&gt;0),2,IF($E35=(INDEX(_xlfn.ANCHORARRAY(Sintesi!$C$16),1,$C35)),3,4)))),0),IF($C35&gt;0,IF(($E35=INDEX(_xlfn.ANCHORARRAY(Sintesi!$C$14),1,$C35))*(INDEX(_xlfn.ANCHORARRAY(Sintesi!$C$15),1,$C35)&gt;0),0,IF(($E35=INDEX(_xlfn.ANCHORARRAY(Sintesi!$C$14),1,$C35))*(INDEX(_xlfn.ANCHORARRAY(Sintesi!$C$15),1,$C35)&lt;0)+($E35&gt;=LOOKUP(2,1/($E:$E&lt;&gt;""),$E:$E))*($E35&lt;=$E36)*($E35&gt;INDEX(_xlfn.ANCHORARRAY(Sintesi!$C$14),1,$C35))*($E35&lt;=INDEX(_xlfn.ANCHORARRAY(Sintesi!$C$15),1,$C35))*(INDEX(_xlfn.ANCHORARRAY(Sintesi!$C$15),1,$C35)&gt;0),1,IF(($E35&gt;=LOOKUP(2,1/($E:$E&lt;&gt;""),$E:$E))*($E35&lt;=$E36)*($E35&gt;INDEX(_xlfn.ANCHORARRAY(Sintesi!$C$14),1,$C35))*($E35&lt;INDEX(_xlfn.ANCHORARRAY(Sintesi!$C$16),1,$C35))*(INDEX(_xlfn.ANCHORARRAY(Sintesi!$C$15),1,$C35)&lt;0)+($E35&gt;=LOOKUP(2,1/($E:$E&lt;&gt;""),$E:$E))*($E35&lt;=$E36)*($E35&gt;INDEX(_xlfn.ANCHORARRAY(Sintesi!$C$15),1,$C35))*($E35&lt;INDEX(_xlfn.ANCHORARRAY(Sintesi!$C$16),1,$C35))*(INDEX(_xlfn.ANCHORARRAY(Sintesi!$C$15),1,$C35)&gt;0),2,IF($E35=(INDEX(_xlfn.ANCHORARRAY(Sintesi!$C$16),1,$C35)),3,4)))),0)))</f>
        <v/>
      </c>
      <c r="E35" s="1">
        <f>'Paste cell here'!F35</f>
        <v/>
      </c>
      <c r="F35" s="1">
        <f>'Paste cell here'!C35</f>
        <v/>
      </c>
      <c r="G35" s="1">
        <f>'Paste cell here'!D35</f>
        <v/>
      </c>
      <c r="H35" s="1">
        <f>'Paste cell here'!E35</f>
        <v/>
      </c>
      <c r="I35" s="1">
        <f>'Paste cell here'!X35</f>
        <v/>
      </c>
      <c r="J35" s="1">
        <f>'Paste cell here'!Y35+'Paste cell here'!S35</f>
        <v/>
      </c>
      <c r="K35" s="1">
        <f>I35/H35</f>
        <v/>
      </c>
      <c r="L35" s="1">
        <f>AVERAGE(($F35+$G35)/2-($F35-$G35)/2*COS(PI()*(8-VLOOKUP(MONTH(B35),$O$1:$Q$13,3))/(VLOOKUP(MONTH(B35),$O$1:$Q$13,2)-VLOOKUP(MONTH(B35),$O$1:$Q$13,3))),($F35+$G35)/2-($F35-$G35)/2*COS(PI()*(9-VLOOKUP(MONTH(B35),$O$1:$Q$13,3))/(VLOOKUP(MONTH(B35),$O$1:$Q$13,2)-VLOOKUP(MONTH(B35),$O$1:$Q$13,3))),($F35+$G35)/2-($F35-$G35)/2*COS(PI()*(10-VLOOKUP(MONTH(B35),$O$1:$Q$13,3))/(VLOOKUP(MONTH(B35),$O$1:$Q$13,2)-VLOOKUP(MONTH(B35),$O$1:$Q$13,3))),($F35+$G35)/2-($F35-$G35)/2*COS(PI()*(11-VLOOKUP(MONTH(B35),$O$1:$Q$13,3))/(VLOOKUP(MONTH(B35),$O$1:$Q$13,2)-VLOOKUP(MONTH(B35),$O$1:$Q$13,3))),($F35+$G35)/2-($F35-$G35)/2*COS(PI()*(12-VLOOKUP(MONTH(B35),$O$1:$Q$13,3))/(VLOOKUP(MONTH(B35),$O$1:$Q$13,2)-VLOOKUP(MONTH(B35),$O$1:$Q$13,3))),($F35+$G35)/2-($F35-$G35)/2*COS(PI()*(13-VLOOKUP(MONTH(B35),$O$1:$Q$13,3))/(VLOOKUP(MONTH(B35),$O$1:$Q$13,2)-VLOOKUP(MONTH(B35),$O$1:$Q$13,3))),($F35+$G35)/2-($F35-$G35)/2*COS(PI()*(14-VLOOKUP(MONTH(B35),$O$1:$Q$13,3))/(VLOOKUP(MONTH(B35),$O$1:$Q$13,2)-VLOOKUP(MONTH(B35),$O$1:$Q$13,3))))</f>
        <v/>
      </c>
      <c r="M35" s="1">
        <f t="array" ref="M35">IF(AND(A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,A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),IF(L35&lt;_xlfn.IFNA(INDEX(_xlfn.ANCHORARRAY(Sintesi!$C$17)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,1,IF(L35&gt;=_xlfn.IFNA(INDEX(_xlfn.ANCHORARRAY(Sintesi!$C$18)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,0,1-(L35-_xlfn.IFNA(INDEX(_xlfn.ANCHORARRAY(Sintesi!$C$17)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)/(_xlfn.IFNA(INDEX(_xlfn.ANCHORARRAY(Sintesi!$C$18)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-_xlfn.IFNA(INDEX(_xlfn.ANCHORARRAY(Sintesi!$C$17)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))),0)</f>
        <v/>
      </c>
    </row>
    <row r="36">
      <c r="A36" s="1">
        <f>'Paste cell here'!A36</f>
        <v/>
      </c>
      <c r="B36" s="2">
        <f>DATE(Sintesi!$C$4-1,12,31)+A36</f>
        <v/>
      </c>
      <c r="C36" s="34">
        <f t="array" ref="C36">_xlfn.IFNA(MATCH(1,(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)*(_xlfn.ANCHORARRAY(Sintesi!$C$15)&gt;=0)+(_xlfn.ANCHORARRAY(Sintesi!$C$15)&lt;0),0),0)</f>
        <v/>
      </c>
      <c r="D36" s="1">
        <f t="array" ref="D36">IF(ISBLANK($E37),IF(ISNUMBER($E35),IF($C36&gt;0,IF(($E36=INDEX(_xlfn.ANCHORARRAY(Sintesi!$C$14),1,$C36))*(INDEX(_xlfn.ANCHORARRAY(Sintesi!$C$15),1,$C36)&gt;0),0,IF(($E36=INDEX(_xlfn.ANCHORARRAY(Sintesi!$C$14),1,$C36))*(INDEX(_xlfn.ANCHORARRAY(Sintesi!$C$15),1,$C36)&lt;0)+($E36&gt;=$E35)*($E36&lt;=INDEX($E:$E,MATCH(TRUE,INDEX((ISNUMBER($E:$E)),0),0)))*($E36&gt;INDEX(_xlfn.ANCHORARRAY(Sintesi!$C$14),1,$C36))*($E36&lt;=INDEX(_xlfn.ANCHORARRAY(Sintesi!$C$15),1,$C36))*(INDEX(_xlfn.ANCHORARRAY(Sintesi!$C$15),1,$C36)&gt;0),1,IF(($E36&gt;=$E35)*($E36&lt;=INDEX($E:$E,MATCH(TRUE,INDEX((ISNUMBER($E:$E)),0),0)))*($E36&gt;INDEX(_xlfn.ANCHORARRAY(Sintesi!$C$14),1,$C36))*($E36&lt;INDEX(_xlfn.ANCHORARRAY(Sintesi!$C$16),1,$C36))*(INDEX(_xlfn.ANCHORARRAY(Sintesi!$C$15),1,$C36)&lt;0)+($E36&gt;=$E35)*($E36&lt;=INDEX($E:$E,MATCH(TRUE,INDEX((ISNUMBER($E:$E)),0),0)))*($E36&gt;INDEX(_xlfn.ANCHORARRAY(Sintesi!$C$15),1,$C36))*($E36&lt;INDEX(_xlfn.ANCHORARRAY(Sintesi!$C$16),1,$C36))*(INDEX(_xlfn.ANCHORARRAY(Sintesi!$C$15),1,$C36)&gt;0),2,IF($E36=(INDEX(_xlfn.ANCHORARRAY(Sintesi!$C$16),1,$C36)),3,4)))),0),IF($C36&gt;0,IF(($E36=INDEX(_xlfn.ANCHORARRAY(Sintesi!$C$14),1,$C36))*(INDEX(_xlfn.ANCHORARRAY(Sintesi!$C$15),1,$C36)&gt;0),0,IF(($E36=INDEX(_xlfn.ANCHORARRAY(Sintesi!$C$14),1,$C36))*(INDEX(_xlfn.ANCHORARRAY(Sintesi!$C$15),1,$C36)&lt;0)+($E36&gt;=LOOKUP(2,1/($E:$E&lt;&gt;""),$E:$E))*($E36&lt;=INDEX($E:$E,MATCH(TRUE,INDEX((ISNUMBER($E:$E)),0),0)))*($E36&gt;INDEX(_xlfn.ANCHORARRAY(Sintesi!$C$14),1,$C36))*($E36&lt;=INDEX(_xlfn.ANCHORARRAY(Sintesi!$C$15),1,$C36))*(INDEX(_xlfn.ANCHORARRAY(Sintesi!$C$15),1,$C36)&gt;0),1,IF(($E36&gt;=LOOKUP(2,1/($E:$E&lt;&gt;""),$E:$E))*($E36&lt;=INDEX($E:$E,MATCH(TRUE,INDEX((ISNUMBER($E:$E)),0),0)))*($E36&gt;INDEX(_xlfn.ANCHORARRAY(Sintesi!$C$14),1,$C36))*($E36&lt;INDEX(_xlfn.ANCHORARRAY(Sintesi!$C$16),1,$C36))*(INDEX(_xlfn.ANCHORARRAY(Sintesi!$C$15),1,$C36)&lt;0)+($E36&gt;=LOOKUP(2,1/($E:$E&lt;&gt;""),$E:$E))*($E36&lt;=INDEX($E:$E,MATCH(TRUE,INDEX((ISNUMBER($E:$E)),0),0)))*($E36&gt;INDEX(_xlfn.ANCHORARRAY(Sintesi!$C$15),1,$C36))*($E36&lt;INDEX(_xlfn.ANCHORARRAY(Sintesi!$C$16),1,$C36))*(INDEX(_xlfn.ANCHORARRAY(Sintesi!$C$15),1,$C36)&gt;0),2,IF($E36=(INDEX(_xlfn.ANCHORARRAY(Sintesi!$C$16),1,$C36)),3,4)))),0)),IF(ISNUMBER($E35),IF($C36&gt;0,IF(($E36=INDEX(_xlfn.ANCHORARRAY(Sintesi!$C$14),1,$C36))*(INDEX(_xlfn.ANCHORARRAY(Sintesi!$C$15),1,$C36)&gt;0),0,IF(($E36=INDEX(_xlfn.ANCHORARRAY(Sintesi!$C$14),1,$C36))*(INDEX(_xlfn.ANCHORARRAY(Sintesi!$C$15),1,$C36)&lt;0)+($E36&gt;=$E35)*($E36&lt;=$E37)*($E36&gt;INDEX(_xlfn.ANCHORARRAY(Sintesi!$C$14),1,$C36))*($E36&lt;=INDEX(_xlfn.ANCHORARRAY(Sintesi!$C$15),1,$C36))*(INDEX(_xlfn.ANCHORARRAY(Sintesi!$C$15),1,$C36)&gt;0),1,IF(($E36&gt;=$E35)*($E36&lt;=$E37)*($E36&gt;INDEX(_xlfn.ANCHORARRAY(Sintesi!$C$14),1,$C36))*($E36&lt;INDEX(_xlfn.ANCHORARRAY(Sintesi!$C$16),1,$C36))*(INDEX(_xlfn.ANCHORARRAY(Sintesi!$C$15),1,$C36)&lt;0)+($E36&gt;=$E35)*($E36&lt;=$E37)*($E36&gt;INDEX(_xlfn.ANCHORARRAY(Sintesi!$C$15),1,$C36))*($E36&lt;INDEX(_xlfn.ANCHORARRAY(Sintesi!$C$16),1,$C36))*(INDEX(_xlfn.ANCHORARRAY(Sintesi!$C$15),1,$C36)&gt;0),2,IF($E36=(INDEX(_xlfn.ANCHORARRAY(Sintesi!$C$16),1,$C36)),3,4)))),0),IF($C36&gt;0,IF(($E36=INDEX(_xlfn.ANCHORARRAY(Sintesi!$C$14),1,$C36))*(INDEX(_xlfn.ANCHORARRAY(Sintesi!$C$15),1,$C36)&gt;0),0,IF(($E36=INDEX(_xlfn.ANCHORARRAY(Sintesi!$C$14),1,$C36))*(INDEX(_xlfn.ANCHORARRAY(Sintesi!$C$15),1,$C36)&lt;0)+($E36&gt;=LOOKUP(2,1/($E:$E&lt;&gt;""),$E:$E))*($E36&lt;=$E37)*($E36&gt;INDEX(_xlfn.ANCHORARRAY(Sintesi!$C$14),1,$C36))*($E36&lt;=INDEX(_xlfn.ANCHORARRAY(Sintesi!$C$15),1,$C36))*(INDEX(_xlfn.ANCHORARRAY(Sintesi!$C$15),1,$C36)&gt;0),1,IF(($E36&gt;=LOOKUP(2,1/($E:$E&lt;&gt;""),$E:$E))*($E36&lt;=$E37)*($E36&gt;INDEX(_xlfn.ANCHORARRAY(Sintesi!$C$14),1,$C36))*($E36&lt;INDEX(_xlfn.ANCHORARRAY(Sintesi!$C$16),1,$C36))*(INDEX(_xlfn.ANCHORARRAY(Sintesi!$C$15),1,$C36)&lt;0)+($E36&gt;=LOOKUP(2,1/($E:$E&lt;&gt;""),$E:$E))*($E36&lt;=$E37)*($E36&gt;INDEX(_xlfn.ANCHORARRAY(Sintesi!$C$15),1,$C36))*($E36&lt;INDEX(_xlfn.ANCHORARRAY(Sintesi!$C$16),1,$C36))*(INDEX(_xlfn.ANCHORARRAY(Sintesi!$C$15),1,$C36)&gt;0),2,IF($E36=(INDEX(_xlfn.ANCHORARRAY(Sintesi!$C$16),1,$C36)),3,4)))),0)))</f>
        <v/>
      </c>
      <c r="E36" s="1">
        <f>'Paste cell here'!F36</f>
        <v/>
      </c>
      <c r="F36" s="1">
        <f>'Paste cell here'!C36</f>
        <v/>
      </c>
      <c r="G36" s="1">
        <f>'Paste cell here'!D36</f>
        <v/>
      </c>
      <c r="H36" s="1">
        <f>'Paste cell here'!E36</f>
        <v/>
      </c>
      <c r="I36" s="1">
        <f>'Paste cell here'!X36</f>
        <v/>
      </c>
      <c r="J36" s="1">
        <f>'Paste cell here'!Y36+'Paste cell here'!S36</f>
        <v/>
      </c>
      <c r="K36" s="1">
        <f>I36/H36</f>
        <v/>
      </c>
      <c r="L36" s="1">
        <f>AVERAGE(($F36+$G36)/2-($F36-$G36)/2*COS(PI()*(8-VLOOKUP(MONTH(B36),$O$1:$Q$13,3))/(VLOOKUP(MONTH(B36),$O$1:$Q$13,2)-VLOOKUP(MONTH(B36),$O$1:$Q$13,3))),($F36+$G36)/2-($F36-$G36)/2*COS(PI()*(9-VLOOKUP(MONTH(B36),$O$1:$Q$13,3))/(VLOOKUP(MONTH(B36),$O$1:$Q$13,2)-VLOOKUP(MONTH(B36),$O$1:$Q$13,3))),($F36+$G36)/2-($F36-$G36)/2*COS(PI()*(10-VLOOKUP(MONTH(B36),$O$1:$Q$13,3))/(VLOOKUP(MONTH(B36),$O$1:$Q$13,2)-VLOOKUP(MONTH(B36),$O$1:$Q$13,3))),($F36+$G36)/2-($F36-$G36)/2*COS(PI()*(11-VLOOKUP(MONTH(B36),$O$1:$Q$13,3))/(VLOOKUP(MONTH(B36),$O$1:$Q$13,2)-VLOOKUP(MONTH(B36),$O$1:$Q$13,3))),($F36+$G36)/2-($F36-$G36)/2*COS(PI()*(12-VLOOKUP(MONTH(B36),$O$1:$Q$13,3))/(VLOOKUP(MONTH(B36),$O$1:$Q$13,2)-VLOOKUP(MONTH(B36),$O$1:$Q$13,3))),($F36+$G36)/2-($F36-$G36)/2*COS(PI()*(13-VLOOKUP(MONTH(B36),$O$1:$Q$13,3))/(VLOOKUP(MONTH(B36),$O$1:$Q$13,2)-VLOOKUP(MONTH(B36),$O$1:$Q$13,3))),($F36+$G36)/2-($F36-$G36)/2*COS(PI()*(14-VLOOKUP(MONTH(B36),$O$1:$Q$13,3))/(VLOOKUP(MONTH(B36),$O$1:$Q$13,2)-VLOOKUP(MONTH(B36),$O$1:$Q$13,3))))</f>
        <v/>
      </c>
      <c r="M36" s="1">
        <f t="array" ref="M36">IF(AND(A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,A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),IF(L36&lt;_xlfn.IFNA(INDEX(_xlfn.ANCHORARRAY(Sintesi!$C$17)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,1,IF(L36&gt;=_xlfn.IFNA(INDEX(_xlfn.ANCHORARRAY(Sintesi!$C$18)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,0,1-(L36-_xlfn.IFNA(INDEX(_xlfn.ANCHORARRAY(Sintesi!$C$17)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)/(_xlfn.IFNA(INDEX(_xlfn.ANCHORARRAY(Sintesi!$C$18)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-_xlfn.IFNA(INDEX(_xlfn.ANCHORARRAY(Sintesi!$C$17)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))),0)</f>
        <v/>
      </c>
    </row>
    <row r="37">
      <c r="A37" s="1">
        <f>'Paste cell here'!A37</f>
        <v/>
      </c>
      <c r="B37" s="2">
        <f>DATE(Sintesi!$C$4-1,12,31)+A37</f>
        <v/>
      </c>
      <c r="C37" s="34">
        <f t="array" ref="C37">_xlfn.IFNA(MATCH(1,(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)*(_xlfn.ANCHORARRAY(Sintesi!$C$15)&gt;=0)+(_xlfn.ANCHORARRAY(Sintesi!$C$15)&lt;0),0),0)</f>
        <v/>
      </c>
      <c r="D37" s="1">
        <f t="array" ref="D37">IF(ISBLANK($E38),IF(ISNUMBER($E36),IF($C37&gt;0,IF(($E37=INDEX(_xlfn.ANCHORARRAY(Sintesi!$C$14),1,$C37))*(INDEX(_xlfn.ANCHORARRAY(Sintesi!$C$15),1,$C37)&gt;0),0,IF(($E37=INDEX(_xlfn.ANCHORARRAY(Sintesi!$C$14),1,$C37))*(INDEX(_xlfn.ANCHORARRAY(Sintesi!$C$15),1,$C37)&lt;0)+($E37&gt;=$E36)*($E37&lt;=INDEX($E:$E,MATCH(TRUE,INDEX((ISNUMBER($E:$E)),0),0)))*($E37&gt;INDEX(_xlfn.ANCHORARRAY(Sintesi!$C$14),1,$C37))*($E37&lt;=INDEX(_xlfn.ANCHORARRAY(Sintesi!$C$15),1,$C37))*(INDEX(_xlfn.ANCHORARRAY(Sintesi!$C$15),1,$C37)&gt;0),1,IF(($E37&gt;=$E36)*($E37&lt;=INDEX($E:$E,MATCH(TRUE,INDEX((ISNUMBER($E:$E)),0),0)))*($E37&gt;INDEX(_xlfn.ANCHORARRAY(Sintesi!$C$14),1,$C37))*($E37&lt;INDEX(_xlfn.ANCHORARRAY(Sintesi!$C$16),1,$C37))*(INDEX(_xlfn.ANCHORARRAY(Sintesi!$C$15),1,$C37)&lt;0)+($E37&gt;=$E36)*($E37&lt;=INDEX($E:$E,MATCH(TRUE,INDEX((ISNUMBER($E:$E)),0),0)))*($E37&gt;INDEX(_xlfn.ANCHORARRAY(Sintesi!$C$15),1,$C37))*($E37&lt;INDEX(_xlfn.ANCHORARRAY(Sintesi!$C$16),1,$C37))*(INDEX(_xlfn.ANCHORARRAY(Sintesi!$C$15),1,$C37)&gt;0),2,IF($E37=(INDEX(_xlfn.ANCHORARRAY(Sintesi!$C$16),1,$C37)),3,4)))),0),IF($C37&gt;0,IF(($E37=INDEX(_xlfn.ANCHORARRAY(Sintesi!$C$14),1,$C37))*(INDEX(_xlfn.ANCHORARRAY(Sintesi!$C$15),1,$C37)&gt;0),0,IF(($E37=INDEX(_xlfn.ANCHORARRAY(Sintesi!$C$14),1,$C37))*(INDEX(_xlfn.ANCHORARRAY(Sintesi!$C$15),1,$C37)&lt;0)+($E37&gt;=LOOKUP(2,1/($E:$E&lt;&gt;""),$E:$E))*($E37&lt;=INDEX($E:$E,MATCH(TRUE,INDEX((ISNUMBER($E:$E)),0),0)))*($E37&gt;INDEX(_xlfn.ANCHORARRAY(Sintesi!$C$14),1,$C37))*($E37&lt;=INDEX(_xlfn.ANCHORARRAY(Sintesi!$C$15),1,$C37))*(INDEX(_xlfn.ANCHORARRAY(Sintesi!$C$15),1,$C37)&gt;0),1,IF(($E37&gt;=LOOKUP(2,1/($E:$E&lt;&gt;""),$E:$E))*($E37&lt;=INDEX($E:$E,MATCH(TRUE,INDEX((ISNUMBER($E:$E)),0),0)))*($E37&gt;INDEX(_xlfn.ANCHORARRAY(Sintesi!$C$14),1,$C37))*($E37&lt;INDEX(_xlfn.ANCHORARRAY(Sintesi!$C$16),1,$C37))*(INDEX(_xlfn.ANCHORARRAY(Sintesi!$C$15),1,$C37)&lt;0)+($E37&gt;=LOOKUP(2,1/($E:$E&lt;&gt;""),$E:$E))*($E37&lt;=INDEX($E:$E,MATCH(TRUE,INDEX((ISNUMBER($E:$E)),0),0)))*($E37&gt;INDEX(_xlfn.ANCHORARRAY(Sintesi!$C$15),1,$C37))*($E37&lt;INDEX(_xlfn.ANCHORARRAY(Sintesi!$C$16),1,$C37))*(INDEX(_xlfn.ANCHORARRAY(Sintesi!$C$15),1,$C37)&gt;0),2,IF($E37=(INDEX(_xlfn.ANCHORARRAY(Sintesi!$C$16),1,$C37)),3,4)))),0)),IF(ISNUMBER($E36),IF($C37&gt;0,IF(($E37=INDEX(_xlfn.ANCHORARRAY(Sintesi!$C$14),1,$C37))*(INDEX(_xlfn.ANCHORARRAY(Sintesi!$C$15),1,$C37)&gt;0),0,IF(($E37=INDEX(_xlfn.ANCHORARRAY(Sintesi!$C$14),1,$C37))*(INDEX(_xlfn.ANCHORARRAY(Sintesi!$C$15),1,$C37)&lt;0)+($E37&gt;=$E36)*($E37&lt;=$E38)*($E37&gt;INDEX(_xlfn.ANCHORARRAY(Sintesi!$C$14),1,$C37))*($E37&lt;=INDEX(_xlfn.ANCHORARRAY(Sintesi!$C$15),1,$C37))*(INDEX(_xlfn.ANCHORARRAY(Sintesi!$C$15),1,$C37)&gt;0),1,IF(($E37&gt;=$E36)*($E37&lt;=$E38)*($E37&gt;INDEX(_xlfn.ANCHORARRAY(Sintesi!$C$14),1,$C37))*($E37&lt;INDEX(_xlfn.ANCHORARRAY(Sintesi!$C$16),1,$C37))*(INDEX(_xlfn.ANCHORARRAY(Sintesi!$C$15),1,$C37)&lt;0)+($E37&gt;=$E36)*($E37&lt;=$E38)*($E37&gt;INDEX(_xlfn.ANCHORARRAY(Sintesi!$C$15),1,$C37))*($E37&lt;INDEX(_xlfn.ANCHORARRAY(Sintesi!$C$16),1,$C37))*(INDEX(_xlfn.ANCHORARRAY(Sintesi!$C$15),1,$C37)&gt;0),2,IF($E37=(INDEX(_xlfn.ANCHORARRAY(Sintesi!$C$16),1,$C37)),3,4)))),0),IF($C37&gt;0,IF(($E37=INDEX(_xlfn.ANCHORARRAY(Sintesi!$C$14),1,$C37))*(INDEX(_xlfn.ANCHORARRAY(Sintesi!$C$15),1,$C37)&gt;0),0,IF(($E37=INDEX(_xlfn.ANCHORARRAY(Sintesi!$C$14),1,$C37))*(INDEX(_xlfn.ANCHORARRAY(Sintesi!$C$15),1,$C37)&lt;0)+($E37&gt;=LOOKUP(2,1/($E:$E&lt;&gt;""),$E:$E))*($E37&lt;=$E38)*($E37&gt;INDEX(_xlfn.ANCHORARRAY(Sintesi!$C$14),1,$C37))*($E37&lt;=INDEX(_xlfn.ANCHORARRAY(Sintesi!$C$15),1,$C37))*(INDEX(_xlfn.ANCHORARRAY(Sintesi!$C$15),1,$C37)&gt;0),1,IF(($E37&gt;=LOOKUP(2,1/($E:$E&lt;&gt;""),$E:$E))*($E37&lt;=$E38)*($E37&gt;INDEX(_xlfn.ANCHORARRAY(Sintesi!$C$14),1,$C37))*($E37&lt;INDEX(_xlfn.ANCHORARRAY(Sintesi!$C$16),1,$C37))*(INDEX(_xlfn.ANCHORARRAY(Sintesi!$C$15),1,$C37)&lt;0)+($E37&gt;=LOOKUP(2,1/($E:$E&lt;&gt;""),$E:$E))*($E37&lt;=$E38)*($E37&gt;INDEX(_xlfn.ANCHORARRAY(Sintesi!$C$15),1,$C37))*($E37&lt;INDEX(_xlfn.ANCHORARRAY(Sintesi!$C$16),1,$C37))*(INDEX(_xlfn.ANCHORARRAY(Sintesi!$C$15),1,$C37)&gt;0),2,IF($E37=(INDEX(_xlfn.ANCHORARRAY(Sintesi!$C$16),1,$C37)),3,4)))),0)))</f>
        <v/>
      </c>
      <c r="E37" s="1">
        <f>'Paste cell here'!F37</f>
        <v/>
      </c>
      <c r="F37" s="1">
        <f>'Paste cell here'!C37</f>
        <v/>
      </c>
      <c r="G37" s="1">
        <f>'Paste cell here'!D37</f>
        <v/>
      </c>
      <c r="H37" s="1">
        <f>'Paste cell here'!E37</f>
        <v/>
      </c>
      <c r="I37" s="1">
        <f>'Paste cell here'!X37</f>
        <v/>
      </c>
      <c r="J37" s="1">
        <f>'Paste cell here'!Y37+'Paste cell here'!S37</f>
        <v/>
      </c>
      <c r="K37" s="1">
        <f>I37/H37</f>
        <v/>
      </c>
      <c r="L37" s="1">
        <f>AVERAGE(($F37+$G37)/2-($F37-$G37)/2*COS(PI()*(8-VLOOKUP(MONTH(B37),$O$1:$Q$13,3))/(VLOOKUP(MONTH(B37),$O$1:$Q$13,2)-VLOOKUP(MONTH(B37),$O$1:$Q$13,3))),($F37+$G37)/2-($F37-$G37)/2*COS(PI()*(9-VLOOKUP(MONTH(B37),$O$1:$Q$13,3))/(VLOOKUP(MONTH(B37),$O$1:$Q$13,2)-VLOOKUP(MONTH(B37),$O$1:$Q$13,3))),($F37+$G37)/2-($F37-$G37)/2*COS(PI()*(10-VLOOKUP(MONTH(B37),$O$1:$Q$13,3))/(VLOOKUP(MONTH(B37),$O$1:$Q$13,2)-VLOOKUP(MONTH(B37),$O$1:$Q$13,3))),($F37+$G37)/2-($F37-$G37)/2*COS(PI()*(11-VLOOKUP(MONTH(B37),$O$1:$Q$13,3))/(VLOOKUP(MONTH(B37),$O$1:$Q$13,2)-VLOOKUP(MONTH(B37),$O$1:$Q$13,3))),($F37+$G37)/2-($F37-$G37)/2*COS(PI()*(12-VLOOKUP(MONTH(B37),$O$1:$Q$13,3))/(VLOOKUP(MONTH(B37),$O$1:$Q$13,2)-VLOOKUP(MONTH(B37),$O$1:$Q$13,3))),($F37+$G37)/2-($F37-$G37)/2*COS(PI()*(13-VLOOKUP(MONTH(B37),$O$1:$Q$13,3))/(VLOOKUP(MONTH(B37),$O$1:$Q$13,2)-VLOOKUP(MONTH(B37),$O$1:$Q$13,3))),($F37+$G37)/2-($F37-$G37)/2*COS(PI()*(14-VLOOKUP(MONTH(B37),$O$1:$Q$13,3))/(VLOOKUP(MONTH(B37),$O$1:$Q$13,2)-VLOOKUP(MONTH(B37),$O$1:$Q$13,3))))</f>
        <v/>
      </c>
      <c r="M37" s="1">
        <f t="array" ref="M37">IF(AND(A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,A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),IF(L37&lt;_xlfn.IFNA(INDEX(_xlfn.ANCHORARRAY(Sintesi!$C$17)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,1,IF(L37&gt;=_xlfn.IFNA(INDEX(_xlfn.ANCHORARRAY(Sintesi!$C$18)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,0,1-(L37-_xlfn.IFNA(INDEX(_xlfn.ANCHORARRAY(Sintesi!$C$17)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)/(_xlfn.IFNA(INDEX(_xlfn.ANCHORARRAY(Sintesi!$C$18)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-_xlfn.IFNA(INDEX(_xlfn.ANCHORARRAY(Sintesi!$C$17)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))),0)</f>
        <v/>
      </c>
    </row>
    <row r="38">
      <c r="A38" s="1">
        <f>'Paste cell here'!A38</f>
        <v/>
      </c>
      <c r="B38" s="2">
        <f>DATE(Sintesi!$C$4-1,12,31)+A38</f>
        <v/>
      </c>
      <c r="C38" s="34">
        <f t="array" ref="C38">_xlfn.IFNA(MATCH(1,(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)*(_xlfn.ANCHORARRAY(Sintesi!$C$15)&gt;=0)+(_xlfn.ANCHORARRAY(Sintesi!$C$15)&lt;0),0),0)</f>
        <v/>
      </c>
      <c r="D38" s="1">
        <f t="array" ref="D38">IF(ISBLANK($E39),IF(ISNUMBER($E37),IF($C38&gt;0,IF(($E38=INDEX(_xlfn.ANCHORARRAY(Sintesi!$C$14),1,$C38))*(INDEX(_xlfn.ANCHORARRAY(Sintesi!$C$15),1,$C38)&gt;0),0,IF(($E38=INDEX(_xlfn.ANCHORARRAY(Sintesi!$C$14),1,$C38))*(INDEX(_xlfn.ANCHORARRAY(Sintesi!$C$15),1,$C38)&lt;0)+($E38&gt;=$E37)*($E38&lt;=INDEX($E:$E,MATCH(TRUE,INDEX((ISNUMBER($E:$E)),0),0)))*($E38&gt;INDEX(_xlfn.ANCHORARRAY(Sintesi!$C$14),1,$C38))*($E38&lt;=INDEX(_xlfn.ANCHORARRAY(Sintesi!$C$15),1,$C38))*(INDEX(_xlfn.ANCHORARRAY(Sintesi!$C$15),1,$C38)&gt;0),1,IF(($E38&gt;=$E37)*($E38&lt;=INDEX($E:$E,MATCH(TRUE,INDEX((ISNUMBER($E:$E)),0),0)))*($E38&gt;INDEX(_xlfn.ANCHORARRAY(Sintesi!$C$14),1,$C38))*($E38&lt;INDEX(_xlfn.ANCHORARRAY(Sintesi!$C$16),1,$C38))*(INDEX(_xlfn.ANCHORARRAY(Sintesi!$C$15),1,$C38)&lt;0)+($E38&gt;=$E37)*($E38&lt;=INDEX($E:$E,MATCH(TRUE,INDEX((ISNUMBER($E:$E)),0),0)))*($E38&gt;INDEX(_xlfn.ANCHORARRAY(Sintesi!$C$15),1,$C38))*($E38&lt;INDEX(_xlfn.ANCHORARRAY(Sintesi!$C$16),1,$C38))*(INDEX(_xlfn.ANCHORARRAY(Sintesi!$C$15),1,$C38)&gt;0),2,IF($E38=(INDEX(_xlfn.ANCHORARRAY(Sintesi!$C$16),1,$C38)),3,4)))),0),IF($C38&gt;0,IF(($E38=INDEX(_xlfn.ANCHORARRAY(Sintesi!$C$14),1,$C38))*(INDEX(_xlfn.ANCHORARRAY(Sintesi!$C$15),1,$C38)&gt;0),0,IF(($E38=INDEX(_xlfn.ANCHORARRAY(Sintesi!$C$14),1,$C38))*(INDEX(_xlfn.ANCHORARRAY(Sintesi!$C$15),1,$C38)&lt;0)+($E38&gt;=LOOKUP(2,1/($E:$E&lt;&gt;""),$E:$E))*($E38&lt;=INDEX($E:$E,MATCH(TRUE,INDEX((ISNUMBER($E:$E)),0),0)))*($E38&gt;INDEX(_xlfn.ANCHORARRAY(Sintesi!$C$14),1,$C38))*($E38&lt;=INDEX(_xlfn.ANCHORARRAY(Sintesi!$C$15),1,$C38))*(INDEX(_xlfn.ANCHORARRAY(Sintesi!$C$15),1,$C38)&gt;0),1,IF(($E38&gt;=LOOKUP(2,1/($E:$E&lt;&gt;""),$E:$E))*($E38&lt;=INDEX($E:$E,MATCH(TRUE,INDEX((ISNUMBER($E:$E)),0),0)))*($E38&gt;INDEX(_xlfn.ANCHORARRAY(Sintesi!$C$14),1,$C38))*($E38&lt;INDEX(_xlfn.ANCHORARRAY(Sintesi!$C$16),1,$C38))*(INDEX(_xlfn.ANCHORARRAY(Sintesi!$C$15),1,$C38)&lt;0)+($E38&gt;=LOOKUP(2,1/($E:$E&lt;&gt;""),$E:$E))*($E38&lt;=INDEX($E:$E,MATCH(TRUE,INDEX((ISNUMBER($E:$E)),0),0)))*($E38&gt;INDEX(_xlfn.ANCHORARRAY(Sintesi!$C$15),1,$C38))*($E38&lt;INDEX(_xlfn.ANCHORARRAY(Sintesi!$C$16),1,$C38))*(INDEX(_xlfn.ANCHORARRAY(Sintesi!$C$15),1,$C38)&gt;0),2,IF($E38=(INDEX(_xlfn.ANCHORARRAY(Sintesi!$C$16),1,$C38)),3,4)))),0)),IF(ISNUMBER($E37),IF($C38&gt;0,IF(($E38=INDEX(_xlfn.ANCHORARRAY(Sintesi!$C$14),1,$C38))*(INDEX(_xlfn.ANCHORARRAY(Sintesi!$C$15),1,$C38)&gt;0),0,IF(($E38=INDEX(_xlfn.ANCHORARRAY(Sintesi!$C$14),1,$C38))*(INDEX(_xlfn.ANCHORARRAY(Sintesi!$C$15),1,$C38)&lt;0)+($E38&gt;=$E37)*($E38&lt;=$E39)*($E38&gt;INDEX(_xlfn.ANCHORARRAY(Sintesi!$C$14),1,$C38))*($E38&lt;=INDEX(_xlfn.ANCHORARRAY(Sintesi!$C$15),1,$C38))*(INDEX(_xlfn.ANCHORARRAY(Sintesi!$C$15),1,$C38)&gt;0),1,IF(($E38&gt;=$E37)*($E38&lt;=$E39)*($E38&gt;INDEX(_xlfn.ANCHORARRAY(Sintesi!$C$14),1,$C38))*($E38&lt;INDEX(_xlfn.ANCHORARRAY(Sintesi!$C$16),1,$C38))*(INDEX(_xlfn.ANCHORARRAY(Sintesi!$C$15),1,$C38)&lt;0)+($E38&gt;=$E37)*($E38&lt;=$E39)*($E38&gt;INDEX(_xlfn.ANCHORARRAY(Sintesi!$C$15),1,$C38))*($E38&lt;INDEX(_xlfn.ANCHORARRAY(Sintesi!$C$16),1,$C38))*(INDEX(_xlfn.ANCHORARRAY(Sintesi!$C$15),1,$C38)&gt;0),2,IF($E38=(INDEX(_xlfn.ANCHORARRAY(Sintesi!$C$16),1,$C38)),3,4)))),0),IF($C38&gt;0,IF(($E38=INDEX(_xlfn.ANCHORARRAY(Sintesi!$C$14),1,$C38))*(INDEX(_xlfn.ANCHORARRAY(Sintesi!$C$15),1,$C38)&gt;0),0,IF(($E38=INDEX(_xlfn.ANCHORARRAY(Sintesi!$C$14),1,$C38))*(INDEX(_xlfn.ANCHORARRAY(Sintesi!$C$15),1,$C38)&lt;0)+($E38&gt;=LOOKUP(2,1/($E:$E&lt;&gt;""),$E:$E))*($E38&lt;=$E39)*($E38&gt;INDEX(_xlfn.ANCHORARRAY(Sintesi!$C$14),1,$C38))*($E38&lt;=INDEX(_xlfn.ANCHORARRAY(Sintesi!$C$15),1,$C38))*(INDEX(_xlfn.ANCHORARRAY(Sintesi!$C$15),1,$C38)&gt;0),1,IF(($E38&gt;=LOOKUP(2,1/($E:$E&lt;&gt;""),$E:$E))*($E38&lt;=$E39)*($E38&gt;INDEX(_xlfn.ANCHORARRAY(Sintesi!$C$14),1,$C38))*($E38&lt;INDEX(_xlfn.ANCHORARRAY(Sintesi!$C$16),1,$C38))*(INDEX(_xlfn.ANCHORARRAY(Sintesi!$C$15),1,$C38)&lt;0)+($E38&gt;=LOOKUP(2,1/($E:$E&lt;&gt;""),$E:$E))*($E38&lt;=$E39)*($E38&gt;INDEX(_xlfn.ANCHORARRAY(Sintesi!$C$15),1,$C38))*($E38&lt;INDEX(_xlfn.ANCHORARRAY(Sintesi!$C$16),1,$C38))*(INDEX(_xlfn.ANCHORARRAY(Sintesi!$C$15),1,$C38)&gt;0),2,IF($E38=(INDEX(_xlfn.ANCHORARRAY(Sintesi!$C$16),1,$C38)),3,4)))),0)))</f>
        <v/>
      </c>
      <c r="E38" s="1">
        <f>'Paste cell here'!F38</f>
        <v/>
      </c>
      <c r="F38" s="1">
        <f>'Paste cell here'!C38</f>
        <v/>
      </c>
      <c r="G38" s="1">
        <f>'Paste cell here'!D38</f>
        <v/>
      </c>
      <c r="H38" s="1">
        <f>'Paste cell here'!E38</f>
        <v/>
      </c>
      <c r="I38" s="1">
        <f>'Paste cell here'!X38</f>
        <v/>
      </c>
      <c r="J38" s="1">
        <f>'Paste cell here'!Y38+'Paste cell here'!S38</f>
        <v/>
      </c>
      <c r="K38" s="1">
        <f>I38/H38</f>
        <v/>
      </c>
      <c r="L38" s="1">
        <f>AVERAGE(($F38+$G38)/2-($F38-$G38)/2*COS(PI()*(8-VLOOKUP(MONTH(B38),$O$1:$Q$13,3))/(VLOOKUP(MONTH(B38),$O$1:$Q$13,2)-VLOOKUP(MONTH(B38),$O$1:$Q$13,3))),($F38+$G38)/2-($F38-$G38)/2*COS(PI()*(9-VLOOKUP(MONTH(B38),$O$1:$Q$13,3))/(VLOOKUP(MONTH(B38),$O$1:$Q$13,2)-VLOOKUP(MONTH(B38),$O$1:$Q$13,3))),($F38+$G38)/2-($F38-$G38)/2*COS(PI()*(10-VLOOKUP(MONTH(B38),$O$1:$Q$13,3))/(VLOOKUP(MONTH(B38),$O$1:$Q$13,2)-VLOOKUP(MONTH(B38),$O$1:$Q$13,3))),($F38+$G38)/2-($F38-$G38)/2*COS(PI()*(11-VLOOKUP(MONTH(B38),$O$1:$Q$13,3))/(VLOOKUP(MONTH(B38),$O$1:$Q$13,2)-VLOOKUP(MONTH(B38),$O$1:$Q$13,3))),($F38+$G38)/2-($F38-$G38)/2*COS(PI()*(12-VLOOKUP(MONTH(B38),$O$1:$Q$13,3))/(VLOOKUP(MONTH(B38),$O$1:$Q$13,2)-VLOOKUP(MONTH(B38),$O$1:$Q$13,3))),($F38+$G38)/2-($F38-$G38)/2*COS(PI()*(13-VLOOKUP(MONTH(B38),$O$1:$Q$13,3))/(VLOOKUP(MONTH(B38),$O$1:$Q$13,2)-VLOOKUP(MONTH(B38),$O$1:$Q$13,3))),($F38+$G38)/2-($F38-$G38)/2*COS(PI()*(14-VLOOKUP(MONTH(B38),$O$1:$Q$13,3))/(VLOOKUP(MONTH(B38),$O$1:$Q$13,2)-VLOOKUP(MONTH(B38),$O$1:$Q$13,3))))</f>
        <v/>
      </c>
      <c r="M38" s="1">
        <f t="array" ref="M38">IF(AND(A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,A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),IF(L38&lt;_xlfn.IFNA(INDEX(_xlfn.ANCHORARRAY(Sintesi!$C$17)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,1,IF(L38&gt;=_xlfn.IFNA(INDEX(_xlfn.ANCHORARRAY(Sintesi!$C$18)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,0,1-(L38-_xlfn.IFNA(INDEX(_xlfn.ANCHORARRAY(Sintesi!$C$17)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)/(_xlfn.IFNA(INDEX(_xlfn.ANCHORARRAY(Sintesi!$C$18)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-_xlfn.IFNA(INDEX(_xlfn.ANCHORARRAY(Sintesi!$C$17)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))),0)</f>
        <v/>
      </c>
    </row>
    <row r="39">
      <c r="A39" s="1">
        <f>'Paste cell here'!A39</f>
        <v/>
      </c>
      <c r="B39" s="2">
        <f>DATE(Sintesi!$C$4-1,12,31)+A39</f>
        <v/>
      </c>
      <c r="C39" s="34">
        <f t="array" ref="C39">_xlfn.IFNA(MATCH(1,(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)*(_xlfn.ANCHORARRAY(Sintesi!$C$15)&gt;=0)+(_xlfn.ANCHORARRAY(Sintesi!$C$15)&lt;0),0),0)</f>
        <v/>
      </c>
      <c r="D39" s="1">
        <f t="array" ref="D39">IF(ISBLANK($E40),IF(ISNUMBER($E38),IF($C39&gt;0,IF(($E39=INDEX(_xlfn.ANCHORARRAY(Sintesi!$C$14),1,$C39))*(INDEX(_xlfn.ANCHORARRAY(Sintesi!$C$15),1,$C39)&gt;0),0,IF(($E39=INDEX(_xlfn.ANCHORARRAY(Sintesi!$C$14),1,$C39))*(INDEX(_xlfn.ANCHORARRAY(Sintesi!$C$15),1,$C39)&lt;0)+($E39&gt;=$E38)*($E39&lt;=INDEX($E:$E,MATCH(TRUE,INDEX((ISNUMBER($E:$E)),0),0)))*($E39&gt;INDEX(_xlfn.ANCHORARRAY(Sintesi!$C$14),1,$C39))*($E39&lt;=INDEX(_xlfn.ANCHORARRAY(Sintesi!$C$15),1,$C39))*(INDEX(_xlfn.ANCHORARRAY(Sintesi!$C$15),1,$C39)&gt;0),1,IF(($E39&gt;=$E38)*($E39&lt;=INDEX($E:$E,MATCH(TRUE,INDEX((ISNUMBER($E:$E)),0),0)))*($E39&gt;INDEX(_xlfn.ANCHORARRAY(Sintesi!$C$14),1,$C39))*($E39&lt;INDEX(_xlfn.ANCHORARRAY(Sintesi!$C$16),1,$C39))*(INDEX(_xlfn.ANCHORARRAY(Sintesi!$C$15),1,$C39)&lt;0)+($E39&gt;=$E38)*($E39&lt;=INDEX($E:$E,MATCH(TRUE,INDEX((ISNUMBER($E:$E)),0),0)))*($E39&gt;INDEX(_xlfn.ANCHORARRAY(Sintesi!$C$15),1,$C39))*($E39&lt;INDEX(_xlfn.ANCHORARRAY(Sintesi!$C$16),1,$C39))*(INDEX(_xlfn.ANCHORARRAY(Sintesi!$C$15),1,$C39)&gt;0),2,IF($E39=(INDEX(_xlfn.ANCHORARRAY(Sintesi!$C$16),1,$C39)),3,4)))),0),IF($C39&gt;0,IF(($E39=INDEX(_xlfn.ANCHORARRAY(Sintesi!$C$14),1,$C39))*(INDEX(_xlfn.ANCHORARRAY(Sintesi!$C$15),1,$C39)&gt;0),0,IF(($E39=INDEX(_xlfn.ANCHORARRAY(Sintesi!$C$14),1,$C39))*(INDEX(_xlfn.ANCHORARRAY(Sintesi!$C$15),1,$C39)&lt;0)+($E39&gt;=LOOKUP(2,1/($E:$E&lt;&gt;""),$E:$E))*($E39&lt;=INDEX($E:$E,MATCH(TRUE,INDEX((ISNUMBER($E:$E)),0),0)))*($E39&gt;INDEX(_xlfn.ANCHORARRAY(Sintesi!$C$14),1,$C39))*($E39&lt;=INDEX(_xlfn.ANCHORARRAY(Sintesi!$C$15),1,$C39))*(INDEX(_xlfn.ANCHORARRAY(Sintesi!$C$15),1,$C39)&gt;0),1,IF(($E39&gt;=LOOKUP(2,1/($E:$E&lt;&gt;""),$E:$E))*($E39&lt;=INDEX($E:$E,MATCH(TRUE,INDEX((ISNUMBER($E:$E)),0),0)))*($E39&gt;INDEX(_xlfn.ANCHORARRAY(Sintesi!$C$14),1,$C39))*($E39&lt;INDEX(_xlfn.ANCHORARRAY(Sintesi!$C$16),1,$C39))*(INDEX(_xlfn.ANCHORARRAY(Sintesi!$C$15),1,$C39)&lt;0)+($E39&gt;=LOOKUP(2,1/($E:$E&lt;&gt;""),$E:$E))*($E39&lt;=INDEX($E:$E,MATCH(TRUE,INDEX((ISNUMBER($E:$E)),0),0)))*($E39&gt;INDEX(_xlfn.ANCHORARRAY(Sintesi!$C$15),1,$C39))*($E39&lt;INDEX(_xlfn.ANCHORARRAY(Sintesi!$C$16),1,$C39))*(INDEX(_xlfn.ANCHORARRAY(Sintesi!$C$15),1,$C39)&gt;0),2,IF($E39=(INDEX(_xlfn.ANCHORARRAY(Sintesi!$C$16),1,$C39)),3,4)))),0)),IF(ISNUMBER($E38),IF($C39&gt;0,IF(($E39=INDEX(_xlfn.ANCHORARRAY(Sintesi!$C$14),1,$C39))*(INDEX(_xlfn.ANCHORARRAY(Sintesi!$C$15),1,$C39)&gt;0),0,IF(($E39=INDEX(_xlfn.ANCHORARRAY(Sintesi!$C$14),1,$C39))*(INDEX(_xlfn.ANCHORARRAY(Sintesi!$C$15),1,$C39)&lt;0)+($E39&gt;=$E38)*($E39&lt;=$E40)*($E39&gt;INDEX(_xlfn.ANCHORARRAY(Sintesi!$C$14),1,$C39))*($E39&lt;=INDEX(_xlfn.ANCHORARRAY(Sintesi!$C$15),1,$C39))*(INDEX(_xlfn.ANCHORARRAY(Sintesi!$C$15),1,$C39)&gt;0),1,IF(($E39&gt;=$E38)*($E39&lt;=$E40)*($E39&gt;INDEX(_xlfn.ANCHORARRAY(Sintesi!$C$14),1,$C39))*($E39&lt;INDEX(_xlfn.ANCHORARRAY(Sintesi!$C$16),1,$C39))*(INDEX(_xlfn.ANCHORARRAY(Sintesi!$C$15),1,$C39)&lt;0)+($E39&gt;=$E38)*($E39&lt;=$E40)*($E39&gt;INDEX(_xlfn.ANCHORARRAY(Sintesi!$C$15),1,$C39))*($E39&lt;INDEX(_xlfn.ANCHORARRAY(Sintesi!$C$16),1,$C39))*(INDEX(_xlfn.ANCHORARRAY(Sintesi!$C$15),1,$C39)&gt;0),2,IF($E39=(INDEX(_xlfn.ANCHORARRAY(Sintesi!$C$16),1,$C39)),3,4)))),0),IF($C39&gt;0,IF(($E39=INDEX(_xlfn.ANCHORARRAY(Sintesi!$C$14),1,$C39))*(INDEX(_xlfn.ANCHORARRAY(Sintesi!$C$15),1,$C39)&gt;0),0,IF(($E39=INDEX(_xlfn.ANCHORARRAY(Sintesi!$C$14),1,$C39))*(INDEX(_xlfn.ANCHORARRAY(Sintesi!$C$15),1,$C39)&lt;0)+($E39&gt;=LOOKUP(2,1/($E:$E&lt;&gt;""),$E:$E))*($E39&lt;=$E40)*($E39&gt;INDEX(_xlfn.ANCHORARRAY(Sintesi!$C$14),1,$C39))*($E39&lt;=INDEX(_xlfn.ANCHORARRAY(Sintesi!$C$15),1,$C39))*(INDEX(_xlfn.ANCHORARRAY(Sintesi!$C$15),1,$C39)&gt;0),1,IF(($E39&gt;=LOOKUP(2,1/($E:$E&lt;&gt;""),$E:$E))*($E39&lt;=$E40)*($E39&gt;INDEX(_xlfn.ANCHORARRAY(Sintesi!$C$14),1,$C39))*($E39&lt;INDEX(_xlfn.ANCHORARRAY(Sintesi!$C$16),1,$C39))*(INDEX(_xlfn.ANCHORARRAY(Sintesi!$C$15),1,$C39)&lt;0)+($E39&gt;=LOOKUP(2,1/($E:$E&lt;&gt;""),$E:$E))*($E39&lt;=$E40)*($E39&gt;INDEX(_xlfn.ANCHORARRAY(Sintesi!$C$15),1,$C39))*($E39&lt;INDEX(_xlfn.ANCHORARRAY(Sintesi!$C$16),1,$C39))*(INDEX(_xlfn.ANCHORARRAY(Sintesi!$C$15),1,$C39)&gt;0),2,IF($E39=(INDEX(_xlfn.ANCHORARRAY(Sintesi!$C$16),1,$C39)),3,4)))),0)))</f>
        <v/>
      </c>
      <c r="E39" s="1">
        <f>'Paste cell here'!F39</f>
        <v/>
      </c>
      <c r="F39" s="1">
        <f>'Paste cell here'!C39</f>
        <v/>
      </c>
      <c r="G39" s="1">
        <f>'Paste cell here'!D39</f>
        <v/>
      </c>
      <c r="H39" s="1">
        <f>'Paste cell here'!E39</f>
        <v/>
      </c>
      <c r="I39" s="1">
        <f>'Paste cell here'!X39</f>
        <v/>
      </c>
      <c r="J39" s="1">
        <f>'Paste cell here'!Y39+'Paste cell here'!S39</f>
        <v/>
      </c>
      <c r="K39" s="1">
        <f>I39/H39</f>
        <v/>
      </c>
      <c r="L39" s="1">
        <f>AVERAGE(($F39+$G39)/2-($F39-$G39)/2*COS(PI()*(8-VLOOKUP(MONTH(B39),$O$1:$Q$13,3))/(VLOOKUP(MONTH(B39),$O$1:$Q$13,2)-VLOOKUP(MONTH(B39),$O$1:$Q$13,3))),($F39+$G39)/2-($F39-$G39)/2*COS(PI()*(9-VLOOKUP(MONTH(B39),$O$1:$Q$13,3))/(VLOOKUP(MONTH(B39),$O$1:$Q$13,2)-VLOOKUP(MONTH(B39),$O$1:$Q$13,3))),($F39+$G39)/2-($F39-$G39)/2*COS(PI()*(10-VLOOKUP(MONTH(B39),$O$1:$Q$13,3))/(VLOOKUP(MONTH(B39),$O$1:$Q$13,2)-VLOOKUP(MONTH(B39),$O$1:$Q$13,3))),($F39+$G39)/2-($F39-$G39)/2*COS(PI()*(11-VLOOKUP(MONTH(B39),$O$1:$Q$13,3))/(VLOOKUP(MONTH(B39),$O$1:$Q$13,2)-VLOOKUP(MONTH(B39),$O$1:$Q$13,3))),($F39+$G39)/2-($F39-$G39)/2*COS(PI()*(12-VLOOKUP(MONTH(B39),$O$1:$Q$13,3))/(VLOOKUP(MONTH(B39),$O$1:$Q$13,2)-VLOOKUP(MONTH(B39),$O$1:$Q$13,3))),($F39+$G39)/2-($F39-$G39)/2*COS(PI()*(13-VLOOKUP(MONTH(B39),$O$1:$Q$13,3))/(VLOOKUP(MONTH(B39),$O$1:$Q$13,2)-VLOOKUP(MONTH(B39),$O$1:$Q$13,3))),($F39+$G39)/2-($F39-$G39)/2*COS(PI()*(14-VLOOKUP(MONTH(B39),$O$1:$Q$13,3))/(VLOOKUP(MONTH(B39),$O$1:$Q$13,2)-VLOOKUP(MONTH(B39),$O$1:$Q$13,3))))</f>
        <v/>
      </c>
      <c r="M39" s="1">
        <f t="array" ref="M39">IF(AND(A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,A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),IF(L39&lt;_xlfn.IFNA(INDEX(_xlfn.ANCHORARRAY(Sintesi!$C$17)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,1,IF(L39&gt;=_xlfn.IFNA(INDEX(_xlfn.ANCHORARRAY(Sintesi!$C$18)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,0,1-(L39-_xlfn.IFNA(INDEX(_xlfn.ANCHORARRAY(Sintesi!$C$17)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)/(_xlfn.IFNA(INDEX(_xlfn.ANCHORARRAY(Sintesi!$C$18)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-_xlfn.IFNA(INDEX(_xlfn.ANCHORARRAY(Sintesi!$C$17)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))),0)</f>
        <v/>
      </c>
    </row>
    <row r="40">
      <c r="A40" s="1">
        <f>'Paste cell here'!A40</f>
        <v/>
      </c>
      <c r="B40" s="2">
        <f>DATE(Sintesi!$C$4-1,12,31)+A40</f>
        <v/>
      </c>
      <c r="C40" s="34">
        <f t="array" ref="C40">_xlfn.IFNA(MATCH(1,(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)*(_xlfn.ANCHORARRAY(Sintesi!$C$15)&gt;=0)+(_xlfn.ANCHORARRAY(Sintesi!$C$15)&lt;0),0),0)</f>
        <v/>
      </c>
      <c r="D40" s="1">
        <f t="array" ref="D40">IF(ISBLANK($E41),IF(ISNUMBER($E39),IF($C40&gt;0,IF(($E40=INDEX(_xlfn.ANCHORARRAY(Sintesi!$C$14),1,$C40))*(INDEX(_xlfn.ANCHORARRAY(Sintesi!$C$15),1,$C40)&gt;0),0,IF(($E40=INDEX(_xlfn.ANCHORARRAY(Sintesi!$C$14),1,$C40))*(INDEX(_xlfn.ANCHORARRAY(Sintesi!$C$15),1,$C40)&lt;0)+($E40&gt;=$E39)*($E40&lt;=INDEX($E:$E,MATCH(TRUE,INDEX((ISNUMBER($E:$E)),0),0)))*($E40&gt;INDEX(_xlfn.ANCHORARRAY(Sintesi!$C$14),1,$C40))*($E40&lt;=INDEX(_xlfn.ANCHORARRAY(Sintesi!$C$15),1,$C40))*(INDEX(_xlfn.ANCHORARRAY(Sintesi!$C$15),1,$C40)&gt;0),1,IF(($E40&gt;=$E39)*($E40&lt;=INDEX($E:$E,MATCH(TRUE,INDEX((ISNUMBER($E:$E)),0),0)))*($E40&gt;INDEX(_xlfn.ANCHORARRAY(Sintesi!$C$14),1,$C40))*($E40&lt;INDEX(_xlfn.ANCHORARRAY(Sintesi!$C$16),1,$C40))*(INDEX(_xlfn.ANCHORARRAY(Sintesi!$C$15),1,$C40)&lt;0)+($E40&gt;=$E39)*($E40&lt;=INDEX($E:$E,MATCH(TRUE,INDEX((ISNUMBER($E:$E)),0),0)))*($E40&gt;INDEX(_xlfn.ANCHORARRAY(Sintesi!$C$15),1,$C40))*($E40&lt;INDEX(_xlfn.ANCHORARRAY(Sintesi!$C$16),1,$C40))*(INDEX(_xlfn.ANCHORARRAY(Sintesi!$C$15),1,$C40)&gt;0),2,IF($E40=(INDEX(_xlfn.ANCHORARRAY(Sintesi!$C$16),1,$C40)),3,4)))),0),IF($C40&gt;0,IF(($E40=INDEX(_xlfn.ANCHORARRAY(Sintesi!$C$14),1,$C40))*(INDEX(_xlfn.ANCHORARRAY(Sintesi!$C$15),1,$C40)&gt;0),0,IF(($E40=INDEX(_xlfn.ANCHORARRAY(Sintesi!$C$14),1,$C40))*(INDEX(_xlfn.ANCHORARRAY(Sintesi!$C$15),1,$C40)&lt;0)+($E40&gt;=LOOKUP(2,1/($E:$E&lt;&gt;""),$E:$E))*($E40&lt;=INDEX($E:$E,MATCH(TRUE,INDEX((ISNUMBER($E:$E)),0),0)))*($E40&gt;INDEX(_xlfn.ANCHORARRAY(Sintesi!$C$14),1,$C40))*($E40&lt;=INDEX(_xlfn.ANCHORARRAY(Sintesi!$C$15),1,$C40))*(INDEX(_xlfn.ANCHORARRAY(Sintesi!$C$15),1,$C40)&gt;0),1,IF(($E40&gt;=LOOKUP(2,1/($E:$E&lt;&gt;""),$E:$E))*($E40&lt;=INDEX($E:$E,MATCH(TRUE,INDEX((ISNUMBER($E:$E)),0),0)))*($E40&gt;INDEX(_xlfn.ANCHORARRAY(Sintesi!$C$14),1,$C40))*($E40&lt;INDEX(_xlfn.ANCHORARRAY(Sintesi!$C$16),1,$C40))*(INDEX(_xlfn.ANCHORARRAY(Sintesi!$C$15),1,$C40)&lt;0)+($E40&gt;=LOOKUP(2,1/($E:$E&lt;&gt;""),$E:$E))*($E40&lt;=INDEX($E:$E,MATCH(TRUE,INDEX((ISNUMBER($E:$E)),0),0)))*($E40&gt;INDEX(_xlfn.ANCHORARRAY(Sintesi!$C$15),1,$C40))*($E40&lt;INDEX(_xlfn.ANCHORARRAY(Sintesi!$C$16),1,$C40))*(INDEX(_xlfn.ANCHORARRAY(Sintesi!$C$15),1,$C40)&gt;0),2,IF($E40=(INDEX(_xlfn.ANCHORARRAY(Sintesi!$C$16),1,$C40)),3,4)))),0)),IF(ISNUMBER($E39),IF($C40&gt;0,IF(($E40=INDEX(_xlfn.ANCHORARRAY(Sintesi!$C$14),1,$C40))*(INDEX(_xlfn.ANCHORARRAY(Sintesi!$C$15),1,$C40)&gt;0),0,IF(($E40=INDEX(_xlfn.ANCHORARRAY(Sintesi!$C$14),1,$C40))*(INDEX(_xlfn.ANCHORARRAY(Sintesi!$C$15),1,$C40)&lt;0)+($E40&gt;=$E39)*($E40&lt;=$E41)*($E40&gt;INDEX(_xlfn.ANCHORARRAY(Sintesi!$C$14),1,$C40))*($E40&lt;=INDEX(_xlfn.ANCHORARRAY(Sintesi!$C$15),1,$C40))*(INDEX(_xlfn.ANCHORARRAY(Sintesi!$C$15),1,$C40)&gt;0),1,IF(($E40&gt;=$E39)*($E40&lt;=$E41)*($E40&gt;INDEX(_xlfn.ANCHORARRAY(Sintesi!$C$14),1,$C40))*($E40&lt;INDEX(_xlfn.ANCHORARRAY(Sintesi!$C$16),1,$C40))*(INDEX(_xlfn.ANCHORARRAY(Sintesi!$C$15),1,$C40)&lt;0)+($E40&gt;=$E39)*($E40&lt;=$E41)*($E40&gt;INDEX(_xlfn.ANCHORARRAY(Sintesi!$C$15),1,$C40))*($E40&lt;INDEX(_xlfn.ANCHORARRAY(Sintesi!$C$16),1,$C40))*(INDEX(_xlfn.ANCHORARRAY(Sintesi!$C$15),1,$C40)&gt;0),2,IF($E40=(INDEX(_xlfn.ANCHORARRAY(Sintesi!$C$16),1,$C40)),3,4)))),0),IF($C40&gt;0,IF(($E40=INDEX(_xlfn.ANCHORARRAY(Sintesi!$C$14),1,$C40))*(INDEX(_xlfn.ANCHORARRAY(Sintesi!$C$15),1,$C40)&gt;0),0,IF(($E40=INDEX(_xlfn.ANCHORARRAY(Sintesi!$C$14),1,$C40))*(INDEX(_xlfn.ANCHORARRAY(Sintesi!$C$15),1,$C40)&lt;0)+($E40&gt;=LOOKUP(2,1/($E:$E&lt;&gt;""),$E:$E))*($E40&lt;=$E41)*($E40&gt;INDEX(_xlfn.ANCHORARRAY(Sintesi!$C$14),1,$C40))*($E40&lt;=INDEX(_xlfn.ANCHORARRAY(Sintesi!$C$15),1,$C40))*(INDEX(_xlfn.ANCHORARRAY(Sintesi!$C$15),1,$C40)&gt;0),1,IF(($E40&gt;=LOOKUP(2,1/($E:$E&lt;&gt;""),$E:$E))*($E40&lt;=$E41)*($E40&gt;INDEX(_xlfn.ANCHORARRAY(Sintesi!$C$14),1,$C40))*($E40&lt;INDEX(_xlfn.ANCHORARRAY(Sintesi!$C$16),1,$C40))*(INDEX(_xlfn.ANCHORARRAY(Sintesi!$C$15),1,$C40)&lt;0)+($E40&gt;=LOOKUP(2,1/($E:$E&lt;&gt;""),$E:$E))*($E40&lt;=$E41)*($E40&gt;INDEX(_xlfn.ANCHORARRAY(Sintesi!$C$15),1,$C40))*($E40&lt;INDEX(_xlfn.ANCHORARRAY(Sintesi!$C$16),1,$C40))*(INDEX(_xlfn.ANCHORARRAY(Sintesi!$C$15),1,$C40)&gt;0),2,IF($E40=(INDEX(_xlfn.ANCHORARRAY(Sintesi!$C$16),1,$C40)),3,4)))),0)))</f>
        <v/>
      </c>
      <c r="E40" s="1">
        <f>'Paste cell here'!F40</f>
        <v/>
      </c>
      <c r="F40" s="1">
        <f>'Paste cell here'!C40</f>
        <v/>
      </c>
      <c r="G40" s="1">
        <f>'Paste cell here'!D40</f>
        <v/>
      </c>
      <c r="H40" s="1">
        <f>'Paste cell here'!E40</f>
        <v/>
      </c>
      <c r="I40" s="1">
        <f>'Paste cell here'!X40</f>
        <v/>
      </c>
      <c r="J40" s="1">
        <f>'Paste cell here'!Y40+'Paste cell here'!S40</f>
        <v/>
      </c>
      <c r="K40" s="1">
        <f>I40/H40</f>
        <v/>
      </c>
      <c r="L40" s="1">
        <f>AVERAGE(($F40+$G40)/2-($F40-$G40)/2*COS(PI()*(8-VLOOKUP(MONTH(B40),$O$1:$Q$13,3))/(VLOOKUP(MONTH(B40),$O$1:$Q$13,2)-VLOOKUP(MONTH(B40),$O$1:$Q$13,3))),($F40+$G40)/2-($F40-$G40)/2*COS(PI()*(9-VLOOKUP(MONTH(B40),$O$1:$Q$13,3))/(VLOOKUP(MONTH(B40),$O$1:$Q$13,2)-VLOOKUP(MONTH(B40),$O$1:$Q$13,3))),($F40+$G40)/2-($F40-$G40)/2*COS(PI()*(10-VLOOKUP(MONTH(B40),$O$1:$Q$13,3))/(VLOOKUP(MONTH(B40),$O$1:$Q$13,2)-VLOOKUP(MONTH(B40),$O$1:$Q$13,3))),($F40+$G40)/2-($F40-$G40)/2*COS(PI()*(11-VLOOKUP(MONTH(B40),$O$1:$Q$13,3))/(VLOOKUP(MONTH(B40),$O$1:$Q$13,2)-VLOOKUP(MONTH(B40),$O$1:$Q$13,3))),($F40+$G40)/2-($F40-$G40)/2*COS(PI()*(12-VLOOKUP(MONTH(B40),$O$1:$Q$13,3))/(VLOOKUP(MONTH(B40),$O$1:$Q$13,2)-VLOOKUP(MONTH(B40),$O$1:$Q$13,3))),($F40+$G40)/2-($F40-$G40)/2*COS(PI()*(13-VLOOKUP(MONTH(B40),$O$1:$Q$13,3))/(VLOOKUP(MONTH(B40),$O$1:$Q$13,2)-VLOOKUP(MONTH(B40),$O$1:$Q$13,3))),($F40+$G40)/2-($F40-$G40)/2*COS(PI()*(14-VLOOKUP(MONTH(B40),$O$1:$Q$13,3))/(VLOOKUP(MONTH(B40),$O$1:$Q$13,2)-VLOOKUP(MONTH(B40),$O$1:$Q$13,3))))</f>
        <v/>
      </c>
      <c r="M40" s="1">
        <f t="array" ref="M40">IF(AND(A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,A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),IF(L40&lt;_xlfn.IFNA(INDEX(_xlfn.ANCHORARRAY(Sintesi!$C$17)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,1,IF(L40&gt;=_xlfn.IFNA(INDEX(_xlfn.ANCHORARRAY(Sintesi!$C$18)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,0,1-(L40-_xlfn.IFNA(INDEX(_xlfn.ANCHORARRAY(Sintesi!$C$17)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)/(_xlfn.IFNA(INDEX(_xlfn.ANCHORARRAY(Sintesi!$C$18)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-_xlfn.IFNA(INDEX(_xlfn.ANCHORARRAY(Sintesi!$C$17)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))),0)</f>
        <v/>
      </c>
    </row>
    <row r="41">
      <c r="A41" s="1">
        <f>'Paste cell here'!A41</f>
        <v/>
      </c>
      <c r="B41" s="2">
        <f>DATE(Sintesi!$C$4-1,12,31)+A41</f>
        <v/>
      </c>
      <c r="C41" s="34">
        <f t="array" ref="C41">_xlfn.IFNA(MATCH(1,(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)*(_xlfn.ANCHORARRAY(Sintesi!$C$15)&gt;=0)+(_xlfn.ANCHORARRAY(Sintesi!$C$15)&lt;0),0),0)</f>
        <v/>
      </c>
      <c r="D41" s="1">
        <f t="array" ref="D41">IF(ISBLANK($E42),IF(ISNUMBER($E40),IF($C41&gt;0,IF(($E41=INDEX(_xlfn.ANCHORARRAY(Sintesi!$C$14),1,$C41))*(INDEX(_xlfn.ANCHORARRAY(Sintesi!$C$15),1,$C41)&gt;0),0,IF(($E41=INDEX(_xlfn.ANCHORARRAY(Sintesi!$C$14),1,$C41))*(INDEX(_xlfn.ANCHORARRAY(Sintesi!$C$15),1,$C41)&lt;0)+($E41&gt;=$E40)*($E41&lt;=INDEX($E:$E,MATCH(TRUE,INDEX((ISNUMBER($E:$E)),0),0)))*($E41&gt;INDEX(_xlfn.ANCHORARRAY(Sintesi!$C$14),1,$C41))*($E41&lt;=INDEX(_xlfn.ANCHORARRAY(Sintesi!$C$15),1,$C41))*(INDEX(_xlfn.ANCHORARRAY(Sintesi!$C$15),1,$C41)&gt;0),1,IF(($E41&gt;=$E40)*($E41&lt;=INDEX($E:$E,MATCH(TRUE,INDEX((ISNUMBER($E:$E)),0),0)))*($E41&gt;INDEX(_xlfn.ANCHORARRAY(Sintesi!$C$14),1,$C41))*($E41&lt;INDEX(_xlfn.ANCHORARRAY(Sintesi!$C$16),1,$C41))*(INDEX(_xlfn.ANCHORARRAY(Sintesi!$C$15),1,$C41)&lt;0)+($E41&gt;=$E40)*($E41&lt;=INDEX($E:$E,MATCH(TRUE,INDEX((ISNUMBER($E:$E)),0),0)))*($E41&gt;INDEX(_xlfn.ANCHORARRAY(Sintesi!$C$15),1,$C41))*($E41&lt;INDEX(_xlfn.ANCHORARRAY(Sintesi!$C$16),1,$C41))*(INDEX(_xlfn.ANCHORARRAY(Sintesi!$C$15),1,$C41)&gt;0),2,IF($E41=(INDEX(_xlfn.ANCHORARRAY(Sintesi!$C$16),1,$C41)),3,4)))),0),IF($C41&gt;0,IF(($E41=INDEX(_xlfn.ANCHORARRAY(Sintesi!$C$14),1,$C41))*(INDEX(_xlfn.ANCHORARRAY(Sintesi!$C$15),1,$C41)&gt;0),0,IF(($E41=INDEX(_xlfn.ANCHORARRAY(Sintesi!$C$14),1,$C41))*(INDEX(_xlfn.ANCHORARRAY(Sintesi!$C$15),1,$C41)&lt;0)+($E41&gt;=LOOKUP(2,1/($E:$E&lt;&gt;""),$E:$E))*($E41&lt;=INDEX($E:$E,MATCH(TRUE,INDEX((ISNUMBER($E:$E)),0),0)))*($E41&gt;INDEX(_xlfn.ANCHORARRAY(Sintesi!$C$14),1,$C41))*($E41&lt;=INDEX(_xlfn.ANCHORARRAY(Sintesi!$C$15),1,$C41))*(INDEX(_xlfn.ANCHORARRAY(Sintesi!$C$15),1,$C41)&gt;0),1,IF(($E41&gt;=LOOKUP(2,1/($E:$E&lt;&gt;""),$E:$E))*($E41&lt;=INDEX($E:$E,MATCH(TRUE,INDEX((ISNUMBER($E:$E)),0),0)))*($E41&gt;INDEX(_xlfn.ANCHORARRAY(Sintesi!$C$14),1,$C41))*($E41&lt;INDEX(_xlfn.ANCHORARRAY(Sintesi!$C$16),1,$C41))*(INDEX(_xlfn.ANCHORARRAY(Sintesi!$C$15),1,$C41)&lt;0)+($E41&gt;=LOOKUP(2,1/($E:$E&lt;&gt;""),$E:$E))*($E41&lt;=INDEX($E:$E,MATCH(TRUE,INDEX((ISNUMBER($E:$E)),0),0)))*($E41&gt;INDEX(_xlfn.ANCHORARRAY(Sintesi!$C$15),1,$C41))*($E41&lt;INDEX(_xlfn.ANCHORARRAY(Sintesi!$C$16),1,$C41))*(INDEX(_xlfn.ANCHORARRAY(Sintesi!$C$15),1,$C41)&gt;0),2,IF($E41=(INDEX(_xlfn.ANCHORARRAY(Sintesi!$C$16),1,$C41)),3,4)))),0)),IF(ISNUMBER($E40),IF($C41&gt;0,IF(($E41=INDEX(_xlfn.ANCHORARRAY(Sintesi!$C$14),1,$C41))*(INDEX(_xlfn.ANCHORARRAY(Sintesi!$C$15),1,$C41)&gt;0),0,IF(($E41=INDEX(_xlfn.ANCHORARRAY(Sintesi!$C$14),1,$C41))*(INDEX(_xlfn.ANCHORARRAY(Sintesi!$C$15),1,$C41)&lt;0)+($E41&gt;=$E40)*($E41&lt;=$E42)*($E41&gt;INDEX(_xlfn.ANCHORARRAY(Sintesi!$C$14),1,$C41))*($E41&lt;=INDEX(_xlfn.ANCHORARRAY(Sintesi!$C$15),1,$C41))*(INDEX(_xlfn.ANCHORARRAY(Sintesi!$C$15),1,$C41)&gt;0),1,IF(($E41&gt;=$E40)*($E41&lt;=$E42)*($E41&gt;INDEX(_xlfn.ANCHORARRAY(Sintesi!$C$14),1,$C41))*($E41&lt;INDEX(_xlfn.ANCHORARRAY(Sintesi!$C$16),1,$C41))*(INDEX(_xlfn.ANCHORARRAY(Sintesi!$C$15),1,$C41)&lt;0)+($E41&gt;=$E40)*($E41&lt;=$E42)*($E41&gt;INDEX(_xlfn.ANCHORARRAY(Sintesi!$C$15),1,$C41))*($E41&lt;INDEX(_xlfn.ANCHORARRAY(Sintesi!$C$16),1,$C41))*(INDEX(_xlfn.ANCHORARRAY(Sintesi!$C$15),1,$C41)&gt;0),2,IF($E41=(INDEX(_xlfn.ANCHORARRAY(Sintesi!$C$16),1,$C41)),3,4)))),0),IF($C41&gt;0,IF(($E41=INDEX(_xlfn.ANCHORARRAY(Sintesi!$C$14),1,$C41))*(INDEX(_xlfn.ANCHORARRAY(Sintesi!$C$15),1,$C41)&gt;0),0,IF(($E41=INDEX(_xlfn.ANCHORARRAY(Sintesi!$C$14),1,$C41))*(INDEX(_xlfn.ANCHORARRAY(Sintesi!$C$15),1,$C41)&lt;0)+($E41&gt;=LOOKUP(2,1/($E:$E&lt;&gt;""),$E:$E))*($E41&lt;=$E42)*($E41&gt;INDEX(_xlfn.ANCHORARRAY(Sintesi!$C$14),1,$C41))*($E41&lt;=INDEX(_xlfn.ANCHORARRAY(Sintesi!$C$15),1,$C41))*(INDEX(_xlfn.ANCHORARRAY(Sintesi!$C$15),1,$C41)&gt;0),1,IF(($E41&gt;=LOOKUP(2,1/($E:$E&lt;&gt;""),$E:$E))*($E41&lt;=$E42)*($E41&gt;INDEX(_xlfn.ANCHORARRAY(Sintesi!$C$14),1,$C41))*($E41&lt;INDEX(_xlfn.ANCHORARRAY(Sintesi!$C$16),1,$C41))*(INDEX(_xlfn.ANCHORARRAY(Sintesi!$C$15),1,$C41)&lt;0)+($E41&gt;=LOOKUP(2,1/($E:$E&lt;&gt;""),$E:$E))*($E41&lt;=$E42)*($E41&gt;INDEX(_xlfn.ANCHORARRAY(Sintesi!$C$15),1,$C41))*($E41&lt;INDEX(_xlfn.ANCHORARRAY(Sintesi!$C$16),1,$C41))*(INDEX(_xlfn.ANCHORARRAY(Sintesi!$C$15),1,$C41)&gt;0),2,IF($E41=(INDEX(_xlfn.ANCHORARRAY(Sintesi!$C$16),1,$C41)),3,4)))),0)))</f>
        <v/>
      </c>
      <c r="E41" s="1">
        <f>'Paste cell here'!F41</f>
        <v/>
      </c>
      <c r="F41" s="1">
        <f>'Paste cell here'!C41</f>
        <v/>
      </c>
      <c r="G41" s="1">
        <f>'Paste cell here'!D41</f>
        <v/>
      </c>
      <c r="H41" s="1">
        <f>'Paste cell here'!E41</f>
        <v/>
      </c>
      <c r="I41" s="1">
        <f>'Paste cell here'!X41</f>
        <v/>
      </c>
      <c r="J41" s="1">
        <f>'Paste cell here'!Y41+'Paste cell here'!S41</f>
        <v/>
      </c>
      <c r="K41" s="1">
        <f>I41/H41</f>
        <v/>
      </c>
      <c r="L41" s="1">
        <f>AVERAGE(($F41+$G41)/2-($F41-$G41)/2*COS(PI()*(8-VLOOKUP(MONTH(B41),$O$1:$Q$13,3))/(VLOOKUP(MONTH(B41),$O$1:$Q$13,2)-VLOOKUP(MONTH(B41),$O$1:$Q$13,3))),($F41+$G41)/2-($F41-$G41)/2*COS(PI()*(9-VLOOKUP(MONTH(B41),$O$1:$Q$13,3))/(VLOOKUP(MONTH(B41),$O$1:$Q$13,2)-VLOOKUP(MONTH(B41),$O$1:$Q$13,3))),($F41+$G41)/2-($F41-$G41)/2*COS(PI()*(10-VLOOKUP(MONTH(B41),$O$1:$Q$13,3))/(VLOOKUP(MONTH(B41),$O$1:$Q$13,2)-VLOOKUP(MONTH(B41),$O$1:$Q$13,3))),($F41+$G41)/2-($F41-$G41)/2*COS(PI()*(11-VLOOKUP(MONTH(B41),$O$1:$Q$13,3))/(VLOOKUP(MONTH(B41),$O$1:$Q$13,2)-VLOOKUP(MONTH(B41),$O$1:$Q$13,3))),($F41+$G41)/2-($F41-$G41)/2*COS(PI()*(12-VLOOKUP(MONTH(B41),$O$1:$Q$13,3))/(VLOOKUP(MONTH(B41),$O$1:$Q$13,2)-VLOOKUP(MONTH(B41),$O$1:$Q$13,3))),($F41+$G41)/2-($F41-$G41)/2*COS(PI()*(13-VLOOKUP(MONTH(B41),$O$1:$Q$13,3))/(VLOOKUP(MONTH(B41),$O$1:$Q$13,2)-VLOOKUP(MONTH(B41),$O$1:$Q$13,3))),($F41+$G41)/2-($F41-$G41)/2*COS(PI()*(14-VLOOKUP(MONTH(B41),$O$1:$Q$13,3))/(VLOOKUP(MONTH(B41),$O$1:$Q$13,2)-VLOOKUP(MONTH(B41),$O$1:$Q$13,3))))</f>
        <v/>
      </c>
      <c r="M41" s="1">
        <f t="array" ref="M41">IF(AND(A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,A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),IF(L41&lt;_xlfn.IFNA(INDEX(_xlfn.ANCHORARRAY(Sintesi!$C$17)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,1,IF(L41&gt;=_xlfn.IFNA(INDEX(_xlfn.ANCHORARRAY(Sintesi!$C$18)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,0,1-(L41-_xlfn.IFNA(INDEX(_xlfn.ANCHORARRAY(Sintesi!$C$17)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)/(_xlfn.IFNA(INDEX(_xlfn.ANCHORARRAY(Sintesi!$C$18)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-_xlfn.IFNA(INDEX(_xlfn.ANCHORARRAY(Sintesi!$C$17)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))),0)</f>
        <v/>
      </c>
    </row>
    <row r="42">
      <c r="A42" s="1">
        <f>'Paste cell here'!A42</f>
        <v/>
      </c>
      <c r="B42" s="2">
        <f>DATE(Sintesi!$C$4-1,12,31)+A42</f>
        <v/>
      </c>
      <c r="C42" s="34">
        <f t="array" ref="C42">_xlfn.IFNA(MATCH(1,(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)*(_xlfn.ANCHORARRAY(Sintesi!$C$15)&gt;=0)+(_xlfn.ANCHORARRAY(Sintesi!$C$15)&lt;0),0),0)</f>
        <v/>
      </c>
      <c r="D42" s="1">
        <f t="array" ref="D42">IF(ISBLANK($E43),IF(ISNUMBER($E41),IF($C42&gt;0,IF(($E42=INDEX(_xlfn.ANCHORARRAY(Sintesi!$C$14),1,$C42))*(INDEX(_xlfn.ANCHORARRAY(Sintesi!$C$15),1,$C42)&gt;0),0,IF(($E42=INDEX(_xlfn.ANCHORARRAY(Sintesi!$C$14),1,$C42))*(INDEX(_xlfn.ANCHORARRAY(Sintesi!$C$15),1,$C42)&lt;0)+($E42&gt;=$E41)*($E42&lt;=INDEX($E:$E,MATCH(TRUE,INDEX((ISNUMBER($E:$E)),0),0)))*($E42&gt;INDEX(_xlfn.ANCHORARRAY(Sintesi!$C$14),1,$C42))*($E42&lt;=INDEX(_xlfn.ANCHORARRAY(Sintesi!$C$15),1,$C42))*(INDEX(_xlfn.ANCHORARRAY(Sintesi!$C$15),1,$C42)&gt;0),1,IF(($E42&gt;=$E41)*($E42&lt;=INDEX($E:$E,MATCH(TRUE,INDEX((ISNUMBER($E:$E)),0),0)))*($E42&gt;INDEX(_xlfn.ANCHORARRAY(Sintesi!$C$14),1,$C42))*($E42&lt;INDEX(_xlfn.ANCHORARRAY(Sintesi!$C$16),1,$C42))*(INDEX(_xlfn.ANCHORARRAY(Sintesi!$C$15),1,$C42)&lt;0)+($E42&gt;=$E41)*($E42&lt;=INDEX($E:$E,MATCH(TRUE,INDEX((ISNUMBER($E:$E)),0),0)))*($E42&gt;INDEX(_xlfn.ANCHORARRAY(Sintesi!$C$15),1,$C42))*($E42&lt;INDEX(_xlfn.ANCHORARRAY(Sintesi!$C$16),1,$C42))*(INDEX(_xlfn.ANCHORARRAY(Sintesi!$C$15),1,$C42)&gt;0),2,IF($E42=(INDEX(_xlfn.ANCHORARRAY(Sintesi!$C$16),1,$C42)),3,4)))),0),IF($C42&gt;0,IF(($E42=INDEX(_xlfn.ANCHORARRAY(Sintesi!$C$14),1,$C42))*(INDEX(_xlfn.ANCHORARRAY(Sintesi!$C$15),1,$C42)&gt;0),0,IF(($E42=INDEX(_xlfn.ANCHORARRAY(Sintesi!$C$14),1,$C42))*(INDEX(_xlfn.ANCHORARRAY(Sintesi!$C$15),1,$C42)&lt;0)+($E42&gt;=LOOKUP(2,1/($E:$E&lt;&gt;""),$E:$E))*($E42&lt;=INDEX($E:$E,MATCH(TRUE,INDEX((ISNUMBER($E:$E)),0),0)))*($E42&gt;INDEX(_xlfn.ANCHORARRAY(Sintesi!$C$14),1,$C42))*($E42&lt;=INDEX(_xlfn.ANCHORARRAY(Sintesi!$C$15),1,$C42))*(INDEX(_xlfn.ANCHORARRAY(Sintesi!$C$15),1,$C42)&gt;0),1,IF(($E42&gt;=LOOKUP(2,1/($E:$E&lt;&gt;""),$E:$E))*($E42&lt;=INDEX($E:$E,MATCH(TRUE,INDEX((ISNUMBER($E:$E)),0),0)))*($E42&gt;INDEX(_xlfn.ANCHORARRAY(Sintesi!$C$14),1,$C42))*($E42&lt;INDEX(_xlfn.ANCHORARRAY(Sintesi!$C$16),1,$C42))*(INDEX(_xlfn.ANCHORARRAY(Sintesi!$C$15),1,$C42)&lt;0)+($E42&gt;=LOOKUP(2,1/($E:$E&lt;&gt;""),$E:$E))*($E42&lt;=INDEX($E:$E,MATCH(TRUE,INDEX((ISNUMBER($E:$E)),0),0)))*($E42&gt;INDEX(_xlfn.ANCHORARRAY(Sintesi!$C$15),1,$C42))*($E42&lt;INDEX(_xlfn.ANCHORARRAY(Sintesi!$C$16),1,$C42))*(INDEX(_xlfn.ANCHORARRAY(Sintesi!$C$15),1,$C42)&gt;0),2,IF($E42=(INDEX(_xlfn.ANCHORARRAY(Sintesi!$C$16),1,$C42)),3,4)))),0)),IF(ISNUMBER($E41),IF($C42&gt;0,IF(($E42=INDEX(_xlfn.ANCHORARRAY(Sintesi!$C$14),1,$C42))*(INDEX(_xlfn.ANCHORARRAY(Sintesi!$C$15),1,$C42)&gt;0),0,IF(($E42=INDEX(_xlfn.ANCHORARRAY(Sintesi!$C$14),1,$C42))*(INDEX(_xlfn.ANCHORARRAY(Sintesi!$C$15),1,$C42)&lt;0)+($E42&gt;=$E41)*($E42&lt;=$E43)*($E42&gt;INDEX(_xlfn.ANCHORARRAY(Sintesi!$C$14),1,$C42))*($E42&lt;=INDEX(_xlfn.ANCHORARRAY(Sintesi!$C$15),1,$C42))*(INDEX(_xlfn.ANCHORARRAY(Sintesi!$C$15),1,$C42)&gt;0),1,IF(($E42&gt;=$E41)*($E42&lt;=$E43)*($E42&gt;INDEX(_xlfn.ANCHORARRAY(Sintesi!$C$14),1,$C42))*($E42&lt;INDEX(_xlfn.ANCHORARRAY(Sintesi!$C$16),1,$C42))*(INDEX(_xlfn.ANCHORARRAY(Sintesi!$C$15),1,$C42)&lt;0)+($E42&gt;=$E41)*($E42&lt;=$E43)*($E42&gt;INDEX(_xlfn.ANCHORARRAY(Sintesi!$C$15),1,$C42))*($E42&lt;INDEX(_xlfn.ANCHORARRAY(Sintesi!$C$16),1,$C42))*(INDEX(_xlfn.ANCHORARRAY(Sintesi!$C$15),1,$C42)&gt;0),2,IF($E42=(INDEX(_xlfn.ANCHORARRAY(Sintesi!$C$16),1,$C42)),3,4)))),0),IF($C42&gt;0,IF(($E42=INDEX(_xlfn.ANCHORARRAY(Sintesi!$C$14),1,$C42))*(INDEX(_xlfn.ANCHORARRAY(Sintesi!$C$15),1,$C42)&gt;0),0,IF(($E42=INDEX(_xlfn.ANCHORARRAY(Sintesi!$C$14),1,$C42))*(INDEX(_xlfn.ANCHORARRAY(Sintesi!$C$15),1,$C42)&lt;0)+($E42&gt;=LOOKUP(2,1/($E:$E&lt;&gt;""),$E:$E))*($E42&lt;=$E43)*($E42&gt;INDEX(_xlfn.ANCHORARRAY(Sintesi!$C$14),1,$C42))*($E42&lt;=INDEX(_xlfn.ANCHORARRAY(Sintesi!$C$15),1,$C42))*(INDEX(_xlfn.ANCHORARRAY(Sintesi!$C$15),1,$C42)&gt;0),1,IF(($E42&gt;=LOOKUP(2,1/($E:$E&lt;&gt;""),$E:$E))*($E42&lt;=$E43)*($E42&gt;INDEX(_xlfn.ANCHORARRAY(Sintesi!$C$14),1,$C42))*($E42&lt;INDEX(_xlfn.ANCHORARRAY(Sintesi!$C$16),1,$C42))*(INDEX(_xlfn.ANCHORARRAY(Sintesi!$C$15),1,$C42)&lt;0)+($E42&gt;=LOOKUP(2,1/($E:$E&lt;&gt;""),$E:$E))*($E42&lt;=$E43)*($E42&gt;INDEX(_xlfn.ANCHORARRAY(Sintesi!$C$15),1,$C42))*($E42&lt;INDEX(_xlfn.ANCHORARRAY(Sintesi!$C$16),1,$C42))*(INDEX(_xlfn.ANCHORARRAY(Sintesi!$C$15),1,$C42)&gt;0),2,IF($E42=(INDEX(_xlfn.ANCHORARRAY(Sintesi!$C$16),1,$C42)),3,4)))),0)))</f>
        <v/>
      </c>
      <c r="E42" s="1">
        <f>'Paste cell here'!F42</f>
        <v/>
      </c>
      <c r="F42" s="1">
        <f>'Paste cell here'!C42</f>
        <v/>
      </c>
      <c r="G42" s="1">
        <f>'Paste cell here'!D42</f>
        <v/>
      </c>
      <c r="H42" s="1">
        <f>'Paste cell here'!E42</f>
        <v/>
      </c>
      <c r="I42" s="1">
        <f>'Paste cell here'!X42</f>
        <v/>
      </c>
      <c r="J42" s="1">
        <f>'Paste cell here'!Y42+'Paste cell here'!S42</f>
        <v/>
      </c>
      <c r="K42" s="1">
        <f>I42/H42</f>
        <v/>
      </c>
      <c r="L42" s="1">
        <f>AVERAGE(($F42+$G42)/2-($F42-$G42)/2*COS(PI()*(8-VLOOKUP(MONTH(B42),$O$1:$Q$13,3))/(VLOOKUP(MONTH(B42),$O$1:$Q$13,2)-VLOOKUP(MONTH(B42),$O$1:$Q$13,3))),($F42+$G42)/2-($F42-$G42)/2*COS(PI()*(9-VLOOKUP(MONTH(B42),$O$1:$Q$13,3))/(VLOOKUP(MONTH(B42),$O$1:$Q$13,2)-VLOOKUP(MONTH(B42),$O$1:$Q$13,3))),($F42+$G42)/2-($F42-$G42)/2*COS(PI()*(10-VLOOKUP(MONTH(B42),$O$1:$Q$13,3))/(VLOOKUP(MONTH(B42),$O$1:$Q$13,2)-VLOOKUP(MONTH(B42),$O$1:$Q$13,3))),($F42+$G42)/2-($F42-$G42)/2*COS(PI()*(11-VLOOKUP(MONTH(B42),$O$1:$Q$13,3))/(VLOOKUP(MONTH(B42),$O$1:$Q$13,2)-VLOOKUP(MONTH(B42),$O$1:$Q$13,3))),($F42+$G42)/2-($F42-$G42)/2*COS(PI()*(12-VLOOKUP(MONTH(B42),$O$1:$Q$13,3))/(VLOOKUP(MONTH(B42),$O$1:$Q$13,2)-VLOOKUP(MONTH(B42),$O$1:$Q$13,3))),($F42+$G42)/2-($F42-$G42)/2*COS(PI()*(13-VLOOKUP(MONTH(B42),$O$1:$Q$13,3))/(VLOOKUP(MONTH(B42),$O$1:$Q$13,2)-VLOOKUP(MONTH(B42),$O$1:$Q$13,3))),($F42+$G42)/2-($F42-$G42)/2*COS(PI()*(14-VLOOKUP(MONTH(B42),$O$1:$Q$13,3))/(VLOOKUP(MONTH(B42),$O$1:$Q$13,2)-VLOOKUP(MONTH(B42),$O$1:$Q$13,3))))</f>
        <v/>
      </c>
      <c r="M42" s="1">
        <f t="array" ref="M42">IF(AND(A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,A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),IF(L42&lt;_xlfn.IFNA(INDEX(_xlfn.ANCHORARRAY(Sintesi!$C$17)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,1,IF(L42&gt;=_xlfn.IFNA(INDEX(_xlfn.ANCHORARRAY(Sintesi!$C$18)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,0,1-(L42-_xlfn.IFNA(INDEX(_xlfn.ANCHORARRAY(Sintesi!$C$17)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)/(_xlfn.IFNA(INDEX(_xlfn.ANCHORARRAY(Sintesi!$C$18)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-_xlfn.IFNA(INDEX(_xlfn.ANCHORARRAY(Sintesi!$C$17)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))),0)</f>
        <v/>
      </c>
    </row>
    <row r="43">
      <c r="A43" s="1">
        <f>'Paste cell here'!A43</f>
        <v/>
      </c>
      <c r="B43" s="2">
        <f>DATE(Sintesi!$C$4-1,12,31)+A43</f>
        <v/>
      </c>
      <c r="C43" s="34">
        <f t="array" ref="C43">_xlfn.IFNA(MATCH(1,(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)*(_xlfn.ANCHORARRAY(Sintesi!$C$15)&gt;=0)+(_xlfn.ANCHORARRAY(Sintesi!$C$15)&lt;0),0),0)</f>
        <v/>
      </c>
      <c r="D43" s="1">
        <f t="array" ref="D43">IF(ISBLANK($E44),IF(ISNUMBER($E42),IF($C43&gt;0,IF(($E43=INDEX(_xlfn.ANCHORARRAY(Sintesi!$C$14),1,$C43))*(INDEX(_xlfn.ANCHORARRAY(Sintesi!$C$15),1,$C43)&gt;0),0,IF(($E43=INDEX(_xlfn.ANCHORARRAY(Sintesi!$C$14),1,$C43))*(INDEX(_xlfn.ANCHORARRAY(Sintesi!$C$15),1,$C43)&lt;0)+($E43&gt;=$E42)*($E43&lt;=INDEX($E:$E,MATCH(TRUE,INDEX((ISNUMBER($E:$E)),0),0)))*($E43&gt;INDEX(_xlfn.ANCHORARRAY(Sintesi!$C$14),1,$C43))*($E43&lt;=INDEX(_xlfn.ANCHORARRAY(Sintesi!$C$15),1,$C43))*(INDEX(_xlfn.ANCHORARRAY(Sintesi!$C$15),1,$C43)&gt;0),1,IF(($E43&gt;=$E42)*($E43&lt;=INDEX($E:$E,MATCH(TRUE,INDEX((ISNUMBER($E:$E)),0),0)))*($E43&gt;INDEX(_xlfn.ANCHORARRAY(Sintesi!$C$14),1,$C43))*($E43&lt;INDEX(_xlfn.ANCHORARRAY(Sintesi!$C$16),1,$C43))*(INDEX(_xlfn.ANCHORARRAY(Sintesi!$C$15),1,$C43)&lt;0)+($E43&gt;=$E42)*($E43&lt;=INDEX($E:$E,MATCH(TRUE,INDEX((ISNUMBER($E:$E)),0),0)))*($E43&gt;INDEX(_xlfn.ANCHORARRAY(Sintesi!$C$15),1,$C43))*($E43&lt;INDEX(_xlfn.ANCHORARRAY(Sintesi!$C$16),1,$C43))*(INDEX(_xlfn.ANCHORARRAY(Sintesi!$C$15),1,$C43)&gt;0),2,IF($E43=(INDEX(_xlfn.ANCHORARRAY(Sintesi!$C$16),1,$C43)),3,4)))),0),IF($C43&gt;0,IF(($E43=INDEX(_xlfn.ANCHORARRAY(Sintesi!$C$14),1,$C43))*(INDEX(_xlfn.ANCHORARRAY(Sintesi!$C$15),1,$C43)&gt;0),0,IF(($E43=INDEX(_xlfn.ANCHORARRAY(Sintesi!$C$14),1,$C43))*(INDEX(_xlfn.ANCHORARRAY(Sintesi!$C$15),1,$C43)&lt;0)+($E43&gt;=LOOKUP(2,1/($E:$E&lt;&gt;""),$E:$E))*($E43&lt;=INDEX($E:$E,MATCH(TRUE,INDEX((ISNUMBER($E:$E)),0),0)))*($E43&gt;INDEX(_xlfn.ANCHORARRAY(Sintesi!$C$14),1,$C43))*($E43&lt;=INDEX(_xlfn.ANCHORARRAY(Sintesi!$C$15),1,$C43))*(INDEX(_xlfn.ANCHORARRAY(Sintesi!$C$15),1,$C43)&gt;0),1,IF(($E43&gt;=LOOKUP(2,1/($E:$E&lt;&gt;""),$E:$E))*($E43&lt;=INDEX($E:$E,MATCH(TRUE,INDEX((ISNUMBER($E:$E)),0),0)))*($E43&gt;INDEX(_xlfn.ANCHORARRAY(Sintesi!$C$14),1,$C43))*($E43&lt;INDEX(_xlfn.ANCHORARRAY(Sintesi!$C$16),1,$C43))*(INDEX(_xlfn.ANCHORARRAY(Sintesi!$C$15),1,$C43)&lt;0)+($E43&gt;=LOOKUP(2,1/($E:$E&lt;&gt;""),$E:$E))*($E43&lt;=INDEX($E:$E,MATCH(TRUE,INDEX((ISNUMBER($E:$E)),0),0)))*($E43&gt;INDEX(_xlfn.ANCHORARRAY(Sintesi!$C$15),1,$C43))*($E43&lt;INDEX(_xlfn.ANCHORARRAY(Sintesi!$C$16),1,$C43))*(INDEX(_xlfn.ANCHORARRAY(Sintesi!$C$15),1,$C43)&gt;0),2,IF($E43=(INDEX(_xlfn.ANCHORARRAY(Sintesi!$C$16),1,$C43)),3,4)))),0)),IF(ISNUMBER($E42),IF($C43&gt;0,IF(($E43=INDEX(_xlfn.ANCHORARRAY(Sintesi!$C$14),1,$C43))*(INDEX(_xlfn.ANCHORARRAY(Sintesi!$C$15),1,$C43)&gt;0),0,IF(($E43=INDEX(_xlfn.ANCHORARRAY(Sintesi!$C$14),1,$C43))*(INDEX(_xlfn.ANCHORARRAY(Sintesi!$C$15),1,$C43)&lt;0)+($E43&gt;=$E42)*($E43&lt;=$E44)*($E43&gt;INDEX(_xlfn.ANCHORARRAY(Sintesi!$C$14),1,$C43))*($E43&lt;=INDEX(_xlfn.ANCHORARRAY(Sintesi!$C$15),1,$C43))*(INDEX(_xlfn.ANCHORARRAY(Sintesi!$C$15),1,$C43)&gt;0),1,IF(($E43&gt;=$E42)*($E43&lt;=$E44)*($E43&gt;INDEX(_xlfn.ANCHORARRAY(Sintesi!$C$14),1,$C43))*($E43&lt;INDEX(_xlfn.ANCHORARRAY(Sintesi!$C$16),1,$C43))*(INDEX(_xlfn.ANCHORARRAY(Sintesi!$C$15),1,$C43)&lt;0)+($E43&gt;=$E42)*($E43&lt;=$E44)*($E43&gt;INDEX(_xlfn.ANCHORARRAY(Sintesi!$C$15),1,$C43))*($E43&lt;INDEX(_xlfn.ANCHORARRAY(Sintesi!$C$16),1,$C43))*(INDEX(_xlfn.ANCHORARRAY(Sintesi!$C$15),1,$C43)&gt;0),2,IF($E43=(INDEX(_xlfn.ANCHORARRAY(Sintesi!$C$16),1,$C43)),3,4)))),0),IF($C43&gt;0,IF(($E43=INDEX(_xlfn.ANCHORARRAY(Sintesi!$C$14),1,$C43))*(INDEX(_xlfn.ANCHORARRAY(Sintesi!$C$15),1,$C43)&gt;0),0,IF(($E43=INDEX(_xlfn.ANCHORARRAY(Sintesi!$C$14),1,$C43))*(INDEX(_xlfn.ANCHORARRAY(Sintesi!$C$15),1,$C43)&lt;0)+($E43&gt;=LOOKUP(2,1/($E:$E&lt;&gt;""),$E:$E))*($E43&lt;=$E44)*($E43&gt;INDEX(_xlfn.ANCHORARRAY(Sintesi!$C$14),1,$C43))*($E43&lt;=INDEX(_xlfn.ANCHORARRAY(Sintesi!$C$15),1,$C43))*(INDEX(_xlfn.ANCHORARRAY(Sintesi!$C$15),1,$C43)&gt;0),1,IF(($E43&gt;=LOOKUP(2,1/($E:$E&lt;&gt;""),$E:$E))*($E43&lt;=$E44)*($E43&gt;INDEX(_xlfn.ANCHORARRAY(Sintesi!$C$14),1,$C43))*($E43&lt;INDEX(_xlfn.ANCHORARRAY(Sintesi!$C$16),1,$C43))*(INDEX(_xlfn.ANCHORARRAY(Sintesi!$C$15),1,$C43)&lt;0)+($E43&gt;=LOOKUP(2,1/($E:$E&lt;&gt;""),$E:$E))*($E43&lt;=$E44)*($E43&gt;INDEX(_xlfn.ANCHORARRAY(Sintesi!$C$15),1,$C43))*($E43&lt;INDEX(_xlfn.ANCHORARRAY(Sintesi!$C$16),1,$C43))*(INDEX(_xlfn.ANCHORARRAY(Sintesi!$C$15),1,$C43)&gt;0),2,IF($E43=(INDEX(_xlfn.ANCHORARRAY(Sintesi!$C$16),1,$C43)),3,4)))),0)))</f>
        <v/>
      </c>
      <c r="E43" s="1">
        <f>'Paste cell here'!F43</f>
        <v/>
      </c>
      <c r="F43" s="1">
        <f>'Paste cell here'!C43</f>
        <v/>
      </c>
      <c r="G43" s="1">
        <f>'Paste cell here'!D43</f>
        <v/>
      </c>
      <c r="H43" s="1">
        <f>'Paste cell here'!E43</f>
        <v/>
      </c>
      <c r="I43" s="1">
        <f>'Paste cell here'!X43</f>
        <v/>
      </c>
      <c r="J43" s="1">
        <f>'Paste cell here'!Y43+'Paste cell here'!S43</f>
        <v/>
      </c>
      <c r="K43" s="1">
        <f>I43/H43</f>
        <v/>
      </c>
      <c r="L43" s="1">
        <f>AVERAGE(($F43+$G43)/2-($F43-$G43)/2*COS(PI()*(8-VLOOKUP(MONTH(B43),$O$1:$Q$13,3))/(VLOOKUP(MONTH(B43),$O$1:$Q$13,2)-VLOOKUP(MONTH(B43),$O$1:$Q$13,3))),($F43+$G43)/2-($F43-$G43)/2*COS(PI()*(9-VLOOKUP(MONTH(B43),$O$1:$Q$13,3))/(VLOOKUP(MONTH(B43),$O$1:$Q$13,2)-VLOOKUP(MONTH(B43),$O$1:$Q$13,3))),($F43+$G43)/2-($F43-$G43)/2*COS(PI()*(10-VLOOKUP(MONTH(B43),$O$1:$Q$13,3))/(VLOOKUP(MONTH(B43),$O$1:$Q$13,2)-VLOOKUP(MONTH(B43),$O$1:$Q$13,3))),($F43+$G43)/2-($F43-$G43)/2*COS(PI()*(11-VLOOKUP(MONTH(B43),$O$1:$Q$13,3))/(VLOOKUP(MONTH(B43),$O$1:$Q$13,2)-VLOOKUP(MONTH(B43),$O$1:$Q$13,3))),($F43+$G43)/2-($F43-$G43)/2*COS(PI()*(12-VLOOKUP(MONTH(B43),$O$1:$Q$13,3))/(VLOOKUP(MONTH(B43),$O$1:$Q$13,2)-VLOOKUP(MONTH(B43),$O$1:$Q$13,3))),($F43+$G43)/2-($F43-$G43)/2*COS(PI()*(13-VLOOKUP(MONTH(B43),$O$1:$Q$13,3))/(VLOOKUP(MONTH(B43),$O$1:$Q$13,2)-VLOOKUP(MONTH(B43),$O$1:$Q$13,3))),($F43+$G43)/2-($F43-$G43)/2*COS(PI()*(14-VLOOKUP(MONTH(B43),$O$1:$Q$13,3))/(VLOOKUP(MONTH(B43),$O$1:$Q$13,2)-VLOOKUP(MONTH(B43),$O$1:$Q$13,3))))</f>
        <v/>
      </c>
      <c r="M43" s="1">
        <f t="array" ref="M43">IF(AND(A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,A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),IF(L43&lt;_xlfn.IFNA(INDEX(_xlfn.ANCHORARRAY(Sintesi!$C$17)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,1,IF(L43&gt;=_xlfn.IFNA(INDEX(_xlfn.ANCHORARRAY(Sintesi!$C$18)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,0,1-(L43-_xlfn.IFNA(INDEX(_xlfn.ANCHORARRAY(Sintesi!$C$17)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)/(_xlfn.IFNA(INDEX(_xlfn.ANCHORARRAY(Sintesi!$C$18)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-_xlfn.IFNA(INDEX(_xlfn.ANCHORARRAY(Sintesi!$C$17)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))),0)</f>
        <v/>
      </c>
    </row>
    <row r="44">
      <c r="A44" s="1">
        <f>'Paste cell here'!A44</f>
        <v/>
      </c>
      <c r="B44" s="2">
        <f>DATE(Sintesi!$C$4-1,12,31)+A44</f>
        <v/>
      </c>
      <c r="C44" s="34">
        <f t="array" ref="C44">_xlfn.IFNA(MATCH(1,(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)*(_xlfn.ANCHORARRAY(Sintesi!$C$15)&gt;=0)+(_xlfn.ANCHORARRAY(Sintesi!$C$15)&lt;0),0),0)</f>
        <v/>
      </c>
      <c r="D44" s="1">
        <f t="array" ref="D44">IF(ISBLANK($E45),IF(ISNUMBER($E43),IF($C44&gt;0,IF(($E44=INDEX(_xlfn.ANCHORARRAY(Sintesi!$C$14),1,$C44))*(INDEX(_xlfn.ANCHORARRAY(Sintesi!$C$15),1,$C44)&gt;0),0,IF(($E44=INDEX(_xlfn.ANCHORARRAY(Sintesi!$C$14),1,$C44))*(INDEX(_xlfn.ANCHORARRAY(Sintesi!$C$15),1,$C44)&lt;0)+($E44&gt;=$E43)*($E44&lt;=INDEX($E:$E,MATCH(TRUE,INDEX((ISNUMBER($E:$E)),0),0)))*($E44&gt;INDEX(_xlfn.ANCHORARRAY(Sintesi!$C$14),1,$C44))*($E44&lt;=INDEX(_xlfn.ANCHORARRAY(Sintesi!$C$15),1,$C44))*(INDEX(_xlfn.ANCHORARRAY(Sintesi!$C$15),1,$C44)&gt;0),1,IF(($E44&gt;=$E43)*($E44&lt;=INDEX($E:$E,MATCH(TRUE,INDEX((ISNUMBER($E:$E)),0),0)))*($E44&gt;INDEX(_xlfn.ANCHORARRAY(Sintesi!$C$14),1,$C44))*($E44&lt;INDEX(_xlfn.ANCHORARRAY(Sintesi!$C$16),1,$C44))*(INDEX(_xlfn.ANCHORARRAY(Sintesi!$C$15),1,$C44)&lt;0)+($E44&gt;=$E43)*($E44&lt;=INDEX($E:$E,MATCH(TRUE,INDEX((ISNUMBER($E:$E)),0),0)))*($E44&gt;INDEX(_xlfn.ANCHORARRAY(Sintesi!$C$15),1,$C44))*($E44&lt;INDEX(_xlfn.ANCHORARRAY(Sintesi!$C$16),1,$C44))*(INDEX(_xlfn.ANCHORARRAY(Sintesi!$C$15),1,$C44)&gt;0),2,IF($E44=(INDEX(_xlfn.ANCHORARRAY(Sintesi!$C$16),1,$C44)),3,4)))),0),IF($C44&gt;0,IF(($E44=INDEX(_xlfn.ANCHORARRAY(Sintesi!$C$14),1,$C44))*(INDEX(_xlfn.ANCHORARRAY(Sintesi!$C$15),1,$C44)&gt;0),0,IF(($E44=INDEX(_xlfn.ANCHORARRAY(Sintesi!$C$14),1,$C44))*(INDEX(_xlfn.ANCHORARRAY(Sintesi!$C$15),1,$C44)&lt;0)+($E44&gt;=LOOKUP(2,1/($E:$E&lt;&gt;""),$E:$E))*($E44&lt;=INDEX($E:$E,MATCH(TRUE,INDEX((ISNUMBER($E:$E)),0),0)))*($E44&gt;INDEX(_xlfn.ANCHORARRAY(Sintesi!$C$14),1,$C44))*($E44&lt;=INDEX(_xlfn.ANCHORARRAY(Sintesi!$C$15),1,$C44))*(INDEX(_xlfn.ANCHORARRAY(Sintesi!$C$15),1,$C44)&gt;0),1,IF(($E44&gt;=LOOKUP(2,1/($E:$E&lt;&gt;""),$E:$E))*($E44&lt;=INDEX($E:$E,MATCH(TRUE,INDEX((ISNUMBER($E:$E)),0),0)))*($E44&gt;INDEX(_xlfn.ANCHORARRAY(Sintesi!$C$14),1,$C44))*($E44&lt;INDEX(_xlfn.ANCHORARRAY(Sintesi!$C$16),1,$C44))*(INDEX(_xlfn.ANCHORARRAY(Sintesi!$C$15),1,$C44)&lt;0)+($E44&gt;=LOOKUP(2,1/($E:$E&lt;&gt;""),$E:$E))*($E44&lt;=INDEX($E:$E,MATCH(TRUE,INDEX((ISNUMBER($E:$E)),0),0)))*($E44&gt;INDEX(_xlfn.ANCHORARRAY(Sintesi!$C$15),1,$C44))*($E44&lt;INDEX(_xlfn.ANCHORARRAY(Sintesi!$C$16),1,$C44))*(INDEX(_xlfn.ANCHORARRAY(Sintesi!$C$15),1,$C44)&gt;0),2,IF($E44=(INDEX(_xlfn.ANCHORARRAY(Sintesi!$C$16),1,$C44)),3,4)))),0)),IF(ISNUMBER($E43),IF($C44&gt;0,IF(($E44=INDEX(_xlfn.ANCHORARRAY(Sintesi!$C$14),1,$C44))*(INDEX(_xlfn.ANCHORARRAY(Sintesi!$C$15),1,$C44)&gt;0),0,IF(($E44=INDEX(_xlfn.ANCHORARRAY(Sintesi!$C$14),1,$C44))*(INDEX(_xlfn.ANCHORARRAY(Sintesi!$C$15),1,$C44)&lt;0)+($E44&gt;=$E43)*($E44&lt;=$E45)*($E44&gt;INDEX(_xlfn.ANCHORARRAY(Sintesi!$C$14),1,$C44))*($E44&lt;=INDEX(_xlfn.ANCHORARRAY(Sintesi!$C$15),1,$C44))*(INDEX(_xlfn.ANCHORARRAY(Sintesi!$C$15),1,$C44)&gt;0),1,IF(($E44&gt;=$E43)*($E44&lt;=$E45)*($E44&gt;INDEX(_xlfn.ANCHORARRAY(Sintesi!$C$14),1,$C44))*($E44&lt;INDEX(_xlfn.ANCHORARRAY(Sintesi!$C$16),1,$C44))*(INDEX(_xlfn.ANCHORARRAY(Sintesi!$C$15),1,$C44)&lt;0)+($E44&gt;=$E43)*($E44&lt;=$E45)*($E44&gt;INDEX(_xlfn.ANCHORARRAY(Sintesi!$C$15),1,$C44))*($E44&lt;INDEX(_xlfn.ANCHORARRAY(Sintesi!$C$16),1,$C44))*(INDEX(_xlfn.ANCHORARRAY(Sintesi!$C$15),1,$C44)&gt;0),2,IF($E44=(INDEX(_xlfn.ANCHORARRAY(Sintesi!$C$16),1,$C44)),3,4)))),0),IF($C44&gt;0,IF(($E44=INDEX(_xlfn.ANCHORARRAY(Sintesi!$C$14),1,$C44))*(INDEX(_xlfn.ANCHORARRAY(Sintesi!$C$15),1,$C44)&gt;0),0,IF(($E44=INDEX(_xlfn.ANCHORARRAY(Sintesi!$C$14),1,$C44))*(INDEX(_xlfn.ANCHORARRAY(Sintesi!$C$15),1,$C44)&lt;0)+($E44&gt;=LOOKUP(2,1/($E:$E&lt;&gt;""),$E:$E))*($E44&lt;=$E45)*($E44&gt;INDEX(_xlfn.ANCHORARRAY(Sintesi!$C$14),1,$C44))*($E44&lt;=INDEX(_xlfn.ANCHORARRAY(Sintesi!$C$15),1,$C44))*(INDEX(_xlfn.ANCHORARRAY(Sintesi!$C$15),1,$C44)&gt;0),1,IF(($E44&gt;=LOOKUP(2,1/($E:$E&lt;&gt;""),$E:$E))*($E44&lt;=$E45)*($E44&gt;INDEX(_xlfn.ANCHORARRAY(Sintesi!$C$14),1,$C44))*($E44&lt;INDEX(_xlfn.ANCHORARRAY(Sintesi!$C$16),1,$C44))*(INDEX(_xlfn.ANCHORARRAY(Sintesi!$C$15),1,$C44)&lt;0)+($E44&gt;=LOOKUP(2,1/($E:$E&lt;&gt;""),$E:$E))*($E44&lt;=$E45)*($E44&gt;INDEX(_xlfn.ANCHORARRAY(Sintesi!$C$15),1,$C44))*($E44&lt;INDEX(_xlfn.ANCHORARRAY(Sintesi!$C$16),1,$C44))*(INDEX(_xlfn.ANCHORARRAY(Sintesi!$C$15),1,$C44)&gt;0),2,IF($E44=(INDEX(_xlfn.ANCHORARRAY(Sintesi!$C$16),1,$C44)),3,4)))),0)))</f>
        <v/>
      </c>
      <c r="E44" s="1">
        <f>'Paste cell here'!F44</f>
        <v/>
      </c>
      <c r="F44" s="1">
        <f>'Paste cell here'!C44</f>
        <v/>
      </c>
      <c r="G44" s="1">
        <f>'Paste cell here'!D44</f>
        <v/>
      </c>
      <c r="H44" s="1">
        <f>'Paste cell here'!E44</f>
        <v/>
      </c>
      <c r="I44" s="1">
        <f>'Paste cell here'!X44</f>
        <v/>
      </c>
      <c r="J44" s="1">
        <f>'Paste cell here'!Y44+'Paste cell here'!S44</f>
        <v/>
      </c>
      <c r="K44" s="1">
        <f>I44/H44</f>
        <v/>
      </c>
      <c r="L44" s="1">
        <f>AVERAGE(($F44+$G44)/2-($F44-$G44)/2*COS(PI()*(8-VLOOKUP(MONTH(B44),$O$1:$Q$13,3))/(VLOOKUP(MONTH(B44),$O$1:$Q$13,2)-VLOOKUP(MONTH(B44),$O$1:$Q$13,3))),($F44+$G44)/2-($F44-$G44)/2*COS(PI()*(9-VLOOKUP(MONTH(B44),$O$1:$Q$13,3))/(VLOOKUP(MONTH(B44),$O$1:$Q$13,2)-VLOOKUP(MONTH(B44),$O$1:$Q$13,3))),($F44+$G44)/2-($F44-$G44)/2*COS(PI()*(10-VLOOKUP(MONTH(B44),$O$1:$Q$13,3))/(VLOOKUP(MONTH(B44),$O$1:$Q$13,2)-VLOOKUP(MONTH(B44),$O$1:$Q$13,3))),($F44+$G44)/2-($F44-$G44)/2*COS(PI()*(11-VLOOKUP(MONTH(B44),$O$1:$Q$13,3))/(VLOOKUP(MONTH(B44),$O$1:$Q$13,2)-VLOOKUP(MONTH(B44),$O$1:$Q$13,3))),($F44+$G44)/2-($F44-$G44)/2*COS(PI()*(12-VLOOKUP(MONTH(B44),$O$1:$Q$13,3))/(VLOOKUP(MONTH(B44),$O$1:$Q$13,2)-VLOOKUP(MONTH(B44),$O$1:$Q$13,3))),($F44+$G44)/2-($F44-$G44)/2*COS(PI()*(13-VLOOKUP(MONTH(B44),$O$1:$Q$13,3))/(VLOOKUP(MONTH(B44),$O$1:$Q$13,2)-VLOOKUP(MONTH(B44),$O$1:$Q$13,3))),($F44+$G44)/2-($F44-$G44)/2*COS(PI()*(14-VLOOKUP(MONTH(B44),$O$1:$Q$13,3))/(VLOOKUP(MONTH(B44),$O$1:$Q$13,2)-VLOOKUP(MONTH(B44),$O$1:$Q$13,3))))</f>
        <v/>
      </c>
      <c r="M44" s="1">
        <f t="array" ref="M44">IF(AND(A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,A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),IF(L44&lt;_xlfn.IFNA(INDEX(_xlfn.ANCHORARRAY(Sintesi!$C$17)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,1,IF(L44&gt;=_xlfn.IFNA(INDEX(_xlfn.ANCHORARRAY(Sintesi!$C$18)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,0,1-(L44-_xlfn.IFNA(INDEX(_xlfn.ANCHORARRAY(Sintesi!$C$17)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)/(_xlfn.IFNA(INDEX(_xlfn.ANCHORARRAY(Sintesi!$C$18)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-_xlfn.IFNA(INDEX(_xlfn.ANCHORARRAY(Sintesi!$C$17)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))),0)</f>
        <v/>
      </c>
    </row>
    <row r="45">
      <c r="A45" s="1">
        <f>'Paste cell here'!A45</f>
        <v/>
      </c>
      <c r="B45" s="2">
        <f>DATE(Sintesi!$C$4-1,12,31)+A45</f>
        <v/>
      </c>
      <c r="C45" s="34">
        <f t="array" ref="C45">_xlfn.IFNA(MATCH(1,(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)*(_xlfn.ANCHORARRAY(Sintesi!$C$15)&gt;=0)+(_xlfn.ANCHORARRAY(Sintesi!$C$15)&lt;0),0),0)</f>
        <v/>
      </c>
      <c r="D45" s="1">
        <f t="array" ref="D45">IF(ISBLANK($E46),IF(ISNUMBER($E44),IF($C45&gt;0,IF(($E45=INDEX(_xlfn.ANCHORARRAY(Sintesi!$C$14),1,$C45))*(INDEX(_xlfn.ANCHORARRAY(Sintesi!$C$15),1,$C45)&gt;0),0,IF(($E45=INDEX(_xlfn.ANCHORARRAY(Sintesi!$C$14),1,$C45))*(INDEX(_xlfn.ANCHORARRAY(Sintesi!$C$15),1,$C45)&lt;0)+($E45&gt;=$E44)*($E45&lt;=INDEX($E:$E,MATCH(TRUE,INDEX((ISNUMBER($E:$E)),0),0)))*($E45&gt;INDEX(_xlfn.ANCHORARRAY(Sintesi!$C$14),1,$C45))*($E45&lt;=INDEX(_xlfn.ANCHORARRAY(Sintesi!$C$15),1,$C45))*(INDEX(_xlfn.ANCHORARRAY(Sintesi!$C$15),1,$C45)&gt;0),1,IF(($E45&gt;=$E44)*($E45&lt;=INDEX($E:$E,MATCH(TRUE,INDEX((ISNUMBER($E:$E)),0),0)))*($E45&gt;INDEX(_xlfn.ANCHORARRAY(Sintesi!$C$14),1,$C45))*($E45&lt;INDEX(_xlfn.ANCHORARRAY(Sintesi!$C$16),1,$C45))*(INDEX(_xlfn.ANCHORARRAY(Sintesi!$C$15),1,$C45)&lt;0)+($E45&gt;=$E44)*($E45&lt;=INDEX($E:$E,MATCH(TRUE,INDEX((ISNUMBER($E:$E)),0),0)))*($E45&gt;INDEX(_xlfn.ANCHORARRAY(Sintesi!$C$15),1,$C45))*($E45&lt;INDEX(_xlfn.ANCHORARRAY(Sintesi!$C$16),1,$C45))*(INDEX(_xlfn.ANCHORARRAY(Sintesi!$C$15),1,$C45)&gt;0),2,IF($E45=(INDEX(_xlfn.ANCHORARRAY(Sintesi!$C$16),1,$C45)),3,4)))),0),IF($C45&gt;0,IF(($E45=INDEX(_xlfn.ANCHORARRAY(Sintesi!$C$14),1,$C45))*(INDEX(_xlfn.ANCHORARRAY(Sintesi!$C$15),1,$C45)&gt;0),0,IF(($E45=INDEX(_xlfn.ANCHORARRAY(Sintesi!$C$14),1,$C45))*(INDEX(_xlfn.ANCHORARRAY(Sintesi!$C$15),1,$C45)&lt;0)+($E45&gt;=LOOKUP(2,1/($E:$E&lt;&gt;""),$E:$E))*($E45&lt;=INDEX($E:$E,MATCH(TRUE,INDEX((ISNUMBER($E:$E)),0),0)))*($E45&gt;INDEX(_xlfn.ANCHORARRAY(Sintesi!$C$14),1,$C45))*($E45&lt;=INDEX(_xlfn.ANCHORARRAY(Sintesi!$C$15),1,$C45))*(INDEX(_xlfn.ANCHORARRAY(Sintesi!$C$15),1,$C45)&gt;0),1,IF(($E45&gt;=LOOKUP(2,1/($E:$E&lt;&gt;""),$E:$E))*($E45&lt;=INDEX($E:$E,MATCH(TRUE,INDEX((ISNUMBER($E:$E)),0),0)))*($E45&gt;INDEX(_xlfn.ANCHORARRAY(Sintesi!$C$14),1,$C45))*($E45&lt;INDEX(_xlfn.ANCHORARRAY(Sintesi!$C$16),1,$C45))*(INDEX(_xlfn.ANCHORARRAY(Sintesi!$C$15),1,$C45)&lt;0)+($E45&gt;=LOOKUP(2,1/($E:$E&lt;&gt;""),$E:$E))*($E45&lt;=INDEX($E:$E,MATCH(TRUE,INDEX((ISNUMBER($E:$E)),0),0)))*($E45&gt;INDEX(_xlfn.ANCHORARRAY(Sintesi!$C$15),1,$C45))*($E45&lt;INDEX(_xlfn.ANCHORARRAY(Sintesi!$C$16),1,$C45))*(INDEX(_xlfn.ANCHORARRAY(Sintesi!$C$15),1,$C45)&gt;0),2,IF($E45=(INDEX(_xlfn.ANCHORARRAY(Sintesi!$C$16),1,$C45)),3,4)))),0)),IF(ISNUMBER($E44),IF($C45&gt;0,IF(($E45=INDEX(_xlfn.ANCHORARRAY(Sintesi!$C$14),1,$C45))*(INDEX(_xlfn.ANCHORARRAY(Sintesi!$C$15),1,$C45)&gt;0),0,IF(($E45=INDEX(_xlfn.ANCHORARRAY(Sintesi!$C$14),1,$C45))*(INDEX(_xlfn.ANCHORARRAY(Sintesi!$C$15),1,$C45)&lt;0)+($E45&gt;=$E44)*($E45&lt;=$E46)*($E45&gt;INDEX(_xlfn.ANCHORARRAY(Sintesi!$C$14),1,$C45))*($E45&lt;=INDEX(_xlfn.ANCHORARRAY(Sintesi!$C$15),1,$C45))*(INDEX(_xlfn.ANCHORARRAY(Sintesi!$C$15),1,$C45)&gt;0),1,IF(($E45&gt;=$E44)*($E45&lt;=$E46)*($E45&gt;INDEX(_xlfn.ANCHORARRAY(Sintesi!$C$14),1,$C45))*($E45&lt;INDEX(_xlfn.ANCHORARRAY(Sintesi!$C$16),1,$C45))*(INDEX(_xlfn.ANCHORARRAY(Sintesi!$C$15),1,$C45)&lt;0)+($E45&gt;=$E44)*($E45&lt;=$E46)*($E45&gt;INDEX(_xlfn.ANCHORARRAY(Sintesi!$C$15),1,$C45))*($E45&lt;INDEX(_xlfn.ANCHORARRAY(Sintesi!$C$16),1,$C45))*(INDEX(_xlfn.ANCHORARRAY(Sintesi!$C$15),1,$C45)&gt;0),2,IF($E45=(INDEX(_xlfn.ANCHORARRAY(Sintesi!$C$16),1,$C45)),3,4)))),0),IF($C45&gt;0,IF(($E45=INDEX(_xlfn.ANCHORARRAY(Sintesi!$C$14),1,$C45))*(INDEX(_xlfn.ANCHORARRAY(Sintesi!$C$15),1,$C45)&gt;0),0,IF(($E45=INDEX(_xlfn.ANCHORARRAY(Sintesi!$C$14),1,$C45))*(INDEX(_xlfn.ANCHORARRAY(Sintesi!$C$15),1,$C45)&lt;0)+($E45&gt;=LOOKUP(2,1/($E:$E&lt;&gt;""),$E:$E))*($E45&lt;=$E46)*($E45&gt;INDEX(_xlfn.ANCHORARRAY(Sintesi!$C$14),1,$C45))*($E45&lt;=INDEX(_xlfn.ANCHORARRAY(Sintesi!$C$15),1,$C45))*(INDEX(_xlfn.ANCHORARRAY(Sintesi!$C$15),1,$C45)&gt;0),1,IF(($E45&gt;=LOOKUP(2,1/($E:$E&lt;&gt;""),$E:$E))*($E45&lt;=$E46)*($E45&gt;INDEX(_xlfn.ANCHORARRAY(Sintesi!$C$14),1,$C45))*($E45&lt;INDEX(_xlfn.ANCHORARRAY(Sintesi!$C$16),1,$C45))*(INDEX(_xlfn.ANCHORARRAY(Sintesi!$C$15),1,$C45)&lt;0)+($E45&gt;=LOOKUP(2,1/($E:$E&lt;&gt;""),$E:$E))*($E45&lt;=$E46)*($E45&gt;INDEX(_xlfn.ANCHORARRAY(Sintesi!$C$15),1,$C45))*($E45&lt;INDEX(_xlfn.ANCHORARRAY(Sintesi!$C$16),1,$C45))*(INDEX(_xlfn.ANCHORARRAY(Sintesi!$C$15),1,$C45)&gt;0),2,IF($E45=(INDEX(_xlfn.ANCHORARRAY(Sintesi!$C$16),1,$C45)),3,4)))),0)))</f>
        <v/>
      </c>
      <c r="E45" s="1">
        <f>'Paste cell here'!F45</f>
        <v/>
      </c>
      <c r="F45" s="1">
        <f>'Paste cell here'!C45</f>
        <v/>
      </c>
      <c r="G45" s="1">
        <f>'Paste cell here'!D45</f>
        <v/>
      </c>
      <c r="H45" s="1">
        <f>'Paste cell here'!E45</f>
        <v/>
      </c>
      <c r="I45" s="1">
        <f>'Paste cell here'!X45</f>
        <v/>
      </c>
      <c r="J45" s="1">
        <f>'Paste cell here'!Y45+'Paste cell here'!S45</f>
        <v/>
      </c>
      <c r="K45" s="1">
        <f>I45/H45</f>
        <v/>
      </c>
      <c r="L45" s="1">
        <f>AVERAGE(($F45+$G45)/2-($F45-$G45)/2*COS(PI()*(8-VLOOKUP(MONTH(B45),$O$1:$Q$13,3))/(VLOOKUP(MONTH(B45),$O$1:$Q$13,2)-VLOOKUP(MONTH(B45),$O$1:$Q$13,3))),($F45+$G45)/2-($F45-$G45)/2*COS(PI()*(9-VLOOKUP(MONTH(B45),$O$1:$Q$13,3))/(VLOOKUP(MONTH(B45),$O$1:$Q$13,2)-VLOOKUP(MONTH(B45),$O$1:$Q$13,3))),($F45+$G45)/2-($F45-$G45)/2*COS(PI()*(10-VLOOKUP(MONTH(B45),$O$1:$Q$13,3))/(VLOOKUP(MONTH(B45),$O$1:$Q$13,2)-VLOOKUP(MONTH(B45),$O$1:$Q$13,3))),($F45+$G45)/2-($F45-$G45)/2*COS(PI()*(11-VLOOKUP(MONTH(B45),$O$1:$Q$13,3))/(VLOOKUP(MONTH(B45),$O$1:$Q$13,2)-VLOOKUP(MONTH(B45),$O$1:$Q$13,3))),($F45+$G45)/2-($F45-$G45)/2*COS(PI()*(12-VLOOKUP(MONTH(B45),$O$1:$Q$13,3))/(VLOOKUP(MONTH(B45),$O$1:$Q$13,2)-VLOOKUP(MONTH(B45),$O$1:$Q$13,3))),($F45+$G45)/2-($F45-$G45)/2*COS(PI()*(13-VLOOKUP(MONTH(B45),$O$1:$Q$13,3))/(VLOOKUP(MONTH(B45),$O$1:$Q$13,2)-VLOOKUP(MONTH(B45),$O$1:$Q$13,3))),($F45+$G45)/2-($F45-$G45)/2*COS(PI()*(14-VLOOKUP(MONTH(B45),$O$1:$Q$13,3))/(VLOOKUP(MONTH(B45),$O$1:$Q$13,2)-VLOOKUP(MONTH(B45),$O$1:$Q$13,3))))</f>
        <v/>
      </c>
      <c r="M45" s="1">
        <f t="array" ref="M45">IF(AND(A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,A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),IF(L45&lt;_xlfn.IFNA(INDEX(_xlfn.ANCHORARRAY(Sintesi!$C$17)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,1,IF(L45&gt;=_xlfn.IFNA(INDEX(_xlfn.ANCHORARRAY(Sintesi!$C$18)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,0,1-(L45-_xlfn.IFNA(INDEX(_xlfn.ANCHORARRAY(Sintesi!$C$17)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)/(_xlfn.IFNA(INDEX(_xlfn.ANCHORARRAY(Sintesi!$C$18)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-_xlfn.IFNA(INDEX(_xlfn.ANCHORARRAY(Sintesi!$C$17)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))),0)</f>
        <v/>
      </c>
    </row>
    <row r="46">
      <c r="A46" s="1">
        <f>'Paste cell here'!A46</f>
        <v/>
      </c>
      <c r="B46" s="2">
        <f>DATE(Sintesi!$C$4-1,12,31)+A46</f>
        <v/>
      </c>
      <c r="C46" s="34">
        <f t="array" ref="C46">_xlfn.IFNA(MATCH(1,(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)*(_xlfn.ANCHORARRAY(Sintesi!$C$15)&gt;=0)+(_xlfn.ANCHORARRAY(Sintesi!$C$15)&lt;0),0),0)</f>
        <v/>
      </c>
      <c r="D46" s="1">
        <f t="array" ref="D46">IF(ISBLANK($E47),IF(ISNUMBER($E45),IF($C46&gt;0,IF(($E46=INDEX(_xlfn.ANCHORARRAY(Sintesi!$C$14),1,$C46))*(INDEX(_xlfn.ANCHORARRAY(Sintesi!$C$15),1,$C46)&gt;0),0,IF(($E46=INDEX(_xlfn.ANCHORARRAY(Sintesi!$C$14),1,$C46))*(INDEX(_xlfn.ANCHORARRAY(Sintesi!$C$15),1,$C46)&lt;0)+($E46&gt;=$E45)*($E46&lt;=INDEX($E:$E,MATCH(TRUE,INDEX((ISNUMBER($E:$E)),0),0)))*($E46&gt;INDEX(_xlfn.ANCHORARRAY(Sintesi!$C$14),1,$C46))*($E46&lt;=INDEX(_xlfn.ANCHORARRAY(Sintesi!$C$15),1,$C46))*(INDEX(_xlfn.ANCHORARRAY(Sintesi!$C$15),1,$C46)&gt;0),1,IF(($E46&gt;=$E45)*($E46&lt;=INDEX($E:$E,MATCH(TRUE,INDEX((ISNUMBER($E:$E)),0),0)))*($E46&gt;INDEX(_xlfn.ANCHORARRAY(Sintesi!$C$14),1,$C46))*($E46&lt;INDEX(_xlfn.ANCHORARRAY(Sintesi!$C$16),1,$C46))*(INDEX(_xlfn.ANCHORARRAY(Sintesi!$C$15),1,$C46)&lt;0)+($E46&gt;=$E45)*($E46&lt;=INDEX($E:$E,MATCH(TRUE,INDEX((ISNUMBER($E:$E)),0),0)))*($E46&gt;INDEX(_xlfn.ANCHORARRAY(Sintesi!$C$15),1,$C46))*($E46&lt;INDEX(_xlfn.ANCHORARRAY(Sintesi!$C$16),1,$C46))*(INDEX(_xlfn.ANCHORARRAY(Sintesi!$C$15),1,$C46)&gt;0),2,IF($E46=(INDEX(_xlfn.ANCHORARRAY(Sintesi!$C$16),1,$C46)),3,4)))),0),IF($C46&gt;0,IF(($E46=INDEX(_xlfn.ANCHORARRAY(Sintesi!$C$14),1,$C46))*(INDEX(_xlfn.ANCHORARRAY(Sintesi!$C$15),1,$C46)&gt;0),0,IF(($E46=INDEX(_xlfn.ANCHORARRAY(Sintesi!$C$14),1,$C46))*(INDEX(_xlfn.ANCHORARRAY(Sintesi!$C$15),1,$C46)&lt;0)+($E46&gt;=LOOKUP(2,1/($E:$E&lt;&gt;""),$E:$E))*($E46&lt;=INDEX($E:$E,MATCH(TRUE,INDEX((ISNUMBER($E:$E)),0),0)))*($E46&gt;INDEX(_xlfn.ANCHORARRAY(Sintesi!$C$14),1,$C46))*($E46&lt;=INDEX(_xlfn.ANCHORARRAY(Sintesi!$C$15),1,$C46))*(INDEX(_xlfn.ANCHORARRAY(Sintesi!$C$15),1,$C46)&gt;0),1,IF(($E46&gt;=LOOKUP(2,1/($E:$E&lt;&gt;""),$E:$E))*($E46&lt;=INDEX($E:$E,MATCH(TRUE,INDEX((ISNUMBER($E:$E)),0),0)))*($E46&gt;INDEX(_xlfn.ANCHORARRAY(Sintesi!$C$14),1,$C46))*($E46&lt;INDEX(_xlfn.ANCHORARRAY(Sintesi!$C$16),1,$C46))*(INDEX(_xlfn.ANCHORARRAY(Sintesi!$C$15),1,$C46)&lt;0)+($E46&gt;=LOOKUP(2,1/($E:$E&lt;&gt;""),$E:$E))*($E46&lt;=INDEX($E:$E,MATCH(TRUE,INDEX((ISNUMBER($E:$E)),0),0)))*($E46&gt;INDEX(_xlfn.ANCHORARRAY(Sintesi!$C$15),1,$C46))*($E46&lt;INDEX(_xlfn.ANCHORARRAY(Sintesi!$C$16),1,$C46))*(INDEX(_xlfn.ANCHORARRAY(Sintesi!$C$15),1,$C46)&gt;0),2,IF($E46=(INDEX(_xlfn.ANCHORARRAY(Sintesi!$C$16),1,$C46)),3,4)))),0)),IF(ISNUMBER($E45),IF($C46&gt;0,IF(($E46=INDEX(_xlfn.ANCHORARRAY(Sintesi!$C$14),1,$C46))*(INDEX(_xlfn.ANCHORARRAY(Sintesi!$C$15),1,$C46)&gt;0),0,IF(($E46=INDEX(_xlfn.ANCHORARRAY(Sintesi!$C$14),1,$C46))*(INDEX(_xlfn.ANCHORARRAY(Sintesi!$C$15),1,$C46)&lt;0)+($E46&gt;=$E45)*($E46&lt;=$E47)*($E46&gt;INDEX(_xlfn.ANCHORARRAY(Sintesi!$C$14),1,$C46))*($E46&lt;=INDEX(_xlfn.ANCHORARRAY(Sintesi!$C$15),1,$C46))*(INDEX(_xlfn.ANCHORARRAY(Sintesi!$C$15),1,$C46)&gt;0),1,IF(($E46&gt;=$E45)*($E46&lt;=$E47)*($E46&gt;INDEX(_xlfn.ANCHORARRAY(Sintesi!$C$14),1,$C46))*($E46&lt;INDEX(_xlfn.ANCHORARRAY(Sintesi!$C$16),1,$C46))*(INDEX(_xlfn.ANCHORARRAY(Sintesi!$C$15),1,$C46)&lt;0)+($E46&gt;=$E45)*($E46&lt;=$E47)*($E46&gt;INDEX(_xlfn.ANCHORARRAY(Sintesi!$C$15),1,$C46))*($E46&lt;INDEX(_xlfn.ANCHORARRAY(Sintesi!$C$16),1,$C46))*(INDEX(_xlfn.ANCHORARRAY(Sintesi!$C$15),1,$C46)&gt;0),2,IF($E46=(INDEX(_xlfn.ANCHORARRAY(Sintesi!$C$16),1,$C46)),3,4)))),0),IF($C46&gt;0,IF(($E46=INDEX(_xlfn.ANCHORARRAY(Sintesi!$C$14),1,$C46))*(INDEX(_xlfn.ANCHORARRAY(Sintesi!$C$15),1,$C46)&gt;0),0,IF(($E46=INDEX(_xlfn.ANCHORARRAY(Sintesi!$C$14),1,$C46))*(INDEX(_xlfn.ANCHORARRAY(Sintesi!$C$15),1,$C46)&lt;0)+($E46&gt;=LOOKUP(2,1/($E:$E&lt;&gt;""),$E:$E))*($E46&lt;=$E47)*($E46&gt;INDEX(_xlfn.ANCHORARRAY(Sintesi!$C$14),1,$C46))*($E46&lt;=INDEX(_xlfn.ANCHORARRAY(Sintesi!$C$15),1,$C46))*(INDEX(_xlfn.ANCHORARRAY(Sintesi!$C$15),1,$C46)&gt;0),1,IF(($E46&gt;=LOOKUP(2,1/($E:$E&lt;&gt;""),$E:$E))*($E46&lt;=$E47)*($E46&gt;INDEX(_xlfn.ANCHORARRAY(Sintesi!$C$14),1,$C46))*($E46&lt;INDEX(_xlfn.ANCHORARRAY(Sintesi!$C$16),1,$C46))*(INDEX(_xlfn.ANCHORARRAY(Sintesi!$C$15),1,$C46)&lt;0)+($E46&gt;=LOOKUP(2,1/($E:$E&lt;&gt;""),$E:$E))*($E46&lt;=$E47)*($E46&gt;INDEX(_xlfn.ANCHORARRAY(Sintesi!$C$15),1,$C46))*($E46&lt;INDEX(_xlfn.ANCHORARRAY(Sintesi!$C$16),1,$C46))*(INDEX(_xlfn.ANCHORARRAY(Sintesi!$C$15),1,$C46)&gt;0),2,IF($E46=(INDEX(_xlfn.ANCHORARRAY(Sintesi!$C$16),1,$C46)),3,4)))),0)))</f>
        <v/>
      </c>
      <c r="E46" s="1">
        <f>'Paste cell here'!F46</f>
        <v/>
      </c>
      <c r="F46" s="1">
        <f>'Paste cell here'!C46</f>
        <v/>
      </c>
      <c r="G46" s="1">
        <f>'Paste cell here'!D46</f>
        <v/>
      </c>
      <c r="H46" s="1">
        <f>'Paste cell here'!E46</f>
        <v/>
      </c>
      <c r="I46" s="1">
        <f>'Paste cell here'!X46</f>
        <v/>
      </c>
      <c r="J46" s="1">
        <f>'Paste cell here'!Y46+'Paste cell here'!S46</f>
        <v/>
      </c>
      <c r="K46" s="1">
        <f>I46/H46</f>
        <v/>
      </c>
      <c r="L46" s="1">
        <f>AVERAGE(($F46+$G46)/2-($F46-$G46)/2*COS(PI()*(8-VLOOKUP(MONTH(B46),$O$1:$Q$13,3))/(VLOOKUP(MONTH(B46),$O$1:$Q$13,2)-VLOOKUP(MONTH(B46),$O$1:$Q$13,3))),($F46+$G46)/2-($F46-$G46)/2*COS(PI()*(9-VLOOKUP(MONTH(B46),$O$1:$Q$13,3))/(VLOOKUP(MONTH(B46),$O$1:$Q$13,2)-VLOOKUP(MONTH(B46),$O$1:$Q$13,3))),($F46+$G46)/2-($F46-$G46)/2*COS(PI()*(10-VLOOKUP(MONTH(B46),$O$1:$Q$13,3))/(VLOOKUP(MONTH(B46),$O$1:$Q$13,2)-VLOOKUP(MONTH(B46),$O$1:$Q$13,3))),($F46+$G46)/2-($F46-$G46)/2*COS(PI()*(11-VLOOKUP(MONTH(B46),$O$1:$Q$13,3))/(VLOOKUP(MONTH(B46),$O$1:$Q$13,2)-VLOOKUP(MONTH(B46),$O$1:$Q$13,3))),($F46+$G46)/2-($F46-$G46)/2*COS(PI()*(12-VLOOKUP(MONTH(B46),$O$1:$Q$13,3))/(VLOOKUP(MONTH(B46),$O$1:$Q$13,2)-VLOOKUP(MONTH(B46),$O$1:$Q$13,3))),($F46+$G46)/2-($F46-$G46)/2*COS(PI()*(13-VLOOKUP(MONTH(B46),$O$1:$Q$13,3))/(VLOOKUP(MONTH(B46),$O$1:$Q$13,2)-VLOOKUP(MONTH(B46),$O$1:$Q$13,3))),($F46+$G46)/2-($F46-$G46)/2*COS(PI()*(14-VLOOKUP(MONTH(B46),$O$1:$Q$13,3))/(VLOOKUP(MONTH(B46),$O$1:$Q$13,2)-VLOOKUP(MONTH(B46),$O$1:$Q$13,3))))</f>
        <v/>
      </c>
      <c r="M46" s="1">
        <f t="array" ref="M46">IF(AND(A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,A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),IF(L46&lt;_xlfn.IFNA(INDEX(_xlfn.ANCHORARRAY(Sintesi!$C$17)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,1,IF(L46&gt;=_xlfn.IFNA(INDEX(_xlfn.ANCHORARRAY(Sintesi!$C$18)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,0,1-(L46-_xlfn.IFNA(INDEX(_xlfn.ANCHORARRAY(Sintesi!$C$17)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)/(_xlfn.IFNA(INDEX(_xlfn.ANCHORARRAY(Sintesi!$C$18)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-_xlfn.IFNA(INDEX(_xlfn.ANCHORARRAY(Sintesi!$C$17)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))),0)</f>
        <v/>
      </c>
    </row>
    <row r="47">
      <c r="A47" s="1">
        <f>'Paste cell here'!A47</f>
        <v/>
      </c>
      <c r="B47" s="2">
        <f>DATE(Sintesi!$C$4-1,12,31)+A47</f>
        <v/>
      </c>
      <c r="C47" s="34">
        <f t="array" ref="C47">_xlfn.IFNA(MATCH(1,(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)*(_xlfn.ANCHORARRAY(Sintesi!$C$15)&gt;=0)+(_xlfn.ANCHORARRAY(Sintesi!$C$15)&lt;0),0),0)</f>
        <v/>
      </c>
      <c r="D47" s="1">
        <f t="array" ref="D47">IF(ISBLANK($E48),IF(ISNUMBER($E46),IF($C47&gt;0,IF(($E47=INDEX(_xlfn.ANCHORARRAY(Sintesi!$C$14),1,$C47))*(INDEX(_xlfn.ANCHORARRAY(Sintesi!$C$15),1,$C47)&gt;0),0,IF(($E47=INDEX(_xlfn.ANCHORARRAY(Sintesi!$C$14),1,$C47))*(INDEX(_xlfn.ANCHORARRAY(Sintesi!$C$15),1,$C47)&lt;0)+($E47&gt;=$E46)*($E47&lt;=INDEX($E:$E,MATCH(TRUE,INDEX((ISNUMBER($E:$E)),0),0)))*($E47&gt;INDEX(_xlfn.ANCHORARRAY(Sintesi!$C$14),1,$C47))*($E47&lt;=INDEX(_xlfn.ANCHORARRAY(Sintesi!$C$15),1,$C47))*(INDEX(_xlfn.ANCHORARRAY(Sintesi!$C$15),1,$C47)&gt;0),1,IF(($E47&gt;=$E46)*($E47&lt;=INDEX($E:$E,MATCH(TRUE,INDEX((ISNUMBER($E:$E)),0),0)))*($E47&gt;INDEX(_xlfn.ANCHORARRAY(Sintesi!$C$14),1,$C47))*($E47&lt;INDEX(_xlfn.ANCHORARRAY(Sintesi!$C$16),1,$C47))*(INDEX(_xlfn.ANCHORARRAY(Sintesi!$C$15),1,$C47)&lt;0)+($E47&gt;=$E46)*($E47&lt;=INDEX($E:$E,MATCH(TRUE,INDEX((ISNUMBER($E:$E)),0),0)))*($E47&gt;INDEX(_xlfn.ANCHORARRAY(Sintesi!$C$15),1,$C47))*($E47&lt;INDEX(_xlfn.ANCHORARRAY(Sintesi!$C$16),1,$C47))*(INDEX(_xlfn.ANCHORARRAY(Sintesi!$C$15),1,$C47)&gt;0),2,IF($E47=(INDEX(_xlfn.ANCHORARRAY(Sintesi!$C$16),1,$C47)),3,4)))),0),IF($C47&gt;0,IF(($E47=INDEX(_xlfn.ANCHORARRAY(Sintesi!$C$14),1,$C47))*(INDEX(_xlfn.ANCHORARRAY(Sintesi!$C$15),1,$C47)&gt;0),0,IF(($E47=INDEX(_xlfn.ANCHORARRAY(Sintesi!$C$14),1,$C47))*(INDEX(_xlfn.ANCHORARRAY(Sintesi!$C$15),1,$C47)&lt;0)+($E47&gt;=LOOKUP(2,1/($E:$E&lt;&gt;""),$E:$E))*($E47&lt;=INDEX($E:$E,MATCH(TRUE,INDEX((ISNUMBER($E:$E)),0),0)))*($E47&gt;INDEX(_xlfn.ANCHORARRAY(Sintesi!$C$14),1,$C47))*($E47&lt;=INDEX(_xlfn.ANCHORARRAY(Sintesi!$C$15),1,$C47))*(INDEX(_xlfn.ANCHORARRAY(Sintesi!$C$15),1,$C47)&gt;0),1,IF(($E47&gt;=LOOKUP(2,1/($E:$E&lt;&gt;""),$E:$E))*($E47&lt;=INDEX($E:$E,MATCH(TRUE,INDEX((ISNUMBER($E:$E)),0),0)))*($E47&gt;INDEX(_xlfn.ANCHORARRAY(Sintesi!$C$14),1,$C47))*($E47&lt;INDEX(_xlfn.ANCHORARRAY(Sintesi!$C$16),1,$C47))*(INDEX(_xlfn.ANCHORARRAY(Sintesi!$C$15),1,$C47)&lt;0)+($E47&gt;=LOOKUP(2,1/($E:$E&lt;&gt;""),$E:$E))*($E47&lt;=INDEX($E:$E,MATCH(TRUE,INDEX((ISNUMBER($E:$E)),0),0)))*($E47&gt;INDEX(_xlfn.ANCHORARRAY(Sintesi!$C$15),1,$C47))*($E47&lt;INDEX(_xlfn.ANCHORARRAY(Sintesi!$C$16),1,$C47))*(INDEX(_xlfn.ANCHORARRAY(Sintesi!$C$15),1,$C47)&gt;0),2,IF($E47=(INDEX(_xlfn.ANCHORARRAY(Sintesi!$C$16),1,$C47)),3,4)))),0)),IF(ISNUMBER($E46),IF($C47&gt;0,IF(($E47=INDEX(_xlfn.ANCHORARRAY(Sintesi!$C$14),1,$C47))*(INDEX(_xlfn.ANCHORARRAY(Sintesi!$C$15),1,$C47)&gt;0),0,IF(($E47=INDEX(_xlfn.ANCHORARRAY(Sintesi!$C$14),1,$C47))*(INDEX(_xlfn.ANCHORARRAY(Sintesi!$C$15),1,$C47)&lt;0)+($E47&gt;=$E46)*($E47&lt;=$E48)*($E47&gt;INDEX(_xlfn.ANCHORARRAY(Sintesi!$C$14),1,$C47))*($E47&lt;=INDEX(_xlfn.ANCHORARRAY(Sintesi!$C$15),1,$C47))*(INDEX(_xlfn.ANCHORARRAY(Sintesi!$C$15),1,$C47)&gt;0),1,IF(($E47&gt;=$E46)*($E47&lt;=$E48)*($E47&gt;INDEX(_xlfn.ANCHORARRAY(Sintesi!$C$14),1,$C47))*($E47&lt;INDEX(_xlfn.ANCHORARRAY(Sintesi!$C$16),1,$C47))*(INDEX(_xlfn.ANCHORARRAY(Sintesi!$C$15),1,$C47)&lt;0)+($E47&gt;=$E46)*($E47&lt;=$E48)*($E47&gt;INDEX(_xlfn.ANCHORARRAY(Sintesi!$C$15),1,$C47))*($E47&lt;INDEX(_xlfn.ANCHORARRAY(Sintesi!$C$16),1,$C47))*(INDEX(_xlfn.ANCHORARRAY(Sintesi!$C$15),1,$C47)&gt;0),2,IF($E47=(INDEX(_xlfn.ANCHORARRAY(Sintesi!$C$16),1,$C47)),3,4)))),0),IF($C47&gt;0,IF(($E47=INDEX(_xlfn.ANCHORARRAY(Sintesi!$C$14),1,$C47))*(INDEX(_xlfn.ANCHORARRAY(Sintesi!$C$15),1,$C47)&gt;0),0,IF(($E47=INDEX(_xlfn.ANCHORARRAY(Sintesi!$C$14),1,$C47))*(INDEX(_xlfn.ANCHORARRAY(Sintesi!$C$15),1,$C47)&lt;0)+($E47&gt;=LOOKUP(2,1/($E:$E&lt;&gt;""),$E:$E))*($E47&lt;=$E48)*($E47&gt;INDEX(_xlfn.ANCHORARRAY(Sintesi!$C$14),1,$C47))*($E47&lt;=INDEX(_xlfn.ANCHORARRAY(Sintesi!$C$15),1,$C47))*(INDEX(_xlfn.ANCHORARRAY(Sintesi!$C$15),1,$C47)&gt;0),1,IF(($E47&gt;=LOOKUP(2,1/($E:$E&lt;&gt;""),$E:$E))*($E47&lt;=$E48)*($E47&gt;INDEX(_xlfn.ANCHORARRAY(Sintesi!$C$14),1,$C47))*($E47&lt;INDEX(_xlfn.ANCHORARRAY(Sintesi!$C$16),1,$C47))*(INDEX(_xlfn.ANCHORARRAY(Sintesi!$C$15),1,$C47)&lt;0)+($E47&gt;=LOOKUP(2,1/($E:$E&lt;&gt;""),$E:$E))*($E47&lt;=$E48)*($E47&gt;INDEX(_xlfn.ANCHORARRAY(Sintesi!$C$15),1,$C47))*($E47&lt;INDEX(_xlfn.ANCHORARRAY(Sintesi!$C$16),1,$C47))*(INDEX(_xlfn.ANCHORARRAY(Sintesi!$C$15),1,$C47)&gt;0),2,IF($E47=(INDEX(_xlfn.ANCHORARRAY(Sintesi!$C$16),1,$C47)),3,4)))),0)))</f>
        <v/>
      </c>
      <c r="E47" s="1">
        <f>'Paste cell here'!F47</f>
        <v/>
      </c>
      <c r="F47" s="1">
        <f>'Paste cell here'!C47</f>
        <v/>
      </c>
      <c r="G47" s="1">
        <f>'Paste cell here'!D47</f>
        <v/>
      </c>
      <c r="H47" s="1">
        <f>'Paste cell here'!E47</f>
        <v/>
      </c>
      <c r="I47" s="1">
        <f>'Paste cell here'!X47</f>
        <v/>
      </c>
      <c r="J47" s="1">
        <f>'Paste cell here'!Y47+'Paste cell here'!S47</f>
        <v/>
      </c>
      <c r="K47" s="1">
        <f>I47/H47</f>
        <v/>
      </c>
      <c r="L47" s="1">
        <f>AVERAGE(($F47+$G47)/2-($F47-$G47)/2*COS(PI()*(8-VLOOKUP(MONTH(B47),$O$1:$Q$13,3))/(VLOOKUP(MONTH(B47),$O$1:$Q$13,2)-VLOOKUP(MONTH(B47),$O$1:$Q$13,3))),($F47+$G47)/2-($F47-$G47)/2*COS(PI()*(9-VLOOKUP(MONTH(B47),$O$1:$Q$13,3))/(VLOOKUP(MONTH(B47),$O$1:$Q$13,2)-VLOOKUP(MONTH(B47),$O$1:$Q$13,3))),($F47+$G47)/2-($F47-$G47)/2*COS(PI()*(10-VLOOKUP(MONTH(B47),$O$1:$Q$13,3))/(VLOOKUP(MONTH(B47),$O$1:$Q$13,2)-VLOOKUP(MONTH(B47),$O$1:$Q$13,3))),($F47+$G47)/2-($F47-$G47)/2*COS(PI()*(11-VLOOKUP(MONTH(B47),$O$1:$Q$13,3))/(VLOOKUP(MONTH(B47),$O$1:$Q$13,2)-VLOOKUP(MONTH(B47),$O$1:$Q$13,3))),($F47+$G47)/2-($F47-$G47)/2*COS(PI()*(12-VLOOKUP(MONTH(B47),$O$1:$Q$13,3))/(VLOOKUP(MONTH(B47),$O$1:$Q$13,2)-VLOOKUP(MONTH(B47),$O$1:$Q$13,3))),($F47+$G47)/2-($F47-$G47)/2*COS(PI()*(13-VLOOKUP(MONTH(B47),$O$1:$Q$13,3))/(VLOOKUP(MONTH(B47),$O$1:$Q$13,2)-VLOOKUP(MONTH(B47),$O$1:$Q$13,3))),($F47+$G47)/2-($F47-$G47)/2*COS(PI()*(14-VLOOKUP(MONTH(B47),$O$1:$Q$13,3))/(VLOOKUP(MONTH(B47),$O$1:$Q$13,2)-VLOOKUP(MONTH(B47),$O$1:$Q$13,3))))</f>
        <v/>
      </c>
      <c r="M47" s="1">
        <f t="array" ref="M47">IF(AND(A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,A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),IF(L47&lt;_xlfn.IFNA(INDEX(_xlfn.ANCHORARRAY(Sintesi!$C$17)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,1,IF(L47&gt;=_xlfn.IFNA(INDEX(_xlfn.ANCHORARRAY(Sintesi!$C$18)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,0,1-(L47-_xlfn.IFNA(INDEX(_xlfn.ANCHORARRAY(Sintesi!$C$17)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)/(_xlfn.IFNA(INDEX(_xlfn.ANCHORARRAY(Sintesi!$C$18)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-_xlfn.IFNA(INDEX(_xlfn.ANCHORARRAY(Sintesi!$C$17)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))),0)</f>
        <v/>
      </c>
    </row>
    <row r="48">
      <c r="A48" s="1">
        <f>'Paste cell here'!A48</f>
        <v/>
      </c>
      <c r="B48" s="2">
        <f>DATE(Sintesi!$C$4-1,12,31)+A48</f>
        <v/>
      </c>
      <c r="C48" s="34">
        <f t="array" ref="C48">_xlfn.IFNA(MATCH(1,(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)*(_xlfn.ANCHORARRAY(Sintesi!$C$15)&gt;=0)+(_xlfn.ANCHORARRAY(Sintesi!$C$15)&lt;0),0),0)</f>
        <v/>
      </c>
      <c r="D48" s="1">
        <f t="array" ref="D48">IF(ISBLANK($E49),IF(ISNUMBER($E47),IF($C48&gt;0,IF(($E48=INDEX(_xlfn.ANCHORARRAY(Sintesi!$C$14),1,$C48))*(INDEX(_xlfn.ANCHORARRAY(Sintesi!$C$15),1,$C48)&gt;0),0,IF(($E48=INDEX(_xlfn.ANCHORARRAY(Sintesi!$C$14),1,$C48))*(INDEX(_xlfn.ANCHORARRAY(Sintesi!$C$15),1,$C48)&lt;0)+($E48&gt;=$E47)*($E48&lt;=INDEX($E:$E,MATCH(TRUE,INDEX((ISNUMBER($E:$E)),0),0)))*($E48&gt;INDEX(_xlfn.ANCHORARRAY(Sintesi!$C$14),1,$C48))*($E48&lt;=INDEX(_xlfn.ANCHORARRAY(Sintesi!$C$15),1,$C48))*(INDEX(_xlfn.ANCHORARRAY(Sintesi!$C$15),1,$C48)&gt;0),1,IF(($E48&gt;=$E47)*($E48&lt;=INDEX($E:$E,MATCH(TRUE,INDEX((ISNUMBER($E:$E)),0),0)))*($E48&gt;INDEX(_xlfn.ANCHORARRAY(Sintesi!$C$14),1,$C48))*($E48&lt;INDEX(_xlfn.ANCHORARRAY(Sintesi!$C$16),1,$C48))*(INDEX(_xlfn.ANCHORARRAY(Sintesi!$C$15),1,$C48)&lt;0)+($E48&gt;=$E47)*($E48&lt;=INDEX($E:$E,MATCH(TRUE,INDEX((ISNUMBER($E:$E)),0),0)))*($E48&gt;INDEX(_xlfn.ANCHORARRAY(Sintesi!$C$15),1,$C48))*($E48&lt;INDEX(_xlfn.ANCHORARRAY(Sintesi!$C$16),1,$C48))*(INDEX(_xlfn.ANCHORARRAY(Sintesi!$C$15),1,$C48)&gt;0),2,IF($E48=(INDEX(_xlfn.ANCHORARRAY(Sintesi!$C$16),1,$C48)),3,4)))),0),IF($C48&gt;0,IF(($E48=INDEX(_xlfn.ANCHORARRAY(Sintesi!$C$14),1,$C48))*(INDEX(_xlfn.ANCHORARRAY(Sintesi!$C$15),1,$C48)&gt;0),0,IF(($E48=INDEX(_xlfn.ANCHORARRAY(Sintesi!$C$14),1,$C48))*(INDEX(_xlfn.ANCHORARRAY(Sintesi!$C$15),1,$C48)&lt;0)+($E48&gt;=LOOKUP(2,1/($E:$E&lt;&gt;""),$E:$E))*($E48&lt;=INDEX($E:$E,MATCH(TRUE,INDEX((ISNUMBER($E:$E)),0),0)))*($E48&gt;INDEX(_xlfn.ANCHORARRAY(Sintesi!$C$14),1,$C48))*($E48&lt;=INDEX(_xlfn.ANCHORARRAY(Sintesi!$C$15),1,$C48))*(INDEX(_xlfn.ANCHORARRAY(Sintesi!$C$15),1,$C48)&gt;0),1,IF(($E48&gt;=LOOKUP(2,1/($E:$E&lt;&gt;""),$E:$E))*($E48&lt;=INDEX($E:$E,MATCH(TRUE,INDEX((ISNUMBER($E:$E)),0),0)))*($E48&gt;INDEX(_xlfn.ANCHORARRAY(Sintesi!$C$14),1,$C48))*($E48&lt;INDEX(_xlfn.ANCHORARRAY(Sintesi!$C$16),1,$C48))*(INDEX(_xlfn.ANCHORARRAY(Sintesi!$C$15),1,$C48)&lt;0)+($E48&gt;=LOOKUP(2,1/($E:$E&lt;&gt;""),$E:$E))*($E48&lt;=INDEX($E:$E,MATCH(TRUE,INDEX((ISNUMBER($E:$E)),0),0)))*($E48&gt;INDEX(_xlfn.ANCHORARRAY(Sintesi!$C$15),1,$C48))*($E48&lt;INDEX(_xlfn.ANCHORARRAY(Sintesi!$C$16),1,$C48))*(INDEX(_xlfn.ANCHORARRAY(Sintesi!$C$15),1,$C48)&gt;0),2,IF($E48=(INDEX(_xlfn.ANCHORARRAY(Sintesi!$C$16),1,$C48)),3,4)))),0)),IF(ISNUMBER($E47),IF($C48&gt;0,IF(($E48=INDEX(_xlfn.ANCHORARRAY(Sintesi!$C$14),1,$C48))*(INDEX(_xlfn.ANCHORARRAY(Sintesi!$C$15),1,$C48)&gt;0),0,IF(($E48=INDEX(_xlfn.ANCHORARRAY(Sintesi!$C$14),1,$C48))*(INDEX(_xlfn.ANCHORARRAY(Sintesi!$C$15),1,$C48)&lt;0)+($E48&gt;=$E47)*($E48&lt;=$E49)*($E48&gt;INDEX(_xlfn.ANCHORARRAY(Sintesi!$C$14),1,$C48))*($E48&lt;=INDEX(_xlfn.ANCHORARRAY(Sintesi!$C$15),1,$C48))*(INDEX(_xlfn.ANCHORARRAY(Sintesi!$C$15),1,$C48)&gt;0),1,IF(($E48&gt;=$E47)*($E48&lt;=$E49)*($E48&gt;INDEX(_xlfn.ANCHORARRAY(Sintesi!$C$14),1,$C48))*($E48&lt;INDEX(_xlfn.ANCHORARRAY(Sintesi!$C$16),1,$C48))*(INDEX(_xlfn.ANCHORARRAY(Sintesi!$C$15),1,$C48)&lt;0)+($E48&gt;=$E47)*($E48&lt;=$E49)*($E48&gt;INDEX(_xlfn.ANCHORARRAY(Sintesi!$C$15),1,$C48))*($E48&lt;INDEX(_xlfn.ANCHORARRAY(Sintesi!$C$16),1,$C48))*(INDEX(_xlfn.ANCHORARRAY(Sintesi!$C$15),1,$C48)&gt;0),2,IF($E48=(INDEX(_xlfn.ANCHORARRAY(Sintesi!$C$16),1,$C48)),3,4)))),0),IF($C48&gt;0,IF(($E48=INDEX(_xlfn.ANCHORARRAY(Sintesi!$C$14),1,$C48))*(INDEX(_xlfn.ANCHORARRAY(Sintesi!$C$15),1,$C48)&gt;0),0,IF(($E48=INDEX(_xlfn.ANCHORARRAY(Sintesi!$C$14),1,$C48))*(INDEX(_xlfn.ANCHORARRAY(Sintesi!$C$15),1,$C48)&lt;0)+($E48&gt;=LOOKUP(2,1/($E:$E&lt;&gt;""),$E:$E))*($E48&lt;=$E49)*($E48&gt;INDEX(_xlfn.ANCHORARRAY(Sintesi!$C$14),1,$C48))*($E48&lt;=INDEX(_xlfn.ANCHORARRAY(Sintesi!$C$15),1,$C48))*(INDEX(_xlfn.ANCHORARRAY(Sintesi!$C$15),1,$C48)&gt;0),1,IF(($E48&gt;=LOOKUP(2,1/($E:$E&lt;&gt;""),$E:$E))*($E48&lt;=$E49)*($E48&gt;INDEX(_xlfn.ANCHORARRAY(Sintesi!$C$14),1,$C48))*($E48&lt;INDEX(_xlfn.ANCHORARRAY(Sintesi!$C$16),1,$C48))*(INDEX(_xlfn.ANCHORARRAY(Sintesi!$C$15),1,$C48)&lt;0)+($E48&gt;=LOOKUP(2,1/($E:$E&lt;&gt;""),$E:$E))*($E48&lt;=$E49)*($E48&gt;INDEX(_xlfn.ANCHORARRAY(Sintesi!$C$15),1,$C48))*($E48&lt;INDEX(_xlfn.ANCHORARRAY(Sintesi!$C$16),1,$C48))*(INDEX(_xlfn.ANCHORARRAY(Sintesi!$C$15),1,$C48)&gt;0),2,IF($E48=(INDEX(_xlfn.ANCHORARRAY(Sintesi!$C$16),1,$C48)),3,4)))),0)))</f>
        <v/>
      </c>
      <c r="E48" s="1">
        <f>'Paste cell here'!F48</f>
        <v/>
      </c>
      <c r="F48" s="1">
        <f>'Paste cell here'!C48</f>
        <v/>
      </c>
      <c r="G48" s="1">
        <f>'Paste cell here'!D48</f>
        <v/>
      </c>
      <c r="H48" s="1">
        <f>'Paste cell here'!E48</f>
        <v/>
      </c>
      <c r="I48" s="1">
        <f>'Paste cell here'!X48</f>
        <v/>
      </c>
      <c r="J48" s="1">
        <f>'Paste cell here'!Y48+'Paste cell here'!S48</f>
        <v/>
      </c>
      <c r="K48" s="1">
        <f>I48/H48</f>
        <v/>
      </c>
      <c r="L48" s="1">
        <f>AVERAGE(($F48+$G48)/2-($F48-$G48)/2*COS(PI()*(8-VLOOKUP(MONTH(B48),$O$1:$Q$13,3))/(VLOOKUP(MONTH(B48),$O$1:$Q$13,2)-VLOOKUP(MONTH(B48),$O$1:$Q$13,3))),($F48+$G48)/2-($F48-$G48)/2*COS(PI()*(9-VLOOKUP(MONTH(B48),$O$1:$Q$13,3))/(VLOOKUP(MONTH(B48),$O$1:$Q$13,2)-VLOOKUP(MONTH(B48),$O$1:$Q$13,3))),($F48+$G48)/2-($F48-$G48)/2*COS(PI()*(10-VLOOKUP(MONTH(B48),$O$1:$Q$13,3))/(VLOOKUP(MONTH(B48),$O$1:$Q$13,2)-VLOOKUP(MONTH(B48),$O$1:$Q$13,3))),($F48+$G48)/2-($F48-$G48)/2*COS(PI()*(11-VLOOKUP(MONTH(B48),$O$1:$Q$13,3))/(VLOOKUP(MONTH(B48),$O$1:$Q$13,2)-VLOOKUP(MONTH(B48),$O$1:$Q$13,3))),($F48+$G48)/2-($F48-$G48)/2*COS(PI()*(12-VLOOKUP(MONTH(B48),$O$1:$Q$13,3))/(VLOOKUP(MONTH(B48),$O$1:$Q$13,2)-VLOOKUP(MONTH(B48),$O$1:$Q$13,3))),($F48+$G48)/2-($F48-$G48)/2*COS(PI()*(13-VLOOKUP(MONTH(B48),$O$1:$Q$13,3))/(VLOOKUP(MONTH(B48),$O$1:$Q$13,2)-VLOOKUP(MONTH(B48),$O$1:$Q$13,3))),($F48+$G48)/2-($F48-$G48)/2*COS(PI()*(14-VLOOKUP(MONTH(B48),$O$1:$Q$13,3))/(VLOOKUP(MONTH(B48),$O$1:$Q$13,2)-VLOOKUP(MONTH(B48),$O$1:$Q$13,3))))</f>
        <v/>
      </c>
      <c r="M48" s="1">
        <f t="array" ref="M48">IF(AND(A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,A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),IF(L48&lt;_xlfn.IFNA(INDEX(_xlfn.ANCHORARRAY(Sintesi!$C$17)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,1,IF(L48&gt;=_xlfn.IFNA(INDEX(_xlfn.ANCHORARRAY(Sintesi!$C$18)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,0,1-(L48-_xlfn.IFNA(INDEX(_xlfn.ANCHORARRAY(Sintesi!$C$17)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)/(_xlfn.IFNA(INDEX(_xlfn.ANCHORARRAY(Sintesi!$C$18)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-_xlfn.IFNA(INDEX(_xlfn.ANCHORARRAY(Sintesi!$C$17)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))),0)</f>
        <v/>
      </c>
    </row>
    <row r="49">
      <c r="A49" s="1">
        <f>'Paste cell here'!A49</f>
        <v/>
      </c>
      <c r="B49" s="2">
        <f>DATE(Sintesi!$C$4-1,12,31)+A49</f>
        <v/>
      </c>
      <c r="C49" s="34">
        <f t="array" ref="C49">_xlfn.IFNA(MATCH(1,(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)*(_xlfn.ANCHORARRAY(Sintesi!$C$15)&gt;=0)+(_xlfn.ANCHORARRAY(Sintesi!$C$15)&lt;0),0),0)</f>
        <v/>
      </c>
      <c r="D49" s="1">
        <f t="array" ref="D49">IF(ISBLANK($E50),IF(ISNUMBER($E48),IF($C49&gt;0,IF(($E49=INDEX(_xlfn.ANCHORARRAY(Sintesi!$C$14),1,$C49))*(INDEX(_xlfn.ANCHORARRAY(Sintesi!$C$15),1,$C49)&gt;0),0,IF(($E49=INDEX(_xlfn.ANCHORARRAY(Sintesi!$C$14),1,$C49))*(INDEX(_xlfn.ANCHORARRAY(Sintesi!$C$15),1,$C49)&lt;0)+($E49&gt;=$E48)*($E49&lt;=INDEX($E:$E,MATCH(TRUE,INDEX((ISNUMBER($E:$E)),0),0)))*($E49&gt;INDEX(_xlfn.ANCHORARRAY(Sintesi!$C$14),1,$C49))*($E49&lt;=INDEX(_xlfn.ANCHORARRAY(Sintesi!$C$15),1,$C49))*(INDEX(_xlfn.ANCHORARRAY(Sintesi!$C$15),1,$C49)&gt;0),1,IF(($E49&gt;=$E48)*($E49&lt;=INDEX($E:$E,MATCH(TRUE,INDEX((ISNUMBER($E:$E)),0),0)))*($E49&gt;INDEX(_xlfn.ANCHORARRAY(Sintesi!$C$14),1,$C49))*($E49&lt;INDEX(_xlfn.ANCHORARRAY(Sintesi!$C$16),1,$C49))*(INDEX(_xlfn.ANCHORARRAY(Sintesi!$C$15),1,$C49)&lt;0)+($E49&gt;=$E48)*($E49&lt;=INDEX($E:$E,MATCH(TRUE,INDEX((ISNUMBER($E:$E)),0),0)))*($E49&gt;INDEX(_xlfn.ANCHORARRAY(Sintesi!$C$15),1,$C49))*($E49&lt;INDEX(_xlfn.ANCHORARRAY(Sintesi!$C$16),1,$C49))*(INDEX(_xlfn.ANCHORARRAY(Sintesi!$C$15),1,$C49)&gt;0),2,IF($E49=(INDEX(_xlfn.ANCHORARRAY(Sintesi!$C$16),1,$C49)),3,4)))),0),IF($C49&gt;0,IF(($E49=INDEX(_xlfn.ANCHORARRAY(Sintesi!$C$14),1,$C49))*(INDEX(_xlfn.ANCHORARRAY(Sintesi!$C$15),1,$C49)&gt;0),0,IF(($E49=INDEX(_xlfn.ANCHORARRAY(Sintesi!$C$14),1,$C49))*(INDEX(_xlfn.ANCHORARRAY(Sintesi!$C$15),1,$C49)&lt;0)+($E49&gt;=LOOKUP(2,1/($E:$E&lt;&gt;""),$E:$E))*($E49&lt;=INDEX($E:$E,MATCH(TRUE,INDEX((ISNUMBER($E:$E)),0),0)))*($E49&gt;INDEX(_xlfn.ANCHORARRAY(Sintesi!$C$14),1,$C49))*($E49&lt;=INDEX(_xlfn.ANCHORARRAY(Sintesi!$C$15),1,$C49))*(INDEX(_xlfn.ANCHORARRAY(Sintesi!$C$15),1,$C49)&gt;0),1,IF(($E49&gt;=LOOKUP(2,1/($E:$E&lt;&gt;""),$E:$E))*($E49&lt;=INDEX($E:$E,MATCH(TRUE,INDEX((ISNUMBER($E:$E)),0),0)))*($E49&gt;INDEX(_xlfn.ANCHORARRAY(Sintesi!$C$14),1,$C49))*($E49&lt;INDEX(_xlfn.ANCHORARRAY(Sintesi!$C$16),1,$C49))*(INDEX(_xlfn.ANCHORARRAY(Sintesi!$C$15),1,$C49)&lt;0)+($E49&gt;=LOOKUP(2,1/($E:$E&lt;&gt;""),$E:$E))*($E49&lt;=INDEX($E:$E,MATCH(TRUE,INDEX((ISNUMBER($E:$E)),0),0)))*($E49&gt;INDEX(_xlfn.ANCHORARRAY(Sintesi!$C$15),1,$C49))*($E49&lt;INDEX(_xlfn.ANCHORARRAY(Sintesi!$C$16),1,$C49))*(INDEX(_xlfn.ANCHORARRAY(Sintesi!$C$15),1,$C49)&gt;0),2,IF($E49=(INDEX(_xlfn.ANCHORARRAY(Sintesi!$C$16),1,$C49)),3,4)))),0)),IF(ISNUMBER($E48),IF($C49&gt;0,IF(($E49=INDEX(_xlfn.ANCHORARRAY(Sintesi!$C$14),1,$C49))*(INDEX(_xlfn.ANCHORARRAY(Sintesi!$C$15),1,$C49)&gt;0),0,IF(($E49=INDEX(_xlfn.ANCHORARRAY(Sintesi!$C$14),1,$C49))*(INDEX(_xlfn.ANCHORARRAY(Sintesi!$C$15),1,$C49)&lt;0)+($E49&gt;=$E48)*($E49&lt;=$E50)*($E49&gt;INDEX(_xlfn.ANCHORARRAY(Sintesi!$C$14),1,$C49))*($E49&lt;=INDEX(_xlfn.ANCHORARRAY(Sintesi!$C$15),1,$C49))*(INDEX(_xlfn.ANCHORARRAY(Sintesi!$C$15),1,$C49)&gt;0),1,IF(($E49&gt;=$E48)*($E49&lt;=$E50)*($E49&gt;INDEX(_xlfn.ANCHORARRAY(Sintesi!$C$14),1,$C49))*($E49&lt;INDEX(_xlfn.ANCHORARRAY(Sintesi!$C$16),1,$C49))*(INDEX(_xlfn.ANCHORARRAY(Sintesi!$C$15),1,$C49)&lt;0)+($E49&gt;=$E48)*($E49&lt;=$E50)*($E49&gt;INDEX(_xlfn.ANCHORARRAY(Sintesi!$C$15),1,$C49))*($E49&lt;INDEX(_xlfn.ANCHORARRAY(Sintesi!$C$16),1,$C49))*(INDEX(_xlfn.ANCHORARRAY(Sintesi!$C$15),1,$C49)&gt;0),2,IF($E49=(INDEX(_xlfn.ANCHORARRAY(Sintesi!$C$16),1,$C49)),3,4)))),0),IF($C49&gt;0,IF(($E49=INDEX(_xlfn.ANCHORARRAY(Sintesi!$C$14),1,$C49))*(INDEX(_xlfn.ANCHORARRAY(Sintesi!$C$15),1,$C49)&gt;0),0,IF(($E49=INDEX(_xlfn.ANCHORARRAY(Sintesi!$C$14),1,$C49))*(INDEX(_xlfn.ANCHORARRAY(Sintesi!$C$15),1,$C49)&lt;0)+($E49&gt;=LOOKUP(2,1/($E:$E&lt;&gt;""),$E:$E))*($E49&lt;=$E50)*($E49&gt;INDEX(_xlfn.ANCHORARRAY(Sintesi!$C$14),1,$C49))*($E49&lt;=INDEX(_xlfn.ANCHORARRAY(Sintesi!$C$15),1,$C49))*(INDEX(_xlfn.ANCHORARRAY(Sintesi!$C$15),1,$C49)&gt;0),1,IF(($E49&gt;=LOOKUP(2,1/($E:$E&lt;&gt;""),$E:$E))*($E49&lt;=$E50)*($E49&gt;INDEX(_xlfn.ANCHORARRAY(Sintesi!$C$14),1,$C49))*($E49&lt;INDEX(_xlfn.ANCHORARRAY(Sintesi!$C$16),1,$C49))*(INDEX(_xlfn.ANCHORARRAY(Sintesi!$C$15),1,$C49)&lt;0)+($E49&gt;=LOOKUP(2,1/($E:$E&lt;&gt;""),$E:$E))*($E49&lt;=$E50)*($E49&gt;INDEX(_xlfn.ANCHORARRAY(Sintesi!$C$15),1,$C49))*($E49&lt;INDEX(_xlfn.ANCHORARRAY(Sintesi!$C$16),1,$C49))*(INDEX(_xlfn.ANCHORARRAY(Sintesi!$C$15),1,$C49)&gt;0),2,IF($E49=(INDEX(_xlfn.ANCHORARRAY(Sintesi!$C$16),1,$C49)),3,4)))),0)))</f>
        <v/>
      </c>
      <c r="E49" s="1">
        <f>'Paste cell here'!F49</f>
        <v/>
      </c>
      <c r="F49" s="1">
        <f>'Paste cell here'!C49</f>
        <v/>
      </c>
      <c r="G49" s="1">
        <f>'Paste cell here'!D49</f>
        <v/>
      </c>
      <c r="H49" s="1">
        <f>'Paste cell here'!E49</f>
        <v/>
      </c>
      <c r="I49" s="1">
        <f>'Paste cell here'!X49</f>
        <v/>
      </c>
      <c r="J49" s="1">
        <f>'Paste cell here'!Y49+'Paste cell here'!S49</f>
        <v/>
      </c>
      <c r="K49" s="1">
        <f>I49/H49</f>
        <v/>
      </c>
      <c r="L49" s="1">
        <f>AVERAGE(($F49+$G49)/2-($F49-$G49)/2*COS(PI()*(8-VLOOKUP(MONTH(B49),$O$1:$Q$13,3))/(VLOOKUP(MONTH(B49),$O$1:$Q$13,2)-VLOOKUP(MONTH(B49),$O$1:$Q$13,3))),($F49+$G49)/2-($F49-$G49)/2*COS(PI()*(9-VLOOKUP(MONTH(B49),$O$1:$Q$13,3))/(VLOOKUP(MONTH(B49),$O$1:$Q$13,2)-VLOOKUP(MONTH(B49),$O$1:$Q$13,3))),($F49+$G49)/2-($F49-$G49)/2*COS(PI()*(10-VLOOKUP(MONTH(B49),$O$1:$Q$13,3))/(VLOOKUP(MONTH(B49),$O$1:$Q$13,2)-VLOOKUP(MONTH(B49),$O$1:$Q$13,3))),($F49+$G49)/2-($F49-$G49)/2*COS(PI()*(11-VLOOKUP(MONTH(B49),$O$1:$Q$13,3))/(VLOOKUP(MONTH(B49),$O$1:$Q$13,2)-VLOOKUP(MONTH(B49),$O$1:$Q$13,3))),($F49+$G49)/2-($F49-$G49)/2*COS(PI()*(12-VLOOKUP(MONTH(B49),$O$1:$Q$13,3))/(VLOOKUP(MONTH(B49),$O$1:$Q$13,2)-VLOOKUP(MONTH(B49),$O$1:$Q$13,3))),($F49+$G49)/2-($F49-$G49)/2*COS(PI()*(13-VLOOKUP(MONTH(B49),$O$1:$Q$13,3))/(VLOOKUP(MONTH(B49),$O$1:$Q$13,2)-VLOOKUP(MONTH(B49),$O$1:$Q$13,3))),($F49+$G49)/2-($F49-$G49)/2*COS(PI()*(14-VLOOKUP(MONTH(B49),$O$1:$Q$13,3))/(VLOOKUP(MONTH(B49),$O$1:$Q$13,2)-VLOOKUP(MONTH(B49),$O$1:$Q$13,3))))</f>
        <v/>
      </c>
      <c r="M49" s="1">
        <f t="array" ref="M49">IF(AND(A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,A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),IF(L49&lt;_xlfn.IFNA(INDEX(_xlfn.ANCHORARRAY(Sintesi!$C$17)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,1,IF(L49&gt;=_xlfn.IFNA(INDEX(_xlfn.ANCHORARRAY(Sintesi!$C$18)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,0,1-(L49-_xlfn.IFNA(INDEX(_xlfn.ANCHORARRAY(Sintesi!$C$17)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)/(_xlfn.IFNA(INDEX(_xlfn.ANCHORARRAY(Sintesi!$C$18)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-_xlfn.IFNA(INDEX(_xlfn.ANCHORARRAY(Sintesi!$C$17)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))),0)</f>
        <v/>
      </c>
    </row>
    <row r="50">
      <c r="A50" s="1">
        <f>'Paste cell here'!A50</f>
        <v/>
      </c>
      <c r="B50" s="2">
        <f>DATE(Sintesi!$C$4-1,12,31)+A50</f>
        <v/>
      </c>
      <c r="C50" s="34">
        <f t="array" ref="C50">_xlfn.IFNA(MATCH(1,(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)*(_xlfn.ANCHORARRAY(Sintesi!$C$15)&gt;=0)+(_xlfn.ANCHORARRAY(Sintesi!$C$15)&lt;0),0),0)</f>
        <v/>
      </c>
      <c r="D50" s="1">
        <f t="array" ref="D50">IF(ISBLANK($E51),IF(ISNUMBER($E49),IF($C50&gt;0,IF(($E50=INDEX(_xlfn.ANCHORARRAY(Sintesi!$C$14),1,$C50))*(INDEX(_xlfn.ANCHORARRAY(Sintesi!$C$15),1,$C50)&gt;0),0,IF(($E50=INDEX(_xlfn.ANCHORARRAY(Sintesi!$C$14),1,$C50))*(INDEX(_xlfn.ANCHORARRAY(Sintesi!$C$15),1,$C50)&lt;0)+($E50&gt;=$E49)*($E50&lt;=INDEX($E:$E,MATCH(TRUE,INDEX((ISNUMBER($E:$E)),0),0)))*($E50&gt;INDEX(_xlfn.ANCHORARRAY(Sintesi!$C$14),1,$C50))*($E50&lt;=INDEX(_xlfn.ANCHORARRAY(Sintesi!$C$15),1,$C50))*(INDEX(_xlfn.ANCHORARRAY(Sintesi!$C$15),1,$C50)&gt;0),1,IF(($E50&gt;=$E49)*($E50&lt;=INDEX($E:$E,MATCH(TRUE,INDEX((ISNUMBER($E:$E)),0),0)))*($E50&gt;INDEX(_xlfn.ANCHORARRAY(Sintesi!$C$14),1,$C50))*($E50&lt;INDEX(_xlfn.ANCHORARRAY(Sintesi!$C$16),1,$C50))*(INDEX(_xlfn.ANCHORARRAY(Sintesi!$C$15),1,$C50)&lt;0)+($E50&gt;=$E49)*($E50&lt;=INDEX($E:$E,MATCH(TRUE,INDEX((ISNUMBER($E:$E)),0),0)))*($E50&gt;INDEX(_xlfn.ANCHORARRAY(Sintesi!$C$15),1,$C50))*($E50&lt;INDEX(_xlfn.ANCHORARRAY(Sintesi!$C$16),1,$C50))*(INDEX(_xlfn.ANCHORARRAY(Sintesi!$C$15),1,$C50)&gt;0),2,IF($E50=(INDEX(_xlfn.ANCHORARRAY(Sintesi!$C$16),1,$C50)),3,4)))),0),IF($C50&gt;0,IF(($E50=INDEX(_xlfn.ANCHORARRAY(Sintesi!$C$14),1,$C50))*(INDEX(_xlfn.ANCHORARRAY(Sintesi!$C$15),1,$C50)&gt;0),0,IF(($E50=INDEX(_xlfn.ANCHORARRAY(Sintesi!$C$14),1,$C50))*(INDEX(_xlfn.ANCHORARRAY(Sintesi!$C$15),1,$C50)&lt;0)+($E50&gt;=LOOKUP(2,1/($E:$E&lt;&gt;""),$E:$E))*($E50&lt;=INDEX($E:$E,MATCH(TRUE,INDEX((ISNUMBER($E:$E)),0),0)))*($E50&gt;INDEX(_xlfn.ANCHORARRAY(Sintesi!$C$14),1,$C50))*($E50&lt;=INDEX(_xlfn.ANCHORARRAY(Sintesi!$C$15),1,$C50))*(INDEX(_xlfn.ANCHORARRAY(Sintesi!$C$15),1,$C50)&gt;0),1,IF(($E50&gt;=LOOKUP(2,1/($E:$E&lt;&gt;""),$E:$E))*($E50&lt;=INDEX($E:$E,MATCH(TRUE,INDEX((ISNUMBER($E:$E)),0),0)))*($E50&gt;INDEX(_xlfn.ANCHORARRAY(Sintesi!$C$14),1,$C50))*($E50&lt;INDEX(_xlfn.ANCHORARRAY(Sintesi!$C$16),1,$C50))*(INDEX(_xlfn.ANCHORARRAY(Sintesi!$C$15),1,$C50)&lt;0)+($E50&gt;=LOOKUP(2,1/($E:$E&lt;&gt;""),$E:$E))*($E50&lt;=INDEX($E:$E,MATCH(TRUE,INDEX((ISNUMBER($E:$E)),0),0)))*($E50&gt;INDEX(_xlfn.ANCHORARRAY(Sintesi!$C$15),1,$C50))*($E50&lt;INDEX(_xlfn.ANCHORARRAY(Sintesi!$C$16),1,$C50))*(INDEX(_xlfn.ANCHORARRAY(Sintesi!$C$15),1,$C50)&gt;0),2,IF($E50=(INDEX(_xlfn.ANCHORARRAY(Sintesi!$C$16),1,$C50)),3,4)))),0)),IF(ISNUMBER($E49),IF($C50&gt;0,IF(($E50=INDEX(_xlfn.ANCHORARRAY(Sintesi!$C$14),1,$C50))*(INDEX(_xlfn.ANCHORARRAY(Sintesi!$C$15),1,$C50)&gt;0),0,IF(($E50=INDEX(_xlfn.ANCHORARRAY(Sintesi!$C$14),1,$C50))*(INDEX(_xlfn.ANCHORARRAY(Sintesi!$C$15),1,$C50)&lt;0)+($E50&gt;=$E49)*($E50&lt;=$E51)*($E50&gt;INDEX(_xlfn.ANCHORARRAY(Sintesi!$C$14),1,$C50))*($E50&lt;=INDEX(_xlfn.ANCHORARRAY(Sintesi!$C$15),1,$C50))*(INDEX(_xlfn.ANCHORARRAY(Sintesi!$C$15),1,$C50)&gt;0),1,IF(($E50&gt;=$E49)*($E50&lt;=$E51)*($E50&gt;INDEX(_xlfn.ANCHORARRAY(Sintesi!$C$14),1,$C50))*($E50&lt;INDEX(_xlfn.ANCHORARRAY(Sintesi!$C$16),1,$C50))*(INDEX(_xlfn.ANCHORARRAY(Sintesi!$C$15),1,$C50)&lt;0)+($E50&gt;=$E49)*($E50&lt;=$E51)*($E50&gt;INDEX(_xlfn.ANCHORARRAY(Sintesi!$C$15),1,$C50))*($E50&lt;INDEX(_xlfn.ANCHORARRAY(Sintesi!$C$16),1,$C50))*(INDEX(_xlfn.ANCHORARRAY(Sintesi!$C$15),1,$C50)&gt;0),2,IF($E50=(INDEX(_xlfn.ANCHORARRAY(Sintesi!$C$16),1,$C50)),3,4)))),0),IF($C50&gt;0,IF(($E50=INDEX(_xlfn.ANCHORARRAY(Sintesi!$C$14),1,$C50))*(INDEX(_xlfn.ANCHORARRAY(Sintesi!$C$15),1,$C50)&gt;0),0,IF(($E50=INDEX(_xlfn.ANCHORARRAY(Sintesi!$C$14),1,$C50))*(INDEX(_xlfn.ANCHORARRAY(Sintesi!$C$15),1,$C50)&lt;0)+($E50&gt;=LOOKUP(2,1/($E:$E&lt;&gt;""),$E:$E))*($E50&lt;=$E51)*($E50&gt;INDEX(_xlfn.ANCHORARRAY(Sintesi!$C$14),1,$C50))*($E50&lt;=INDEX(_xlfn.ANCHORARRAY(Sintesi!$C$15),1,$C50))*(INDEX(_xlfn.ANCHORARRAY(Sintesi!$C$15),1,$C50)&gt;0),1,IF(($E50&gt;=LOOKUP(2,1/($E:$E&lt;&gt;""),$E:$E))*($E50&lt;=$E51)*($E50&gt;INDEX(_xlfn.ANCHORARRAY(Sintesi!$C$14),1,$C50))*($E50&lt;INDEX(_xlfn.ANCHORARRAY(Sintesi!$C$16),1,$C50))*(INDEX(_xlfn.ANCHORARRAY(Sintesi!$C$15),1,$C50)&lt;0)+($E50&gt;=LOOKUP(2,1/($E:$E&lt;&gt;""),$E:$E))*($E50&lt;=$E51)*($E50&gt;INDEX(_xlfn.ANCHORARRAY(Sintesi!$C$15),1,$C50))*($E50&lt;INDEX(_xlfn.ANCHORARRAY(Sintesi!$C$16),1,$C50))*(INDEX(_xlfn.ANCHORARRAY(Sintesi!$C$15),1,$C50)&gt;0),2,IF($E50=(INDEX(_xlfn.ANCHORARRAY(Sintesi!$C$16),1,$C50)),3,4)))),0)))</f>
        <v/>
      </c>
      <c r="E50" s="1">
        <f>'Paste cell here'!F50</f>
        <v/>
      </c>
      <c r="F50" s="1">
        <f>'Paste cell here'!C50</f>
        <v/>
      </c>
      <c r="G50" s="1">
        <f>'Paste cell here'!D50</f>
        <v/>
      </c>
      <c r="H50" s="1">
        <f>'Paste cell here'!E50</f>
        <v/>
      </c>
      <c r="I50" s="1">
        <f>'Paste cell here'!X50</f>
        <v/>
      </c>
      <c r="J50" s="1">
        <f>'Paste cell here'!Y50+'Paste cell here'!S50</f>
        <v/>
      </c>
      <c r="K50" s="1">
        <f>I50/H50</f>
        <v/>
      </c>
      <c r="L50" s="1">
        <f>AVERAGE(($F50+$G50)/2-($F50-$G50)/2*COS(PI()*(8-VLOOKUP(MONTH(B50),$O$1:$Q$13,3))/(VLOOKUP(MONTH(B50),$O$1:$Q$13,2)-VLOOKUP(MONTH(B50),$O$1:$Q$13,3))),($F50+$G50)/2-($F50-$G50)/2*COS(PI()*(9-VLOOKUP(MONTH(B50),$O$1:$Q$13,3))/(VLOOKUP(MONTH(B50),$O$1:$Q$13,2)-VLOOKUP(MONTH(B50),$O$1:$Q$13,3))),($F50+$G50)/2-($F50-$G50)/2*COS(PI()*(10-VLOOKUP(MONTH(B50),$O$1:$Q$13,3))/(VLOOKUP(MONTH(B50),$O$1:$Q$13,2)-VLOOKUP(MONTH(B50),$O$1:$Q$13,3))),($F50+$G50)/2-($F50-$G50)/2*COS(PI()*(11-VLOOKUP(MONTH(B50),$O$1:$Q$13,3))/(VLOOKUP(MONTH(B50),$O$1:$Q$13,2)-VLOOKUP(MONTH(B50),$O$1:$Q$13,3))),($F50+$G50)/2-($F50-$G50)/2*COS(PI()*(12-VLOOKUP(MONTH(B50),$O$1:$Q$13,3))/(VLOOKUP(MONTH(B50),$O$1:$Q$13,2)-VLOOKUP(MONTH(B50),$O$1:$Q$13,3))),($F50+$G50)/2-($F50-$G50)/2*COS(PI()*(13-VLOOKUP(MONTH(B50),$O$1:$Q$13,3))/(VLOOKUP(MONTH(B50),$O$1:$Q$13,2)-VLOOKUP(MONTH(B50),$O$1:$Q$13,3))),($F50+$G50)/2-($F50-$G50)/2*COS(PI()*(14-VLOOKUP(MONTH(B50),$O$1:$Q$13,3))/(VLOOKUP(MONTH(B50),$O$1:$Q$13,2)-VLOOKUP(MONTH(B50),$O$1:$Q$13,3))))</f>
        <v/>
      </c>
      <c r="M50" s="1">
        <f t="array" ref="M50">IF(AND(A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,A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),IF(L50&lt;_xlfn.IFNA(INDEX(_xlfn.ANCHORARRAY(Sintesi!$C$17)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,1,IF(L50&gt;=_xlfn.IFNA(INDEX(_xlfn.ANCHORARRAY(Sintesi!$C$18)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,0,1-(L50-_xlfn.IFNA(INDEX(_xlfn.ANCHORARRAY(Sintesi!$C$17)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)/(_xlfn.IFNA(INDEX(_xlfn.ANCHORARRAY(Sintesi!$C$18)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-_xlfn.IFNA(INDEX(_xlfn.ANCHORARRAY(Sintesi!$C$17)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))),0)</f>
        <v/>
      </c>
    </row>
    <row r="51">
      <c r="A51" s="1">
        <f>'Paste cell here'!A51</f>
        <v/>
      </c>
      <c r="B51" s="2">
        <f>DATE(Sintesi!$C$4-1,12,31)+A51</f>
        <v/>
      </c>
      <c r="C51" s="34">
        <f t="array" ref="C51">_xlfn.IFNA(MATCH(1,(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)*(_xlfn.ANCHORARRAY(Sintesi!$C$15)&gt;=0)+(_xlfn.ANCHORARRAY(Sintesi!$C$15)&lt;0),0),0)</f>
        <v/>
      </c>
      <c r="D51" s="1">
        <f t="array" ref="D51">IF(ISBLANK($E52),IF(ISNUMBER($E50),IF($C51&gt;0,IF(($E51=INDEX(_xlfn.ANCHORARRAY(Sintesi!$C$14),1,$C51))*(INDEX(_xlfn.ANCHORARRAY(Sintesi!$C$15),1,$C51)&gt;0),0,IF(($E51=INDEX(_xlfn.ANCHORARRAY(Sintesi!$C$14),1,$C51))*(INDEX(_xlfn.ANCHORARRAY(Sintesi!$C$15),1,$C51)&lt;0)+($E51&gt;=$E50)*($E51&lt;=INDEX($E:$E,MATCH(TRUE,INDEX((ISNUMBER($E:$E)),0),0)))*($E51&gt;INDEX(_xlfn.ANCHORARRAY(Sintesi!$C$14),1,$C51))*($E51&lt;=INDEX(_xlfn.ANCHORARRAY(Sintesi!$C$15),1,$C51))*(INDEX(_xlfn.ANCHORARRAY(Sintesi!$C$15),1,$C51)&gt;0),1,IF(($E51&gt;=$E50)*($E51&lt;=INDEX($E:$E,MATCH(TRUE,INDEX((ISNUMBER($E:$E)),0),0)))*($E51&gt;INDEX(_xlfn.ANCHORARRAY(Sintesi!$C$14),1,$C51))*($E51&lt;INDEX(_xlfn.ANCHORARRAY(Sintesi!$C$16),1,$C51))*(INDEX(_xlfn.ANCHORARRAY(Sintesi!$C$15),1,$C51)&lt;0)+($E51&gt;=$E50)*($E51&lt;=INDEX($E:$E,MATCH(TRUE,INDEX((ISNUMBER($E:$E)),0),0)))*($E51&gt;INDEX(_xlfn.ANCHORARRAY(Sintesi!$C$15),1,$C51))*($E51&lt;INDEX(_xlfn.ANCHORARRAY(Sintesi!$C$16),1,$C51))*(INDEX(_xlfn.ANCHORARRAY(Sintesi!$C$15),1,$C51)&gt;0),2,IF($E51=(INDEX(_xlfn.ANCHORARRAY(Sintesi!$C$16),1,$C51)),3,4)))),0),IF($C51&gt;0,IF(($E51=INDEX(_xlfn.ANCHORARRAY(Sintesi!$C$14),1,$C51))*(INDEX(_xlfn.ANCHORARRAY(Sintesi!$C$15),1,$C51)&gt;0),0,IF(($E51=INDEX(_xlfn.ANCHORARRAY(Sintesi!$C$14),1,$C51))*(INDEX(_xlfn.ANCHORARRAY(Sintesi!$C$15),1,$C51)&lt;0)+($E51&gt;=LOOKUP(2,1/($E:$E&lt;&gt;""),$E:$E))*($E51&lt;=INDEX($E:$E,MATCH(TRUE,INDEX((ISNUMBER($E:$E)),0),0)))*($E51&gt;INDEX(_xlfn.ANCHORARRAY(Sintesi!$C$14),1,$C51))*($E51&lt;=INDEX(_xlfn.ANCHORARRAY(Sintesi!$C$15),1,$C51))*(INDEX(_xlfn.ANCHORARRAY(Sintesi!$C$15),1,$C51)&gt;0),1,IF(($E51&gt;=LOOKUP(2,1/($E:$E&lt;&gt;""),$E:$E))*($E51&lt;=INDEX($E:$E,MATCH(TRUE,INDEX((ISNUMBER($E:$E)),0),0)))*($E51&gt;INDEX(_xlfn.ANCHORARRAY(Sintesi!$C$14),1,$C51))*($E51&lt;INDEX(_xlfn.ANCHORARRAY(Sintesi!$C$16),1,$C51))*(INDEX(_xlfn.ANCHORARRAY(Sintesi!$C$15),1,$C51)&lt;0)+($E51&gt;=LOOKUP(2,1/($E:$E&lt;&gt;""),$E:$E))*($E51&lt;=INDEX($E:$E,MATCH(TRUE,INDEX((ISNUMBER($E:$E)),0),0)))*($E51&gt;INDEX(_xlfn.ANCHORARRAY(Sintesi!$C$15),1,$C51))*($E51&lt;INDEX(_xlfn.ANCHORARRAY(Sintesi!$C$16),1,$C51))*(INDEX(_xlfn.ANCHORARRAY(Sintesi!$C$15),1,$C51)&gt;0),2,IF($E51=(INDEX(_xlfn.ANCHORARRAY(Sintesi!$C$16),1,$C51)),3,4)))),0)),IF(ISNUMBER($E50),IF($C51&gt;0,IF(($E51=INDEX(_xlfn.ANCHORARRAY(Sintesi!$C$14),1,$C51))*(INDEX(_xlfn.ANCHORARRAY(Sintesi!$C$15),1,$C51)&gt;0),0,IF(($E51=INDEX(_xlfn.ANCHORARRAY(Sintesi!$C$14),1,$C51))*(INDEX(_xlfn.ANCHORARRAY(Sintesi!$C$15),1,$C51)&lt;0)+($E51&gt;=$E50)*($E51&lt;=$E52)*($E51&gt;INDEX(_xlfn.ANCHORARRAY(Sintesi!$C$14),1,$C51))*($E51&lt;=INDEX(_xlfn.ANCHORARRAY(Sintesi!$C$15),1,$C51))*(INDEX(_xlfn.ANCHORARRAY(Sintesi!$C$15),1,$C51)&gt;0),1,IF(($E51&gt;=$E50)*($E51&lt;=$E52)*($E51&gt;INDEX(_xlfn.ANCHORARRAY(Sintesi!$C$14),1,$C51))*($E51&lt;INDEX(_xlfn.ANCHORARRAY(Sintesi!$C$16),1,$C51))*(INDEX(_xlfn.ANCHORARRAY(Sintesi!$C$15),1,$C51)&lt;0)+($E51&gt;=$E50)*($E51&lt;=$E52)*($E51&gt;INDEX(_xlfn.ANCHORARRAY(Sintesi!$C$15),1,$C51))*($E51&lt;INDEX(_xlfn.ANCHORARRAY(Sintesi!$C$16),1,$C51))*(INDEX(_xlfn.ANCHORARRAY(Sintesi!$C$15),1,$C51)&gt;0),2,IF($E51=(INDEX(_xlfn.ANCHORARRAY(Sintesi!$C$16),1,$C51)),3,4)))),0),IF($C51&gt;0,IF(($E51=INDEX(_xlfn.ANCHORARRAY(Sintesi!$C$14),1,$C51))*(INDEX(_xlfn.ANCHORARRAY(Sintesi!$C$15),1,$C51)&gt;0),0,IF(($E51=INDEX(_xlfn.ANCHORARRAY(Sintesi!$C$14),1,$C51))*(INDEX(_xlfn.ANCHORARRAY(Sintesi!$C$15),1,$C51)&lt;0)+($E51&gt;=LOOKUP(2,1/($E:$E&lt;&gt;""),$E:$E))*($E51&lt;=$E52)*($E51&gt;INDEX(_xlfn.ANCHORARRAY(Sintesi!$C$14),1,$C51))*($E51&lt;=INDEX(_xlfn.ANCHORARRAY(Sintesi!$C$15),1,$C51))*(INDEX(_xlfn.ANCHORARRAY(Sintesi!$C$15),1,$C51)&gt;0),1,IF(($E51&gt;=LOOKUP(2,1/($E:$E&lt;&gt;""),$E:$E))*($E51&lt;=$E52)*($E51&gt;INDEX(_xlfn.ANCHORARRAY(Sintesi!$C$14),1,$C51))*($E51&lt;INDEX(_xlfn.ANCHORARRAY(Sintesi!$C$16),1,$C51))*(INDEX(_xlfn.ANCHORARRAY(Sintesi!$C$15),1,$C51)&lt;0)+($E51&gt;=LOOKUP(2,1/($E:$E&lt;&gt;""),$E:$E))*($E51&lt;=$E52)*($E51&gt;INDEX(_xlfn.ANCHORARRAY(Sintesi!$C$15),1,$C51))*($E51&lt;INDEX(_xlfn.ANCHORARRAY(Sintesi!$C$16),1,$C51))*(INDEX(_xlfn.ANCHORARRAY(Sintesi!$C$15),1,$C51)&gt;0),2,IF($E51=(INDEX(_xlfn.ANCHORARRAY(Sintesi!$C$16),1,$C51)),3,4)))),0)))</f>
        <v/>
      </c>
      <c r="E51" s="1">
        <f>'Paste cell here'!F51</f>
        <v/>
      </c>
      <c r="F51" s="1">
        <f>'Paste cell here'!C51</f>
        <v/>
      </c>
      <c r="G51" s="1">
        <f>'Paste cell here'!D51</f>
        <v/>
      </c>
      <c r="H51" s="1">
        <f>'Paste cell here'!E51</f>
        <v/>
      </c>
      <c r="I51" s="1">
        <f>'Paste cell here'!X51</f>
        <v/>
      </c>
      <c r="J51" s="1">
        <f>'Paste cell here'!Y51+'Paste cell here'!S51</f>
        <v/>
      </c>
      <c r="K51" s="1">
        <f>I51/H51</f>
        <v/>
      </c>
      <c r="L51" s="1">
        <f>AVERAGE(($F51+$G51)/2-($F51-$G51)/2*COS(PI()*(8-VLOOKUP(MONTH(B51),$O$1:$Q$13,3))/(VLOOKUP(MONTH(B51),$O$1:$Q$13,2)-VLOOKUP(MONTH(B51),$O$1:$Q$13,3))),($F51+$G51)/2-($F51-$G51)/2*COS(PI()*(9-VLOOKUP(MONTH(B51),$O$1:$Q$13,3))/(VLOOKUP(MONTH(B51),$O$1:$Q$13,2)-VLOOKUP(MONTH(B51),$O$1:$Q$13,3))),($F51+$G51)/2-($F51-$G51)/2*COS(PI()*(10-VLOOKUP(MONTH(B51),$O$1:$Q$13,3))/(VLOOKUP(MONTH(B51),$O$1:$Q$13,2)-VLOOKUP(MONTH(B51),$O$1:$Q$13,3))),($F51+$G51)/2-($F51-$G51)/2*COS(PI()*(11-VLOOKUP(MONTH(B51),$O$1:$Q$13,3))/(VLOOKUP(MONTH(B51),$O$1:$Q$13,2)-VLOOKUP(MONTH(B51),$O$1:$Q$13,3))),($F51+$G51)/2-($F51-$G51)/2*COS(PI()*(12-VLOOKUP(MONTH(B51),$O$1:$Q$13,3))/(VLOOKUP(MONTH(B51),$O$1:$Q$13,2)-VLOOKUP(MONTH(B51),$O$1:$Q$13,3))),($F51+$G51)/2-($F51-$G51)/2*COS(PI()*(13-VLOOKUP(MONTH(B51),$O$1:$Q$13,3))/(VLOOKUP(MONTH(B51),$O$1:$Q$13,2)-VLOOKUP(MONTH(B51),$O$1:$Q$13,3))),($F51+$G51)/2-($F51-$G51)/2*COS(PI()*(14-VLOOKUP(MONTH(B51),$O$1:$Q$13,3))/(VLOOKUP(MONTH(B51),$O$1:$Q$13,2)-VLOOKUP(MONTH(B51),$O$1:$Q$13,3))))</f>
        <v/>
      </c>
      <c r="M51" s="1">
        <f t="array" ref="M51">IF(AND(A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,A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),IF(L51&lt;_xlfn.IFNA(INDEX(_xlfn.ANCHORARRAY(Sintesi!$C$17)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,1,IF(L51&gt;=_xlfn.IFNA(INDEX(_xlfn.ANCHORARRAY(Sintesi!$C$18)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,0,1-(L51-_xlfn.IFNA(INDEX(_xlfn.ANCHORARRAY(Sintesi!$C$17)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)/(_xlfn.IFNA(INDEX(_xlfn.ANCHORARRAY(Sintesi!$C$18)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-_xlfn.IFNA(INDEX(_xlfn.ANCHORARRAY(Sintesi!$C$17)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))),0)</f>
        <v/>
      </c>
    </row>
    <row r="52">
      <c r="A52" s="1">
        <f>'Paste cell here'!A52</f>
        <v/>
      </c>
      <c r="B52" s="2">
        <f>DATE(Sintesi!$C$4-1,12,31)+A52</f>
        <v/>
      </c>
      <c r="C52" s="34">
        <f t="array" ref="C52">_xlfn.IFNA(MATCH(1,(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)*(_xlfn.ANCHORARRAY(Sintesi!$C$15)&gt;=0)+(_xlfn.ANCHORARRAY(Sintesi!$C$15)&lt;0),0),0)</f>
        <v/>
      </c>
      <c r="D52" s="1">
        <f t="array" ref="D52">IF(ISBLANK($E53),IF(ISNUMBER($E51),IF($C52&gt;0,IF(($E52=INDEX(_xlfn.ANCHORARRAY(Sintesi!$C$14),1,$C52))*(INDEX(_xlfn.ANCHORARRAY(Sintesi!$C$15),1,$C52)&gt;0),0,IF(($E52=INDEX(_xlfn.ANCHORARRAY(Sintesi!$C$14),1,$C52))*(INDEX(_xlfn.ANCHORARRAY(Sintesi!$C$15),1,$C52)&lt;0)+($E52&gt;=$E51)*($E52&lt;=INDEX($E:$E,MATCH(TRUE,INDEX((ISNUMBER($E:$E)),0),0)))*($E52&gt;INDEX(_xlfn.ANCHORARRAY(Sintesi!$C$14),1,$C52))*($E52&lt;=INDEX(_xlfn.ANCHORARRAY(Sintesi!$C$15),1,$C52))*(INDEX(_xlfn.ANCHORARRAY(Sintesi!$C$15),1,$C52)&gt;0),1,IF(($E52&gt;=$E51)*($E52&lt;=INDEX($E:$E,MATCH(TRUE,INDEX((ISNUMBER($E:$E)),0),0)))*($E52&gt;INDEX(_xlfn.ANCHORARRAY(Sintesi!$C$14),1,$C52))*($E52&lt;INDEX(_xlfn.ANCHORARRAY(Sintesi!$C$16),1,$C52))*(INDEX(_xlfn.ANCHORARRAY(Sintesi!$C$15),1,$C52)&lt;0)+($E52&gt;=$E51)*($E52&lt;=INDEX($E:$E,MATCH(TRUE,INDEX((ISNUMBER($E:$E)),0),0)))*($E52&gt;INDEX(_xlfn.ANCHORARRAY(Sintesi!$C$15),1,$C52))*($E52&lt;INDEX(_xlfn.ANCHORARRAY(Sintesi!$C$16),1,$C52))*(INDEX(_xlfn.ANCHORARRAY(Sintesi!$C$15),1,$C52)&gt;0),2,IF($E52=(INDEX(_xlfn.ANCHORARRAY(Sintesi!$C$16),1,$C52)),3,4)))),0),IF($C52&gt;0,IF(($E52=INDEX(_xlfn.ANCHORARRAY(Sintesi!$C$14),1,$C52))*(INDEX(_xlfn.ANCHORARRAY(Sintesi!$C$15),1,$C52)&gt;0),0,IF(($E52=INDEX(_xlfn.ANCHORARRAY(Sintesi!$C$14),1,$C52))*(INDEX(_xlfn.ANCHORARRAY(Sintesi!$C$15),1,$C52)&lt;0)+($E52&gt;=LOOKUP(2,1/($E:$E&lt;&gt;""),$E:$E))*($E52&lt;=INDEX($E:$E,MATCH(TRUE,INDEX((ISNUMBER($E:$E)),0),0)))*($E52&gt;INDEX(_xlfn.ANCHORARRAY(Sintesi!$C$14),1,$C52))*($E52&lt;=INDEX(_xlfn.ANCHORARRAY(Sintesi!$C$15),1,$C52))*(INDEX(_xlfn.ANCHORARRAY(Sintesi!$C$15),1,$C52)&gt;0),1,IF(($E52&gt;=LOOKUP(2,1/($E:$E&lt;&gt;""),$E:$E))*($E52&lt;=INDEX($E:$E,MATCH(TRUE,INDEX((ISNUMBER($E:$E)),0),0)))*($E52&gt;INDEX(_xlfn.ANCHORARRAY(Sintesi!$C$14),1,$C52))*($E52&lt;INDEX(_xlfn.ANCHORARRAY(Sintesi!$C$16),1,$C52))*(INDEX(_xlfn.ANCHORARRAY(Sintesi!$C$15),1,$C52)&lt;0)+($E52&gt;=LOOKUP(2,1/($E:$E&lt;&gt;""),$E:$E))*($E52&lt;=INDEX($E:$E,MATCH(TRUE,INDEX((ISNUMBER($E:$E)),0),0)))*($E52&gt;INDEX(_xlfn.ANCHORARRAY(Sintesi!$C$15),1,$C52))*($E52&lt;INDEX(_xlfn.ANCHORARRAY(Sintesi!$C$16),1,$C52))*(INDEX(_xlfn.ANCHORARRAY(Sintesi!$C$15),1,$C52)&gt;0),2,IF($E52=(INDEX(_xlfn.ANCHORARRAY(Sintesi!$C$16),1,$C52)),3,4)))),0)),IF(ISNUMBER($E51),IF($C52&gt;0,IF(($E52=INDEX(_xlfn.ANCHORARRAY(Sintesi!$C$14),1,$C52))*(INDEX(_xlfn.ANCHORARRAY(Sintesi!$C$15),1,$C52)&gt;0),0,IF(($E52=INDEX(_xlfn.ANCHORARRAY(Sintesi!$C$14),1,$C52))*(INDEX(_xlfn.ANCHORARRAY(Sintesi!$C$15),1,$C52)&lt;0)+($E52&gt;=$E51)*($E52&lt;=$E53)*($E52&gt;INDEX(_xlfn.ANCHORARRAY(Sintesi!$C$14),1,$C52))*($E52&lt;=INDEX(_xlfn.ANCHORARRAY(Sintesi!$C$15),1,$C52))*(INDEX(_xlfn.ANCHORARRAY(Sintesi!$C$15),1,$C52)&gt;0),1,IF(($E52&gt;=$E51)*($E52&lt;=$E53)*($E52&gt;INDEX(_xlfn.ANCHORARRAY(Sintesi!$C$14),1,$C52))*($E52&lt;INDEX(_xlfn.ANCHORARRAY(Sintesi!$C$16),1,$C52))*(INDEX(_xlfn.ANCHORARRAY(Sintesi!$C$15),1,$C52)&lt;0)+($E52&gt;=$E51)*($E52&lt;=$E53)*($E52&gt;INDEX(_xlfn.ANCHORARRAY(Sintesi!$C$15),1,$C52))*($E52&lt;INDEX(_xlfn.ANCHORARRAY(Sintesi!$C$16),1,$C52))*(INDEX(_xlfn.ANCHORARRAY(Sintesi!$C$15),1,$C52)&gt;0),2,IF($E52=(INDEX(_xlfn.ANCHORARRAY(Sintesi!$C$16),1,$C52)),3,4)))),0),IF($C52&gt;0,IF(($E52=INDEX(_xlfn.ANCHORARRAY(Sintesi!$C$14),1,$C52))*(INDEX(_xlfn.ANCHORARRAY(Sintesi!$C$15),1,$C52)&gt;0),0,IF(($E52=INDEX(_xlfn.ANCHORARRAY(Sintesi!$C$14),1,$C52))*(INDEX(_xlfn.ANCHORARRAY(Sintesi!$C$15),1,$C52)&lt;0)+($E52&gt;=LOOKUP(2,1/($E:$E&lt;&gt;""),$E:$E))*($E52&lt;=$E53)*($E52&gt;INDEX(_xlfn.ANCHORARRAY(Sintesi!$C$14),1,$C52))*($E52&lt;=INDEX(_xlfn.ANCHORARRAY(Sintesi!$C$15),1,$C52))*(INDEX(_xlfn.ANCHORARRAY(Sintesi!$C$15),1,$C52)&gt;0),1,IF(($E52&gt;=LOOKUP(2,1/($E:$E&lt;&gt;""),$E:$E))*($E52&lt;=$E53)*($E52&gt;INDEX(_xlfn.ANCHORARRAY(Sintesi!$C$14),1,$C52))*($E52&lt;INDEX(_xlfn.ANCHORARRAY(Sintesi!$C$16),1,$C52))*(INDEX(_xlfn.ANCHORARRAY(Sintesi!$C$15),1,$C52)&lt;0)+($E52&gt;=LOOKUP(2,1/($E:$E&lt;&gt;""),$E:$E))*($E52&lt;=$E53)*($E52&gt;INDEX(_xlfn.ANCHORARRAY(Sintesi!$C$15),1,$C52))*($E52&lt;INDEX(_xlfn.ANCHORARRAY(Sintesi!$C$16),1,$C52))*(INDEX(_xlfn.ANCHORARRAY(Sintesi!$C$15),1,$C52)&gt;0),2,IF($E52=(INDEX(_xlfn.ANCHORARRAY(Sintesi!$C$16),1,$C52)),3,4)))),0)))</f>
        <v/>
      </c>
      <c r="E52" s="1">
        <f>'Paste cell here'!F52</f>
        <v/>
      </c>
      <c r="F52" s="1">
        <f>'Paste cell here'!C52</f>
        <v/>
      </c>
      <c r="G52" s="1">
        <f>'Paste cell here'!D52</f>
        <v/>
      </c>
      <c r="H52" s="1">
        <f>'Paste cell here'!E52</f>
        <v/>
      </c>
      <c r="I52" s="1">
        <f>'Paste cell here'!X52</f>
        <v/>
      </c>
      <c r="J52" s="1">
        <f>'Paste cell here'!Y52+'Paste cell here'!S52</f>
        <v/>
      </c>
      <c r="K52" s="1">
        <f>I52/H52</f>
        <v/>
      </c>
      <c r="L52" s="1">
        <f>AVERAGE(($F52+$G52)/2-($F52-$G52)/2*COS(PI()*(8-VLOOKUP(MONTH(B52),$O$1:$Q$13,3))/(VLOOKUP(MONTH(B52),$O$1:$Q$13,2)-VLOOKUP(MONTH(B52),$O$1:$Q$13,3))),($F52+$G52)/2-($F52-$G52)/2*COS(PI()*(9-VLOOKUP(MONTH(B52),$O$1:$Q$13,3))/(VLOOKUP(MONTH(B52),$O$1:$Q$13,2)-VLOOKUP(MONTH(B52),$O$1:$Q$13,3))),($F52+$G52)/2-($F52-$G52)/2*COS(PI()*(10-VLOOKUP(MONTH(B52),$O$1:$Q$13,3))/(VLOOKUP(MONTH(B52),$O$1:$Q$13,2)-VLOOKUP(MONTH(B52),$O$1:$Q$13,3))),($F52+$G52)/2-($F52-$G52)/2*COS(PI()*(11-VLOOKUP(MONTH(B52),$O$1:$Q$13,3))/(VLOOKUP(MONTH(B52),$O$1:$Q$13,2)-VLOOKUP(MONTH(B52),$O$1:$Q$13,3))),($F52+$G52)/2-($F52-$G52)/2*COS(PI()*(12-VLOOKUP(MONTH(B52),$O$1:$Q$13,3))/(VLOOKUP(MONTH(B52),$O$1:$Q$13,2)-VLOOKUP(MONTH(B52),$O$1:$Q$13,3))),($F52+$G52)/2-($F52-$G52)/2*COS(PI()*(13-VLOOKUP(MONTH(B52),$O$1:$Q$13,3))/(VLOOKUP(MONTH(B52),$O$1:$Q$13,2)-VLOOKUP(MONTH(B52),$O$1:$Q$13,3))),($F52+$G52)/2-($F52-$G52)/2*COS(PI()*(14-VLOOKUP(MONTH(B52),$O$1:$Q$13,3))/(VLOOKUP(MONTH(B52),$O$1:$Q$13,2)-VLOOKUP(MONTH(B52),$O$1:$Q$13,3))))</f>
        <v/>
      </c>
      <c r="M52" s="1">
        <f t="array" ref="M52">IF(AND(A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,A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),IF(L52&lt;_xlfn.IFNA(INDEX(_xlfn.ANCHORARRAY(Sintesi!$C$17)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,1,IF(L52&gt;=_xlfn.IFNA(INDEX(_xlfn.ANCHORARRAY(Sintesi!$C$18)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,0,1-(L52-_xlfn.IFNA(INDEX(_xlfn.ANCHORARRAY(Sintesi!$C$17)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)/(_xlfn.IFNA(INDEX(_xlfn.ANCHORARRAY(Sintesi!$C$18)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-_xlfn.IFNA(INDEX(_xlfn.ANCHORARRAY(Sintesi!$C$17)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))),0)</f>
        <v/>
      </c>
    </row>
    <row r="53">
      <c r="A53" s="1">
        <f>'Paste cell here'!A53</f>
        <v/>
      </c>
      <c r="B53" s="2">
        <f>DATE(Sintesi!$C$4-1,12,31)+A53</f>
        <v/>
      </c>
      <c r="C53" s="34">
        <f t="array" ref="C53">_xlfn.IFNA(MATCH(1,(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)*(_xlfn.ANCHORARRAY(Sintesi!$C$15)&gt;=0)+(_xlfn.ANCHORARRAY(Sintesi!$C$15)&lt;0),0),0)</f>
        <v/>
      </c>
      <c r="D53" s="1">
        <f t="array" ref="D53">IF(ISBLANK($E54),IF(ISNUMBER($E52),IF($C53&gt;0,IF(($E53=INDEX(_xlfn.ANCHORARRAY(Sintesi!$C$14),1,$C53))*(INDEX(_xlfn.ANCHORARRAY(Sintesi!$C$15),1,$C53)&gt;0),0,IF(($E53=INDEX(_xlfn.ANCHORARRAY(Sintesi!$C$14),1,$C53))*(INDEX(_xlfn.ANCHORARRAY(Sintesi!$C$15),1,$C53)&lt;0)+($E53&gt;=$E52)*($E53&lt;=INDEX($E:$E,MATCH(TRUE,INDEX((ISNUMBER($E:$E)),0),0)))*($E53&gt;INDEX(_xlfn.ANCHORARRAY(Sintesi!$C$14),1,$C53))*($E53&lt;=INDEX(_xlfn.ANCHORARRAY(Sintesi!$C$15),1,$C53))*(INDEX(_xlfn.ANCHORARRAY(Sintesi!$C$15),1,$C53)&gt;0),1,IF(($E53&gt;=$E52)*($E53&lt;=INDEX($E:$E,MATCH(TRUE,INDEX((ISNUMBER($E:$E)),0),0)))*($E53&gt;INDEX(_xlfn.ANCHORARRAY(Sintesi!$C$14),1,$C53))*($E53&lt;INDEX(_xlfn.ANCHORARRAY(Sintesi!$C$16),1,$C53))*(INDEX(_xlfn.ANCHORARRAY(Sintesi!$C$15),1,$C53)&lt;0)+($E53&gt;=$E52)*($E53&lt;=INDEX($E:$E,MATCH(TRUE,INDEX((ISNUMBER($E:$E)),0),0)))*($E53&gt;INDEX(_xlfn.ANCHORARRAY(Sintesi!$C$15),1,$C53))*($E53&lt;INDEX(_xlfn.ANCHORARRAY(Sintesi!$C$16),1,$C53))*(INDEX(_xlfn.ANCHORARRAY(Sintesi!$C$15),1,$C53)&gt;0),2,IF($E53=(INDEX(_xlfn.ANCHORARRAY(Sintesi!$C$16),1,$C53)),3,4)))),0),IF($C53&gt;0,IF(($E53=INDEX(_xlfn.ANCHORARRAY(Sintesi!$C$14),1,$C53))*(INDEX(_xlfn.ANCHORARRAY(Sintesi!$C$15),1,$C53)&gt;0),0,IF(($E53=INDEX(_xlfn.ANCHORARRAY(Sintesi!$C$14),1,$C53))*(INDEX(_xlfn.ANCHORARRAY(Sintesi!$C$15),1,$C53)&lt;0)+($E53&gt;=LOOKUP(2,1/($E:$E&lt;&gt;""),$E:$E))*($E53&lt;=INDEX($E:$E,MATCH(TRUE,INDEX((ISNUMBER($E:$E)),0),0)))*($E53&gt;INDEX(_xlfn.ANCHORARRAY(Sintesi!$C$14),1,$C53))*($E53&lt;=INDEX(_xlfn.ANCHORARRAY(Sintesi!$C$15),1,$C53))*(INDEX(_xlfn.ANCHORARRAY(Sintesi!$C$15),1,$C53)&gt;0),1,IF(($E53&gt;=LOOKUP(2,1/($E:$E&lt;&gt;""),$E:$E))*($E53&lt;=INDEX($E:$E,MATCH(TRUE,INDEX((ISNUMBER($E:$E)),0),0)))*($E53&gt;INDEX(_xlfn.ANCHORARRAY(Sintesi!$C$14),1,$C53))*($E53&lt;INDEX(_xlfn.ANCHORARRAY(Sintesi!$C$16),1,$C53))*(INDEX(_xlfn.ANCHORARRAY(Sintesi!$C$15),1,$C53)&lt;0)+($E53&gt;=LOOKUP(2,1/($E:$E&lt;&gt;""),$E:$E))*($E53&lt;=INDEX($E:$E,MATCH(TRUE,INDEX((ISNUMBER($E:$E)),0),0)))*($E53&gt;INDEX(_xlfn.ANCHORARRAY(Sintesi!$C$15),1,$C53))*($E53&lt;INDEX(_xlfn.ANCHORARRAY(Sintesi!$C$16),1,$C53))*(INDEX(_xlfn.ANCHORARRAY(Sintesi!$C$15),1,$C53)&gt;0),2,IF($E53=(INDEX(_xlfn.ANCHORARRAY(Sintesi!$C$16),1,$C53)),3,4)))),0)),IF(ISNUMBER($E52),IF($C53&gt;0,IF(($E53=INDEX(_xlfn.ANCHORARRAY(Sintesi!$C$14),1,$C53))*(INDEX(_xlfn.ANCHORARRAY(Sintesi!$C$15),1,$C53)&gt;0),0,IF(($E53=INDEX(_xlfn.ANCHORARRAY(Sintesi!$C$14),1,$C53))*(INDEX(_xlfn.ANCHORARRAY(Sintesi!$C$15),1,$C53)&lt;0)+($E53&gt;=$E52)*($E53&lt;=$E54)*($E53&gt;INDEX(_xlfn.ANCHORARRAY(Sintesi!$C$14),1,$C53))*($E53&lt;=INDEX(_xlfn.ANCHORARRAY(Sintesi!$C$15),1,$C53))*(INDEX(_xlfn.ANCHORARRAY(Sintesi!$C$15),1,$C53)&gt;0),1,IF(($E53&gt;=$E52)*($E53&lt;=$E54)*($E53&gt;INDEX(_xlfn.ANCHORARRAY(Sintesi!$C$14),1,$C53))*($E53&lt;INDEX(_xlfn.ANCHORARRAY(Sintesi!$C$16),1,$C53))*(INDEX(_xlfn.ANCHORARRAY(Sintesi!$C$15),1,$C53)&lt;0)+($E53&gt;=$E52)*($E53&lt;=$E54)*($E53&gt;INDEX(_xlfn.ANCHORARRAY(Sintesi!$C$15),1,$C53))*($E53&lt;INDEX(_xlfn.ANCHORARRAY(Sintesi!$C$16),1,$C53))*(INDEX(_xlfn.ANCHORARRAY(Sintesi!$C$15),1,$C53)&gt;0),2,IF($E53=(INDEX(_xlfn.ANCHORARRAY(Sintesi!$C$16),1,$C53)),3,4)))),0),IF($C53&gt;0,IF(($E53=INDEX(_xlfn.ANCHORARRAY(Sintesi!$C$14),1,$C53))*(INDEX(_xlfn.ANCHORARRAY(Sintesi!$C$15),1,$C53)&gt;0),0,IF(($E53=INDEX(_xlfn.ANCHORARRAY(Sintesi!$C$14),1,$C53))*(INDEX(_xlfn.ANCHORARRAY(Sintesi!$C$15),1,$C53)&lt;0)+($E53&gt;=LOOKUP(2,1/($E:$E&lt;&gt;""),$E:$E))*($E53&lt;=$E54)*($E53&gt;INDEX(_xlfn.ANCHORARRAY(Sintesi!$C$14),1,$C53))*($E53&lt;=INDEX(_xlfn.ANCHORARRAY(Sintesi!$C$15),1,$C53))*(INDEX(_xlfn.ANCHORARRAY(Sintesi!$C$15),1,$C53)&gt;0),1,IF(($E53&gt;=LOOKUP(2,1/($E:$E&lt;&gt;""),$E:$E))*($E53&lt;=$E54)*($E53&gt;INDEX(_xlfn.ANCHORARRAY(Sintesi!$C$14),1,$C53))*($E53&lt;INDEX(_xlfn.ANCHORARRAY(Sintesi!$C$16),1,$C53))*(INDEX(_xlfn.ANCHORARRAY(Sintesi!$C$15),1,$C53)&lt;0)+($E53&gt;=LOOKUP(2,1/($E:$E&lt;&gt;""),$E:$E))*($E53&lt;=$E54)*($E53&gt;INDEX(_xlfn.ANCHORARRAY(Sintesi!$C$15),1,$C53))*($E53&lt;INDEX(_xlfn.ANCHORARRAY(Sintesi!$C$16),1,$C53))*(INDEX(_xlfn.ANCHORARRAY(Sintesi!$C$15),1,$C53)&gt;0),2,IF($E53=(INDEX(_xlfn.ANCHORARRAY(Sintesi!$C$16),1,$C53)),3,4)))),0)))</f>
        <v/>
      </c>
      <c r="E53" s="1">
        <f>'Paste cell here'!F53</f>
        <v/>
      </c>
      <c r="F53" s="1">
        <f>'Paste cell here'!C53</f>
        <v/>
      </c>
      <c r="G53" s="1">
        <f>'Paste cell here'!D53</f>
        <v/>
      </c>
      <c r="H53" s="1">
        <f>'Paste cell here'!E53</f>
        <v/>
      </c>
      <c r="I53" s="1">
        <f>'Paste cell here'!X53</f>
        <v/>
      </c>
      <c r="J53" s="1">
        <f>'Paste cell here'!Y53+'Paste cell here'!S53</f>
        <v/>
      </c>
      <c r="K53" s="1">
        <f>I53/H53</f>
        <v/>
      </c>
      <c r="L53" s="1">
        <f>AVERAGE(($F53+$G53)/2-($F53-$G53)/2*COS(PI()*(8-VLOOKUP(MONTH(B53),$O$1:$Q$13,3))/(VLOOKUP(MONTH(B53),$O$1:$Q$13,2)-VLOOKUP(MONTH(B53),$O$1:$Q$13,3))),($F53+$G53)/2-($F53-$G53)/2*COS(PI()*(9-VLOOKUP(MONTH(B53),$O$1:$Q$13,3))/(VLOOKUP(MONTH(B53),$O$1:$Q$13,2)-VLOOKUP(MONTH(B53),$O$1:$Q$13,3))),($F53+$G53)/2-($F53-$G53)/2*COS(PI()*(10-VLOOKUP(MONTH(B53),$O$1:$Q$13,3))/(VLOOKUP(MONTH(B53),$O$1:$Q$13,2)-VLOOKUP(MONTH(B53),$O$1:$Q$13,3))),($F53+$G53)/2-($F53-$G53)/2*COS(PI()*(11-VLOOKUP(MONTH(B53),$O$1:$Q$13,3))/(VLOOKUP(MONTH(B53),$O$1:$Q$13,2)-VLOOKUP(MONTH(B53),$O$1:$Q$13,3))),($F53+$G53)/2-($F53-$G53)/2*COS(PI()*(12-VLOOKUP(MONTH(B53),$O$1:$Q$13,3))/(VLOOKUP(MONTH(B53),$O$1:$Q$13,2)-VLOOKUP(MONTH(B53),$O$1:$Q$13,3))),($F53+$G53)/2-($F53-$G53)/2*COS(PI()*(13-VLOOKUP(MONTH(B53),$O$1:$Q$13,3))/(VLOOKUP(MONTH(B53),$O$1:$Q$13,2)-VLOOKUP(MONTH(B53),$O$1:$Q$13,3))),($F53+$G53)/2-($F53-$G53)/2*COS(PI()*(14-VLOOKUP(MONTH(B53),$O$1:$Q$13,3))/(VLOOKUP(MONTH(B53),$O$1:$Q$13,2)-VLOOKUP(MONTH(B53),$O$1:$Q$13,3))))</f>
        <v/>
      </c>
      <c r="M53" s="1">
        <f t="array" ref="M53">IF(AND(A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,A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),IF(L53&lt;_xlfn.IFNA(INDEX(_xlfn.ANCHORARRAY(Sintesi!$C$17)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,1,IF(L53&gt;=_xlfn.IFNA(INDEX(_xlfn.ANCHORARRAY(Sintesi!$C$18)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,0,1-(L53-_xlfn.IFNA(INDEX(_xlfn.ANCHORARRAY(Sintesi!$C$17)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)/(_xlfn.IFNA(INDEX(_xlfn.ANCHORARRAY(Sintesi!$C$18)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-_xlfn.IFNA(INDEX(_xlfn.ANCHORARRAY(Sintesi!$C$17)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))),0)</f>
        <v/>
      </c>
    </row>
    <row r="54">
      <c r="A54" s="1">
        <f>'Paste cell here'!A54</f>
        <v/>
      </c>
      <c r="B54" s="2">
        <f>DATE(Sintesi!$C$4-1,12,31)+A54</f>
        <v/>
      </c>
      <c r="C54" s="34">
        <f t="array" ref="C54">_xlfn.IFNA(MATCH(1,(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)*(_xlfn.ANCHORARRAY(Sintesi!$C$15)&gt;=0)+(_xlfn.ANCHORARRAY(Sintesi!$C$15)&lt;0),0),0)</f>
        <v/>
      </c>
      <c r="D54" s="1">
        <f t="array" ref="D54">IF(ISBLANK($E55),IF(ISNUMBER($E53),IF($C54&gt;0,IF(($E54=INDEX(_xlfn.ANCHORARRAY(Sintesi!$C$14),1,$C54))*(INDEX(_xlfn.ANCHORARRAY(Sintesi!$C$15),1,$C54)&gt;0),0,IF(($E54=INDEX(_xlfn.ANCHORARRAY(Sintesi!$C$14),1,$C54))*(INDEX(_xlfn.ANCHORARRAY(Sintesi!$C$15),1,$C54)&lt;0)+($E54&gt;=$E53)*($E54&lt;=INDEX($E:$E,MATCH(TRUE,INDEX((ISNUMBER($E:$E)),0),0)))*($E54&gt;INDEX(_xlfn.ANCHORARRAY(Sintesi!$C$14),1,$C54))*($E54&lt;=INDEX(_xlfn.ANCHORARRAY(Sintesi!$C$15),1,$C54))*(INDEX(_xlfn.ANCHORARRAY(Sintesi!$C$15),1,$C54)&gt;0),1,IF(($E54&gt;=$E53)*($E54&lt;=INDEX($E:$E,MATCH(TRUE,INDEX((ISNUMBER($E:$E)),0),0)))*($E54&gt;INDEX(_xlfn.ANCHORARRAY(Sintesi!$C$14),1,$C54))*($E54&lt;INDEX(_xlfn.ANCHORARRAY(Sintesi!$C$16),1,$C54))*(INDEX(_xlfn.ANCHORARRAY(Sintesi!$C$15),1,$C54)&lt;0)+($E54&gt;=$E53)*($E54&lt;=INDEX($E:$E,MATCH(TRUE,INDEX((ISNUMBER($E:$E)),0),0)))*($E54&gt;INDEX(_xlfn.ANCHORARRAY(Sintesi!$C$15),1,$C54))*($E54&lt;INDEX(_xlfn.ANCHORARRAY(Sintesi!$C$16),1,$C54))*(INDEX(_xlfn.ANCHORARRAY(Sintesi!$C$15),1,$C54)&gt;0),2,IF($E54=(INDEX(_xlfn.ANCHORARRAY(Sintesi!$C$16),1,$C54)),3,4)))),0),IF($C54&gt;0,IF(($E54=INDEX(_xlfn.ANCHORARRAY(Sintesi!$C$14),1,$C54))*(INDEX(_xlfn.ANCHORARRAY(Sintesi!$C$15),1,$C54)&gt;0),0,IF(($E54=INDEX(_xlfn.ANCHORARRAY(Sintesi!$C$14),1,$C54))*(INDEX(_xlfn.ANCHORARRAY(Sintesi!$C$15),1,$C54)&lt;0)+($E54&gt;=LOOKUP(2,1/($E:$E&lt;&gt;""),$E:$E))*($E54&lt;=INDEX($E:$E,MATCH(TRUE,INDEX((ISNUMBER($E:$E)),0),0)))*($E54&gt;INDEX(_xlfn.ANCHORARRAY(Sintesi!$C$14),1,$C54))*($E54&lt;=INDEX(_xlfn.ANCHORARRAY(Sintesi!$C$15),1,$C54))*(INDEX(_xlfn.ANCHORARRAY(Sintesi!$C$15),1,$C54)&gt;0),1,IF(($E54&gt;=LOOKUP(2,1/($E:$E&lt;&gt;""),$E:$E))*($E54&lt;=INDEX($E:$E,MATCH(TRUE,INDEX((ISNUMBER($E:$E)),0),0)))*($E54&gt;INDEX(_xlfn.ANCHORARRAY(Sintesi!$C$14),1,$C54))*($E54&lt;INDEX(_xlfn.ANCHORARRAY(Sintesi!$C$16),1,$C54))*(INDEX(_xlfn.ANCHORARRAY(Sintesi!$C$15),1,$C54)&lt;0)+($E54&gt;=LOOKUP(2,1/($E:$E&lt;&gt;""),$E:$E))*($E54&lt;=INDEX($E:$E,MATCH(TRUE,INDEX((ISNUMBER($E:$E)),0),0)))*($E54&gt;INDEX(_xlfn.ANCHORARRAY(Sintesi!$C$15),1,$C54))*($E54&lt;INDEX(_xlfn.ANCHORARRAY(Sintesi!$C$16),1,$C54))*(INDEX(_xlfn.ANCHORARRAY(Sintesi!$C$15),1,$C54)&gt;0),2,IF($E54=(INDEX(_xlfn.ANCHORARRAY(Sintesi!$C$16),1,$C54)),3,4)))),0)),IF(ISNUMBER($E53),IF($C54&gt;0,IF(($E54=INDEX(_xlfn.ANCHORARRAY(Sintesi!$C$14),1,$C54))*(INDEX(_xlfn.ANCHORARRAY(Sintesi!$C$15),1,$C54)&gt;0),0,IF(($E54=INDEX(_xlfn.ANCHORARRAY(Sintesi!$C$14),1,$C54))*(INDEX(_xlfn.ANCHORARRAY(Sintesi!$C$15),1,$C54)&lt;0)+($E54&gt;=$E53)*($E54&lt;=$E55)*($E54&gt;INDEX(_xlfn.ANCHORARRAY(Sintesi!$C$14),1,$C54))*($E54&lt;=INDEX(_xlfn.ANCHORARRAY(Sintesi!$C$15),1,$C54))*(INDEX(_xlfn.ANCHORARRAY(Sintesi!$C$15),1,$C54)&gt;0),1,IF(($E54&gt;=$E53)*($E54&lt;=$E55)*($E54&gt;INDEX(_xlfn.ANCHORARRAY(Sintesi!$C$14),1,$C54))*($E54&lt;INDEX(_xlfn.ANCHORARRAY(Sintesi!$C$16),1,$C54))*(INDEX(_xlfn.ANCHORARRAY(Sintesi!$C$15),1,$C54)&lt;0)+($E54&gt;=$E53)*($E54&lt;=$E55)*($E54&gt;INDEX(_xlfn.ANCHORARRAY(Sintesi!$C$15),1,$C54))*($E54&lt;INDEX(_xlfn.ANCHORARRAY(Sintesi!$C$16),1,$C54))*(INDEX(_xlfn.ANCHORARRAY(Sintesi!$C$15),1,$C54)&gt;0),2,IF($E54=(INDEX(_xlfn.ANCHORARRAY(Sintesi!$C$16),1,$C54)),3,4)))),0),IF($C54&gt;0,IF(($E54=INDEX(_xlfn.ANCHORARRAY(Sintesi!$C$14),1,$C54))*(INDEX(_xlfn.ANCHORARRAY(Sintesi!$C$15),1,$C54)&gt;0),0,IF(($E54=INDEX(_xlfn.ANCHORARRAY(Sintesi!$C$14),1,$C54))*(INDEX(_xlfn.ANCHORARRAY(Sintesi!$C$15),1,$C54)&lt;0)+($E54&gt;=LOOKUP(2,1/($E:$E&lt;&gt;""),$E:$E))*($E54&lt;=$E55)*($E54&gt;INDEX(_xlfn.ANCHORARRAY(Sintesi!$C$14),1,$C54))*($E54&lt;=INDEX(_xlfn.ANCHORARRAY(Sintesi!$C$15),1,$C54))*(INDEX(_xlfn.ANCHORARRAY(Sintesi!$C$15),1,$C54)&gt;0),1,IF(($E54&gt;=LOOKUP(2,1/($E:$E&lt;&gt;""),$E:$E))*($E54&lt;=$E55)*($E54&gt;INDEX(_xlfn.ANCHORARRAY(Sintesi!$C$14),1,$C54))*($E54&lt;INDEX(_xlfn.ANCHORARRAY(Sintesi!$C$16),1,$C54))*(INDEX(_xlfn.ANCHORARRAY(Sintesi!$C$15),1,$C54)&lt;0)+($E54&gt;=LOOKUP(2,1/($E:$E&lt;&gt;""),$E:$E))*($E54&lt;=$E55)*($E54&gt;INDEX(_xlfn.ANCHORARRAY(Sintesi!$C$15),1,$C54))*($E54&lt;INDEX(_xlfn.ANCHORARRAY(Sintesi!$C$16),1,$C54))*(INDEX(_xlfn.ANCHORARRAY(Sintesi!$C$15),1,$C54)&gt;0),2,IF($E54=(INDEX(_xlfn.ANCHORARRAY(Sintesi!$C$16),1,$C54)),3,4)))),0)))</f>
        <v/>
      </c>
      <c r="E54" s="1">
        <f>'Paste cell here'!F54</f>
        <v/>
      </c>
      <c r="F54" s="1">
        <f>'Paste cell here'!C54</f>
        <v/>
      </c>
      <c r="G54" s="1">
        <f>'Paste cell here'!D54</f>
        <v/>
      </c>
      <c r="H54" s="1">
        <f>'Paste cell here'!E54</f>
        <v/>
      </c>
      <c r="I54" s="1">
        <f>'Paste cell here'!X54</f>
        <v/>
      </c>
      <c r="J54" s="1">
        <f>'Paste cell here'!Y54+'Paste cell here'!S54</f>
        <v/>
      </c>
      <c r="K54" s="1">
        <f>I54/H54</f>
        <v/>
      </c>
      <c r="L54" s="1">
        <f>AVERAGE(($F54+$G54)/2-($F54-$G54)/2*COS(PI()*(8-VLOOKUP(MONTH(B54),$O$1:$Q$13,3))/(VLOOKUP(MONTH(B54),$O$1:$Q$13,2)-VLOOKUP(MONTH(B54),$O$1:$Q$13,3))),($F54+$G54)/2-($F54-$G54)/2*COS(PI()*(9-VLOOKUP(MONTH(B54),$O$1:$Q$13,3))/(VLOOKUP(MONTH(B54),$O$1:$Q$13,2)-VLOOKUP(MONTH(B54),$O$1:$Q$13,3))),($F54+$G54)/2-($F54-$G54)/2*COS(PI()*(10-VLOOKUP(MONTH(B54),$O$1:$Q$13,3))/(VLOOKUP(MONTH(B54),$O$1:$Q$13,2)-VLOOKUP(MONTH(B54),$O$1:$Q$13,3))),($F54+$G54)/2-($F54-$G54)/2*COS(PI()*(11-VLOOKUP(MONTH(B54),$O$1:$Q$13,3))/(VLOOKUP(MONTH(B54),$O$1:$Q$13,2)-VLOOKUP(MONTH(B54),$O$1:$Q$13,3))),($F54+$G54)/2-($F54-$G54)/2*COS(PI()*(12-VLOOKUP(MONTH(B54),$O$1:$Q$13,3))/(VLOOKUP(MONTH(B54),$O$1:$Q$13,2)-VLOOKUP(MONTH(B54),$O$1:$Q$13,3))),($F54+$G54)/2-($F54-$G54)/2*COS(PI()*(13-VLOOKUP(MONTH(B54),$O$1:$Q$13,3))/(VLOOKUP(MONTH(B54),$O$1:$Q$13,2)-VLOOKUP(MONTH(B54),$O$1:$Q$13,3))),($F54+$G54)/2-($F54-$G54)/2*COS(PI()*(14-VLOOKUP(MONTH(B54),$O$1:$Q$13,3))/(VLOOKUP(MONTH(B54),$O$1:$Q$13,2)-VLOOKUP(MONTH(B54),$O$1:$Q$13,3))))</f>
        <v/>
      </c>
      <c r="M54" s="1">
        <f t="array" ref="M54">IF(AND(A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,A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),IF(L54&lt;_xlfn.IFNA(INDEX(_xlfn.ANCHORARRAY(Sintesi!$C$17)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,1,IF(L54&gt;=_xlfn.IFNA(INDEX(_xlfn.ANCHORARRAY(Sintesi!$C$18)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,0,1-(L54-_xlfn.IFNA(INDEX(_xlfn.ANCHORARRAY(Sintesi!$C$17)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)/(_xlfn.IFNA(INDEX(_xlfn.ANCHORARRAY(Sintesi!$C$18)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-_xlfn.IFNA(INDEX(_xlfn.ANCHORARRAY(Sintesi!$C$17)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))),0)</f>
        <v/>
      </c>
    </row>
    <row r="55">
      <c r="A55" s="1">
        <f>'Paste cell here'!A55</f>
        <v/>
      </c>
      <c r="B55" s="2">
        <f>DATE(Sintesi!$C$4-1,12,31)+A55</f>
        <v/>
      </c>
      <c r="C55" s="34">
        <f t="array" ref="C55">_xlfn.IFNA(MATCH(1,(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)*(_xlfn.ANCHORARRAY(Sintesi!$C$15)&gt;=0)+(_xlfn.ANCHORARRAY(Sintesi!$C$15)&lt;0),0),0)</f>
        <v/>
      </c>
      <c r="D55" s="1">
        <f t="array" ref="D55">IF(ISBLANK($E56),IF(ISNUMBER($E54),IF($C55&gt;0,IF(($E55=INDEX(_xlfn.ANCHORARRAY(Sintesi!$C$14),1,$C55))*(INDEX(_xlfn.ANCHORARRAY(Sintesi!$C$15),1,$C55)&gt;0),0,IF(($E55=INDEX(_xlfn.ANCHORARRAY(Sintesi!$C$14),1,$C55))*(INDEX(_xlfn.ANCHORARRAY(Sintesi!$C$15),1,$C55)&lt;0)+($E55&gt;=$E54)*($E55&lt;=INDEX($E:$E,MATCH(TRUE,INDEX((ISNUMBER($E:$E)),0),0)))*($E55&gt;INDEX(_xlfn.ANCHORARRAY(Sintesi!$C$14),1,$C55))*($E55&lt;=INDEX(_xlfn.ANCHORARRAY(Sintesi!$C$15),1,$C55))*(INDEX(_xlfn.ANCHORARRAY(Sintesi!$C$15),1,$C55)&gt;0),1,IF(($E55&gt;=$E54)*($E55&lt;=INDEX($E:$E,MATCH(TRUE,INDEX((ISNUMBER($E:$E)),0),0)))*($E55&gt;INDEX(_xlfn.ANCHORARRAY(Sintesi!$C$14),1,$C55))*($E55&lt;INDEX(_xlfn.ANCHORARRAY(Sintesi!$C$16),1,$C55))*(INDEX(_xlfn.ANCHORARRAY(Sintesi!$C$15),1,$C55)&lt;0)+($E55&gt;=$E54)*($E55&lt;=INDEX($E:$E,MATCH(TRUE,INDEX((ISNUMBER($E:$E)),0),0)))*($E55&gt;INDEX(_xlfn.ANCHORARRAY(Sintesi!$C$15),1,$C55))*($E55&lt;INDEX(_xlfn.ANCHORARRAY(Sintesi!$C$16),1,$C55))*(INDEX(_xlfn.ANCHORARRAY(Sintesi!$C$15),1,$C55)&gt;0),2,IF($E55=(INDEX(_xlfn.ANCHORARRAY(Sintesi!$C$16),1,$C55)),3,4)))),0),IF($C55&gt;0,IF(($E55=INDEX(_xlfn.ANCHORARRAY(Sintesi!$C$14),1,$C55))*(INDEX(_xlfn.ANCHORARRAY(Sintesi!$C$15),1,$C55)&gt;0),0,IF(($E55=INDEX(_xlfn.ANCHORARRAY(Sintesi!$C$14),1,$C55))*(INDEX(_xlfn.ANCHORARRAY(Sintesi!$C$15),1,$C55)&lt;0)+($E55&gt;=LOOKUP(2,1/($E:$E&lt;&gt;""),$E:$E))*($E55&lt;=INDEX($E:$E,MATCH(TRUE,INDEX((ISNUMBER($E:$E)),0),0)))*($E55&gt;INDEX(_xlfn.ANCHORARRAY(Sintesi!$C$14),1,$C55))*($E55&lt;=INDEX(_xlfn.ANCHORARRAY(Sintesi!$C$15),1,$C55))*(INDEX(_xlfn.ANCHORARRAY(Sintesi!$C$15),1,$C55)&gt;0),1,IF(($E55&gt;=LOOKUP(2,1/($E:$E&lt;&gt;""),$E:$E))*($E55&lt;=INDEX($E:$E,MATCH(TRUE,INDEX((ISNUMBER($E:$E)),0),0)))*($E55&gt;INDEX(_xlfn.ANCHORARRAY(Sintesi!$C$14),1,$C55))*($E55&lt;INDEX(_xlfn.ANCHORARRAY(Sintesi!$C$16),1,$C55))*(INDEX(_xlfn.ANCHORARRAY(Sintesi!$C$15),1,$C55)&lt;0)+($E55&gt;=LOOKUP(2,1/($E:$E&lt;&gt;""),$E:$E))*($E55&lt;=INDEX($E:$E,MATCH(TRUE,INDEX((ISNUMBER($E:$E)),0),0)))*($E55&gt;INDEX(_xlfn.ANCHORARRAY(Sintesi!$C$15),1,$C55))*($E55&lt;INDEX(_xlfn.ANCHORARRAY(Sintesi!$C$16),1,$C55))*(INDEX(_xlfn.ANCHORARRAY(Sintesi!$C$15),1,$C55)&gt;0),2,IF($E55=(INDEX(_xlfn.ANCHORARRAY(Sintesi!$C$16),1,$C55)),3,4)))),0)),IF(ISNUMBER($E54),IF($C55&gt;0,IF(($E55=INDEX(_xlfn.ANCHORARRAY(Sintesi!$C$14),1,$C55))*(INDEX(_xlfn.ANCHORARRAY(Sintesi!$C$15),1,$C55)&gt;0),0,IF(($E55=INDEX(_xlfn.ANCHORARRAY(Sintesi!$C$14),1,$C55))*(INDEX(_xlfn.ANCHORARRAY(Sintesi!$C$15),1,$C55)&lt;0)+($E55&gt;=$E54)*($E55&lt;=$E56)*($E55&gt;INDEX(_xlfn.ANCHORARRAY(Sintesi!$C$14),1,$C55))*($E55&lt;=INDEX(_xlfn.ANCHORARRAY(Sintesi!$C$15),1,$C55))*(INDEX(_xlfn.ANCHORARRAY(Sintesi!$C$15),1,$C55)&gt;0),1,IF(($E55&gt;=$E54)*($E55&lt;=$E56)*($E55&gt;INDEX(_xlfn.ANCHORARRAY(Sintesi!$C$14),1,$C55))*($E55&lt;INDEX(_xlfn.ANCHORARRAY(Sintesi!$C$16),1,$C55))*(INDEX(_xlfn.ANCHORARRAY(Sintesi!$C$15),1,$C55)&lt;0)+($E55&gt;=$E54)*($E55&lt;=$E56)*($E55&gt;INDEX(_xlfn.ANCHORARRAY(Sintesi!$C$15),1,$C55))*($E55&lt;INDEX(_xlfn.ANCHORARRAY(Sintesi!$C$16),1,$C55))*(INDEX(_xlfn.ANCHORARRAY(Sintesi!$C$15),1,$C55)&gt;0),2,IF($E55=(INDEX(_xlfn.ANCHORARRAY(Sintesi!$C$16),1,$C55)),3,4)))),0),IF($C55&gt;0,IF(($E55=INDEX(_xlfn.ANCHORARRAY(Sintesi!$C$14),1,$C55))*(INDEX(_xlfn.ANCHORARRAY(Sintesi!$C$15),1,$C55)&gt;0),0,IF(($E55=INDEX(_xlfn.ANCHORARRAY(Sintesi!$C$14),1,$C55))*(INDEX(_xlfn.ANCHORARRAY(Sintesi!$C$15),1,$C55)&lt;0)+($E55&gt;=LOOKUP(2,1/($E:$E&lt;&gt;""),$E:$E))*($E55&lt;=$E56)*($E55&gt;INDEX(_xlfn.ANCHORARRAY(Sintesi!$C$14),1,$C55))*($E55&lt;=INDEX(_xlfn.ANCHORARRAY(Sintesi!$C$15),1,$C55))*(INDEX(_xlfn.ANCHORARRAY(Sintesi!$C$15),1,$C55)&gt;0),1,IF(($E55&gt;=LOOKUP(2,1/($E:$E&lt;&gt;""),$E:$E))*($E55&lt;=$E56)*($E55&gt;INDEX(_xlfn.ANCHORARRAY(Sintesi!$C$14),1,$C55))*($E55&lt;INDEX(_xlfn.ANCHORARRAY(Sintesi!$C$16),1,$C55))*(INDEX(_xlfn.ANCHORARRAY(Sintesi!$C$15),1,$C55)&lt;0)+($E55&gt;=LOOKUP(2,1/($E:$E&lt;&gt;""),$E:$E))*($E55&lt;=$E56)*($E55&gt;INDEX(_xlfn.ANCHORARRAY(Sintesi!$C$15),1,$C55))*($E55&lt;INDEX(_xlfn.ANCHORARRAY(Sintesi!$C$16),1,$C55))*(INDEX(_xlfn.ANCHORARRAY(Sintesi!$C$15),1,$C55)&gt;0),2,IF($E55=(INDEX(_xlfn.ANCHORARRAY(Sintesi!$C$16),1,$C55)),3,4)))),0)))</f>
        <v/>
      </c>
      <c r="E55" s="1">
        <f>'Paste cell here'!F55</f>
        <v/>
      </c>
      <c r="F55" s="1">
        <f>'Paste cell here'!C55</f>
        <v/>
      </c>
      <c r="G55" s="1">
        <f>'Paste cell here'!D55</f>
        <v/>
      </c>
      <c r="H55" s="1">
        <f>'Paste cell here'!E55</f>
        <v/>
      </c>
      <c r="I55" s="1">
        <f>'Paste cell here'!X55</f>
        <v/>
      </c>
      <c r="J55" s="1">
        <f>'Paste cell here'!Y55+'Paste cell here'!S55</f>
        <v/>
      </c>
      <c r="K55" s="1">
        <f>I55/H55</f>
        <v/>
      </c>
      <c r="L55" s="1">
        <f>AVERAGE(($F55+$G55)/2-($F55-$G55)/2*COS(PI()*(8-VLOOKUP(MONTH(B55),$O$1:$Q$13,3))/(VLOOKUP(MONTH(B55),$O$1:$Q$13,2)-VLOOKUP(MONTH(B55),$O$1:$Q$13,3))),($F55+$G55)/2-($F55-$G55)/2*COS(PI()*(9-VLOOKUP(MONTH(B55),$O$1:$Q$13,3))/(VLOOKUP(MONTH(B55),$O$1:$Q$13,2)-VLOOKUP(MONTH(B55),$O$1:$Q$13,3))),($F55+$G55)/2-($F55-$G55)/2*COS(PI()*(10-VLOOKUP(MONTH(B55),$O$1:$Q$13,3))/(VLOOKUP(MONTH(B55),$O$1:$Q$13,2)-VLOOKUP(MONTH(B55),$O$1:$Q$13,3))),($F55+$G55)/2-($F55-$G55)/2*COS(PI()*(11-VLOOKUP(MONTH(B55),$O$1:$Q$13,3))/(VLOOKUP(MONTH(B55),$O$1:$Q$13,2)-VLOOKUP(MONTH(B55),$O$1:$Q$13,3))),($F55+$G55)/2-($F55-$G55)/2*COS(PI()*(12-VLOOKUP(MONTH(B55),$O$1:$Q$13,3))/(VLOOKUP(MONTH(B55),$O$1:$Q$13,2)-VLOOKUP(MONTH(B55),$O$1:$Q$13,3))),($F55+$G55)/2-($F55-$G55)/2*COS(PI()*(13-VLOOKUP(MONTH(B55),$O$1:$Q$13,3))/(VLOOKUP(MONTH(B55),$O$1:$Q$13,2)-VLOOKUP(MONTH(B55),$O$1:$Q$13,3))),($F55+$G55)/2-($F55-$G55)/2*COS(PI()*(14-VLOOKUP(MONTH(B55),$O$1:$Q$13,3))/(VLOOKUP(MONTH(B55),$O$1:$Q$13,2)-VLOOKUP(MONTH(B55),$O$1:$Q$13,3))))</f>
        <v/>
      </c>
      <c r="M55" s="1">
        <f t="array" ref="M55">IF(AND(A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,A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),IF(L55&lt;_xlfn.IFNA(INDEX(_xlfn.ANCHORARRAY(Sintesi!$C$17)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,1,IF(L55&gt;=_xlfn.IFNA(INDEX(_xlfn.ANCHORARRAY(Sintesi!$C$18)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,0,1-(L55-_xlfn.IFNA(INDEX(_xlfn.ANCHORARRAY(Sintesi!$C$17)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)/(_xlfn.IFNA(INDEX(_xlfn.ANCHORARRAY(Sintesi!$C$18)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-_xlfn.IFNA(INDEX(_xlfn.ANCHORARRAY(Sintesi!$C$17)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))),0)</f>
        <v/>
      </c>
    </row>
    <row r="56">
      <c r="A56" s="1">
        <f>'Paste cell here'!A56</f>
        <v/>
      </c>
      <c r="B56" s="2">
        <f>DATE(Sintesi!$C$4-1,12,31)+A56</f>
        <v/>
      </c>
      <c r="C56" s="34">
        <f t="array" ref="C56">_xlfn.IFNA(MATCH(1,(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)*(_xlfn.ANCHORARRAY(Sintesi!$C$15)&gt;=0)+(_xlfn.ANCHORARRAY(Sintesi!$C$15)&lt;0),0),0)</f>
        <v/>
      </c>
      <c r="D56" s="1">
        <f t="array" ref="D56">IF(ISBLANK($E57),IF(ISNUMBER($E55),IF($C56&gt;0,IF(($E56=INDEX(_xlfn.ANCHORARRAY(Sintesi!$C$14),1,$C56))*(INDEX(_xlfn.ANCHORARRAY(Sintesi!$C$15),1,$C56)&gt;0),0,IF(($E56=INDEX(_xlfn.ANCHORARRAY(Sintesi!$C$14),1,$C56))*(INDEX(_xlfn.ANCHORARRAY(Sintesi!$C$15),1,$C56)&lt;0)+($E56&gt;=$E55)*($E56&lt;=INDEX($E:$E,MATCH(TRUE,INDEX((ISNUMBER($E:$E)),0),0)))*($E56&gt;INDEX(_xlfn.ANCHORARRAY(Sintesi!$C$14),1,$C56))*($E56&lt;=INDEX(_xlfn.ANCHORARRAY(Sintesi!$C$15),1,$C56))*(INDEX(_xlfn.ANCHORARRAY(Sintesi!$C$15),1,$C56)&gt;0),1,IF(($E56&gt;=$E55)*($E56&lt;=INDEX($E:$E,MATCH(TRUE,INDEX((ISNUMBER($E:$E)),0),0)))*($E56&gt;INDEX(_xlfn.ANCHORARRAY(Sintesi!$C$14),1,$C56))*($E56&lt;INDEX(_xlfn.ANCHORARRAY(Sintesi!$C$16),1,$C56))*(INDEX(_xlfn.ANCHORARRAY(Sintesi!$C$15),1,$C56)&lt;0)+($E56&gt;=$E55)*($E56&lt;=INDEX($E:$E,MATCH(TRUE,INDEX((ISNUMBER($E:$E)),0),0)))*($E56&gt;INDEX(_xlfn.ANCHORARRAY(Sintesi!$C$15),1,$C56))*($E56&lt;INDEX(_xlfn.ANCHORARRAY(Sintesi!$C$16),1,$C56))*(INDEX(_xlfn.ANCHORARRAY(Sintesi!$C$15),1,$C56)&gt;0),2,IF($E56=(INDEX(_xlfn.ANCHORARRAY(Sintesi!$C$16),1,$C56)),3,4)))),0),IF($C56&gt;0,IF(($E56=INDEX(_xlfn.ANCHORARRAY(Sintesi!$C$14),1,$C56))*(INDEX(_xlfn.ANCHORARRAY(Sintesi!$C$15),1,$C56)&gt;0),0,IF(($E56=INDEX(_xlfn.ANCHORARRAY(Sintesi!$C$14),1,$C56))*(INDEX(_xlfn.ANCHORARRAY(Sintesi!$C$15),1,$C56)&lt;0)+($E56&gt;=LOOKUP(2,1/($E:$E&lt;&gt;""),$E:$E))*($E56&lt;=INDEX($E:$E,MATCH(TRUE,INDEX((ISNUMBER($E:$E)),0),0)))*($E56&gt;INDEX(_xlfn.ANCHORARRAY(Sintesi!$C$14),1,$C56))*($E56&lt;=INDEX(_xlfn.ANCHORARRAY(Sintesi!$C$15),1,$C56))*(INDEX(_xlfn.ANCHORARRAY(Sintesi!$C$15),1,$C56)&gt;0),1,IF(($E56&gt;=LOOKUP(2,1/($E:$E&lt;&gt;""),$E:$E))*($E56&lt;=INDEX($E:$E,MATCH(TRUE,INDEX((ISNUMBER($E:$E)),0),0)))*($E56&gt;INDEX(_xlfn.ANCHORARRAY(Sintesi!$C$14),1,$C56))*($E56&lt;INDEX(_xlfn.ANCHORARRAY(Sintesi!$C$16),1,$C56))*(INDEX(_xlfn.ANCHORARRAY(Sintesi!$C$15),1,$C56)&lt;0)+($E56&gt;=LOOKUP(2,1/($E:$E&lt;&gt;""),$E:$E))*($E56&lt;=INDEX($E:$E,MATCH(TRUE,INDEX((ISNUMBER($E:$E)),0),0)))*($E56&gt;INDEX(_xlfn.ANCHORARRAY(Sintesi!$C$15),1,$C56))*($E56&lt;INDEX(_xlfn.ANCHORARRAY(Sintesi!$C$16),1,$C56))*(INDEX(_xlfn.ANCHORARRAY(Sintesi!$C$15),1,$C56)&gt;0),2,IF($E56=(INDEX(_xlfn.ANCHORARRAY(Sintesi!$C$16),1,$C56)),3,4)))),0)),IF(ISNUMBER($E55),IF($C56&gt;0,IF(($E56=INDEX(_xlfn.ANCHORARRAY(Sintesi!$C$14),1,$C56))*(INDEX(_xlfn.ANCHORARRAY(Sintesi!$C$15),1,$C56)&gt;0),0,IF(($E56=INDEX(_xlfn.ANCHORARRAY(Sintesi!$C$14),1,$C56))*(INDEX(_xlfn.ANCHORARRAY(Sintesi!$C$15),1,$C56)&lt;0)+($E56&gt;=$E55)*($E56&lt;=$E57)*($E56&gt;INDEX(_xlfn.ANCHORARRAY(Sintesi!$C$14),1,$C56))*($E56&lt;=INDEX(_xlfn.ANCHORARRAY(Sintesi!$C$15),1,$C56))*(INDEX(_xlfn.ANCHORARRAY(Sintesi!$C$15),1,$C56)&gt;0),1,IF(($E56&gt;=$E55)*($E56&lt;=$E57)*($E56&gt;INDEX(_xlfn.ANCHORARRAY(Sintesi!$C$14),1,$C56))*($E56&lt;INDEX(_xlfn.ANCHORARRAY(Sintesi!$C$16),1,$C56))*(INDEX(_xlfn.ANCHORARRAY(Sintesi!$C$15),1,$C56)&lt;0)+($E56&gt;=$E55)*($E56&lt;=$E57)*($E56&gt;INDEX(_xlfn.ANCHORARRAY(Sintesi!$C$15),1,$C56))*($E56&lt;INDEX(_xlfn.ANCHORARRAY(Sintesi!$C$16),1,$C56))*(INDEX(_xlfn.ANCHORARRAY(Sintesi!$C$15),1,$C56)&gt;0),2,IF($E56=(INDEX(_xlfn.ANCHORARRAY(Sintesi!$C$16),1,$C56)),3,4)))),0),IF($C56&gt;0,IF(($E56=INDEX(_xlfn.ANCHORARRAY(Sintesi!$C$14),1,$C56))*(INDEX(_xlfn.ANCHORARRAY(Sintesi!$C$15),1,$C56)&gt;0),0,IF(($E56=INDEX(_xlfn.ANCHORARRAY(Sintesi!$C$14),1,$C56))*(INDEX(_xlfn.ANCHORARRAY(Sintesi!$C$15),1,$C56)&lt;0)+($E56&gt;=LOOKUP(2,1/($E:$E&lt;&gt;""),$E:$E))*($E56&lt;=$E57)*($E56&gt;INDEX(_xlfn.ANCHORARRAY(Sintesi!$C$14),1,$C56))*($E56&lt;=INDEX(_xlfn.ANCHORARRAY(Sintesi!$C$15),1,$C56))*(INDEX(_xlfn.ANCHORARRAY(Sintesi!$C$15),1,$C56)&gt;0),1,IF(($E56&gt;=LOOKUP(2,1/($E:$E&lt;&gt;""),$E:$E))*($E56&lt;=$E57)*($E56&gt;INDEX(_xlfn.ANCHORARRAY(Sintesi!$C$14),1,$C56))*($E56&lt;INDEX(_xlfn.ANCHORARRAY(Sintesi!$C$16),1,$C56))*(INDEX(_xlfn.ANCHORARRAY(Sintesi!$C$15),1,$C56)&lt;0)+($E56&gt;=LOOKUP(2,1/($E:$E&lt;&gt;""),$E:$E))*($E56&lt;=$E57)*($E56&gt;INDEX(_xlfn.ANCHORARRAY(Sintesi!$C$15),1,$C56))*($E56&lt;INDEX(_xlfn.ANCHORARRAY(Sintesi!$C$16),1,$C56))*(INDEX(_xlfn.ANCHORARRAY(Sintesi!$C$15),1,$C56)&gt;0),2,IF($E56=(INDEX(_xlfn.ANCHORARRAY(Sintesi!$C$16),1,$C56)),3,4)))),0)))</f>
        <v/>
      </c>
      <c r="E56" s="1">
        <f>'Paste cell here'!F56</f>
        <v/>
      </c>
      <c r="F56" s="1">
        <f>'Paste cell here'!C56</f>
        <v/>
      </c>
      <c r="G56" s="1">
        <f>'Paste cell here'!D56</f>
        <v/>
      </c>
      <c r="H56" s="1">
        <f>'Paste cell here'!E56</f>
        <v/>
      </c>
      <c r="I56" s="1">
        <f>'Paste cell here'!X56</f>
        <v/>
      </c>
      <c r="J56" s="1">
        <f>'Paste cell here'!Y56+'Paste cell here'!S56</f>
        <v/>
      </c>
      <c r="K56" s="1">
        <f>I56/H56</f>
        <v/>
      </c>
      <c r="L56" s="1">
        <f>AVERAGE(($F56+$G56)/2-($F56-$G56)/2*COS(PI()*(8-VLOOKUP(MONTH(B56),$O$1:$Q$13,3))/(VLOOKUP(MONTH(B56),$O$1:$Q$13,2)-VLOOKUP(MONTH(B56),$O$1:$Q$13,3))),($F56+$G56)/2-($F56-$G56)/2*COS(PI()*(9-VLOOKUP(MONTH(B56),$O$1:$Q$13,3))/(VLOOKUP(MONTH(B56),$O$1:$Q$13,2)-VLOOKUP(MONTH(B56),$O$1:$Q$13,3))),($F56+$G56)/2-($F56-$G56)/2*COS(PI()*(10-VLOOKUP(MONTH(B56),$O$1:$Q$13,3))/(VLOOKUP(MONTH(B56),$O$1:$Q$13,2)-VLOOKUP(MONTH(B56),$O$1:$Q$13,3))),($F56+$G56)/2-($F56-$G56)/2*COS(PI()*(11-VLOOKUP(MONTH(B56),$O$1:$Q$13,3))/(VLOOKUP(MONTH(B56),$O$1:$Q$13,2)-VLOOKUP(MONTH(B56),$O$1:$Q$13,3))),($F56+$G56)/2-($F56-$G56)/2*COS(PI()*(12-VLOOKUP(MONTH(B56),$O$1:$Q$13,3))/(VLOOKUP(MONTH(B56),$O$1:$Q$13,2)-VLOOKUP(MONTH(B56),$O$1:$Q$13,3))),($F56+$G56)/2-($F56-$G56)/2*COS(PI()*(13-VLOOKUP(MONTH(B56),$O$1:$Q$13,3))/(VLOOKUP(MONTH(B56),$O$1:$Q$13,2)-VLOOKUP(MONTH(B56),$O$1:$Q$13,3))),($F56+$G56)/2-($F56-$G56)/2*COS(PI()*(14-VLOOKUP(MONTH(B56),$O$1:$Q$13,3))/(VLOOKUP(MONTH(B56),$O$1:$Q$13,2)-VLOOKUP(MONTH(B56),$O$1:$Q$13,3))))</f>
        <v/>
      </c>
      <c r="M56" s="1">
        <f t="array" ref="M56">IF(AND(A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,A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),IF(L56&lt;_xlfn.IFNA(INDEX(_xlfn.ANCHORARRAY(Sintesi!$C$17)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,1,IF(L56&gt;=_xlfn.IFNA(INDEX(_xlfn.ANCHORARRAY(Sintesi!$C$18)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,0,1-(L56-_xlfn.IFNA(INDEX(_xlfn.ANCHORARRAY(Sintesi!$C$17)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)/(_xlfn.IFNA(INDEX(_xlfn.ANCHORARRAY(Sintesi!$C$18)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-_xlfn.IFNA(INDEX(_xlfn.ANCHORARRAY(Sintesi!$C$17)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))),0)</f>
        <v/>
      </c>
    </row>
    <row r="57">
      <c r="A57" s="1">
        <f>'Paste cell here'!A57</f>
        <v/>
      </c>
      <c r="B57" s="2">
        <f>DATE(Sintesi!$C$4-1,12,31)+A57</f>
        <v/>
      </c>
      <c r="C57" s="34">
        <f t="array" ref="C57">_xlfn.IFNA(MATCH(1,(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)*(_xlfn.ANCHORARRAY(Sintesi!$C$15)&gt;=0)+(_xlfn.ANCHORARRAY(Sintesi!$C$15)&lt;0),0),0)</f>
        <v/>
      </c>
      <c r="D57" s="1">
        <f t="array" ref="D57">IF(ISBLANK($E58),IF(ISNUMBER($E56),IF($C57&gt;0,IF(($E57=INDEX(_xlfn.ANCHORARRAY(Sintesi!$C$14),1,$C57))*(INDEX(_xlfn.ANCHORARRAY(Sintesi!$C$15),1,$C57)&gt;0),0,IF(($E57=INDEX(_xlfn.ANCHORARRAY(Sintesi!$C$14),1,$C57))*(INDEX(_xlfn.ANCHORARRAY(Sintesi!$C$15),1,$C57)&lt;0)+($E57&gt;=$E56)*($E57&lt;=INDEX($E:$E,MATCH(TRUE,INDEX((ISNUMBER($E:$E)),0),0)))*($E57&gt;INDEX(_xlfn.ANCHORARRAY(Sintesi!$C$14),1,$C57))*($E57&lt;=INDEX(_xlfn.ANCHORARRAY(Sintesi!$C$15),1,$C57))*(INDEX(_xlfn.ANCHORARRAY(Sintesi!$C$15),1,$C57)&gt;0),1,IF(($E57&gt;=$E56)*($E57&lt;=INDEX($E:$E,MATCH(TRUE,INDEX((ISNUMBER($E:$E)),0),0)))*($E57&gt;INDEX(_xlfn.ANCHORARRAY(Sintesi!$C$14),1,$C57))*($E57&lt;INDEX(_xlfn.ANCHORARRAY(Sintesi!$C$16),1,$C57))*(INDEX(_xlfn.ANCHORARRAY(Sintesi!$C$15),1,$C57)&lt;0)+($E57&gt;=$E56)*($E57&lt;=INDEX($E:$E,MATCH(TRUE,INDEX((ISNUMBER($E:$E)),0),0)))*($E57&gt;INDEX(_xlfn.ANCHORARRAY(Sintesi!$C$15),1,$C57))*($E57&lt;INDEX(_xlfn.ANCHORARRAY(Sintesi!$C$16),1,$C57))*(INDEX(_xlfn.ANCHORARRAY(Sintesi!$C$15),1,$C57)&gt;0),2,IF($E57=(INDEX(_xlfn.ANCHORARRAY(Sintesi!$C$16),1,$C57)),3,4)))),0),IF($C57&gt;0,IF(($E57=INDEX(_xlfn.ANCHORARRAY(Sintesi!$C$14),1,$C57))*(INDEX(_xlfn.ANCHORARRAY(Sintesi!$C$15),1,$C57)&gt;0),0,IF(($E57=INDEX(_xlfn.ANCHORARRAY(Sintesi!$C$14),1,$C57))*(INDEX(_xlfn.ANCHORARRAY(Sintesi!$C$15),1,$C57)&lt;0)+($E57&gt;=LOOKUP(2,1/($E:$E&lt;&gt;""),$E:$E))*($E57&lt;=INDEX($E:$E,MATCH(TRUE,INDEX((ISNUMBER($E:$E)),0),0)))*($E57&gt;INDEX(_xlfn.ANCHORARRAY(Sintesi!$C$14),1,$C57))*($E57&lt;=INDEX(_xlfn.ANCHORARRAY(Sintesi!$C$15),1,$C57))*(INDEX(_xlfn.ANCHORARRAY(Sintesi!$C$15),1,$C57)&gt;0),1,IF(($E57&gt;=LOOKUP(2,1/($E:$E&lt;&gt;""),$E:$E))*($E57&lt;=INDEX($E:$E,MATCH(TRUE,INDEX((ISNUMBER($E:$E)),0),0)))*($E57&gt;INDEX(_xlfn.ANCHORARRAY(Sintesi!$C$14),1,$C57))*($E57&lt;INDEX(_xlfn.ANCHORARRAY(Sintesi!$C$16),1,$C57))*(INDEX(_xlfn.ANCHORARRAY(Sintesi!$C$15),1,$C57)&lt;0)+($E57&gt;=LOOKUP(2,1/($E:$E&lt;&gt;""),$E:$E))*($E57&lt;=INDEX($E:$E,MATCH(TRUE,INDEX((ISNUMBER($E:$E)),0),0)))*($E57&gt;INDEX(_xlfn.ANCHORARRAY(Sintesi!$C$15),1,$C57))*($E57&lt;INDEX(_xlfn.ANCHORARRAY(Sintesi!$C$16),1,$C57))*(INDEX(_xlfn.ANCHORARRAY(Sintesi!$C$15),1,$C57)&gt;0),2,IF($E57=(INDEX(_xlfn.ANCHORARRAY(Sintesi!$C$16),1,$C57)),3,4)))),0)),IF(ISNUMBER($E56),IF($C57&gt;0,IF(($E57=INDEX(_xlfn.ANCHORARRAY(Sintesi!$C$14),1,$C57))*(INDEX(_xlfn.ANCHORARRAY(Sintesi!$C$15),1,$C57)&gt;0),0,IF(($E57=INDEX(_xlfn.ANCHORARRAY(Sintesi!$C$14),1,$C57))*(INDEX(_xlfn.ANCHORARRAY(Sintesi!$C$15),1,$C57)&lt;0)+($E57&gt;=$E56)*($E57&lt;=$E58)*($E57&gt;INDEX(_xlfn.ANCHORARRAY(Sintesi!$C$14),1,$C57))*($E57&lt;=INDEX(_xlfn.ANCHORARRAY(Sintesi!$C$15),1,$C57))*(INDEX(_xlfn.ANCHORARRAY(Sintesi!$C$15),1,$C57)&gt;0),1,IF(($E57&gt;=$E56)*($E57&lt;=$E58)*($E57&gt;INDEX(_xlfn.ANCHORARRAY(Sintesi!$C$14),1,$C57))*($E57&lt;INDEX(_xlfn.ANCHORARRAY(Sintesi!$C$16),1,$C57))*(INDEX(_xlfn.ANCHORARRAY(Sintesi!$C$15),1,$C57)&lt;0)+($E57&gt;=$E56)*($E57&lt;=$E58)*($E57&gt;INDEX(_xlfn.ANCHORARRAY(Sintesi!$C$15),1,$C57))*($E57&lt;INDEX(_xlfn.ANCHORARRAY(Sintesi!$C$16),1,$C57))*(INDEX(_xlfn.ANCHORARRAY(Sintesi!$C$15),1,$C57)&gt;0),2,IF($E57=(INDEX(_xlfn.ANCHORARRAY(Sintesi!$C$16),1,$C57)),3,4)))),0),IF($C57&gt;0,IF(($E57=INDEX(_xlfn.ANCHORARRAY(Sintesi!$C$14),1,$C57))*(INDEX(_xlfn.ANCHORARRAY(Sintesi!$C$15),1,$C57)&gt;0),0,IF(($E57=INDEX(_xlfn.ANCHORARRAY(Sintesi!$C$14),1,$C57))*(INDEX(_xlfn.ANCHORARRAY(Sintesi!$C$15),1,$C57)&lt;0)+($E57&gt;=LOOKUP(2,1/($E:$E&lt;&gt;""),$E:$E))*($E57&lt;=$E58)*($E57&gt;INDEX(_xlfn.ANCHORARRAY(Sintesi!$C$14),1,$C57))*($E57&lt;=INDEX(_xlfn.ANCHORARRAY(Sintesi!$C$15),1,$C57))*(INDEX(_xlfn.ANCHORARRAY(Sintesi!$C$15),1,$C57)&gt;0),1,IF(($E57&gt;=LOOKUP(2,1/($E:$E&lt;&gt;""),$E:$E))*($E57&lt;=$E58)*($E57&gt;INDEX(_xlfn.ANCHORARRAY(Sintesi!$C$14),1,$C57))*($E57&lt;INDEX(_xlfn.ANCHORARRAY(Sintesi!$C$16),1,$C57))*(INDEX(_xlfn.ANCHORARRAY(Sintesi!$C$15),1,$C57)&lt;0)+($E57&gt;=LOOKUP(2,1/($E:$E&lt;&gt;""),$E:$E))*($E57&lt;=$E58)*($E57&gt;INDEX(_xlfn.ANCHORARRAY(Sintesi!$C$15),1,$C57))*($E57&lt;INDEX(_xlfn.ANCHORARRAY(Sintesi!$C$16),1,$C57))*(INDEX(_xlfn.ANCHORARRAY(Sintesi!$C$15),1,$C57)&gt;0),2,IF($E57=(INDEX(_xlfn.ANCHORARRAY(Sintesi!$C$16),1,$C57)),3,4)))),0)))</f>
        <v/>
      </c>
      <c r="E57" s="1">
        <f>'Paste cell here'!F57</f>
        <v/>
      </c>
      <c r="F57" s="1">
        <f>'Paste cell here'!C57</f>
        <v/>
      </c>
      <c r="G57" s="1">
        <f>'Paste cell here'!D57</f>
        <v/>
      </c>
      <c r="H57" s="1">
        <f>'Paste cell here'!E57</f>
        <v/>
      </c>
      <c r="I57" s="1">
        <f>'Paste cell here'!X57</f>
        <v/>
      </c>
      <c r="J57" s="1">
        <f>'Paste cell here'!Y57+'Paste cell here'!S57</f>
        <v/>
      </c>
      <c r="K57" s="1">
        <f>I57/H57</f>
        <v/>
      </c>
      <c r="L57" s="1">
        <f>AVERAGE(($F57+$G57)/2-($F57-$G57)/2*COS(PI()*(8-VLOOKUP(MONTH(B57),$O$1:$Q$13,3))/(VLOOKUP(MONTH(B57),$O$1:$Q$13,2)-VLOOKUP(MONTH(B57),$O$1:$Q$13,3))),($F57+$G57)/2-($F57-$G57)/2*COS(PI()*(9-VLOOKUP(MONTH(B57),$O$1:$Q$13,3))/(VLOOKUP(MONTH(B57),$O$1:$Q$13,2)-VLOOKUP(MONTH(B57),$O$1:$Q$13,3))),($F57+$G57)/2-($F57-$G57)/2*COS(PI()*(10-VLOOKUP(MONTH(B57),$O$1:$Q$13,3))/(VLOOKUP(MONTH(B57),$O$1:$Q$13,2)-VLOOKUP(MONTH(B57),$O$1:$Q$13,3))),($F57+$G57)/2-($F57-$G57)/2*COS(PI()*(11-VLOOKUP(MONTH(B57),$O$1:$Q$13,3))/(VLOOKUP(MONTH(B57),$O$1:$Q$13,2)-VLOOKUP(MONTH(B57),$O$1:$Q$13,3))),($F57+$G57)/2-($F57-$G57)/2*COS(PI()*(12-VLOOKUP(MONTH(B57),$O$1:$Q$13,3))/(VLOOKUP(MONTH(B57),$O$1:$Q$13,2)-VLOOKUP(MONTH(B57),$O$1:$Q$13,3))),($F57+$G57)/2-($F57-$G57)/2*COS(PI()*(13-VLOOKUP(MONTH(B57),$O$1:$Q$13,3))/(VLOOKUP(MONTH(B57),$O$1:$Q$13,2)-VLOOKUP(MONTH(B57),$O$1:$Q$13,3))),($F57+$G57)/2-($F57-$G57)/2*COS(PI()*(14-VLOOKUP(MONTH(B57),$O$1:$Q$13,3))/(VLOOKUP(MONTH(B57),$O$1:$Q$13,2)-VLOOKUP(MONTH(B57),$O$1:$Q$13,3))))</f>
        <v/>
      </c>
      <c r="M57" s="1">
        <f t="array" ref="M57">IF(AND(A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,A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),IF(L57&lt;_xlfn.IFNA(INDEX(_xlfn.ANCHORARRAY(Sintesi!$C$17)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,1,IF(L57&gt;=_xlfn.IFNA(INDEX(_xlfn.ANCHORARRAY(Sintesi!$C$18)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,0,1-(L57-_xlfn.IFNA(INDEX(_xlfn.ANCHORARRAY(Sintesi!$C$17)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)/(_xlfn.IFNA(INDEX(_xlfn.ANCHORARRAY(Sintesi!$C$18)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-_xlfn.IFNA(INDEX(_xlfn.ANCHORARRAY(Sintesi!$C$17)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))),0)</f>
        <v/>
      </c>
    </row>
    <row r="58">
      <c r="A58" s="1">
        <f>'Paste cell here'!A58</f>
        <v/>
      </c>
      <c r="B58" s="2">
        <f>DATE(Sintesi!$C$4-1,12,31)+A58</f>
        <v/>
      </c>
      <c r="C58" s="34">
        <f t="array" ref="C58">_xlfn.IFNA(MATCH(1,(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)*(_xlfn.ANCHORARRAY(Sintesi!$C$15)&gt;=0)+(_xlfn.ANCHORARRAY(Sintesi!$C$15)&lt;0),0),0)</f>
        <v/>
      </c>
      <c r="D58" s="1">
        <f t="array" ref="D58">IF(ISBLANK($E59),IF(ISNUMBER($E57),IF($C58&gt;0,IF(($E58=INDEX(_xlfn.ANCHORARRAY(Sintesi!$C$14),1,$C58))*(INDEX(_xlfn.ANCHORARRAY(Sintesi!$C$15),1,$C58)&gt;0),0,IF(($E58=INDEX(_xlfn.ANCHORARRAY(Sintesi!$C$14),1,$C58))*(INDEX(_xlfn.ANCHORARRAY(Sintesi!$C$15),1,$C58)&lt;0)+($E58&gt;=$E57)*($E58&lt;=INDEX($E:$E,MATCH(TRUE,INDEX((ISNUMBER($E:$E)),0),0)))*($E58&gt;INDEX(_xlfn.ANCHORARRAY(Sintesi!$C$14),1,$C58))*($E58&lt;=INDEX(_xlfn.ANCHORARRAY(Sintesi!$C$15),1,$C58))*(INDEX(_xlfn.ANCHORARRAY(Sintesi!$C$15),1,$C58)&gt;0),1,IF(($E58&gt;=$E57)*($E58&lt;=INDEX($E:$E,MATCH(TRUE,INDEX((ISNUMBER($E:$E)),0),0)))*($E58&gt;INDEX(_xlfn.ANCHORARRAY(Sintesi!$C$14),1,$C58))*($E58&lt;INDEX(_xlfn.ANCHORARRAY(Sintesi!$C$16),1,$C58))*(INDEX(_xlfn.ANCHORARRAY(Sintesi!$C$15),1,$C58)&lt;0)+($E58&gt;=$E57)*($E58&lt;=INDEX($E:$E,MATCH(TRUE,INDEX((ISNUMBER($E:$E)),0),0)))*($E58&gt;INDEX(_xlfn.ANCHORARRAY(Sintesi!$C$15),1,$C58))*($E58&lt;INDEX(_xlfn.ANCHORARRAY(Sintesi!$C$16),1,$C58))*(INDEX(_xlfn.ANCHORARRAY(Sintesi!$C$15),1,$C58)&gt;0),2,IF($E58=(INDEX(_xlfn.ANCHORARRAY(Sintesi!$C$16),1,$C58)),3,4)))),0),IF($C58&gt;0,IF(($E58=INDEX(_xlfn.ANCHORARRAY(Sintesi!$C$14),1,$C58))*(INDEX(_xlfn.ANCHORARRAY(Sintesi!$C$15),1,$C58)&gt;0),0,IF(($E58=INDEX(_xlfn.ANCHORARRAY(Sintesi!$C$14),1,$C58))*(INDEX(_xlfn.ANCHORARRAY(Sintesi!$C$15),1,$C58)&lt;0)+($E58&gt;=LOOKUP(2,1/($E:$E&lt;&gt;""),$E:$E))*($E58&lt;=INDEX($E:$E,MATCH(TRUE,INDEX((ISNUMBER($E:$E)),0),0)))*($E58&gt;INDEX(_xlfn.ANCHORARRAY(Sintesi!$C$14),1,$C58))*($E58&lt;=INDEX(_xlfn.ANCHORARRAY(Sintesi!$C$15),1,$C58))*(INDEX(_xlfn.ANCHORARRAY(Sintesi!$C$15),1,$C58)&gt;0),1,IF(($E58&gt;=LOOKUP(2,1/($E:$E&lt;&gt;""),$E:$E))*($E58&lt;=INDEX($E:$E,MATCH(TRUE,INDEX((ISNUMBER($E:$E)),0),0)))*($E58&gt;INDEX(_xlfn.ANCHORARRAY(Sintesi!$C$14),1,$C58))*($E58&lt;INDEX(_xlfn.ANCHORARRAY(Sintesi!$C$16),1,$C58))*(INDEX(_xlfn.ANCHORARRAY(Sintesi!$C$15),1,$C58)&lt;0)+($E58&gt;=LOOKUP(2,1/($E:$E&lt;&gt;""),$E:$E))*($E58&lt;=INDEX($E:$E,MATCH(TRUE,INDEX((ISNUMBER($E:$E)),0),0)))*($E58&gt;INDEX(_xlfn.ANCHORARRAY(Sintesi!$C$15),1,$C58))*($E58&lt;INDEX(_xlfn.ANCHORARRAY(Sintesi!$C$16),1,$C58))*(INDEX(_xlfn.ANCHORARRAY(Sintesi!$C$15),1,$C58)&gt;0),2,IF($E58=(INDEX(_xlfn.ANCHORARRAY(Sintesi!$C$16),1,$C58)),3,4)))),0)),IF(ISNUMBER($E57),IF($C58&gt;0,IF(($E58=INDEX(_xlfn.ANCHORARRAY(Sintesi!$C$14),1,$C58))*(INDEX(_xlfn.ANCHORARRAY(Sintesi!$C$15),1,$C58)&gt;0),0,IF(($E58=INDEX(_xlfn.ANCHORARRAY(Sintesi!$C$14),1,$C58))*(INDEX(_xlfn.ANCHORARRAY(Sintesi!$C$15),1,$C58)&lt;0)+($E58&gt;=$E57)*($E58&lt;=$E59)*($E58&gt;INDEX(_xlfn.ANCHORARRAY(Sintesi!$C$14),1,$C58))*($E58&lt;=INDEX(_xlfn.ANCHORARRAY(Sintesi!$C$15),1,$C58))*(INDEX(_xlfn.ANCHORARRAY(Sintesi!$C$15),1,$C58)&gt;0),1,IF(($E58&gt;=$E57)*($E58&lt;=$E59)*($E58&gt;INDEX(_xlfn.ANCHORARRAY(Sintesi!$C$14),1,$C58))*($E58&lt;INDEX(_xlfn.ANCHORARRAY(Sintesi!$C$16),1,$C58))*(INDEX(_xlfn.ANCHORARRAY(Sintesi!$C$15),1,$C58)&lt;0)+($E58&gt;=$E57)*($E58&lt;=$E59)*($E58&gt;INDEX(_xlfn.ANCHORARRAY(Sintesi!$C$15),1,$C58))*($E58&lt;INDEX(_xlfn.ANCHORARRAY(Sintesi!$C$16),1,$C58))*(INDEX(_xlfn.ANCHORARRAY(Sintesi!$C$15),1,$C58)&gt;0),2,IF($E58=(INDEX(_xlfn.ANCHORARRAY(Sintesi!$C$16),1,$C58)),3,4)))),0),IF($C58&gt;0,IF(($E58=INDEX(_xlfn.ANCHORARRAY(Sintesi!$C$14),1,$C58))*(INDEX(_xlfn.ANCHORARRAY(Sintesi!$C$15),1,$C58)&gt;0),0,IF(($E58=INDEX(_xlfn.ANCHORARRAY(Sintesi!$C$14),1,$C58))*(INDEX(_xlfn.ANCHORARRAY(Sintesi!$C$15),1,$C58)&lt;0)+($E58&gt;=LOOKUP(2,1/($E:$E&lt;&gt;""),$E:$E))*($E58&lt;=$E59)*($E58&gt;INDEX(_xlfn.ANCHORARRAY(Sintesi!$C$14),1,$C58))*($E58&lt;=INDEX(_xlfn.ANCHORARRAY(Sintesi!$C$15),1,$C58))*(INDEX(_xlfn.ANCHORARRAY(Sintesi!$C$15),1,$C58)&gt;0),1,IF(($E58&gt;=LOOKUP(2,1/($E:$E&lt;&gt;""),$E:$E))*($E58&lt;=$E59)*($E58&gt;INDEX(_xlfn.ANCHORARRAY(Sintesi!$C$14),1,$C58))*($E58&lt;INDEX(_xlfn.ANCHORARRAY(Sintesi!$C$16),1,$C58))*(INDEX(_xlfn.ANCHORARRAY(Sintesi!$C$15),1,$C58)&lt;0)+($E58&gt;=LOOKUP(2,1/($E:$E&lt;&gt;""),$E:$E))*($E58&lt;=$E59)*($E58&gt;INDEX(_xlfn.ANCHORARRAY(Sintesi!$C$15),1,$C58))*($E58&lt;INDEX(_xlfn.ANCHORARRAY(Sintesi!$C$16),1,$C58))*(INDEX(_xlfn.ANCHORARRAY(Sintesi!$C$15),1,$C58)&gt;0),2,IF($E58=(INDEX(_xlfn.ANCHORARRAY(Sintesi!$C$16),1,$C58)),3,4)))),0)))</f>
        <v/>
      </c>
      <c r="E58" s="1">
        <f>'Paste cell here'!F58</f>
        <v/>
      </c>
      <c r="F58" s="1">
        <f>'Paste cell here'!C58</f>
        <v/>
      </c>
      <c r="G58" s="1">
        <f>'Paste cell here'!D58</f>
        <v/>
      </c>
      <c r="H58" s="1">
        <f>'Paste cell here'!E58</f>
        <v/>
      </c>
      <c r="I58" s="1">
        <f>'Paste cell here'!X58</f>
        <v/>
      </c>
      <c r="J58" s="1">
        <f>'Paste cell here'!Y58+'Paste cell here'!S58</f>
        <v/>
      </c>
      <c r="K58" s="1">
        <f>I58/H58</f>
        <v/>
      </c>
      <c r="L58" s="1">
        <f>AVERAGE(($F58+$G58)/2-($F58-$G58)/2*COS(PI()*(8-VLOOKUP(MONTH(B58),$O$1:$Q$13,3))/(VLOOKUP(MONTH(B58),$O$1:$Q$13,2)-VLOOKUP(MONTH(B58),$O$1:$Q$13,3))),($F58+$G58)/2-($F58-$G58)/2*COS(PI()*(9-VLOOKUP(MONTH(B58),$O$1:$Q$13,3))/(VLOOKUP(MONTH(B58),$O$1:$Q$13,2)-VLOOKUP(MONTH(B58),$O$1:$Q$13,3))),($F58+$G58)/2-($F58-$G58)/2*COS(PI()*(10-VLOOKUP(MONTH(B58),$O$1:$Q$13,3))/(VLOOKUP(MONTH(B58),$O$1:$Q$13,2)-VLOOKUP(MONTH(B58),$O$1:$Q$13,3))),($F58+$G58)/2-($F58-$G58)/2*COS(PI()*(11-VLOOKUP(MONTH(B58),$O$1:$Q$13,3))/(VLOOKUP(MONTH(B58),$O$1:$Q$13,2)-VLOOKUP(MONTH(B58),$O$1:$Q$13,3))),($F58+$G58)/2-($F58-$G58)/2*COS(PI()*(12-VLOOKUP(MONTH(B58),$O$1:$Q$13,3))/(VLOOKUP(MONTH(B58),$O$1:$Q$13,2)-VLOOKUP(MONTH(B58),$O$1:$Q$13,3))),($F58+$G58)/2-($F58-$G58)/2*COS(PI()*(13-VLOOKUP(MONTH(B58),$O$1:$Q$13,3))/(VLOOKUP(MONTH(B58),$O$1:$Q$13,2)-VLOOKUP(MONTH(B58),$O$1:$Q$13,3))),($F58+$G58)/2-($F58-$G58)/2*COS(PI()*(14-VLOOKUP(MONTH(B58),$O$1:$Q$13,3))/(VLOOKUP(MONTH(B58),$O$1:$Q$13,2)-VLOOKUP(MONTH(B58),$O$1:$Q$13,3))))</f>
        <v/>
      </c>
      <c r="M58" s="1">
        <f t="array" ref="M58">IF(AND(A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,A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),IF(L58&lt;_xlfn.IFNA(INDEX(_xlfn.ANCHORARRAY(Sintesi!$C$17)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,1,IF(L58&gt;=_xlfn.IFNA(INDEX(_xlfn.ANCHORARRAY(Sintesi!$C$18)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,0,1-(L58-_xlfn.IFNA(INDEX(_xlfn.ANCHORARRAY(Sintesi!$C$17)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)/(_xlfn.IFNA(INDEX(_xlfn.ANCHORARRAY(Sintesi!$C$18)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-_xlfn.IFNA(INDEX(_xlfn.ANCHORARRAY(Sintesi!$C$17)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))),0)</f>
        <v/>
      </c>
    </row>
    <row r="59">
      <c r="A59" s="1">
        <f>'Paste cell here'!A59</f>
        <v/>
      </c>
      <c r="B59" s="2">
        <f>DATE(Sintesi!$C$4-1,12,31)+A59</f>
        <v/>
      </c>
      <c r="C59" s="34">
        <f t="array" ref="C59">_xlfn.IFNA(MATCH(1,(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)*(_xlfn.ANCHORARRAY(Sintesi!$C$15)&gt;=0)+(_xlfn.ANCHORARRAY(Sintesi!$C$15)&lt;0),0),0)</f>
        <v/>
      </c>
      <c r="D59" s="1">
        <f t="array" ref="D59">IF(ISBLANK($E60),IF(ISNUMBER($E58),IF($C59&gt;0,IF(($E59=INDEX(_xlfn.ANCHORARRAY(Sintesi!$C$14),1,$C59))*(INDEX(_xlfn.ANCHORARRAY(Sintesi!$C$15),1,$C59)&gt;0),0,IF(($E59=INDEX(_xlfn.ANCHORARRAY(Sintesi!$C$14),1,$C59))*(INDEX(_xlfn.ANCHORARRAY(Sintesi!$C$15),1,$C59)&lt;0)+($E59&gt;=$E58)*($E59&lt;=INDEX($E:$E,MATCH(TRUE,INDEX((ISNUMBER($E:$E)),0),0)))*($E59&gt;INDEX(_xlfn.ANCHORARRAY(Sintesi!$C$14),1,$C59))*($E59&lt;=INDEX(_xlfn.ANCHORARRAY(Sintesi!$C$15),1,$C59))*(INDEX(_xlfn.ANCHORARRAY(Sintesi!$C$15),1,$C59)&gt;0),1,IF(($E59&gt;=$E58)*($E59&lt;=INDEX($E:$E,MATCH(TRUE,INDEX((ISNUMBER($E:$E)),0),0)))*($E59&gt;INDEX(_xlfn.ANCHORARRAY(Sintesi!$C$14),1,$C59))*($E59&lt;INDEX(_xlfn.ANCHORARRAY(Sintesi!$C$16),1,$C59))*(INDEX(_xlfn.ANCHORARRAY(Sintesi!$C$15),1,$C59)&lt;0)+($E59&gt;=$E58)*($E59&lt;=INDEX($E:$E,MATCH(TRUE,INDEX((ISNUMBER($E:$E)),0),0)))*($E59&gt;INDEX(_xlfn.ANCHORARRAY(Sintesi!$C$15),1,$C59))*($E59&lt;INDEX(_xlfn.ANCHORARRAY(Sintesi!$C$16),1,$C59))*(INDEX(_xlfn.ANCHORARRAY(Sintesi!$C$15),1,$C59)&gt;0),2,IF($E59=(INDEX(_xlfn.ANCHORARRAY(Sintesi!$C$16),1,$C59)),3,4)))),0),IF($C59&gt;0,IF(($E59=INDEX(_xlfn.ANCHORARRAY(Sintesi!$C$14),1,$C59))*(INDEX(_xlfn.ANCHORARRAY(Sintesi!$C$15),1,$C59)&gt;0),0,IF(($E59=INDEX(_xlfn.ANCHORARRAY(Sintesi!$C$14),1,$C59))*(INDEX(_xlfn.ANCHORARRAY(Sintesi!$C$15),1,$C59)&lt;0)+($E59&gt;=LOOKUP(2,1/($E:$E&lt;&gt;""),$E:$E))*($E59&lt;=INDEX($E:$E,MATCH(TRUE,INDEX((ISNUMBER($E:$E)),0),0)))*($E59&gt;INDEX(_xlfn.ANCHORARRAY(Sintesi!$C$14),1,$C59))*($E59&lt;=INDEX(_xlfn.ANCHORARRAY(Sintesi!$C$15),1,$C59))*(INDEX(_xlfn.ANCHORARRAY(Sintesi!$C$15),1,$C59)&gt;0),1,IF(($E59&gt;=LOOKUP(2,1/($E:$E&lt;&gt;""),$E:$E))*($E59&lt;=INDEX($E:$E,MATCH(TRUE,INDEX((ISNUMBER($E:$E)),0),0)))*($E59&gt;INDEX(_xlfn.ANCHORARRAY(Sintesi!$C$14),1,$C59))*($E59&lt;INDEX(_xlfn.ANCHORARRAY(Sintesi!$C$16),1,$C59))*(INDEX(_xlfn.ANCHORARRAY(Sintesi!$C$15),1,$C59)&lt;0)+($E59&gt;=LOOKUP(2,1/($E:$E&lt;&gt;""),$E:$E))*($E59&lt;=INDEX($E:$E,MATCH(TRUE,INDEX((ISNUMBER($E:$E)),0),0)))*($E59&gt;INDEX(_xlfn.ANCHORARRAY(Sintesi!$C$15),1,$C59))*($E59&lt;INDEX(_xlfn.ANCHORARRAY(Sintesi!$C$16),1,$C59))*(INDEX(_xlfn.ANCHORARRAY(Sintesi!$C$15),1,$C59)&gt;0),2,IF($E59=(INDEX(_xlfn.ANCHORARRAY(Sintesi!$C$16),1,$C59)),3,4)))),0)),IF(ISNUMBER($E58),IF($C59&gt;0,IF(($E59=INDEX(_xlfn.ANCHORARRAY(Sintesi!$C$14),1,$C59))*(INDEX(_xlfn.ANCHORARRAY(Sintesi!$C$15),1,$C59)&gt;0),0,IF(($E59=INDEX(_xlfn.ANCHORARRAY(Sintesi!$C$14),1,$C59))*(INDEX(_xlfn.ANCHORARRAY(Sintesi!$C$15),1,$C59)&lt;0)+($E59&gt;=$E58)*($E59&lt;=$E60)*($E59&gt;INDEX(_xlfn.ANCHORARRAY(Sintesi!$C$14),1,$C59))*($E59&lt;=INDEX(_xlfn.ANCHORARRAY(Sintesi!$C$15),1,$C59))*(INDEX(_xlfn.ANCHORARRAY(Sintesi!$C$15),1,$C59)&gt;0),1,IF(($E59&gt;=$E58)*($E59&lt;=$E60)*($E59&gt;INDEX(_xlfn.ANCHORARRAY(Sintesi!$C$14),1,$C59))*($E59&lt;INDEX(_xlfn.ANCHORARRAY(Sintesi!$C$16),1,$C59))*(INDEX(_xlfn.ANCHORARRAY(Sintesi!$C$15),1,$C59)&lt;0)+($E59&gt;=$E58)*($E59&lt;=$E60)*($E59&gt;INDEX(_xlfn.ANCHORARRAY(Sintesi!$C$15),1,$C59))*($E59&lt;INDEX(_xlfn.ANCHORARRAY(Sintesi!$C$16),1,$C59))*(INDEX(_xlfn.ANCHORARRAY(Sintesi!$C$15),1,$C59)&gt;0),2,IF($E59=(INDEX(_xlfn.ANCHORARRAY(Sintesi!$C$16),1,$C59)),3,4)))),0),IF($C59&gt;0,IF(($E59=INDEX(_xlfn.ANCHORARRAY(Sintesi!$C$14),1,$C59))*(INDEX(_xlfn.ANCHORARRAY(Sintesi!$C$15),1,$C59)&gt;0),0,IF(($E59=INDEX(_xlfn.ANCHORARRAY(Sintesi!$C$14),1,$C59))*(INDEX(_xlfn.ANCHORARRAY(Sintesi!$C$15),1,$C59)&lt;0)+($E59&gt;=LOOKUP(2,1/($E:$E&lt;&gt;""),$E:$E))*($E59&lt;=$E60)*($E59&gt;INDEX(_xlfn.ANCHORARRAY(Sintesi!$C$14),1,$C59))*($E59&lt;=INDEX(_xlfn.ANCHORARRAY(Sintesi!$C$15),1,$C59))*(INDEX(_xlfn.ANCHORARRAY(Sintesi!$C$15),1,$C59)&gt;0),1,IF(($E59&gt;=LOOKUP(2,1/($E:$E&lt;&gt;""),$E:$E))*($E59&lt;=$E60)*($E59&gt;INDEX(_xlfn.ANCHORARRAY(Sintesi!$C$14),1,$C59))*($E59&lt;INDEX(_xlfn.ANCHORARRAY(Sintesi!$C$16),1,$C59))*(INDEX(_xlfn.ANCHORARRAY(Sintesi!$C$15),1,$C59)&lt;0)+($E59&gt;=LOOKUP(2,1/($E:$E&lt;&gt;""),$E:$E))*($E59&lt;=$E60)*($E59&gt;INDEX(_xlfn.ANCHORARRAY(Sintesi!$C$15),1,$C59))*($E59&lt;INDEX(_xlfn.ANCHORARRAY(Sintesi!$C$16),1,$C59))*(INDEX(_xlfn.ANCHORARRAY(Sintesi!$C$15),1,$C59)&gt;0),2,IF($E59=(INDEX(_xlfn.ANCHORARRAY(Sintesi!$C$16),1,$C59)),3,4)))),0)))</f>
        <v/>
      </c>
      <c r="E59" s="1">
        <f>'Paste cell here'!F59</f>
        <v/>
      </c>
      <c r="F59" s="1">
        <f>'Paste cell here'!C59</f>
        <v/>
      </c>
      <c r="G59" s="1">
        <f>'Paste cell here'!D59</f>
        <v/>
      </c>
      <c r="H59" s="1">
        <f>'Paste cell here'!E59</f>
        <v/>
      </c>
      <c r="I59" s="1">
        <f>'Paste cell here'!X59</f>
        <v/>
      </c>
      <c r="J59" s="1">
        <f>'Paste cell here'!Y59+'Paste cell here'!S59</f>
        <v/>
      </c>
      <c r="K59" s="1">
        <f>I59/H59</f>
        <v/>
      </c>
      <c r="L59" s="1">
        <f>AVERAGE(($F59+$G59)/2-($F59-$G59)/2*COS(PI()*(8-VLOOKUP(MONTH(B59),$O$1:$Q$13,3))/(VLOOKUP(MONTH(B59),$O$1:$Q$13,2)-VLOOKUP(MONTH(B59),$O$1:$Q$13,3))),($F59+$G59)/2-($F59-$G59)/2*COS(PI()*(9-VLOOKUP(MONTH(B59),$O$1:$Q$13,3))/(VLOOKUP(MONTH(B59),$O$1:$Q$13,2)-VLOOKUP(MONTH(B59),$O$1:$Q$13,3))),($F59+$G59)/2-($F59-$G59)/2*COS(PI()*(10-VLOOKUP(MONTH(B59),$O$1:$Q$13,3))/(VLOOKUP(MONTH(B59),$O$1:$Q$13,2)-VLOOKUP(MONTH(B59),$O$1:$Q$13,3))),($F59+$G59)/2-($F59-$G59)/2*COS(PI()*(11-VLOOKUP(MONTH(B59),$O$1:$Q$13,3))/(VLOOKUP(MONTH(B59),$O$1:$Q$13,2)-VLOOKUP(MONTH(B59),$O$1:$Q$13,3))),($F59+$G59)/2-($F59-$G59)/2*COS(PI()*(12-VLOOKUP(MONTH(B59),$O$1:$Q$13,3))/(VLOOKUP(MONTH(B59),$O$1:$Q$13,2)-VLOOKUP(MONTH(B59),$O$1:$Q$13,3))),($F59+$G59)/2-($F59-$G59)/2*COS(PI()*(13-VLOOKUP(MONTH(B59),$O$1:$Q$13,3))/(VLOOKUP(MONTH(B59),$O$1:$Q$13,2)-VLOOKUP(MONTH(B59),$O$1:$Q$13,3))),($F59+$G59)/2-($F59-$G59)/2*COS(PI()*(14-VLOOKUP(MONTH(B59),$O$1:$Q$13,3))/(VLOOKUP(MONTH(B59),$O$1:$Q$13,2)-VLOOKUP(MONTH(B59),$O$1:$Q$13,3))))</f>
        <v/>
      </c>
      <c r="M59" s="1">
        <f t="array" ref="M59">IF(AND(A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,A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),IF(L59&lt;_xlfn.IFNA(INDEX(_xlfn.ANCHORARRAY(Sintesi!$C$17)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,1,IF(L59&gt;=_xlfn.IFNA(INDEX(_xlfn.ANCHORARRAY(Sintesi!$C$18)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,0,1-(L59-_xlfn.IFNA(INDEX(_xlfn.ANCHORARRAY(Sintesi!$C$17)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)/(_xlfn.IFNA(INDEX(_xlfn.ANCHORARRAY(Sintesi!$C$18)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-_xlfn.IFNA(INDEX(_xlfn.ANCHORARRAY(Sintesi!$C$17)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))),0)</f>
        <v/>
      </c>
    </row>
    <row r="60">
      <c r="A60" s="1">
        <f>'Paste cell here'!A60</f>
        <v/>
      </c>
      <c r="B60" s="2">
        <f>DATE(Sintesi!$C$4-1,12,31)+A60</f>
        <v/>
      </c>
      <c r="C60" s="34">
        <f t="array" ref="C60">_xlfn.IFNA(MATCH(1,(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)*(_xlfn.ANCHORARRAY(Sintesi!$C$15)&gt;=0)+(_xlfn.ANCHORARRAY(Sintesi!$C$15)&lt;0),0),0)</f>
        <v/>
      </c>
      <c r="D60" s="1">
        <f t="array" ref="D60">IF(ISBLANK($E61),IF(ISNUMBER($E59),IF($C60&gt;0,IF(($E60=INDEX(_xlfn.ANCHORARRAY(Sintesi!$C$14),1,$C60))*(INDEX(_xlfn.ANCHORARRAY(Sintesi!$C$15),1,$C60)&gt;0),0,IF(($E60=INDEX(_xlfn.ANCHORARRAY(Sintesi!$C$14),1,$C60))*(INDEX(_xlfn.ANCHORARRAY(Sintesi!$C$15),1,$C60)&lt;0)+($E60&gt;=$E59)*($E60&lt;=INDEX($E:$E,MATCH(TRUE,INDEX((ISNUMBER($E:$E)),0),0)))*($E60&gt;INDEX(_xlfn.ANCHORARRAY(Sintesi!$C$14),1,$C60))*($E60&lt;=INDEX(_xlfn.ANCHORARRAY(Sintesi!$C$15),1,$C60))*(INDEX(_xlfn.ANCHORARRAY(Sintesi!$C$15),1,$C60)&gt;0),1,IF(($E60&gt;=$E59)*($E60&lt;=INDEX($E:$E,MATCH(TRUE,INDEX((ISNUMBER($E:$E)),0),0)))*($E60&gt;INDEX(_xlfn.ANCHORARRAY(Sintesi!$C$14),1,$C60))*($E60&lt;INDEX(_xlfn.ANCHORARRAY(Sintesi!$C$16),1,$C60))*(INDEX(_xlfn.ANCHORARRAY(Sintesi!$C$15),1,$C60)&lt;0)+($E60&gt;=$E59)*($E60&lt;=INDEX($E:$E,MATCH(TRUE,INDEX((ISNUMBER($E:$E)),0),0)))*($E60&gt;INDEX(_xlfn.ANCHORARRAY(Sintesi!$C$15),1,$C60))*($E60&lt;INDEX(_xlfn.ANCHORARRAY(Sintesi!$C$16),1,$C60))*(INDEX(_xlfn.ANCHORARRAY(Sintesi!$C$15),1,$C60)&gt;0),2,IF($E60=(INDEX(_xlfn.ANCHORARRAY(Sintesi!$C$16),1,$C60)),3,4)))),0),IF($C60&gt;0,IF(($E60=INDEX(_xlfn.ANCHORARRAY(Sintesi!$C$14),1,$C60))*(INDEX(_xlfn.ANCHORARRAY(Sintesi!$C$15),1,$C60)&gt;0),0,IF(($E60=INDEX(_xlfn.ANCHORARRAY(Sintesi!$C$14),1,$C60))*(INDEX(_xlfn.ANCHORARRAY(Sintesi!$C$15),1,$C60)&lt;0)+($E60&gt;=LOOKUP(2,1/($E:$E&lt;&gt;""),$E:$E))*($E60&lt;=INDEX($E:$E,MATCH(TRUE,INDEX((ISNUMBER($E:$E)),0),0)))*($E60&gt;INDEX(_xlfn.ANCHORARRAY(Sintesi!$C$14),1,$C60))*($E60&lt;=INDEX(_xlfn.ANCHORARRAY(Sintesi!$C$15),1,$C60))*(INDEX(_xlfn.ANCHORARRAY(Sintesi!$C$15),1,$C60)&gt;0),1,IF(($E60&gt;=LOOKUP(2,1/($E:$E&lt;&gt;""),$E:$E))*($E60&lt;=INDEX($E:$E,MATCH(TRUE,INDEX((ISNUMBER($E:$E)),0),0)))*($E60&gt;INDEX(_xlfn.ANCHORARRAY(Sintesi!$C$14),1,$C60))*($E60&lt;INDEX(_xlfn.ANCHORARRAY(Sintesi!$C$16),1,$C60))*(INDEX(_xlfn.ANCHORARRAY(Sintesi!$C$15),1,$C60)&lt;0)+($E60&gt;=LOOKUP(2,1/($E:$E&lt;&gt;""),$E:$E))*($E60&lt;=INDEX($E:$E,MATCH(TRUE,INDEX((ISNUMBER($E:$E)),0),0)))*($E60&gt;INDEX(_xlfn.ANCHORARRAY(Sintesi!$C$15),1,$C60))*($E60&lt;INDEX(_xlfn.ANCHORARRAY(Sintesi!$C$16),1,$C60))*(INDEX(_xlfn.ANCHORARRAY(Sintesi!$C$15),1,$C60)&gt;0),2,IF($E60=(INDEX(_xlfn.ANCHORARRAY(Sintesi!$C$16),1,$C60)),3,4)))),0)),IF(ISNUMBER($E59),IF($C60&gt;0,IF(($E60=INDEX(_xlfn.ANCHORARRAY(Sintesi!$C$14),1,$C60))*(INDEX(_xlfn.ANCHORARRAY(Sintesi!$C$15),1,$C60)&gt;0),0,IF(($E60=INDEX(_xlfn.ANCHORARRAY(Sintesi!$C$14),1,$C60))*(INDEX(_xlfn.ANCHORARRAY(Sintesi!$C$15),1,$C60)&lt;0)+($E60&gt;=$E59)*($E60&lt;=$E61)*($E60&gt;INDEX(_xlfn.ANCHORARRAY(Sintesi!$C$14),1,$C60))*($E60&lt;=INDEX(_xlfn.ANCHORARRAY(Sintesi!$C$15),1,$C60))*(INDEX(_xlfn.ANCHORARRAY(Sintesi!$C$15),1,$C60)&gt;0),1,IF(($E60&gt;=$E59)*($E60&lt;=$E61)*($E60&gt;INDEX(_xlfn.ANCHORARRAY(Sintesi!$C$14),1,$C60))*($E60&lt;INDEX(_xlfn.ANCHORARRAY(Sintesi!$C$16),1,$C60))*(INDEX(_xlfn.ANCHORARRAY(Sintesi!$C$15),1,$C60)&lt;0)+($E60&gt;=$E59)*($E60&lt;=$E61)*($E60&gt;INDEX(_xlfn.ANCHORARRAY(Sintesi!$C$15),1,$C60))*($E60&lt;INDEX(_xlfn.ANCHORARRAY(Sintesi!$C$16),1,$C60))*(INDEX(_xlfn.ANCHORARRAY(Sintesi!$C$15),1,$C60)&gt;0),2,IF($E60=(INDEX(_xlfn.ANCHORARRAY(Sintesi!$C$16),1,$C60)),3,4)))),0),IF($C60&gt;0,IF(($E60=INDEX(_xlfn.ANCHORARRAY(Sintesi!$C$14),1,$C60))*(INDEX(_xlfn.ANCHORARRAY(Sintesi!$C$15),1,$C60)&gt;0),0,IF(($E60=INDEX(_xlfn.ANCHORARRAY(Sintesi!$C$14),1,$C60))*(INDEX(_xlfn.ANCHORARRAY(Sintesi!$C$15),1,$C60)&lt;0)+($E60&gt;=LOOKUP(2,1/($E:$E&lt;&gt;""),$E:$E))*($E60&lt;=$E61)*($E60&gt;INDEX(_xlfn.ANCHORARRAY(Sintesi!$C$14),1,$C60))*($E60&lt;=INDEX(_xlfn.ANCHORARRAY(Sintesi!$C$15),1,$C60))*(INDEX(_xlfn.ANCHORARRAY(Sintesi!$C$15),1,$C60)&gt;0),1,IF(($E60&gt;=LOOKUP(2,1/($E:$E&lt;&gt;""),$E:$E))*($E60&lt;=$E61)*($E60&gt;INDEX(_xlfn.ANCHORARRAY(Sintesi!$C$14),1,$C60))*($E60&lt;INDEX(_xlfn.ANCHORARRAY(Sintesi!$C$16),1,$C60))*(INDEX(_xlfn.ANCHORARRAY(Sintesi!$C$15),1,$C60)&lt;0)+($E60&gt;=LOOKUP(2,1/($E:$E&lt;&gt;""),$E:$E))*($E60&lt;=$E61)*($E60&gt;INDEX(_xlfn.ANCHORARRAY(Sintesi!$C$15),1,$C60))*($E60&lt;INDEX(_xlfn.ANCHORARRAY(Sintesi!$C$16),1,$C60))*(INDEX(_xlfn.ANCHORARRAY(Sintesi!$C$15),1,$C60)&gt;0),2,IF($E60=(INDEX(_xlfn.ANCHORARRAY(Sintesi!$C$16),1,$C60)),3,4)))),0)))</f>
        <v/>
      </c>
      <c r="E60" s="1">
        <f>'Paste cell here'!F60</f>
        <v/>
      </c>
      <c r="F60" s="1">
        <f>'Paste cell here'!C60</f>
        <v/>
      </c>
      <c r="G60" s="1">
        <f>'Paste cell here'!D60</f>
        <v/>
      </c>
      <c r="H60" s="1">
        <f>'Paste cell here'!E60</f>
        <v/>
      </c>
      <c r="I60" s="1">
        <f>'Paste cell here'!X60</f>
        <v/>
      </c>
      <c r="J60" s="1">
        <f>'Paste cell here'!Y60+'Paste cell here'!S60</f>
        <v/>
      </c>
      <c r="K60" s="1">
        <f>I60/H60</f>
        <v/>
      </c>
      <c r="L60" s="1">
        <f>AVERAGE(($F60+$G60)/2-($F60-$G60)/2*COS(PI()*(8-VLOOKUP(MONTH(B60),$O$1:$Q$13,3))/(VLOOKUP(MONTH(B60),$O$1:$Q$13,2)-VLOOKUP(MONTH(B60),$O$1:$Q$13,3))),($F60+$G60)/2-($F60-$G60)/2*COS(PI()*(9-VLOOKUP(MONTH(B60),$O$1:$Q$13,3))/(VLOOKUP(MONTH(B60),$O$1:$Q$13,2)-VLOOKUP(MONTH(B60),$O$1:$Q$13,3))),($F60+$G60)/2-($F60-$G60)/2*COS(PI()*(10-VLOOKUP(MONTH(B60),$O$1:$Q$13,3))/(VLOOKUP(MONTH(B60),$O$1:$Q$13,2)-VLOOKUP(MONTH(B60),$O$1:$Q$13,3))),($F60+$G60)/2-($F60-$G60)/2*COS(PI()*(11-VLOOKUP(MONTH(B60),$O$1:$Q$13,3))/(VLOOKUP(MONTH(B60),$O$1:$Q$13,2)-VLOOKUP(MONTH(B60),$O$1:$Q$13,3))),($F60+$G60)/2-($F60-$G60)/2*COS(PI()*(12-VLOOKUP(MONTH(B60),$O$1:$Q$13,3))/(VLOOKUP(MONTH(B60),$O$1:$Q$13,2)-VLOOKUP(MONTH(B60),$O$1:$Q$13,3))),($F60+$G60)/2-($F60-$G60)/2*COS(PI()*(13-VLOOKUP(MONTH(B60),$O$1:$Q$13,3))/(VLOOKUP(MONTH(B60),$O$1:$Q$13,2)-VLOOKUP(MONTH(B60),$O$1:$Q$13,3))),($F60+$G60)/2-($F60-$G60)/2*COS(PI()*(14-VLOOKUP(MONTH(B60),$O$1:$Q$13,3))/(VLOOKUP(MONTH(B60),$O$1:$Q$13,2)-VLOOKUP(MONTH(B60),$O$1:$Q$13,3))))</f>
        <v/>
      </c>
      <c r="M60" s="1">
        <f t="array" ref="M60">IF(AND(A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,A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),IF(L60&lt;_xlfn.IFNA(INDEX(_xlfn.ANCHORARRAY(Sintesi!$C$17)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,1,IF(L60&gt;=_xlfn.IFNA(INDEX(_xlfn.ANCHORARRAY(Sintesi!$C$18)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,0,1-(L60-_xlfn.IFNA(INDEX(_xlfn.ANCHORARRAY(Sintesi!$C$17)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)/(_xlfn.IFNA(INDEX(_xlfn.ANCHORARRAY(Sintesi!$C$18)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-_xlfn.IFNA(INDEX(_xlfn.ANCHORARRAY(Sintesi!$C$17)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))),0)</f>
        <v/>
      </c>
    </row>
    <row r="61">
      <c r="A61" s="1">
        <f>'Paste cell here'!A61</f>
        <v/>
      </c>
      <c r="B61" s="2">
        <f>DATE(Sintesi!$C$4-1,12,31)+A61</f>
        <v/>
      </c>
      <c r="C61" s="34">
        <f t="array" ref="C61">_xlfn.IFNA(MATCH(1,(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)*(_xlfn.ANCHORARRAY(Sintesi!$C$15)&gt;=0)+(_xlfn.ANCHORARRAY(Sintesi!$C$15)&lt;0),0),0)</f>
        <v/>
      </c>
      <c r="D61" s="1">
        <f t="array" ref="D61">IF(ISBLANK($E62),IF(ISNUMBER($E60),IF($C61&gt;0,IF(($E61=INDEX(_xlfn.ANCHORARRAY(Sintesi!$C$14),1,$C61))*(INDEX(_xlfn.ANCHORARRAY(Sintesi!$C$15),1,$C61)&gt;0),0,IF(($E61=INDEX(_xlfn.ANCHORARRAY(Sintesi!$C$14),1,$C61))*(INDEX(_xlfn.ANCHORARRAY(Sintesi!$C$15),1,$C61)&lt;0)+($E61&gt;=$E60)*($E61&lt;=INDEX($E:$E,MATCH(TRUE,INDEX((ISNUMBER($E:$E)),0),0)))*($E61&gt;INDEX(_xlfn.ANCHORARRAY(Sintesi!$C$14),1,$C61))*($E61&lt;=INDEX(_xlfn.ANCHORARRAY(Sintesi!$C$15),1,$C61))*(INDEX(_xlfn.ANCHORARRAY(Sintesi!$C$15),1,$C61)&gt;0),1,IF(($E61&gt;=$E60)*($E61&lt;=INDEX($E:$E,MATCH(TRUE,INDEX((ISNUMBER($E:$E)),0),0)))*($E61&gt;INDEX(_xlfn.ANCHORARRAY(Sintesi!$C$14),1,$C61))*($E61&lt;INDEX(_xlfn.ANCHORARRAY(Sintesi!$C$16),1,$C61))*(INDEX(_xlfn.ANCHORARRAY(Sintesi!$C$15),1,$C61)&lt;0)+($E61&gt;=$E60)*($E61&lt;=INDEX($E:$E,MATCH(TRUE,INDEX((ISNUMBER($E:$E)),0),0)))*($E61&gt;INDEX(_xlfn.ANCHORARRAY(Sintesi!$C$15),1,$C61))*($E61&lt;INDEX(_xlfn.ANCHORARRAY(Sintesi!$C$16),1,$C61))*(INDEX(_xlfn.ANCHORARRAY(Sintesi!$C$15),1,$C61)&gt;0),2,IF($E61=(INDEX(_xlfn.ANCHORARRAY(Sintesi!$C$16),1,$C61)),3,4)))),0),IF($C61&gt;0,IF(($E61=INDEX(_xlfn.ANCHORARRAY(Sintesi!$C$14),1,$C61))*(INDEX(_xlfn.ANCHORARRAY(Sintesi!$C$15),1,$C61)&gt;0),0,IF(($E61=INDEX(_xlfn.ANCHORARRAY(Sintesi!$C$14),1,$C61))*(INDEX(_xlfn.ANCHORARRAY(Sintesi!$C$15),1,$C61)&lt;0)+($E61&gt;=LOOKUP(2,1/($E:$E&lt;&gt;""),$E:$E))*($E61&lt;=INDEX($E:$E,MATCH(TRUE,INDEX((ISNUMBER($E:$E)),0),0)))*($E61&gt;INDEX(_xlfn.ANCHORARRAY(Sintesi!$C$14),1,$C61))*($E61&lt;=INDEX(_xlfn.ANCHORARRAY(Sintesi!$C$15),1,$C61))*(INDEX(_xlfn.ANCHORARRAY(Sintesi!$C$15),1,$C61)&gt;0),1,IF(($E61&gt;=LOOKUP(2,1/($E:$E&lt;&gt;""),$E:$E))*($E61&lt;=INDEX($E:$E,MATCH(TRUE,INDEX((ISNUMBER($E:$E)),0),0)))*($E61&gt;INDEX(_xlfn.ANCHORARRAY(Sintesi!$C$14),1,$C61))*($E61&lt;INDEX(_xlfn.ANCHORARRAY(Sintesi!$C$16),1,$C61))*(INDEX(_xlfn.ANCHORARRAY(Sintesi!$C$15),1,$C61)&lt;0)+($E61&gt;=LOOKUP(2,1/($E:$E&lt;&gt;""),$E:$E))*($E61&lt;=INDEX($E:$E,MATCH(TRUE,INDEX((ISNUMBER($E:$E)),0),0)))*($E61&gt;INDEX(_xlfn.ANCHORARRAY(Sintesi!$C$15),1,$C61))*($E61&lt;INDEX(_xlfn.ANCHORARRAY(Sintesi!$C$16),1,$C61))*(INDEX(_xlfn.ANCHORARRAY(Sintesi!$C$15),1,$C61)&gt;0),2,IF($E61=(INDEX(_xlfn.ANCHORARRAY(Sintesi!$C$16),1,$C61)),3,4)))),0)),IF(ISNUMBER($E60),IF($C61&gt;0,IF(($E61=INDEX(_xlfn.ANCHORARRAY(Sintesi!$C$14),1,$C61))*(INDEX(_xlfn.ANCHORARRAY(Sintesi!$C$15),1,$C61)&gt;0),0,IF(($E61=INDEX(_xlfn.ANCHORARRAY(Sintesi!$C$14),1,$C61))*(INDEX(_xlfn.ANCHORARRAY(Sintesi!$C$15),1,$C61)&lt;0)+($E61&gt;=$E60)*($E61&lt;=$E62)*($E61&gt;INDEX(_xlfn.ANCHORARRAY(Sintesi!$C$14),1,$C61))*($E61&lt;=INDEX(_xlfn.ANCHORARRAY(Sintesi!$C$15),1,$C61))*(INDEX(_xlfn.ANCHORARRAY(Sintesi!$C$15),1,$C61)&gt;0),1,IF(($E61&gt;=$E60)*($E61&lt;=$E62)*($E61&gt;INDEX(_xlfn.ANCHORARRAY(Sintesi!$C$14),1,$C61))*($E61&lt;INDEX(_xlfn.ANCHORARRAY(Sintesi!$C$16),1,$C61))*(INDEX(_xlfn.ANCHORARRAY(Sintesi!$C$15),1,$C61)&lt;0)+($E61&gt;=$E60)*($E61&lt;=$E62)*($E61&gt;INDEX(_xlfn.ANCHORARRAY(Sintesi!$C$15),1,$C61))*($E61&lt;INDEX(_xlfn.ANCHORARRAY(Sintesi!$C$16),1,$C61))*(INDEX(_xlfn.ANCHORARRAY(Sintesi!$C$15),1,$C61)&gt;0),2,IF($E61=(INDEX(_xlfn.ANCHORARRAY(Sintesi!$C$16),1,$C61)),3,4)))),0),IF($C61&gt;0,IF(($E61=INDEX(_xlfn.ANCHORARRAY(Sintesi!$C$14),1,$C61))*(INDEX(_xlfn.ANCHORARRAY(Sintesi!$C$15),1,$C61)&gt;0),0,IF(($E61=INDEX(_xlfn.ANCHORARRAY(Sintesi!$C$14),1,$C61))*(INDEX(_xlfn.ANCHORARRAY(Sintesi!$C$15),1,$C61)&lt;0)+($E61&gt;=LOOKUP(2,1/($E:$E&lt;&gt;""),$E:$E))*($E61&lt;=$E62)*($E61&gt;INDEX(_xlfn.ANCHORARRAY(Sintesi!$C$14),1,$C61))*($E61&lt;=INDEX(_xlfn.ANCHORARRAY(Sintesi!$C$15),1,$C61))*(INDEX(_xlfn.ANCHORARRAY(Sintesi!$C$15),1,$C61)&gt;0),1,IF(($E61&gt;=LOOKUP(2,1/($E:$E&lt;&gt;""),$E:$E))*($E61&lt;=$E62)*($E61&gt;INDEX(_xlfn.ANCHORARRAY(Sintesi!$C$14),1,$C61))*($E61&lt;INDEX(_xlfn.ANCHORARRAY(Sintesi!$C$16),1,$C61))*(INDEX(_xlfn.ANCHORARRAY(Sintesi!$C$15),1,$C61)&lt;0)+($E61&gt;=LOOKUP(2,1/($E:$E&lt;&gt;""),$E:$E))*($E61&lt;=$E62)*($E61&gt;INDEX(_xlfn.ANCHORARRAY(Sintesi!$C$15),1,$C61))*($E61&lt;INDEX(_xlfn.ANCHORARRAY(Sintesi!$C$16),1,$C61))*(INDEX(_xlfn.ANCHORARRAY(Sintesi!$C$15),1,$C61)&gt;0),2,IF($E61=(INDEX(_xlfn.ANCHORARRAY(Sintesi!$C$16),1,$C61)),3,4)))),0)))</f>
        <v/>
      </c>
      <c r="E61" s="1">
        <f>'Paste cell here'!F61</f>
        <v/>
      </c>
      <c r="F61" s="1">
        <f>'Paste cell here'!C61</f>
        <v/>
      </c>
      <c r="G61" s="1">
        <f>'Paste cell here'!D61</f>
        <v/>
      </c>
      <c r="H61" s="1">
        <f>'Paste cell here'!E61</f>
        <v/>
      </c>
      <c r="I61" s="1">
        <f>'Paste cell here'!X61</f>
        <v/>
      </c>
      <c r="J61" s="1">
        <f>'Paste cell here'!Y61+'Paste cell here'!S61</f>
        <v/>
      </c>
      <c r="K61" s="1">
        <f>I61/H61</f>
        <v/>
      </c>
      <c r="L61" s="1">
        <f>AVERAGE(($F61+$G61)/2-($F61-$G61)/2*COS(PI()*(8-VLOOKUP(MONTH(B61),$O$1:$Q$13,3))/(VLOOKUP(MONTH(B61),$O$1:$Q$13,2)-VLOOKUP(MONTH(B61),$O$1:$Q$13,3))),($F61+$G61)/2-($F61-$G61)/2*COS(PI()*(9-VLOOKUP(MONTH(B61),$O$1:$Q$13,3))/(VLOOKUP(MONTH(B61),$O$1:$Q$13,2)-VLOOKUP(MONTH(B61),$O$1:$Q$13,3))),($F61+$G61)/2-($F61-$G61)/2*COS(PI()*(10-VLOOKUP(MONTH(B61),$O$1:$Q$13,3))/(VLOOKUP(MONTH(B61),$O$1:$Q$13,2)-VLOOKUP(MONTH(B61),$O$1:$Q$13,3))),($F61+$G61)/2-($F61-$G61)/2*COS(PI()*(11-VLOOKUP(MONTH(B61),$O$1:$Q$13,3))/(VLOOKUP(MONTH(B61),$O$1:$Q$13,2)-VLOOKUP(MONTH(B61),$O$1:$Q$13,3))),($F61+$G61)/2-($F61-$G61)/2*COS(PI()*(12-VLOOKUP(MONTH(B61),$O$1:$Q$13,3))/(VLOOKUP(MONTH(B61),$O$1:$Q$13,2)-VLOOKUP(MONTH(B61),$O$1:$Q$13,3))),($F61+$G61)/2-($F61-$G61)/2*COS(PI()*(13-VLOOKUP(MONTH(B61),$O$1:$Q$13,3))/(VLOOKUP(MONTH(B61),$O$1:$Q$13,2)-VLOOKUP(MONTH(B61),$O$1:$Q$13,3))),($F61+$G61)/2-($F61-$G61)/2*COS(PI()*(14-VLOOKUP(MONTH(B61),$O$1:$Q$13,3))/(VLOOKUP(MONTH(B61),$O$1:$Q$13,2)-VLOOKUP(MONTH(B61),$O$1:$Q$13,3))))</f>
        <v/>
      </c>
      <c r="M61" s="1">
        <f t="array" ref="M61">IF(AND(A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,A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),IF(L61&lt;_xlfn.IFNA(INDEX(_xlfn.ANCHORARRAY(Sintesi!$C$17)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,1,IF(L61&gt;=_xlfn.IFNA(INDEX(_xlfn.ANCHORARRAY(Sintesi!$C$18)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,0,1-(L61-_xlfn.IFNA(INDEX(_xlfn.ANCHORARRAY(Sintesi!$C$17)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)/(_xlfn.IFNA(INDEX(_xlfn.ANCHORARRAY(Sintesi!$C$18)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-_xlfn.IFNA(INDEX(_xlfn.ANCHORARRAY(Sintesi!$C$17)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))),0)</f>
        <v/>
      </c>
    </row>
    <row r="62">
      <c r="A62" s="1">
        <f>'Paste cell here'!A62</f>
        <v/>
      </c>
      <c r="B62" s="2">
        <f>DATE(Sintesi!$C$4-1,12,31)+A62</f>
        <v/>
      </c>
      <c r="C62" s="34">
        <f t="array" ref="C62">_xlfn.IFNA(MATCH(1,(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)*(_xlfn.ANCHORARRAY(Sintesi!$C$15)&gt;=0)+(_xlfn.ANCHORARRAY(Sintesi!$C$15)&lt;0),0),0)</f>
        <v/>
      </c>
      <c r="D62" s="1">
        <f t="array" ref="D62">IF(ISBLANK($E63),IF(ISNUMBER($E61),IF($C62&gt;0,IF(($E62=INDEX(_xlfn.ANCHORARRAY(Sintesi!$C$14),1,$C62))*(INDEX(_xlfn.ANCHORARRAY(Sintesi!$C$15),1,$C62)&gt;0),0,IF(($E62=INDEX(_xlfn.ANCHORARRAY(Sintesi!$C$14),1,$C62))*(INDEX(_xlfn.ANCHORARRAY(Sintesi!$C$15),1,$C62)&lt;0)+($E62&gt;=$E61)*($E62&lt;=INDEX($E:$E,MATCH(TRUE,INDEX((ISNUMBER($E:$E)),0),0)))*($E62&gt;INDEX(_xlfn.ANCHORARRAY(Sintesi!$C$14),1,$C62))*($E62&lt;=INDEX(_xlfn.ANCHORARRAY(Sintesi!$C$15),1,$C62))*(INDEX(_xlfn.ANCHORARRAY(Sintesi!$C$15),1,$C62)&gt;0),1,IF(($E62&gt;=$E61)*($E62&lt;=INDEX($E:$E,MATCH(TRUE,INDEX((ISNUMBER($E:$E)),0),0)))*($E62&gt;INDEX(_xlfn.ANCHORARRAY(Sintesi!$C$14),1,$C62))*($E62&lt;INDEX(_xlfn.ANCHORARRAY(Sintesi!$C$16),1,$C62))*(INDEX(_xlfn.ANCHORARRAY(Sintesi!$C$15),1,$C62)&lt;0)+($E62&gt;=$E61)*($E62&lt;=INDEX($E:$E,MATCH(TRUE,INDEX((ISNUMBER($E:$E)),0),0)))*($E62&gt;INDEX(_xlfn.ANCHORARRAY(Sintesi!$C$15),1,$C62))*($E62&lt;INDEX(_xlfn.ANCHORARRAY(Sintesi!$C$16),1,$C62))*(INDEX(_xlfn.ANCHORARRAY(Sintesi!$C$15),1,$C62)&gt;0),2,IF($E62=(INDEX(_xlfn.ANCHORARRAY(Sintesi!$C$16),1,$C62)),3,4)))),0),IF($C62&gt;0,IF(($E62=INDEX(_xlfn.ANCHORARRAY(Sintesi!$C$14),1,$C62))*(INDEX(_xlfn.ANCHORARRAY(Sintesi!$C$15),1,$C62)&gt;0),0,IF(($E62=INDEX(_xlfn.ANCHORARRAY(Sintesi!$C$14),1,$C62))*(INDEX(_xlfn.ANCHORARRAY(Sintesi!$C$15),1,$C62)&lt;0)+($E62&gt;=LOOKUP(2,1/($E:$E&lt;&gt;""),$E:$E))*($E62&lt;=INDEX($E:$E,MATCH(TRUE,INDEX((ISNUMBER($E:$E)),0),0)))*($E62&gt;INDEX(_xlfn.ANCHORARRAY(Sintesi!$C$14),1,$C62))*($E62&lt;=INDEX(_xlfn.ANCHORARRAY(Sintesi!$C$15),1,$C62))*(INDEX(_xlfn.ANCHORARRAY(Sintesi!$C$15),1,$C62)&gt;0),1,IF(($E62&gt;=LOOKUP(2,1/($E:$E&lt;&gt;""),$E:$E))*($E62&lt;=INDEX($E:$E,MATCH(TRUE,INDEX((ISNUMBER($E:$E)),0),0)))*($E62&gt;INDEX(_xlfn.ANCHORARRAY(Sintesi!$C$14),1,$C62))*($E62&lt;INDEX(_xlfn.ANCHORARRAY(Sintesi!$C$16),1,$C62))*(INDEX(_xlfn.ANCHORARRAY(Sintesi!$C$15),1,$C62)&lt;0)+($E62&gt;=LOOKUP(2,1/($E:$E&lt;&gt;""),$E:$E))*($E62&lt;=INDEX($E:$E,MATCH(TRUE,INDEX((ISNUMBER($E:$E)),0),0)))*($E62&gt;INDEX(_xlfn.ANCHORARRAY(Sintesi!$C$15),1,$C62))*($E62&lt;INDEX(_xlfn.ANCHORARRAY(Sintesi!$C$16),1,$C62))*(INDEX(_xlfn.ANCHORARRAY(Sintesi!$C$15),1,$C62)&gt;0),2,IF($E62=(INDEX(_xlfn.ANCHORARRAY(Sintesi!$C$16),1,$C62)),3,4)))),0)),IF(ISNUMBER($E61),IF($C62&gt;0,IF(($E62=INDEX(_xlfn.ANCHORARRAY(Sintesi!$C$14),1,$C62))*(INDEX(_xlfn.ANCHORARRAY(Sintesi!$C$15),1,$C62)&gt;0),0,IF(($E62=INDEX(_xlfn.ANCHORARRAY(Sintesi!$C$14),1,$C62))*(INDEX(_xlfn.ANCHORARRAY(Sintesi!$C$15),1,$C62)&lt;0)+($E62&gt;=$E61)*($E62&lt;=$E63)*($E62&gt;INDEX(_xlfn.ANCHORARRAY(Sintesi!$C$14),1,$C62))*($E62&lt;=INDEX(_xlfn.ANCHORARRAY(Sintesi!$C$15),1,$C62))*(INDEX(_xlfn.ANCHORARRAY(Sintesi!$C$15),1,$C62)&gt;0),1,IF(($E62&gt;=$E61)*($E62&lt;=$E63)*($E62&gt;INDEX(_xlfn.ANCHORARRAY(Sintesi!$C$14),1,$C62))*($E62&lt;INDEX(_xlfn.ANCHORARRAY(Sintesi!$C$16),1,$C62))*(INDEX(_xlfn.ANCHORARRAY(Sintesi!$C$15),1,$C62)&lt;0)+($E62&gt;=$E61)*($E62&lt;=$E63)*($E62&gt;INDEX(_xlfn.ANCHORARRAY(Sintesi!$C$15),1,$C62))*($E62&lt;INDEX(_xlfn.ANCHORARRAY(Sintesi!$C$16),1,$C62))*(INDEX(_xlfn.ANCHORARRAY(Sintesi!$C$15),1,$C62)&gt;0),2,IF($E62=(INDEX(_xlfn.ANCHORARRAY(Sintesi!$C$16),1,$C62)),3,4)))),0),IF($C62&gt;0,IF(($E62=INDEX(_xlfn.ANCHORARRAY(Sintesi!$C$14),1,$C62))*(INDEX(_xlfn.ANCHORARRAY(Sintesi!$C$15),1,$C62)&gt;0),0,IF(($E62=INDEX(_xlfn.ANCHORARRAY(Sintesi!$C$14),1,$C62))*(INDEX(_xlfn.ANCHORARRAY(Sintesi!$C$15),1,$C62)&lt;0)+($E62&gt;=LOOKUP(2,1/($E:$E&lt;&gt;""),$E:$E))*($E62&lt;=$E63)*($E62&gt;INDEX(_xlfn.ANCHORARRAY(Sintesi!$C$14),1,$C62))*($E62&lt;=INDEX(_xlfn.ANCHORARRAY(Sintesi!$C$15),1,$C62))*(INDEX(_xlfn.ANCHORARRAY(Sintesi!$C$15),1,$C62)&gt;0),1,IF(($E62&gt;=LOOKUP(2,1/($E:$E&lt;&gt;""),$E:$E))*($E62&lt;=$E63)*($E62&gt;INDEX(_xlfn.ANCHORARRAY(Sintesi!$C$14),1,$C62))*($E62&lt;INDEX(_xlfn.ANCHORARRAY(Sintesi!$C$16),1,$C62))*(INDEX(_xlfn.ANCHORARRAY(Sintesi!$C$15),1,$C62)&lt;0)+($E62&gt;=LOOKUP(2,1/($E:$E&lt;&gt;""),$E:$E))*($E62&lt;=$E63)*($E62&gt;INDEX(_xlfn.ANCHORARRAY(Sintesi!$C$15),1,$C62))*($E62&lt;INDEX(_xlfn.ANCHORARRAY(Sintesi!$C$16),1,$C62))*(INDEX(_xlfn.ANCHORARRAY(Sintesi!$C$15),1,$C62)&gt;0),2,IF($E62=(INDEX(_xlfn.ANCHORARRAY(Sintesi!$C$16),1,$C62)),3,4)))),0)))</f>
        <v/>
      </c>
      <c r="E62" s="1">
        <f>'Paste cell here'!F62</f>
        <v/>
      </c>
      <c r="F62" s="1">
        <f>'Paste cell here'!C62</f>
        <v/>
      </c>
      <c r="G62" s="1">
        <f>'Paste cell here'!D62</f>
        <v/>
      </c>
      <c r="H62" s="1">
        <f>'Paste cell here'!E62</f>
        <v/>
      </c>
      <c r="I62" s="1">
        <f>'Paste cell here'!X62</f>
        <v/>
      </c>
      <c r="J62" s="1">
        <f>'Paste cell here'!Y62+'Paste cell here'!S62</f>
        <v/>
      </c>
      <c r="K62" s="1">
        <f>I62/H62</f>
        <v/>
      </c>
      <c r="L62" s="1">
        <f>AVERAGE(($F62+$G62)/2-($F62-$G62)/2*COS(PI()*(8-VLOOKUP(MONTH(B62),$O$1:$Q$13,3))/(VLOOKUP(MONTH(B62),$O$1:$Q$13,2)-VLOOKUP(MONTH(B62),$O$1:$Q$13,3))),($F62+$G62)/2-($F62-$G62)/2*COS(PI()*(9-VLOOKUP(MONTH(B62),$O$1:$Q$13,3))/(VLOOKUP(MONTH(B62),$O$1:$Q$13,2)-VLOOKUP(MONTH(B62),$O$1:$Q$13,3))),($F62+$G62)/2-($F62-$G62)/2*COS(PI()*(10-VLOOKUP(MONTH(B62),$O$1:$Q$13,3))/(VLOOKUP(MONTH(B62),$O$1:$Q$13,2)-VLOOKUP(MONTH(B62),$O$1:$Q$13,3))),($F62+$G62)/2-($F62-$G62)/2*COS(PI()*(11-VLOOKUP(MONTH(B62),$O$1:$Q$13,3))/(VLOOKUP(MONTH(B62),$O$1:$Q$13,2)-VLOOKUP(MONTH(B62),$O$1:$Q$13,3))),($F62+$G62)/2-($F62-$G62)/2*COS(PI()*(12-VLOOKUP(MONTH(B62),$O$1:$Q$13,3))/(VLOOKUP(MONTH(B62),$O$1:$Q$13,2)-VLOOKUP(MONTH(B62),$O$1:$Q$13,3))),($F62+$G62)/2-($F62-$G62)/2*COS(PI()*(13-VLOOKUP(MONTH(B62),$O$1:$Q$13,3))/(VLOOKUP(MONTH(B62),$O$1:$Q$13,2)-VLOOKUP(MONTH(B62),$O$1:$Q$13,3))),($F62+$G62)/2-($F62-$G62)/2*COS(PI()*(14-VLOOKUP(MONTH(B62),$O$1:$Q$13,3))/(VLOOKUP(MONTH(B62),$O$1:$Q$13,2)-VLOOKUP(MONTH(B62),$O$1:$Q$13,3))))</f>
        <v/>
      </c>
      <c r="M62" s="1">
        <f t="array" ref="M62">IF(AND(A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,A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),IF(L62&lt;_xlfn.IFNA(INDEX(_xlfn.ANCHORARRAY(Sintesi!$C$17)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,1,IF(L62&gt;=_xlfn.IFNA(INDEX(_xlfn.ANCHORARRAY(Sintesi!$C$18)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,0,1-(L62-_xlfn.IFNA(INDEX(_xlfn.ANCHORARRAY(Sintesi!$C$17)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)/(_xlfn.IFNA(INDEX(_xlfn.ANCHORARRAY(Sintesi!$C$18)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-_xlfn.IFNA(INDEX(_xlfn.ANCHORARRAY(Sintesi!$C$17)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))),0)</f>
        <v/>
      </c>
    </row>
    <row r="63">
      <c r="A63" s="1">
        <f>'Paste cell here'!A63</f>
        <v/>
      </c>
      <c r="B63" s="2">
        <f>DATE(Sintesi!$C$4-1,12,31)+A63</f>
        <v/>
      </c>
      <c r="C63" s="34">
        <f t="array" ref="C63">_xlfn.IFNA(MATCH(1,(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)*(_xlfn.ANCHORARRAY(Sintesi!$C$15)&gt;=0)+(_xlfn.ANCHORARRAY(Sintesi!$C$15)&lt;0),0),0)</f>
        <v/>
      </c>
      <c r="D63" s="1">
        <f t="array" ref="D63">IF(ISBLANK($E64),IF(ISNUMBER($E62),IF($C63&gt;0,IF(($E63=INDEX(_xlfn.ANCHORARRAY(Sintesi!$C$14),1,$C63))*(INDEX(_xlfn.ANCHORARRAY(Sintesi!$C$15),1,$C63)&gt;0),0,IF(($E63=INDEX(_xlfn.ANCHORARRAY(Sintesi!$C$14),1,$C63))*(INDEX(_xlfn.ANCHORARRAY(Sintesi!$C$15),1,$C63)&lt;0)+($E63&gt;=$E62)*($E63&lt;=INDEX($E:$E,MATCH(TRUE,INDEX((ISNUMBER($E:$E)),0),0)))*($E63&gt;INDEX(_xlfn.ANCHORARRAY(Sintesi!$C$14),1,$C63))*($E63&lt;=INDEX(_xlfn.ANCHORARRAY(Sintesi!$C$15),1,$C63))*(INDEX(_xlfn.ANCHORARRAY(Sintesi!$C$15),1,$C63)&gt;0),1,IF(($E63&gt;=$E62)*($E63&lt;=INDEX($E:$E,MATCH(TRUE,INDEX((ISNUMBER($E:$E)),0),0)))*($E63&gt;INDEX(_xlfn.ANCHORARRAY(Sintesi!$C$14),1,$C63))*($E63&lt;INDEX(_xlfn.ANCHORARRAY(Sintesi!$C$16),1,$C63))*(INDEX(_xlfn.ANCHORARRAY(Sintesi!$C$15),1,$C63)&lt;0)+($E63&gt;=$E62)*($E63&lt;=INDEX($E:$E,MATCH(TRUE,INDEX((ISNUMBER($E:$E)),0),0)))*($E63&gt;INDEX(_xlfn.ANCHORARRAY(Sintesi!$C$15),1,$C63))*($E63&lt;INDEX(_xlfn.ANCHORARRAY(Sintesi!$C$16),1,$C63))*(INDEX(_xlfn.ANCHORARRAY(Sintesi!$C$15),1,$C63)&gt;0),2,IF($E63=(INDEX(_xlfn.ANCHORARRAY(Sintesi!$C$16),1,$C63)),3,4)))),0),IF($C63&gt;0,IF(($E63=INDEX(_xlfn.ANCHORARRAY(Sintesi!$C$14),1,$C63))*(INDEX(_xlfn.ANCHORARRAY(Sintesi!$C$15),1,$C63)&gt;0),0,IF(($E63=INDEX(_xlfn.ANCHORARRAY(Sintesi!$C$14),1,$C63))*(INDEX(_xlfn.ANCHORARRAY(Sintesi!$C$15),1,$C63)&lt;0)+($E63&gt;=LOOKUP(2,1/($E:$E&lt;&gt;""),$E:$E))*($E63&lt;=INDEX($E:$E,MATCH(TRUE,INDEX((ISNUMBER($E:$E)),0),0)))*($E63&gt;INDEX(_xlfn.ANCHORARRAY(Sintesi!$C$14),1,$C63))*($E63&lt;=INDEX(_xlfn.ANCHORARRAY(Sintesi!$C$15),1,$C63))*(INDEX(_xlfn.ANCHORARRAY(Sintesi!$C$15),1,$C63)&gt;0),1,IF(($E63&gt;=LOOKUP(2,1/($E:$E&lt;&gt;""),$E:$E))*($E63&lt;=INDEX($E:$E,MATCH(TRUE,INDEX((ISNUMBER($E:$E)),0),0)))*($E63&gt;INDEX(_xlfn.ANCHORARRAY(Sintesi!$C$14),1,$C63))*($E63&lt;INDEX(_xlfn.ANCHORARRAY(Sintesi!$C$16),1,$C63))*(INDEX(_xlfn.ANCHORARRAY(Sintesi!$C$15),1,$C63)&lt;0)+($E63&gt;=LOOKUP(2,1/($E:$E&lt;&gt;""),$E:$E))*($E63&lt;=INDEX($E:$E,MATCH(TRUE,INDEX((ISNUMBER($E:$E)),0),0)))*($E63&gt;INDEX(_xlfn.ANCHORARRAY(Sintesi!$C$15),1,$C63))*($E63&lt;INDEX(_xlfn.ANCHORARRAY(Sintesi!$C$16),1,$C63))*(INDEX(_xlfn.ANCHORARRAY(Sintesi!$C$15),1,$C63)&gt;0),2,IF($E63=(INDEX(_xlfn.ANCHORARRAY(Sintesi!$C$16),1,$C63)),3,4)))),0)),IF(ISNUMBER($E62),IF($C63&gt;0,IF(($E63=INDEX(_xlfn.ANCHORARRAY(Sintesi!$C$14),1,$C63))*(INDEX(_xlfn.ANCHORARRAY(Sintesi!$C$15),1,$C63)&gt;0),0,IF(($E63=INDEX(_xlfn.ANCHORARRAY(Sintesi!$C$14),1,$C63))*(INDEX(_xlfn.ANCHORARRAY(Sintesi!$C$15),1,$C63)&lt;0)+($E63&gt;=$E62)*($E63&lt;=$E64)*($E63&gt;INDEX(_xlfn.ANCHORARRAY(Sintesi!$C$14),1,$C63))*($E63&lt;=INDEX(_xlfn.ANCHORARRAY(Sintesi!$C$15),1,$C63))*(INDEX(_xlfn.ANCHORARRAY(Sintesi!$C$15),1,$C63)&gt;0),1,IF(($E63&gt;=$E62)*($E63&lt;=$E64)*($E63&gt;INDEX(_xlfn.ANCHORARRAY(Sintesi!$C$14),1,$C63))*($E63&lt;INDEX(_xlfn.ANCHORARRAY(Sintesi!$C$16),1,$C63))*(INDEX(_xlfn.ANCHORARRAY(Sintesi!$C$15),1,$C63)&lt;0)+($E63&gt;=$E62)*($E63&lt;=$E64)*($E63&gt;INDEX(_xlfn.ANCHORARRAY(Sintesi!$C$15),1,$C63))*($E63&lt;INDEX(_xlfn.ANCHORARRAY(Sintesi!$C$16),1,$C63))*(INDEX(_xlfn.ANCHORARRAY(Sintesi!$C$15),1,$C63)&gt;0),2,IF($E63=(INDEX(_xlfn.ANCHORARRAY(Sintesi!$C$16),1,$C63)),3,4)))),0),IF($C63&gt;0,IF(($E63=INDEX(_xlfn.ANCHORARRAY(Sintesi!$C$14),1,$C63))*(INDEX(_xlfn.ANCHORARRAY(Sintesi!$C$15),1,$C63)&gt;0),0,IF(($E63=INDEX(_xlfn.ANCHORARRAY(Sintesi!$C$14),1,$C63))*(INDEX(_xlfn.ANCHORARRAY(Sintesi!$C$15),1,$C63)&lt;0)+($E63&gt;=LOOKUP(2,1/($E:$E&lt;&gt;""),$E:$E))*($E63&lt;=$E64)*($E63&gt;INDEX(_xlfn.ANCHORARRAY(Sintesi!$C$14),1,$C63))*($E63&lt;=INDEX(_xlfn.ANCHORARRAY(Sintesi!$C$15),1,$C63))*(INDEX(_xlfn.ANCHORARRAY(Sintesi!$C$15),1,$C63)&gt;0),1,IF(($E63&gt;=LOOKUP(2,1/($E:$E&lt;&gt;""),$E:$E))*($E63&lt;=$E64)*($E63&gt;INDEX(_xlfn.ANCHORARRAY(Sintesi!$C$14),1,$C63))*($E63&lt;INDEX(_xlfn.ANCHORARRAY(Sintesi!$C$16),1,$C63))*(INDEX(_xlfn.ANCHORARRAY(Sintesi!$C$15),1,$C63)&lt;0)+($E63&gt;=LOOKUP(2,1/($E:$E&lt;&gt;""),$E:$E))*($E63&lt;=$E64)*($E63&gt;INDEX(_xlfn.ANCHORARRAY(Sintesi!$C$15),1,$C63))*($E63&lt;INDEX(_xlfn.ANCHORARRAY(Sintesi!$C$16),1,$C63))*(INDEX(_xlfn.ANCHORARRAY(Sintesi!$C$15),1,$C63)&gt;0),2,IF($E63=(INDEX(_xlfn.ANCHORARRAY(Sintesi!$C$16),1,$C63)),3,4)))),0)))</f>
        <v/>
      </c>
      <c r="E63" s="1">
        <f>'Paste cell here'!F63</f>
        <v/>
      </c>
      <c r="F63" s="1">
        <f>'Paste cell here'!C63</f>
        <v/>
      </c>
      <c r="G63" s="1">
        <f>'Paste cell here'!D63</f>
        <v/>
      </c>
      <c r="H63" s="1">
        <f>'Paste cell here'!E63</f>
        <v/>
      </c>
      <c r="I63" s="1">
        <f>'Paste cell here'!X63</f>
        <v/>
      </c>
      <c r="J63" s="1">
        <f>'Paste cell here'!Y63+'Paste cell here'!S63</f>
        <v/>
      </c>
      <c r="K63" s="1">
        <f>I63/H63</f>
        <v/>
      </c>
      <c r="L63" s="1">
        <f>AVERAGE(($F63+$G63)/2-($F63-$G63)/2*COS(PI()*(8-VLOOKUP(MONTH(B63),$O$1:$Q$13,3))/(VLOOKUP(MONTH(B63),$O$1:$Q$13,2)-VLOOKUP(MONTH(B63),$O$1:$Q$13,3))),($F63+$G63)/2-($F63-$G63)/2*COS(PI()*(9-VLOOKUP(MONTH(B63),$O$1:$Q$13,3))/(VLOOKUP(MONTH(B63),$O$1:$Q$13,2)-VLOOKUP(MONTH(B63),$O$1:$Q$13,3))),($F63+$G63)/2-($F63-$G63)/2*COS(PI()*(10-VLOOKUP(MONTH(B63),$O$1:$Q$13,3))/(VLOOKUP(MONTH(B63),$O$1:$Q$13,2)-VLOOKUP(MONTH(B63),$O$1:$Q$13,3))),($F63+$G63)/2-($F63-$G63)/2*COS(PI()*(11-VLOOKUP(MONTH(B63),$O$1:$Q$13,3))/(VLOOKUP(MONTH(B63),$O$1:$Q$13,2)-VLOOKUP(MONTH(B63),$O$1:$Q$13,3))),($F63+$G63)/2-($F63-$G63)/2*COS(PI()*(12-VLOOKUP(MONTH(B63),$O$1:$Q$13,3))/(VLOOKUP(MONTH(B63),$O$1:$Q$13,2)-VLOOKUP(MONTH(B63),$O$1:$Q$13,3))),($F63+$G63)/2-($F63-$G63)/2*COS(PI()*(13-VLOOKUP(MONTH(B63),$O$1:$Q$13,3))/(VLOOKUP(MONTH(B63),$O$1:$Q$13,2)-VLOOKUP(MONTH(B63),$O$1:$Q$13,3))),($F63+$G63)/2-($F63-$G63)/2*COS(PI()*(14-VLOOKUP(MONTH(B63),$O$1:$Q$13,3))/(VLOOKUP(MONTH(B63),$O$1:$Q$13,2)-VLOOKUP(MONTH(B63),$O$1:$Q$13,3))))</f>
        <v/>
      </c>
      <c r="M63" s="1">
        <f t="array" ref="M63">IF(AND(A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,A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),IF(L63&lt;_xlfn.IFNA(INDEX(_xlfn.ANCHORARRAY(Sintesi!$C$17)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,1,IF(L63&gt;=_xlfn.IFNA(INDEX(_xlfn.ANCHORARRAY(Sintesi!$C$18)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,0,1-(L63-_xlfn.IFNA(INDEX(_xlfn.ANCHORARRAY(Sintesi!$C$17)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)/(_xlfn.IFNA(INDEX(_xlfn.ANCHORARRAY(Sintesi!$C$18)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-_xlfn.IFNA(INDEX(_xlfn.ANCHORARRAY(Sintesi!$C$17)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))),0)</f>
        <v/>
      </c>
    </row>
    <row r="64">
      <c r="A64" s="1">
        <f>'Paste cell here'!A64</f>
        <v/>
      </c>
      <c r="B64" s="2">
        <f>DATE(Sintesi!$C$4-1,12,31)+A64</f>
        <v/>
      </c>
      <c r="C64" s="34">
        <f t="array" ref="C64">_xlfn.IFNA(MATCH(1,(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)*(_xlfn.ANCHORARRAY(Sintesi!$C$15)&gt;=0)+(_xlfn.ANCHORARRAY(Sintesi!$C$15)&lt;0),0),0)</f>
        <v/>
      </c>
      <c r="D64" s="1">
        <f t="array" ref="D64">IF(ISBLANK($E65),IF(ISNUMBER($E63),IF($C64&gt;0,IF(($E64=INDEX(_xlfn.ANCHORARRAY(Sintesi!$C$14),1,$C64))*(INDEX(_xlfn.ANCHORARRAY(Sintesi!$C$15),1,$C64)&gt;0),0,IF(($E64=INDEX(_xlfn.ANCHORARRAY(Sintesi!$C$14),1,$C64))*(INDEX(_xlfn.ANCHORARRAY(Sintesi!$C$15),1,$C64)&lt;0)+($E64&gt;=$E63)*($E64&lt;=INDEX($E:$E,MATCH(TRUE,INDEX((ISNUMBER($E:$E)),0),0)))*($E64&gt;INDEX(_xlfn.ANCHORARRAY(Sintesi!$C$14),1,$C64))*($E64&lt;=INDEX(_xlfn.ANCHORARRAY(Sintesi!$C$15),1,$C64))*(INDEX(_xlfn.ANCHORARRAY(Sintesi!$C$15),1,$C64)&gt;0),1,IF(($E64&gt;=$E63)*($E64&lt;=INDEX($E:$E,MATCH(TRUE,INDEX((ISNUMBER($E:$E)),0),0)))*($E64&gt;INDEX(_xlfn.ANCHORARRAY(Sintesi!$C$14),1,$C64))*($E64&lt;INDEX(_xlfn.ANCHORARRAY(Sintesi!$C$16),1,$C64))*(INDEX(_xlfn.ANCHORARRAY(Sintesi!$C$15),1,$C64)&lt;0)+($E64&gt;=$E63)*($E64&lt;=INDEX($E:$E,MATCH(TRUE,INDEX((ISNUMBER($E:$E)),0),0)))*($E64&gt;INDEX(_xlfn.ANCHORARRAY(Sintesi!$C$15),1,$C64))*($E64&lt;INDEX(_xlfn.ANCHORARRAY(Sintesi!$C$16),1,$C64))*(INDEX(_xlfn.ANCHORARRAY(Sintesi!$C$15),1,$C64)&gt;0),2,IF($E64=(INDEX(_xlfn.ANCHORARRAY(Sintesi!$C$16),1,$C64)),3,4)))),0),IF($C64&gt;0,IF(($E64=INDEX(_xlfn.ANCHORARRAY(Sintesi!$C$14),1,$C64))*(INDEX(_xlfn.ANCHORARRAY(Sintesi!$C$15),1,$C64)&gt;0),0,IF(($E64=INDEX(_xlfn.ANCHORARRAY(Sintesi!$C$14),1,$C64))*(INDEX(_xlfn.ANCHORARRAY(Sintesi!$C$15),1,$C64)&lt;0)+($E64&gt;=LOOKUP(2,1/($E:$E&lt;&gt;""),$E:$E))*($E64&lt;=INDEX($E:$E,MATCH(TRUE,INDEX((ISNUMBER($E:$E)),0),0)))*($E64&gt;INDEX(_xlfn.ANCHORARRAY(Sintesi!$C$14),1,$C64))*($E64&lt;=INDEX(_xlfn.ANCHORARRAY(Sintesi!$C$15),1,$C64))*(INDEX(_xlfn.ANCHORARRAY(Sintesi!$C$15),1,$C64)&gt;0),1,IF(($E64&gt;=LOOKUP(2,1/($E:$E&lt;&gt;""),$E:$E))*($E64&lt;=INDEX($E:$E,MATCH(TRUE,INDEX((ISNUMBER($E:$E)),0),0)))*($E64&gt;INDEX(_xlfn.ANCHORARRAY(Sintesi!$C$14),1,$C64))*($E64&lt;INDEX(_xlfn.ANCHORARRAY(Sintesi!$C$16),1,$C64))*(INDEX(_xlfn.ANCHORARRAY(Sintesi!$C$15),1,$C64)&lt;0)+($E64&gt;=LOOKUP(2,1/($E:$E&lt;&gt;""),$E:$E))*($E64&lt;=INDEX($E:$E,MATCH(TRUE,INDEX((ISNUMBER($E:$E)),0),0)))*($E64&gt;INDEX(_xlfn.ANCHORARRAY(Sintesi!$C$15),1,$C64))*($E64&lt;INDEX(_xlfn.ANCHORARRAY(Sintesi!$C$16),1,$C64))*(INDEX(_xlfn.ANCHORARRAY(Sintesi!$C$15),1,$C64)&gt;0),2,IF($E64=(INDEX(_xlfn.ANCHORARRAY(Sintesi!$C$16),1,$C64)),3,4)))),0)),IF(ISNUMBER($E63),IF($C64&gt;0,IF(($E64=INDEX(_xlfn.ANCHORARRAY(Sintesi!$C$14),1,$C64))*(INDEX(_xlfn.ANCHORARRAY(Sintesi!$C$15),1,$C64)&gt;0),0,IF(($E64=INDEX(_xlfn.ANCHORARRAY(Sintesi!$C$14),1,$C64))*(INDEX(_xlfn.ANCHORARRAY(Sintesi!$C$15),1,$C64)&lt;0)+($E64&gt;=$E63)*($E64&lt;=$E65)*($E64&gt;INDEX(_xlfn.ANCHORARRAY(Sintesi!$C$14),1,$C64))*($E64&lt;=INDEX(_xlfn.ANCHORARRAY(Sintesi!$C$15),1,$C64))*(INDEX(_xlfn.ANCHORARRAY(Sintesi!$C$15),1,$C64)&gt;0),1,IF(($E64&gt;=$E63)*($E64&lt;=$E65)*($E64&gt;INDEX(_xlfn.ANCHORARRAY(Sintesi!$C$14),1,$C64))*($E64&lt;INDEX(_xlfn.ANCHORARRAY(Sintesi!$C$16),1,$C64))*(INDEX(_xlfn.ANCHORARRAY(Sintesi!$C$15),1,$C64)&lt;0)+($E64&gt;=$E63)*($E64&lt;=$E65)*($E64&gt;INDEX(_xlfn.ANCHORARRAY(Sintesi!$C$15),1,$C64))*($E64&lt;INDEX(_xlfn.ANCHORARRAY(Sintesi!$C$16),1,$C64))*(INDEX(_xlfn.ANCHORARRAY(Sintesi!$C$15),1,$C64)&gt;0),2,IF($E64=(INDEX(_xlfn.ANCHORARRAY(Sintesi!$C$16),1,$C64)),3,4)))),0),IF($C64&gt;0,IF(($E64=INDEX(_xlfn.ANCHORARRAY(Sintesi!$C$14),1,$C64))*(INDEX(_xlfn.ANCHORARRAY(Sintesi!$C$15),1,$C64)&gt;0),0,IF(($E64=INDEX(_xlfn.ANCHORARRAY(Sintesi!$C$14),1,$C64))*(INDEX(_xlfn.ANCHORARRAY(Sintesi!$C$15),1,$C64)&lt;0)+($E64&gt;=LOOKUP(2,1/($E:$E&lt;&gt;""),$E:$E))*($E64&lt;=$E65)*($E64&gt;INDEX(_xlfn.ANCHORARRAY(Sintesi!$C$14),1,$C64))*($E64&lt;=INDEX(_xlfn.ANCHORARRAY(Sintesi!$C$15),1,$C64))*(INDEX(_xlfn.ANCHORARRAY(Sintesi!$C$15),1,$C64)&gt;0),1,IF(($E64&gt;=LOOKUP(2,1/($E:$E&lt;&gt;""),$E:$E))*($E64&lt;=$E65)*($E64&gt;INDEX(_xlfn.ANCHORARRAY(Sintesi!$C$14),1,$C64))*($E64&lt;INDEX(_xlfn.ANCHORARRAY(Sintesi!$C$16),1,$C64))*(INDEX(_xlfn.ANCHORARRAY(Sintesi!$C$15),1,$C64)&lt;0)+($E64&gt;=LOOKUP(2,1/($E:$E&lt;&gt;""),$E:$E))*($E64&lt;=$E65)*($E64&gt;INDEX(_xlfn.ANCHORARRAY(Sintesi!$C$15),1,$C64))*($E64&lt;INDEX(_xlfn.ANCHORARRAY(Sintesi!$C$16),1,$C64))*(INDEX(_xlfn.ANCHORARRAY(Sintesi!$C$15),1,$C64)&gt;0),2,IF($E64=(INDEX(_xlfn.ANCHORARRAY(Sintesi!$C$16),1,$C64)),3,4)))),0)))</f>
        <v/>
      </c>
      <c r="E64" s="1">
        <f>'Paste cell here'!F64</f>
        <v/>
      </c>
      <c r="F64" s="1">
        <f>'Paste cell here'!C64</f>
        <v/>
      </c>
      <c r="G64" s="1">
        <f>'Paste cell here'!D64</f>
        <v/>
      </c>
      <c r="H64" s="1">
        <f>'Paste cell here'!E64</f>
        <v/>
      </c>
      <c r="I64" s="1">
        <f>'Paste cell here'!X64</f>
        <v/>
      </c>
      <c r="J64" s="1">
        <f>'Paste cell here'!Y64+'Paste cell here'!S64</f>
        <v/>
      </c>
      <c r="K64" s="1">
        <f>I64/H64</f>
        <v/>
      </c>
      <c r="L64" s="1">
        <f>AVERAGE(($F64+$G64)/2-($F64-$G64)/2*COS(PI()*(8-VLOOKUP(MONTH(B64),$O$1:$Q$13,3))/(VLOOKUP(MONTH(B64),$O$1:$Q$13,2)-VLOOKUP(MONTH(B64),$O$1:$Q$13,3))),($F64+$G64)/2-($F64-$G64)/2*COS(PI()*(9-VLOOKUP(MONTH(B64),$O$1:$Q$13,3))/(VLOOKUP(MONTH(B64),$O$1:$Q$13,2)-VLOOKUP(MONTH(B64),$O$1:$Q$13,3))),($F64+$G64)/2-($F64-$G64)/2*COS(PI()*(10-VLOOKUP(MONTH(B64),$O$1:$Q$13,3))/(VLOOKUP(MONTH(B64),$O$1:$Q$13,2)-VLOOKUP(MONTH(B64),$O$1:$Q$13,3))),($F64+$G64)/2-($F64-$G64)/2*COS(PI()*(11-VLOOKUP(MONTH(B64),$O$1:$Q$13,3))/(VLOOKUP(MONTH(B64),$O$1:$Q$13,2)-VLOOKUP(MONTH(B64),$O$1:$Q$13,3))),($F64+$G64)/2-($F64-$G64)/2*COS(PI()*(12-VLOOKUP(MONTH(B64),$O$1:$Q$13,3))/(VLOOKUP(MONTH(B64),$O$1:$Q$13,2)-VLOOKUP(MONTH(B64),$O$1:$Q$13,3))),($F64+$G64)/2-($F64-$G64)/2*COS(PI()*(13-VLOOKUP(MONTH(B64),$O$1:$Q$13,3))/(VLOOKUP(MONTH(B64),$O$1:$Q$13,2)-VLOOKUP(MONTH(B64),$O$1:$Q$13,3))),($F64+$G64)/2-($F64-$G64)/2*COS(PI()*(14-VLOOKUP(MONTH(B64),$O$1:$Q$13,3))/(VLOOKUP(MONTH(B64),$O$1:$Q$13,2)-VLOOKUP(MONTH(B64),$O$1:$Q$13,3))))</f>
        <v/>
      </c>
      <c r="M64" s="1">
        <f t="array" ref="M64">IF(AND(A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,A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),IF(L64&lt;_xlfn.IFNA(INDEX(_xlfn.ANCHORARRAY(Sintesi!$C$17)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,1,IF(L64&gt;=_xlfn.IFNA(INDEX(_xlfn.ANCHORARRAY(Sintesi!$C$18)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,0,1-(L64-_xlfn.IFNA(INDEX(_xlfn.ANCHORARRAY(Sintesi!$C$17)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)/(_xlfn.IFNA(INDEX(_xlfn.ANCHORARRAY(Sintesi!$C$18)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-_xlfn.IFNA(INDEX(_xlfn.ANCHORARRAY(Sintesi!$C$17)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))),0)</f>
        <v/>
      </c>
    </row>
    <row r="65">
      <c r="A65" s="1">
        <f>'Paste cell here'!A65</f>
        <v/>
      </c>
      <c r="B65" s="2">
        <f>DATE(Sintesi!$C$4-1,12,31)+A65</f>
        <v/>
      </c>
      <c r="C65" s="34">
        <f t="array" ref="C65">_xlfn.IFNA(MATCH(1,(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)*(_xlfn.ANCHORARRAY(Sintesi!$C$15)&gt;=0)+(_xlfn.ANCHORARRAY(Sintesi!$C$15)&lt;0),0),0)</f>
        <v/>
      </c>
      <c r="D65" s="1">
        <f t="array" ref="D65">IF(ISBLANK($E66),IF(ISNUMBER($E64),IF($C65&gt;0,IF(($E65=INDEX(_xlfn.ANCHORARRAY(Sintesi!$C$14),1,$C65))*(INDEX(_xlfn.ANCHORARRAY(Sintesi!$C$15),1,$C65)&gt;0),0,IF(($E65=INDEX(_xlfn.ANCHORARRAY(Sintesi!$C$14),1,$C65))*(INDEX(_xlfn.ANCHORARRAY(Sintesi!$C$15),1,$C65)&lt;0)+($E65&gt;=$E64)*($E65&lt;=INDEX($E:$E,MATCH(TRUE,INDEX((ISNUMBER($E:$E)),0),0)))*($E65&gt;INDEX(_xlfn.ANCHORARRAY(Sintesi!$C$14),1,$C65))*($E65&lt;=INDEX(_xlfn.ANCHORARRAY(Sintesi!$C$15),1,$C65))*(INDEX(_xlfn.ANCHORARRAY(Sintesi!$C$15),1,$C65)&gt;0),1,IF(($E65&gt;=$E64)*($E65&lt;=INDEX($E:$E,MATCH(TRUE,INDEX((ISNUMBER($E:$E)),0),0)))*($E65&gt;INDEX(_xlfn.ANCHORARRAY(Sintesi!$C$14),1,$C65))*($E65&lt;INDEX(_xlfn.ANCHORARRAY(Sintesi!$C$16),1,$C65))*(INDEX(_xlfn.ANCHORARRAY(Sintesi!$C$15),1,$C65)&lt;0)+($E65&gt;=$E64)*($E65&lt;=INDEX($E:$E,MATCH(TRUE,INDEX((ISNUMBER($E:$E)),0),0)))*($E65&gt;INDEX(_xlfn.ANCHORARRAY(Sintesi!$C$15),1,$C65))*($E65&lt;INDEX(_xlfn.ANCHORARRAY(Sintesi!$C$16),1,$C65))*(INDEX(_xlfn.ANCHORARRAY(Sintesi!$C$15),1,$C65)&gt;0),2,IF($E65=(INDEX(_xlfn.ANCHORARRAY(Sintesi!$C$16),1,$C65)),3,4)))),0),IF($C65&gt;0,IF(($E65=INDEX(_xlfn.ANCHORARRAY(Sintesi!$C$14),1,$C65))*(INDEX(_xlfn.ANCHORARRAY(Sintesi!$C$15),1,$C65)&gt;0),0,IF(($E65=INDEX(_xlfn.ANCHORARRAY(Sintesi!$C$14),1,$C65))*(INDEX(_xlfn.ANCHORARRAY(Sintesi!$C$15),1,$C65)&lt;0)+($E65&gt;=LOOKUP(2,1/($E:$E&lt;&gt;""),$E:$E))*($E65&lt;=INDEX($E:$E,MATCH(TRUE,INDEX((ISNUMBER($E:$E)),0),0)))*($E65&gt;INDEX(_xlfn.ANCHORARRAY(Sintesi!$C$14),1,$C65))*($E65&lt;=INDEX(_xlfn.ANCHORARRAY(Sintesi!$C$15),1,$C65))*(INDEX(_xlfn.ANCHORARRAY(Sintesi!$C$15),1,$C65)&gt;0),1,IF(($E65&gt;=LOOKUP(2,1/($E:$E&lt;&gt;""),$E:$E))*($E65&lt;=INDEX($E:$E,MATCH(TRUE,INDEX((ISNUMBER($E:$E)),0),0)))*($E65&gt;INDEX(_xlfn.ANCHORARRAY(Sintesi!$C$14),1,$C65))*($E65&lt;INDEX(_xlfn.ANCHORARRAY(Sintesi!$C$16),1,$C65))*(INDEX(_xlfn.ANCHORARRAY(Sintesi!$C$15),1,$C65)&lt;0)+($E65&gt;=LOOKUP(2,1/($E:$E&lt;&gt;""),$E:$E))*($E65&lt;=INDEX($E:$E,MATCH(TRUE,INDEX((ISNUMBER($E:$E)),0),0)))*($E65&gt;INDEX(_xlfn.ANCHORARRAY(Sintesi!$C$15),1,$C65))*($E65&lt;INDEX(_xlfn.ANCHORARRAY(Sintesi!$C$16),1,$C65))*(INDEX(_xlfn.ANCHORARRAY(Sintesi!$C$15),1,$C65)&gt;0),2,IF($E65=(INDEX(_xlfn.ANCHORARRAY(Sintesi!$C$16),1,$C65)),3,4)))),0)),IF(ISNUMBER($E64),IF($C65&gt;0,IF(($E65=INDEX(_xlfn.ANCHORARRAY(Sintesi!$C$14),1,$C65))*(INDEX(_xlfn.ANCHORARRAY(Sintesi!$C$15),1,$C65)&gt;0),0,IF(($E65=INDEX(_xlfn.ANCHORARRAY(Sintesi!$C$14),1,$C65))*(INDEX(_xlfn.ANCHORARRAY(Sintesi!$C$15),1,$C65)&lt;0)+($E65&gt;=$E64)*($E65&lt;=$E66)*($E65&gt;INDEX(_xlfn.ANCHORARRAY(Sintesi!$C$14),1,$C65))*($E65&lt;=INDEX(_xlfn.ANCHORARRAY(Sintesi!$C$15),1,$C65))*(INDEX(_xlfn.ANCHORARRAY(Sintesi!$C$15),1,$C65)&gt;0),1,IF(($E65&gt;=$E64)*($E65&lt;=$E66)*($E65&gt;INDEX(_xlfn.ANCHORARRAY(Sintesi!$C$14),1,$C65))*($E65&lt;INDEX(_xlfn.ANCHORARRAY(Sintesi!$C$16),1,$C65))*(INDEX(_xlfn.ANCHORARRAY(Sintesi!$C$15),1,$C65)&lt;0)+($E65&gt;=$E64)*($E65&lt;=$E66)*($E65&gt;INDEX(_xlfn.ANCHORARRAY(Sintesi!$C$15),1,$C65))*($E65&lt;INDEX(_xlfn.ANCHORARRAY(Sintesi!$C$16),1,$C65))*(INDEX(_xlfn.ANCHORARRAY(Sintesi!$C$15),1,$C65)&gt;0),2,IF($E65=(INDEX(_xlfn.ANCHORARRAY(Sintesi!$C$16),1,$C65)),3,4)))),0),IF($C65&gt;0,IF(($E65=INDEX(_xlfn.ANCHORARRAY(Sintesi!$C$14),1,$C65))*(INDEX(_xlfn.ANCHORARRAY(Sintesi!$C$15),1,$C65)&gt;0),0,IF(($E65=INDEX(_xlfn.ANCHORARRAY(Sintesi!$C$14),1,$C65))*(INDEX(_xlfn.ANCHORARRAY(Sintesi!$C$15),1,$C65)&lt;0)+($E65&gt;=LOOKUP(2,1/($E:$E&lt;&gt;""),$E:$E))*($E65&lt;=$E66)*($E65&gt;INDEX(_xlfn.ANCHORARRAY(Sintesi!$C$14),1,$C65))*($E65&lt;=INDEX(_xlfn.ANCHORARRAY(Sintesi!$C$15),1,$C65))*(INDEX(_xlfn.ANCHORARRAY(Sintesi!$C$15),1,$C65)&gt;0),1,IF(($E65&gt;=LOOKUP(2,1/($E:$E&lt;&gt;""),$E:$E))*($E65&lt;=$E66)*($E65&gt;INDEX(_xlfn.ANCHORARRAY(Sintesi!$C$14),1,$C65))*($E65&lt;INDEX(_xlfn.ANCHORARRAY(Sintesi!$C$16),1,$C65))*(INDEX(_xlfn.ANCHORARRAY(Sintesi!$C$15),1,$C65)&lt;0)+($E65&gt;=LOOKUP(2,1/($E:$E&lt;&gt;""),$E:$E))*($E65&lt;=$E66)*($E65&gt;INDEX(_xlfn.ANCHORARRAY(Sintesi!$C$15),1,$C65))*($E65&lt;INDEX(_xlfn.ANCHORARRAY(Sintesi!$C$16),1,$C65))*(INDEX(_xlfn.ANCHORARRAY(Sintesi!$C$15),1,$C65)&gt;0),2,IF($E65=(INDEX(_xlfn.ANCHORARRAY(Sintesi!$C$16),1,$C65)),3,4)))),0)))</f>
        <v/>
      </c>
      <c r="E65" s="1">
        <f>'Paste cell here'!F65</f>
        <v/>
      </c>
      <c r="F65" s="1">
        <f>'Paste cell here'!C65</f>
        <v/>
      </c>
      <c r="G65" s="1">
        <f>'Paste cell here'!D65</f>
        <v/>
      </c>
      <c r="H65" s="1">
        <f>'Paste cell here'!E65</f>
        <v/>
      </c>
      <c r="I65" s="1">
        <f>'Paste cell here'!X65</f>
        <v/>
      </c>
      <c r="J65" s="1">
        <f>'Paste cell here'!Y65+'Paste cell here'!S65</f>
        <v/>
      </c>
      <c r="K65" s="1">
        <f>I65/H65</f>
        <v/>
      </c>
      <c r="L65" s="1">
        <f>AVERAGE(($F65+$G65)/2-($F65-$G65)/2*COS(PI()*(8-VLOOKUP(MONTH(B65),$O$1:$Q$13,3))/(VLOOKUP(MONTH(B65),$O$1:$Q$13,2)-VLOOKUP(MONTH(B65),$O$1:$Q$13,3))),($F65+$G65)/2-($F65-$G65)/2*COS(PI()*(9-VLOOKUP(MONTH(B65),$O$1:$Q$13,3))/(VLOOKUP(MONTH(B65),$O$1:$Q$13,2)-VLOOKUP(MONTH(B65),$O$1:$Q$13,3))),($F65+$G65)/2-($F65-$G65)/2*COS(PI()*(10-VLOOKUP(MONTH(B65),$O$1:$Q$13,3))/(VLOOKUP(MONTH(B65),$O$1:$Q$13,2)-VLOOKUP(MONTH(B65),$O$1:$Q$13,3))),($F65+$G65)/2-($F65-$G65)/2*COS(PI()*(11-VLOOKUP(MONTH(B65),$O$1:$Q$13,3))/(VLOOKUP(MONTH(B65),$O$1:$Q$13,2)-VLOOKUP(MONTH(B65),$O$1:$Q$13,3))),($F65+$G65)/2-($F65-$G65)/2*COS(PI()*(12-VLOOKUP(MONTH(B65),$O$1:$Q$13,3))/(VLOOKUP(MONTH(B65),$O$1:$Q$13,2)-VLOOKUP(MONTH(B65),$O$1:$Q$13,3))),($F65+$G65)/2-($F65-$G65)/2*COS(PI()*(13-VLOOKUP(MONTH(B65),$O$1:$Q$13,3))/(VLOOKUP(MONTH(B65),$O$1:$Q$13,2)-VLOOKUP(MONTH(B65),$O$1:$Q$13,3))),($F65+$G65)/2-($F65-$G65)/2*COS(PI()*(14-VLOOKUP(MONTH(B65),$O$1:$Q$13,3))/(VLOOKUP(MONTH(B65),$O$1:$Q$13,2)-VLOOKUP(MONTH(B65),$O$1:$Q$13,3))))</f>
        <v/>
      </c>
      <c r="M65" s="1">
        <f t="array" ref="M65">IF(AND(A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,A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),IF(L65&lt;_xlfn.IFNA(INDEX(_xlfn.ANCHORARRAY(Sintesi!$C$17)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,1,IF(L65&gt;=_xlfn.IFNA(INDEX(_xlfn.ANCHORARRAY(Sintesi!$C$18)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,0,1-(L65-_xlfn.IFNA(INDEX(_xlfn.ANCHORARRAY(Sintesi!$C$17)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)/(_xlfn.IFNA(INDEX(_xlfn.ANCHORARRAY(Sintesi!$C$18)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-_xlfn.IFNA(INDEX(_xlfn.ANCHORARRAY(Sintesi!$C$17)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))),0)</f>
        <v/>
      </c>
    </row>
    <row r="66">
      <c r="A66" s="1">
        <f>'Paste cell here'!A66</f>
        <v/>
      </c>
      <c r="B66" s="2">
        <f>DATE(Sintesi!$C$4-1,12,31)+A66</f>
        <v/>
      </c>
      <c r="C66" s="34">
        <f t="array" ref="C66">_xlfn.IFNA(MATCH(1,(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)*(_xlfn.ANCHORARRAY(Sintesi!$C$15)&gt;=0)+(_xlfn.ANCHORARRAY(Sintesi!$C$15)&lt;0),0),0)</f>
        <v/>
      </c>
      <c r="D66" s="1">
        <f t="array" ref="D66">IF(ISBLANK($E67),IF(ISNUMBER($E65),IF($C66&gt;0,IF(($E66=INDEX(_xlfn.ANCHORARRAY(Sintesi!$C$14),1,$C66))*(INDEX(_xlfn.ANCHORARRAY(Sintesi!$C$15),1,$C66)&gt;0),0,IF(($E66=INDEX(_xlfn.ANCHORARRAY(Sintesi!$C$14),1,$C66))*(INDEX(_xlfn.ANCHORARRAY(Sintesi!$C$15),1,$C66)&lt;0)+($E66&gt;=$E65)*($E66&lt;=INDEX($E:$E,MATCH(TRUE,INDEX((ISNUMBER($E:$E)),0),0)))*($E66&gt;INDEX(_xlfn.ANCHORARRAY(Sintesi!$C$14),1,$C66))*($E66&lt;=INDEX(_xlfn.ANCHORARRAY(Sintesi!$C$15),1,$C66))*(INDEX(_xlfn.ANCHORARRAY(Sintesi!$C$15),1,$C66)&gt;0),1,IF(($E66&gt;=$E65)*($E66&lt;=INDEX($E:$E,MATCH(TRUE,INDEX((ISNUMBER($E:$E)),0),0)))*($E66&gt;INDEX(_xlfn.ANCHORARRAY(Sintesi!$C$14),1,$C66))*($E66&lt;INDEX(_xlfn.ANCHORARRAY(Sintesi!$C$16),1,$C66))*(INDEX(_xlfn.ANCHORARRAY(Sintesi!$C$15),1,$C66)&lt;0)+($E66&gt;=$E65)*($E66&lt;=INDEX($E:$E,MATCH(TRUE,INDEX((ISNUMBER($E:$E)),0),0)))*($E66&gt;INDEX(_xlfn.ANCHORARRAY(Sintesi!$C$15),1,$C66))*($E66&lt;INDEX(_xlfn.ANCHORARRAY(Sintesi!$C$16),1,$C66))*(INDEX(_xlfn.ANCHORARRAY(Sintesi!$C$15),1,$C66)&gt;0),2,IF($E66=(INDEX(_xlfn.ANCHORARRAY(Sintesi!$C$16),1,$C66)),3,4)))),0),IF($C66&gt;0,IF(($E66=INDEX(_xlfn.ANCHORARRAY(Sintesi!$C$14),1,$C66))*(INDEX(_xlfn.ANCHORARRAY(Sintesi!$C$15),1,$C66)&gt;0),0,IF(($E66=INDEX(_xlfn.ANCHORARRAY(Sintesi!$C$14),1,$C66))*(INDEX(_xlfn.ANCHORARRAY(Sintesi!$C$15),1,$C66)&lt;0)+($E66&gt;=LOOKUP(2,1/($E:$E&lt;&gt;""),$E:$E))*($E66&lt;=INDEX($E:$E,MATCH(TRUE,INDEX((ISNUMBER($E:$E)),0),0)))*($E66&gt;INDEX(_xlfn.ANCHORARRAY(Sintesi!$C$14),1,$C66))*($E66&lt;=INDEX(_xlfn.ANCHORARRAY(Sintesi!$C$15),1,$C66))*(INDEX(_xlfn.ANCHORARRAY(Sintesi!$C$15),1,$C66)&gt;0),1,IF(($E66&gt;=LOOKUP(2,1/($E:$E&lt;&gt;""),$E:$E))*($E66&lt;=INDEX($E:$E,MATCH(TRUE,INDEX((ISNUMBER($E:$E)),0),0)))*($E66&gt;INDEX(_xlfn.ANCHORARRAY(Sintesi!$C$14),1,$C66))*($E66&lt;INDEX(_xlfn.ANCHORARRAY(Sintesi!$C$16),1,$C66))*(INDEX(_xlfn.ANCHORARRAY(Sintesi!$C$15),1,$C66)&lt;0)+($E66&gt;=LOOKUP(2,1/($E:$E&lt;&gt;""),$E:$E))*($E66&lt;=INDEX($E:$E,MATCH(TRUE,INDEX((ISNUMBER($E:$E)),0),0)))*($E66&gt;INDEX(_xlfn.ANCHORARRAY(Sintesi!$C$15),1,$C66))*($E66&lt;INDEX(_xlfn.ANCHORARRAY(Sintesi!$C$16),1,$C66))*(INDEX(_xlfn.ANCHORARRAY(Sintesi!$C$15),1,$C66)&gt;0),2,IF($E66=(INDEX(_xlfn.ANCHORARRAY(Sintesi!$C$16),1,$C66)),3,4)))),0)),IF(ISNUMBER($E65),IF($C66&gt;0,IF(($E66=INDEX(_xlfn.ANCHORARRAY(Sintesi!$C$14),1,$C66))*(INDEX(_xlfn.ANCHORARRAY(Sintesi!$C$15),1,$C66)&gt;0),0,IF(($E66=INDEX(_xlfn.ANCHORARRAY(Sintesi!$C$14),1,$C66))*(INDEX(_xlfn.ANCHORARRAY(Sintesi!$C$15),1,$C66)&lt;0)+($E66&gt;=$E65)*($E66&lt;=$E67)*($E66&gt;INDEX(_xlfn.ANCHORARRAY(Sintesi!$C$14),1,$C66))*($E66&lt;=INDEX(_xlfn.ANCHORARRAY(Sintesi!$C$15),1,$C66))*(INDEX(_xlfn.ANCHORARRAY(Sintesi!$C$15),1,$C66)&gt;0),1,IF(($E66&gt;=$E65)*($E66&lt;=$E67)*($E66&gt;INDEX(_xlfn.ANCHORARRAY(Sintesi!$C$14),1,$C66))*($E66&lt;INDEX(_xlfn.ANCHORARRAY(Sintesi!$C$16),1,$C66))*(INDEX(_xlfn.ANCHORARRAY(Sintesi!$C$15),1,$C66)&lt;0)+($E66&gt;=$E65)*($E66&lt;=$E67)*($E66&gt;INDEX(_xlfn.ANCHORARRAY(Sintesi!$C$15),1,$C66))*($E66&lt;INDEX(_xlfn.ANCHORARRAY(Sintesi!$C$16),1,$C66))*(INDEX(_xlfn.ANCHORARRAY(Sintesi!$C$15),1,$C66)&gt;0),2,IF($E66=(INDEX(_xlfn.ANCHORARRAY(Sintesi!$C$16),1,$C66)),3,4)))),0),IF($C66&gt;0,IF(($E66=INDEX(_xlfn.ANCHORARRAY(Sintesi!$C$14),1,$C66))*(INDEX(_xlfn.ANCHORARRAY(Sintesi!$C$15),1,$C66)&gt;0),0,IF(($E66=INDEX(_xlfn.ANCHORARRAY(Sintesi!$C$14),1,$C66))*(INDEX(_xlfn.ANCHORARRAY(Sintesi!$C$15),1,$C66)&lt;0)+($E66&gt;=LOOKUP(2,1/($E:$E&lt;&gt;""),$E:$E))*($E66&lt;=$E67)*($E66&gt;INDEX(_xlfn.ANCHORARRAY(Sintesi!$C$14),1,$C66))*($E66&lt;=INDEX(_xlfn.ANCHORARRAY(Sintesi!$C$15),1,$C66))*(INDEX(_xlfn.ANCHORARRAY(Sintesi!$C$15),1,$C66)&gt;0),1,IF(($E66&gt;=LOOKUP(2,1/($E:$E&lt;&gt;""),$E:$E))*($E66&lt;=$E67)*($E66&gt;INDEX(_xlfn.ANCHORARRAY(Sintesi!$C$14),1,$C66))*($E66&lt;INDEX(_xlfn.ANCHORARRAY(Sintesi!$C$16),1,$C66))*(INDEX(_xlfn.ANCHORARRAY(Sintesi!$C$15),1,$C66)&lt;0)+($E66&gt;=LOOKUP(2,1/($E:$E&lt;&gt;""),$E:$E))*($E66&lt;=$E67)*($E66&gt;INDEX(_xlfn.ANCHORARRAY(Sintesi!$C$15),1,$C66))*($E66&lt;INDEX(_xlfn.ANCHORARRAY(Sintesi!$C$16),1,$C66))*(INDEX(_xlfn.ANCHORARRAY(Sintesi!$C$15),1,$C66)&gt;0),2,IF($E66=(INDEX(_xlfn.ANCHORARRAY(Sintesi!$C$16),1,$C66)),3,4)))),0)))</f>
        <v/>
      </c>
      <c r="E66" s="1">
        <f>'Paste cell here'!F66</f>
        <v/>
      </c>
      <c r="F66" s="1">
        <f>'Paste cell here'!C66</f>
        <v/>
      </c>
      <c r="G66" s="1">
        <f>'Paste cell here'!D66</f>
        <v/>
      </c>
      <c r="H66" s="1">
        <f>'Paste cell here'!E66</f>
        <v/>
      </c>
      <c r="I66" s="1">
        <f>'Paste cell here'!X66</f>
        <v/>
      </c>
      <c r="J66" s="1">
        <f>'Paste cell here'!Y66+'Paste cell here'!S66</f>
        <v/>
      </c>
      <c r="K66" s="1">
        <f>I66/H66</f>
        <v/>
      </c>
      <c r="L66" s="1">
        <f>AVERAGE(($F66+$G66)/2-($F66-$G66)/2*COS(PI()*(8-VLOOKUP(MONTH(B66),$O$1:$Q$13,3))/(VLOOKUP(MONTH(B66),$O$1:$Q$13,2)-VLOOKUP(MONTH(B66),$O$1:$Q$13,3))),($F66+$G66)/2-($F66-$G66)/2*COS(PI()*(9-VLOOKUP(MONTH(B66),$O$1:$Q$13,3))/(VLOOKUP(MONTH(B66),$O$1:$Q$13,2)-VLOOKUP(MONTH(B66),$O$1:$Q$13,3))),($F66+$G66)/2-($F66-$G66)/2*COS(PI()*(10-VLOOKUP(MONTH(B66),$O$1:$Q$13,3))/(VLOOKUP(MONTH(B66),$O$1:$Q$13,2)-VLOOKUP(MONTH(B66),$O$1:$Q$13,3))),($F66+$G66)/2-($F66-$G66)/2*COS(PI()*(11-VLOOKUP(MONTH(B66),$O$1:$Q$13,3))/(VLOOKUP(MONTH(B66),$O$1:$Q$13,2)-VLOOKUP(MONTH(B66),$O$1:$Q$13,3))),($F66+$G66)/2-($F66-$G66)/2*COS(PI()*(12-VLOOKUP(MONTH(B66),$O$1:$Q$13,3))/(VLOOKUP(MONTH(B66),$O$1:$Q$13,2)-VLOOKUP(MONTH(B66),$O$1:$Q$13,3))),($F66+$G66)/2-($F66-$G66)/2*COS(PI()*(13-VLOOKUP(MONTH(B66),$O$1:$Q$13,3))/(VLOOKUP(MONTH(B66),$O$1:$Q$13,2)-VLOOKUP(MONTH(B66),$O$1:$Q$13,3))),($F66+$G66)/2-($F66-$G66)/2*COS(PI()*(14-VLOOKUP(MONTH(B66),$O$1:$Q$13,3))/(VLOOKUP(MONTH(B66),$O$1:$Q$13,2)-VLOOKUP(MONTH(B66),$O$1:$Q$13,3))))</f>
        <v/>
      </c>
      <c r="M66" s="1">
        <f t="array" ref="M66">IF(AND(A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,A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),IF(L66&lt;_xlfn.IFNA(INDEX(_xlfn.ANCHORARRAY(Sintesi!$C$17)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,1,IF(L66&gt;=_xlfn.IFNA(INDEX(_xlfn.ANCHORARRAY(Sintesi!$C$18)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,0,1-(L66-_xlfn.IFNA(INDEX(_xlfn.ANCHORARRAY(Sintesi!$C$17)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)/(_xlfn.IFNA(INDEX(_xlfn.ANCHORARRAY(Sintesi!$C$18)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-_xlfn.IFNA(INDEX(_xlfn.ANCHORARRAY(Sintesi!$C$17)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))),0)</f>
        <v/>
      </c>
    </row>
    <row r="67">
      <c r="A67" s="1">
        <f>'Paste cell here'!A67</f>
        <v/>
      </c>
      <c r="B67" s="2">
        <f>DATE(Sintesi!$C$4-1,12,31)+A67</f>
        <v/>
      </c>
      <c r="C67" s="34">
        <f t="array" ref="C67">_xlfn.IFNA(MATCH(1,(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)*(_xlfn.ANCHORARRAY(Sintesi!$C$15)&gt;=0)+(_xlfn.ANCHORARRAY(Sintesi!$C$15)&lt;0),0),0)</f>
        <v/>
      </c>
      <c r="D67" s="1">
        <f t="array" ref="D67">IF(ISBLANK($E68),IF(ISNUMBER($E66),IF($C67&gt;0,IF(($E67=INDEX(_xlfn.ANCHORARRAY(Sintesi!$C$14),1,$C67))*(INDEX(_xlfn.ANCHORARRAY(Sintesi!$C$15),1,$C67)&gt;0),0,IF(($E67=INDEX(_xlfn.ANCHORARRAY(Sintesi!$C$14),1,$C67))*(INDEX(_xlfn.ANCHORARRAY(Sintesi!$C$15),1,$C67)&lt;0)+($E67&gt;=$E66)*($E67&lt;=INDEX($E:$E,MATCH(TRUE,INDEX((ISNUMBER($E:$E)),0),0)))*($E67&gt;INDEX(_xlfn.ANCHORARRAY(Sintesi!$C$14),1,$C67))*($E67&lt;=INDEX(_xlfn.ANCHORARRAY(Sintesi!$C$15),1,$C67))*(INDEX(_xlfn.ANCHORARRAY(Sintesi!$C$15),1,$C67)&gt;0),1,IF(($E67&gt;=$E66)*($E67&lt;=INDEX($E:$E,MATCH(TRUE,INDEX((ISNUMBER($E:$E)),0),0)))*($E67&gt;INDEX(_xlfn.ANCHORARRAY(Sintesi!$C$14),1,$C67))*($E67&lt;INDEX(_xlfn.ANCHORARRAY(Sintesi!$C$16),1,$C67))*(INDEX(_xlfn.ANCHORARRAY(Sintesi!$C$15),1,$C67)&lt;0)+($E67&gt;=$E66)*($E67&lt;=INDEX($E:$E,MATCH(TRUE,INDEX((ISNUMBER($E:$E)),0),0)))*($E67&gt;INDEX(_xlfn.ANCHORARRAY(Sintesi!$C$15),1,$C67))*($E67&lt;INDEX(_xlfn.ANCHORARRAY(Sintesi!$C$16),1,$C67))*(INDEX(_xlfn.ANCHORARRAY(Sintesi!$C$15),1,$C67)&gt;0),2,IF($E67=(INDEX(_xlfn.ANCHORARRAY(Sintesi!$C$16),1,$C67)),3,4)))),0),IF($C67&gt;0,IF(($E67=INDEX(_xlfn.ANCHORARRAY(Sintesi!$C$14),1,$C67))*(INDEX(_xlfn.ANCHORARRAY(Sintesi!$C$15),1,$C67)&gt;0),0,IF(($E67=INDEX(_xlfn.ANCHORARRAY(Sintesi!$C$14),1,$C67))*(INDEX(_xlfn.ANCHORARRAY(Sintesi!$C$15),1,$C67)&lt;0)+($E67&gt;=LOOKUP(2,1/($E:$E&lt;&gt;""),$E:$E))*($E67&lt;=INDEX($E:$E,MATCH(TRUE,INDEX((ISNUMBER($E:$E)),0),0)))*($E67&gt;INDEX(_xlfn.ANCHORARRAY(Sintesi!$C$14),1,$C67))*($E67&lt;=INDEX(_xlfn.ANCHORARRAY(Sintesi!$C$15),1,$C67))*(INDEX(_xlfn.ANCHORARRAY(Sintesi!$C$15),1,$C67)&gt;0),1,IF(($E67&gt;=LOOKUP(2,1/($E:$E&lt;&gt;""),$E:$E))*($E67&lt;=INDEX($E:$E,MATCH(TRUE,INDEX((ISNUMBER($E:$E)),0),0)))*($E67&gt;INDEX(_xlfn.ANCHORARRAY(Sintesi!$C$14),1,$C67))*($E67&lt;INDEX(_xlfn.ANCHORARRAY(Sintesi!$C$16),1,$C67))*(INDEX(_xlfn.ANCHORARRAY(Sintesi!$C$15),1,$C67)&lt;0)+($E67&gt;=LOOKUP(2,1/($E:$E&lt;&gt;""),$E:$E))*($E67&lt;=INDEX($E:$E,MATCH(TRUE,INDEX((ISNUMBER($E:$E)),0),0)))*($E67&gt;INDEX(_xlfn.ANCHORARRAY(Sintesi!$C$15),1,$C67))*($E67&lt;INDEX(_xlfn.ANCHORARRAY(Sintesi!$C$16),1,$C67))*(INDEX(_xlfn.ANCHORARRAY(Sintesi!$C$15),1,$C67)&gt;0),2,IF($E67=(INDEX(_xlfn.ANCHORARRAY(Sintesi!$C$16),1,$C67)),3,4)))),0)),IF(ISNUMBER($E66),IF($C67&gt;0,IF(($E67=INDEX(_xlfn.ANCHORARRAY(Sintesi!$C$14),1,$C67))*(INDEX(_xlfn.ANCHORARRAY(Sintesi!$C$15),1,$C67)&gt;0),0,IF(($E67=INDEX(_xlfn.ANCHORARRAY(Sintesi!$C$14),1,$C67))*(INDEX(_xlfn.ANCHORARRAY(Sintesi!$C$15),1,$C67)&lt;0)+($E67&gt;=$E66)*($E67&lt;=$E68)*($E67&gt;INDEX(_xlfn.ANCHORARRAY(Sintesi!$C$14),1,$C67))*($E67&lt;=INDEX(_xlfn.ANCHORARRAY(Sintesi!$C$15),1,$C67))*(INDEX(_xlfn.ANCHORARRAY(Sintesi!$C$15),1,$C67)&gt;0),1,IF(($E67&gt;=$E66)*($E67&lt;=$E68)*($E67&gt;INDEX(_xlfn.ANCHORARRAY(Sintesi!$C$14),1,$C67))*($E67&lt;INDEX(_xlfn.ANCHORARRAY(Sintesi!$C$16),1,$C67))*(INDEX(_xlfn.ANCHORARRAY(Sintesi!$C$15),1,$C67)&lt;0)+($E67&gt;=$E66)*($E67&lt;=$E68)*($E67&gt;INDEX(_xlfn.ANCHORARRAY(Sintesi!$C$15),1,$C67))*($E67&lt;INDEX(_xlfn.ANCHORARRAY(Sintesi!$C$16),1,$C67))*(INDEX(_xlfn.ANCHORARRAY(Sintesi!$C$15),1,$C67)&gt;0),2,IF($E67=(INDEX(_xlfn.ANCHORARRAY(Sintesi!$C$16),1,$C67)),3,4)))),0),IF($C67&gt;0,IF(($E67=INDEX(_xlfn.ANCHORARRAY(Sintesi!$C$14),1,$C67))*(INDEX(_xlfn.ANCHORARRAY(Sintesi!$C$15),1,$C67)&gt;0),0,IF(($E67=INDEX(_xlfn.ANCHORARRAY(Sintesi!$C$14),1,$C67))*(INDEX(_xlfn.ANCHORARRAY(Sintesi!$C$15),1,$C67)&lt;0)+($E67&gt;=LOOKUP(2,1/($E:$E&lt;&gt;""),$E:$E))*($E67&lt;=$E68)*($E67&gt;INDEX(_xlfn.ANCHORARRAY(Sintesi!$C$14),1,$C67))*($E67&lt;=INDEX(_xlfn.ANCHORARRAY(Sintesi!$C$15),1,$C67))*(INDEX(_xlfn.ANCHORARRAY(Sintesi!$C$15),1,$C67)&gt;0),1,IF(($E67&gt;=LOOKUP(2,1/($E:$E&lt;&gt;""),$E:$E))*($E67&lt;=$E68)*($E67&gt;INDEX(_xlfn.ANCHORARRAY(Sintesi!$C$14),1,$C67))*($E67&lt;INDEX(_xlfn.ANCHORARRAY(Sintesi!$C$16),1,$C67))*(INDEX(_xlfn.ANCHORARRAY(Sintesi!$C$15),1,$C67)&lt;0)+($E67&gt;=LOOKUP(2,1/($E:$E&lt;&gt;""),$E:$E))*($E67&lt;=$E68)*($E67&gt;INDEX(_xlfn.ANCHORARRAY(Sintesi!$C$15),1,$C67))*($E67&lt;INDEX(_xlfn.ANCHORARRAY(Sintesi!$C$16),1,$C67))*(INDEX(_xlfn.ANCHORARRAY(Sintesi!$C$15),1,$C67)&gt;0),2,IF($E67=(INDEX(_xlfn.ANCHORARRAY(Sintesi!$C$16),1,$C67)),3,4)))),0)))</f>
        <v/>
      </c>
      <c r="E67" s="1">
        <f>'Paste cell here'!F67</f>
        <v/>
      </c>
      <c r="F67" s="1">
        <f>'Paste cell here'!C67</f>
        <v/>
      </c>
      <c r="G67" s="1">
        <f>'Paste cell here'!D67</f>
        <v/>
      </c>
      <c r="H67" s="1">
        <f>'Paste cell here'!E67</f>
        <v/>
      </c>
      <c r="I67" s="1">
        <f>'Paste cell here'!X67</f>
        <v/>
      </c>
      <c r="J67" s="1">
        <f>'Paste cell here'!Y67+'Paste cell here'!S67</f>
        <v/>
      </c>
      <c r="K67" s="1">
        <f>I67/H67</f>
        <v/>
      </c>
      <c r="L67" s="1">
        <f>AVERAGE(($F67+$G67)/2-($F67-$G67)/2*COS(PI()*(8-VLOOKUP(MONTH(B67),$O$1:$Q$13,3))/(VLOOKUP(MONTH(B67),$O$1:$Q$13,2)-VLOOKUP(MONTH(B67),$O$1:$Q$13,3))),($F67+$G67)/2-($F67-$G67)/2*COS(PI()*(9-VLOOKUP(MONTH(B67),$O$1:$Q$13,3))/(VLOOKUP(MONTH(B67),$O$1:$Q$13,2)-VLOOKUP(MONTH(B67),$O$1:$Q$13,3))),($F67+$G67)/2-($F67-$G67)/2*COS(PI()*(10-VLOOKUP(MONTH(B67),$O$1:$Q$13,3))/(VLOOKUP(MONTH(B67),$O$1:$Q$13,2)-VLOOKUP(MONTH(B67),$O$1:$Q$13,3))),($F67+$G67)/2-($F67-$G67)/2*COS(PI()*(11-VLOOKUP(MONTH(B67),$O$1:$Q$13,3))/(VLOOKUP(MONTH(B67),$O$1:$Q$13,2)-VLOOKUP(MONTH(B67),$O$1:$Q$13,3))),($F67+$G67)/2-($F67-$G67)/2*COS(PI()*(12-VLOOKUP(MONTH(B67),$O$1:$Q$13,3))/(VLOOKUP(MONTH(B67),$O$1:$Q$13,2)-VLOOKUP(MONTH(B67),$O$1:$Q$13,3))),($F67+$G67)/2-($F67-$G67)/2*COS(PI()*(13-VLOOKUP(MONTH(B67),$O$1:$Q$13,3))/(VLOOKUP(MONTH(B67),$O$1:$Q$13,2)-VLOOKUP(MONTH(B67),$O$1:$Q$13,3))),($F67+$G67)/2-($F67-$G67)/2*COS(PI()*(14-VLOOKUP(MONTH(B67),$O$1:$Q$13,3))/(VLOOKUP(MONTH(B67),$O$1:$Q$13,2)-VLOOKUP(MONTH(B67),$O$1:$Q$13,3))))</f>
        <v/>
      </c>
      <c r="M67" s="1">
        <f t="array" ref="M67">IF(AND(A67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,A67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),IF(L67&lt;_xlfn.IFNA(INDEX(_xlfn.ANCHORARRAY(Sintesi!$C$17)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,1,IF(L67&gt;=_xlfn.IFNA(INDEX(_xlfn.ANCHORARRAY(Sintesi!$C$18)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,0,1-(L67-_xlfn.IFNA(INDEX(_xlfn.ANCHORARRAY(Sintesi!$C$17)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)/(_xlfn.IFNA(INDEX(_xlfn.ANCHORARRAY(Sintesi!$C$18)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-_xlfn.IFNA(INDEX(_xlfn.ANCHORARRAY(Sintesi!$C$17)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))),0)</f>
        <v/>
      </c>
    </row>
    <row r="68">
      <c r="A68" s="1">
        <f>'Paste cell here'!A68</f>
        <v/>
      </c>
      <c r="B68" s="2">
        <f>DATE(Sintesi!$C$4-1,12,31)+A68</f>
        <v/>
      </c>
      <c r="C68" s="34">
        <f t="array" ref="C68">_xlfn.IFNA(MATCH(1,(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)*(_xlfn.ANCHORARRAY(Sintesi!$C$15)&gt;=0)+(_xlfn.ANCHORARRAY(Sintesi!$C$15)&lt;0),0),0)</f>
        <v/>
      </c>
      <c r="D68" s="1">
        <f t="array" ref="D68">IF(ISBLANK($E69),IF(ISNUMBER($E67),IF($C68&gt;0,IF(($E68=INDEX(_xlfn.ANCHORARRAY(Sintesi!$C$14),1,$C68))*(INDEX(_xlfn.ANCHORARRAY(Sintesi!$C$15),1,$C68)&gt;0),0,IF(($E68=INDEX(_xlfn.ANCHORARRAY(Sintesi!$C$14),1,$C68))*(INDEX(_xlfn.ANCHORARRAY(Sintesi!$C$15),1,$C68)&lt;0)+($E68&gt;=$E67)*($E68&lt;=INDEX($E:$E,MATCH(TRUE,INDEX((ISNUMBER($E:$E)),0),0)))*($E68&gt;INDEX(_xlfn.ANCHORARRAY(Sintesi!$C$14),1,$C68))*($E68&lt;=INDEX(_xlfn.ANCHORARRAY(Sintesi!$C$15),1,$C68))*(INDEX(_xlfn.ANCHORARRAY(Sintesi!$C$15),1,$C68)&gt;0),1,IF(($E68&gt;=$E67)*($E68&lt;=INDEX($E:$E,MATCH(TRUE,INDEX((ISNUMBER($E:$E)),0),0)))*($E68&gt;INDEX(_xlfn.ANCHORARRAY(Sintesi!$C$14),1,$C68))*($E68&lt;INDEX(_xlfn.ANCHORARRAY(Sintesi!$C$16),1,$C68))*(INDEX(_xlfn.ANCHORARRAY(Sintesi!$C$15),1,$C68)&lt;0)+($E68&gt;=$E67)*($E68&lt;=INDEX($E:$E,MATCH(TRUE,INDEX((ISNUMBER($E:$E)),0),0)))*($E68&gt;INDEX(_xlfn.ANCHORARRAY(Sintesi!$C$15),1,$C68))*($E68&lt;INDEX(_xlfn.ANCHORARRAY(Sintesi!$C$16),1,$C68))*(INDEX(_xlfn.ANCHORARRAY(Sintesi!$C$15),1,$C68)&gt;0),2,IF($E68=(INDEX(_xlfn.ANCHORARRAY(Sintesi!$C$16),1,$C68)),3,4)))),0),IF($C68&gt;0,IF(($E68=INDEX(_xlfn.ANCHORARRAY(Sintesi!$C$14),1,$C68))*(INDEX(_xlfn.ANCHORARRAY(Sintesi!$C$15),1,$C68)&gt;0),0,IF(($E68=INDEX(_xlfn.ANCHORARRAY(Sintesi!$C$14),1,$C68))*(INDEX(_xlfn.ANCHORARRAY(Sintesi!$C$15),1,$C68)&lt;0)+($E68&gt;=LOOKUP(2,1/($E:$E&lt;&gt;""),$E:$E))*($E68&lt;=INDEX($E:$E,MATCH(TRUE,INDEX((ISNUMBER($E:$E)),0),0)))*($E68&gt;INDEX(_xlfn.ANCHORARRAY(Sintesi!$C$14),1,$C68))*($E68&lt;=INDEX(_xlfn.ANCHORARRAY(Sintesi!$C$15),1,$C68))*(INDEX(_xlfn.ANCHORARRAY(Sintesi!$C$15),1,$C68)&gt;0),1,IF(($E68&gt;=LOOKUP(2,1/($E:$E&lt;&gt;""),$E:$E))*($E68&lt;=INDEX($E:$E,MATCH(TRUE,INDEX((ISNUMBER($E:$E)),0),0)))*($E68&gt;INDEX(_xlfn.ANCHORARRAY(Sintesi!$C$14),1,$C68))*($E68&lt;INDEX(_xlfn.ANCHORARRAY(Sintesi!$C$16),1,$C68))*(INDEX(_xlfn.ANCHORARRAY(Sintesi!$C$15),1,$C68)&lt;0)+($E68&gt;=LOOKUP(2,1/($E:$E&lt;&gt;""),$E:$E))*($E68&lt;=INDEX($E:$E,MATCH(TRUE,INDEX((ISNUMBER($E:$E)),0),0)))*($E68&gt;INDEX(_xlfn.ANCHORARRAY(Sintesi!$C$15),1,$C68))*($E68&lt;INDEX(_xlfn.ANCHORARRAY(Sintesi!$C$16),1,$C68))*(INDEX(_xlfn.ANCHORARRAY(Sintesi!$C$15),1,$C68)&gt;0),2,IF($E68=(INDEX(_xlfn.ANCHORARRAY(Sintesi!$C$16),1,$C68)),3,4)))),0)),IF(ISNUMBER($E67),IF($C68&gt;0,IF(($E68=INDEX(_xlfn.ANCHORARRAY(Sintesi!$C$14),1,$C68))*(INDEX(_xlfn.ANCHORARRAY(Sintesi!$C$15),1,$C68)&gt;0),0,IF(($E68=INDEX(_xlfn.ANCHORARRAY(Sintesi!$C$14),1,$C68))*(INDEX(_xlfn.ANCHORARRAY(Sintesi!$C$15),1,$C68)&lt;0)+($E68&gt;=$E67)*($E68&lt;=$E69)*($E68&gt;INDEX(_xlfn.ANCHORARRAY(Sintesi!$C$14),1,$C68))*($E68&lt;=INDEX(_xlfn.ANCHORARRAY(Sintesi!$C$15),1,$C68))*(INDEX(_xlfn.ANCHORARRAY(Sintesi!$C$15),1,$C68)&gt;0),1,IF(($E68&gt;=$E67)*($E68&lt;=$E69)*($E68&gt;INDEX(_xlfn.ANCHORARRAY(Sintesi!$C$14),1,$C68))*($E68&lt;INDEX(_xlfn.ANCHORARRAY(Sintesi!$C$16),1,$C68))*(INDEX(_xlfn.ANCHORARRAY(Sintesi!$C$15),1,$C68)&lt;0)+($E68&gt;=$E67)*($E68&lt;=$E69)*($E68&gt;INDEX(_xlfn.ANCHORARRAY(Sintesi!$C$15),1,$C68))*($E68&lt;INDEX(_xlfn.ANCHORARRAY(Sintesi!$C$16),1,$C68))*(INDEX(_xlfn.ANCHORARRAY(Sintesi!$C$15),1,$C68)&gt;0),2,IF($E68=(INDEX(_xlfn.ANCHORARRAY(Sintesi!$C$16),1,$C68)),3,4)))),0),IF($C68&gt;0,IF(($E68=INDEX(_xlfn.ANCHORARRAY(Sintesi!$C$14),1,$C68))*(INDEX(_xlfn.ANCHORARRAY(Sintesi!$C$15),1,$C68)&gt;0),0,IF(($E68=INDEX(_xlfn.ANCHORARRAY(Sintesi!$C$14),1,$C68))*(INDEX(_xlfn.ANCHORARRAY(Sintesi!$C$15),1,$C68)&lt;0)+($E68&gt;=LOOKUP(2,1/($E:$E&lt;&gt;""),$E:$E))*($E68&lt;=$E69)*($E68&gt;INDEX(_xlfn.ANCHORARRAY(Sintesi!$C$14),1,$C68))*($E68&lt;=INDEX(_xlfn.ANCHORARRAY(Sintesi!$C$15),1,$C68))*(INDEX(_xlfn.ANCHORARRAY(Sintesi!$C$15),1,$C68)&gt;0),1,IF(($E68&gt;=LOOKUP(2,1/($E:$E&lt;&gt;""),$E:$E))*($E68&lt;=$E69)*($E68&gt;INDEX(_xlfn.ANCHORARRAY(Sintesi!$C$14),1,$C68))*($E68&lt;INDEX(_xlfn.ANCHORARRAY(Sintesi!$C$16),1,$C68))*(INDEX(_xlfn.ANCHORARRAY(Sintesi!$C$15),1,$C68)&lt;0)+($E68&gt;=LOOKUP(2,1/($E:$E&lt;&gt;""),$E:$E))*($E68&lt;=$E69)*($E68&gt;INDEX(_xlfn.ANCHORARRAY(Sintesi!$C$15),1,$C68))*($E68&lt;INDEX(_xlfn.ANCHORARRAY(Sintesi!$C$16),1,$C68))*(INDEX(_xlfn.ANCHORARRAY(Sintesi!$C$15),1,$C68)&gt;0),2,IF($E68=(INDEX(_xlfn.ANCHORARRAY(Sintesi!$C$16),1,$C68)),3,4)))),0)))</f>
        <v/>
      </c>
      <c r="E68" s="1">
        <f>'Paste cell here'!F68</f>
        <v/>
      </c>
      <c r="F68" s="1">
        <f>'Paste cell here'!C68</f>
        <v/>
      </c>
      <c r="G68" s="1">
        <f>'Paste cell here'!D68</f>
        <v/>
      </c>
      <c r="H68" s="1">
        <f>'Paste cell here'!E68</f>
        <v/>
      </c>
      <c r="I68" s="1">
        <f>'Paste cell here'!X68</f>
        <v/>
      </c>
      <c r="J68" s="1">
        <f>'Paste cell here'!Y68+'Paste cell here'!S68</f>
        <v/>
      </c>
      <c r="K68" s="1">
        <f>I68/H68</f>
        <v/>
      </c>
      <c r="L68" s="1">
        <f>AVERAGE(($F68+$G68)/2-($F68-$G68)/2*COS(PI()*(8-VLOOKUP(MONTH(B68),$O$1:$Q$13,3))/(VLOOKUP(MONTH(B68),$O$1:$Q$13,2)-VLOOKUP(MONTH(B68),$O$1:$Q$13,3))),($F68+$G68)/2-($F68-$G68)/2*COS(PI()*(9-VLOOKUP(MONTH(B68),$O$1:$Q$13,3))/(VLOOKUP(MONTH(B68),$O$1:$Q$13,2)-VLOOKUP(MONTH(B68),$O$1:$Q$13,3))),($F68+$G68)/2-($F68-$G68)/2*COS(PI()*(10-VLOOKUP(MONTH(B68),$O$1:$Q$13,3))/(VLOOKUP(MONTH(B68),$O$1:$Q$13,2)-VLOOKUP(MONTH(B68),$O$1:$Q$13,3))),($F68+$G68)/2-($F68-$G68)/2*COS(PI()*(11-VLOOKUP(MONTH(B68),$O$1:$Q$13,3))/(VLOOKUP(MONTH(B68),$O$1:$Q$13,2)-VLOOKUP(MONTH(B68),$O$1:$Q$13,3))),($F68+$G68)/2-($F68-$G68)/2*COS(PI()*(12-VLOOKUP(MONTH(B68),$O$1:$Q$13,3))/(VLOOKUP(MONTH(B68),$O$1:$Q$13,2)-VLOOKUP(MONTH(B68),$O$1:$Q$13,3))),($F68+$G68)/2-($F68-$G68)/2*COS(PI()*(13-VLOOKUP(MONTH(B68),$O$1:$Q$13,3))/(VLOOKUP(MONTH(B68),$O$1:$Q$13,2)-VLOOKUP(MONTH(B68),$O$1:$Q$13,3))),($F68+$G68)/2-($F68-$G68)/2*COS(PI()*(14-VLOOKUP(MONTH(B68),$O$1:$Q$13,3))/(VLOOKUP(MONTH(B68),$O$1:$Q$13,2)-VLOOKUP(MONTH(B68),$O$1:$Q$13,3))))</f>
        <v/>
      </c>
      <c r="M68" s="1">
        <f t="array" ref="M68">IF(AND(A68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,A68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),IF(L68&lt;_xlfn.IFNA(INDEX(_xlfn.ANCHORARRAY(Sintesi!$C$17)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,1,IF(L68&gt;=_xlfn.IFNA(INDEX(_xlfn.ANCHORARRAY(Sintesi!$C$18)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,0,1-(L68-_xlfn.IFNA(INDEX(_xlfn.ANCHORARRAY(Sintesi!$C$17)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)/(_xlfn.IFNA(INDEX(_xlfn.ANCHORARRAY(Sintesi!$C$18)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-_xlfn.IFNA(INDEX(_xlfn.ANCHORARRAY(Sintesi!$C$17)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))),0)</f>
        <v/>
      </c>
    </row>
    <row r="69">
      <c r="A69" s="1">
        <f>'Paste cell here'!A69</f>
        <v/>
      </c>
      <c r="B69" s="2">
        <f>DATE(Sintesi!$C$4-1,12,31)+A69</f>
        <v/>
      </c>
      <c r="C69" s="34">
        <f t="array" ref="C69">_xlfn.IFNA(MATCH(1,(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)*(_xlfn.ANCHORARRAY(Sintesi!$C$15)&gt;=0)+(_xlfn.ANCHORARRAY(Sintesi!$C$15)&lt;0),0),0)</f>
        <v/>
      </c>
      <c r="D69" s="1">
        <f t="array" ref="D69">IF(ISBLANK($E70),IF(ISNUMBER($E68),IF($C69&gt;0,IF(($E69=INDEX(_xlfn.ANCHORARRAY(Sintesi!$C$14),1,$C69))*(INDEX(_xlfn.ANCHORARRAY(Sintesi!$C$15),1,$C69)&gt;0),0,IF(($E69=INDEX(_xlfn.ANCHORARRAY(Sintesi!$C$14),1,$C69))*(INDEX(_xlfn.ANCHORARRAY(Sintesi!$C$15),1,$C69)&lt;0)+($E69&gt;=$E68)*($E69&lt;=INDEX($E:$E,MATCH(TRUE,INDEX((ISNUMBER($E:$E)),0),0)))*($E69&gt;INDEX(_xlfn.ANCHORARRAY(Sintesi!$C$14),1,$C69))*($E69&lt;=INDEX(_xlfn.ANCHORARRAY(Sintesi!$C$15),1,$C69))*(INDEX(_xlfn.ANCHORARRAY(Sintesi!$C$15),1,$C69)&gt;0),1,IF(($E69&gt;=$E68)*($E69&lt;=INDEX($E:$E,MATCH(TRUE,INDEX((ISNUMBER($E:$E)),0),0)))*($E69&gt;INDEX(_xlfn.ANCHORARRAY(Sintesi!$C$14),1,$C69))*($E69&lt;INDEX(_xlfn.ANCHORARRAY(Sintesi!$C$16),1,$C69))*(INDEX(_xlfn.ANCHORARRAY(Sintesi!$C$15),1,$C69)&lt;0)+($E69&gt;=$E68)*($E69&lt;=INDEX($E:$E,MATCH(TRUE,INDEX((ISNUMBER($E:$E)),0),0)))*($E69&gt;INDEX(_xlfn.ANCHORARRAY(Sintesi!$C$15),1,$C69))*($E69&lt;INDEX(_xlfn.ANCHORARRAY(Sintesi!$C$16),1,$C69))*(INDEX(_xlfn.ANCHORARRAY(Sintesi!$C$15),1,$C69)&gt;0),2,IF($E69=(INDEX(_xlfn.ANCHORARRAY(Sintesi!$C$16),1,$C69)),3,4)))),0),IF($C69&gt;0,IF(($E69=INDEX(_xlfn.ANCHORARRAY(Sintesi!$C$14),1,$C69))*(INDEX(_xlfn.ANCHORARRAY(Sintesi!$C$15),1,$C69)&gt;0),0,IF(($E69=INDEX(_xlfn.ANCHORARRAY(Sintesi!$C$14),1,$C69))*(INDEX(_xlfn.ANCHORARRAY(Sintesi!$C$15),1,$C69)&lt;0)+($E69&gt;=LOOKUP(2,1/($E:$E&lt;&gt;""),$E:$E))*($E69&lt;=INDEX($E:$E,MATCH(TRUE,INDEX((ISNUMBER($E:$E)),0),0)))*($E69&gt;INDEX(_xlfn.ANCHORARRAY(Sintesi!$C$14),1,$C69))*($E69&lt;=INDEX(_xlfn.ANCHORARRAY(Sintesi!$C$15),1,$C69))*(INDEX(_xlfn.ANCHORARRAY(Sintesi!$C$15),1,$C69)&gt;0),1,IF(($E69&gt;=LOOKUP(2,1/($E:$E&lt;&gt;""),$E:$E))*($E69&lt;=INDEX($E:$E,MATCH(TRUE,INDEX((ISNUMBER($E:$E)),0),0)))*($E69&gt;INDEX(_xlfn.ANCHORARRAY(Sintesi!$C$14),1,$C69))*($E69&lt;INDEX(_xlfn.ANCHORARRAY(Sintesi!$C$16),1,$C69))*(INDEX(_xlfn.ANCHORARRAY(Sintesi!$C$15),1,$C69)&lt;0)+($E69&gt;=LOOKUP(2,1/($E:$E&lt;&gt;""),$E:$E))*($E69&lt;=INDEX($E:$E,MATCH(TRUE,INDEX((ISNUMBER($E:$E)),0),0)))*($E69&gt;INDEX(_xlfn.ANCHORARRAY(Sintesi!$C$15),1,$C69))*($E69&lt;INDEX(_xlfn.ANCHORARRAY(Sintesi!$C$16),1,$C69))*(INDEX(_xlfn.ANCHORARRAY(Sintesi!$C$15),1,$C69)&gt;0),2,IF($E69=(INDEX(_xlfn.ANCHORARRAY(Sintesi!$C$16),1,$C69)),3,4)))),0)),IF(ISNUMBER($E68),IF($C69&gt;0,IF(($E69=INDEX(_xlfn.ANCHORARRAY(Sintesi!$C$14),1,$C69))*(INDEX(_xlfn.ANCHORARRAY(Sintesi!$C$15),1,$C69)&gt;0),0,IF(($E69=INDEX(_xlfn.ANCHORARRAY(Sintesi!$C$14),1,$C69))*(INDEX(_xlfn.ANCHORARRAY(Sintesi!$C$15),1,$C69)&lt;0)+($E69&gt;=$E68)*($E69&lt;=$E70)*($E69&gt;INDEX(_xlfn.ANCHORARRAY(Sintesi!$C$14),1,$C69))*($E69&lt;=INDEX(_xlfn.ANCHORARRAY(Sintesi!$C$15),1,$C69))*(INDEX(_xlfn.ANCHORARRAY(Sintesi!$C$15),1,$C69)&gt;0),1,IF(($E69&gt;=$E68)*($E69&lt;=$E70)*($E69&gt;INDEX(_xlfn.ANCHORARRAY(Sintesi!$C$14),1,$C69))*($E69&lt;INDEX(_xlfn.ANCHORARRAY(Sintesi!$C$16),1,$C69))*(INDEX(_xlfn.ANCHORARRAY(Sintesi!$C$15),1,$C69)&lt;0)+($E69&gt;=$E68)*($E69&lt;=$E70)*($E69&gt;INDEX(_xlfn.ANCHORARRAY(Sintesi!$C$15),1,$C69))*($E69&lt;INDEX(_xlfn.ANCHORARRAY(Sintesi!$C$16),1,$C69))*(INDEX(_xlfn.ANCHORARRAY(Sintesi!$C$15),1,$C69)&gt;0),2,IF($E69=(INDEX(_xlfn.ANCHORARRAY(Sintesi!$C$16),1,$C69)),3,4)))),0),IF($C69&gt;0,IF(($E69=INDEX(_xlfn.ANCHORARRAY(Sintesi!$C$14),1,$C69))*(INDEX(_xlfn.ANCHORARRAY(Sintesi!$C$15),1,$C69)&gt;0),0,IF(($E69=INDEX(_xlfn.ANCHORARRAY(Sintesi!$C$14),1,$C69))*(INDEX(_xlfn.ANCHORARRAY(Sintesi!$C$15),1,$C69)&lt;0)+($E69&gt;=LOOKUP(2,1/($E:$E&lt;&gt;""),$E:$E))*($E69&lt;=$E70)*($E69&gt;INDEX(_xlfn.ANCHORARRAY(Sintesi!$C$14),1,$C69))*($E69&lt;=INDEX(_xlfn.ANCHORARRAY(Sintesi!$C$15),1,$C69))*(INDEX(_xlfn.ANCHORARRAY(Sintesi!$C$15),1,$C69)&gt;0),1,IF(($E69&gt;=LOOKUP(2,1/($E:$E&lt;&gt;""),$E:$E))*($E69&lt;=$E70)*($E69&gt;INDEX(_xlfn.ANCHORARRAY(Sintesi!$C$14),1,$C69))*($E69&lt;INDEX(_xlfn.ANCHORARRAY(Sintesi!$C$16),1,$C69))*(INDEX(_xlfn.ANCHORARRAY(Sintesi!$C$15),1,$C69)&lt;0)+($E69&gt;=LOOKUP(2,1/($E:$E&lt;&gt;""),$E:$E))*($E69&lt;=$E70)*($E69&gt;INDEX(_xlfn.ANCHORARRAY(Sintesi!$C$15),1,$C69))*($E69&lt;INDEX(_xlfn.ANCHORARRAY(Sintesi!$C$16),1,$C69))*(INDEX(_xlfn.ANCHORARRAY(Sintesi!$C$15),1,$C69)&gt;0),2,IF($E69=(INDEX(_xlfn.ANCHORARRAY(Sintesi!$C$16),1,$C69)),3,4)))),0)))</f>
        <v/>
      </c>
      <c r="E69" s="1">
        <f>'Paste cell here'!F69</f>
        <v/>
      </c>
      <c r="F69" s="1">
        <f>'Paste cell here'!C69</f>
        <v/>
      </c>
      <c r="G69" s="1">
        <f>'Paste cell here'!D69</f>
        <v/>
      </c>
      <c r="H69" s="1">
        <f>'Paste cell here'!E69</f>
        <v/>
      </c>
      <c r="I69" s="1">
        <f>'Paste cell here'!X69</f>
        <v/>
      </c>
      <c r="J69" s="1">
        <f>'Paste cell here'!Y69+'Paste cell here'!S69</f>
        <v/>
      </c>
      <c r="K69" s="1">
        <f>I69/H69</f>
        <v/>
      </c>
      <c r="L69" s="1">
        <f>AVERAGE(($F69+$G69)/2-($F69-$G69)/2*COS(PI()*(8-VLOOKUP(MONTH(B69),$O$1:$Q$13,3))/(VLOOKUP(MONTH(B69),$O$1:$Q$13,2)-VLOOKUP(MONTH(B69),$O$1:$Q$13,3))),($F69+$G69)/2-($F69-$G69)/2*COS(PI()*(9-VLOOKUP(MONTH(B69),$O$1:$Q$13,3))/(VLOOKUP(MONTH(B69),$O$1:$Q$13,2)-VLOOKUP(MONTH(B69),$O$1:$Q$13,3))),($F69+$G69)/2-($F69-$G69)/2*COS(PI()*(10-VLOOKUP(MONTH(B69),$O$1:$Q$13,3))/(VLOOKUP(MONTH(B69),$O$1:$Q$13,2)-VLOOKUP(MONTH(B69),$O$1:$Q$13,3))),($F69+$G69)/2-($F69-$G69)/2*COS(PI()*(11-VLOOKUP(MONTH(B69),$O$1:$Q$13,3))/(VLOOKUP(MONTH(B69),$O$1:$Q$13,2)-VLOOKUP(MONTH(B69),$O$1:$Q$13,3))),($F69+$G69)/2-($F69-$G69)/2*COS(PI()*(12-VLOOKUP(MONTH(B69),$O$1:$Q$13,3))/(VLOOKUP(MONTH(B69),$O$1:$Q$13,2)-VLOOKUP(MONTH(B69),$O$1:$Q$13,3))),($F69+$G69)/2-($F69-$G69)/2*COS(PI()*(13-VLOOKUP(MONTH(B69),$O$1:$Q$13,3))/(VLOOKUP(MONTH(B69),$O$1:$Q$13,2)-VLOOKUP(MONTH(B69),$O$1:$Q$13,3))),($F69+$G69)/2-($F69-$G69)/2*COS(PI()*(14-VLOOKUP(MONTH(B69),$O$1:$Q$13,3))/(VLOOKUP(MONTH(B69),$O$1:$Q$13,2)-VLOOKUP(MONTH(B69),$O$1:$Q$13,3))))</f>
        <v/>
      </c>
      <c r="M69" s="1">
        <f t="array" ref="M69">IF(AND(A69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,A69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),IF(L69&lt;_xlfn.IFNA(INDEX(_xlfn.ANCHORARRAY(Sintesi!$C$17)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,1,IF(L69&gt;=_xlfn.IFNA(INDEX(_xlfn.ANCHORARRAY(Sintesi!$C$18)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,0,1-(L69-_xlfn.IFNA(INDEX(_xlfn.ANCHORARRAY(Sintesi!$C$17)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)/(_xlfn.IFNA(INDEX(_xlfn.ANCHORARRAY(Sintesi!$C$18)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-_xlfn.IFNA(INDEX(_xlfn.ANCHORARRAY(Sintesi!$C$17)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))),0)</f>
        <v/>
      </c>
    </row>
    <row r="70">
      <c r="A70" s="1">
        <f>'Paste cell here'!A70</f>
        <v/>
      </c>
      <c r="B70" s="2">
        <f>DATE(Sintesi!$C$4-1,12,31)+A70</f>
        <v/>
      </c>
      <c r="C70" s="34">
        <f t="array" ref="C70">_xlfn.IFNA(MATCH(1,(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)*(_xlfn.ANCHORARRAY(Sintesi!$C$15)&gt;=0)+(_xlfn.ANCHORARRAY(Sintesi!$C$15)&lt;0),0),0)</f>
        <v/>
      </c>
      <c r="D70" s="1">
        <f t="array" ref="D70">IF(ISBLANK($E71),IF(ISNUMBER($E69),IF($C70&gt;0,IF(($E70=INDEX(_xlfn.ANCHORARRAY(Sintesi!$C$14),1,$C70))*(INDEX(_xlfn.ANCHORARRAY(Sintesi!$C$15),1,$C70)&gt;0),0,IF(($E70=INDEX(_xlfn.ANCHORARRAY(Sintesi!$C$14),1,$C70))*(INDEX(_xlfn.ANCHORARRAY(Sintesi!$C$15),1,$C70)&lt;0)+($E70&gt;=$E69)*($E70&lt;=INDEX($E:$E,MATCH(TRUE,INDEX((ISNUMBER($E:$E)),0),0)))*($E70&gt;INDEX(_xlfn.ANCHORARRAY(Sintesi!$C$14),1,$C70))*($E70&lt;=INDEX(_xlfn.ANCHORARRAY(Sintesi!$C$15),1,$C70))*(INDEX(_xlfn.ANCHORARRAY(Sintesi!$C$15),1,$C70)&gt;0),1,IF(($E70&gt;=$E69)*($E70&lt;=INDEX($E:$E,MATCH(TRUE,INDEX((ISNUMBER($E:$E)),0),0)))*($E70&gt;INDEX(_xlfn.ANCHORARRAY(Sintesi!$C$14),1,$C70))*($E70&lt;INDEX(_xlfn.ANCHORARRAY(Sintesi!$C$16),1,$C70))*(INDEX(_xlfn.ANCHORARRAY(Sintesi!$C$15),1,$C70)&lt;0)+($E70&gt;=$E69)*($E70&lt;=INDEX($E:$E,MATCH(TRUE,INDEX((ISNUMBER($E:$E)),0),0)))*($E70&gt;INDEX(_xlfn.ANCHORARRAY(Sintesi!$C$15),1,$C70))*($E70&lt;INDEX(_xlfn.ANCHORARRAY(Sintesi!$C$16),1,$C70))*(INDEX(_xlfn.ANCHORARRAY(Sintesi!$C$15),1,$C70)&gt;0),2,IF($E70=(INDEX(_xlfn.ANCHORARRAY(Sintesi!$C$16),1,$C70)),3,4)))),0),IF($C70&gt;0,IF(($E70=INDEX(_xlfn.ANCHORARRAY(Sintesi!$C$14),1,$C70))*(INDEX(_xlfn.ANCHORARRAY(Sintesi!$C$15),1,$C70)&gt;0),0,IF(($E70=INDEX(_xlfn.ANCHORARRAY(Sintesi!$C$14),1,$C70))*(INDEX(_xlfn.ANCHORARRAY(Sintesi!$C$15),1,$C70)&lt;0)+($E70&gt;=LOOKUP(2,1/($E:$E&lt;&gt;""),$E:$E))*($E70&lt;=INDEX($E:$E,MATCH(TRUE,INDEX((ISNUMBER($E:$E)),0),0)))*($E70&gt;INDEX(_xlfn.ANCHORARRAY(Sintesi!$C$14),1,$C70))*($E70&lt;=INDEX(_xlfn.ANCHORARRAY(Sintesi!$C$15),1,$C70))*(INDEX(_xlfn.ANCHORARRAY(Sintesi!$C$15),1,$C70)&gt;0),1,IF(($E70&gt;=LOOKUP(2,1/($E:$E&lt;&gt;""),$E:$E))*($E70&lt;=INDEX($E:$E,MATCH(TRUE,INDEX((ISNUMBER($E:$E)),0),0)))*($E70&gt;INDEX(_xlfn.ANCHORARRAY(Sintesi!$C$14),1,$C70))*($E70&lt;INDEX(_xlfn.ANCHORARRAY(Sintesi!$C$16),1,$C70))*(INDEX(_xlfn.ANCHORARRAY(Sintesi!$C$15),1,$C70)&lt;0)+($E70&gt;=LOOKUP(2,1/($E:$E&lt;&gt;""),$E:$E))*($E70&lt;=INDEX($E:$E,MATCH(TRUE,INDEX((ISNUMBER($E:$E)),0),0)))*($E70&gt;INDEX(_xlfn.ANCHORARRAY(Sintesi!$C$15),1,$C70))*($E70&lt;INDEX(_xlfn.ANCHORARRAY(Sintesi!$C$16),1,$C70))*(INDEX(_xlfn.ANCHORARRAY(Sintesi!$C$15),1,$C70)&gt;0),2,IF($E70=(INDEX(_xlfn.ANCHORARRAY(Sintesi!$C$16),1,$C70)),3,4)))),0)),IF(ISNUMBER($E69),IF($C70&gt;0,IF(($E70=INDEX(_xlfn.ANCHORARRAY(Sintesi!$C$14),1,$C70))*(INDEX(_xlfn.ANCHORARRAY(Sintesi!$C$15),1,$C70)&gt;0),0,IF(($E70=INDEX(_xlfn.ANCHORARRAY(Sintesi!$C$14),1,$C70))*(INDEX(_xlfn.ANCHORARRAY(Sintesi!$C$15),1,$C70)&lt;0)+($E70&gt;=$E69)*($E70&lt;=$E71)*($E70&gt;INDEX(_xlfn.ANCHORARRAY(Sintesi!$C$14),1,$C70))*($E70&lt;=INDEX(_xlfn.ANCHORARRAY(Sintesi!$C$15),1,$C70))*(INDEX(_xlfn.ANCHORARRAY(Sintesi!$C$15),1,$C70)&gt;0),1,IF(($E70&gt;=$E69)*($E70&lt;=$E71)*($E70&gt;INDEX(_xlfn.ANCHORARRAY(Sintesi!$C$14),1,$C70))*($E70&lt;INDEX(_xlfn.ANCHORARRAY(Sintesi!$C$16),1,$C70))*(INDEX(_xlfn.ANCHORARRAY(Sintesi!$C$15),1,$C70)&lt;0)+($E70&gt;=$E69)*($E70&lt;=$E71)*($E70&gt;INDEX(_xlfn.ANCHORARRAY(Sintesi!$C$15),1,$C70))*($E70&lt;INDEX(_xlfn.ANCHORARRAY(Sintesi!$C$16),1,$C70))*(INDEX(_xlfn.ANCHORARRAY(Sintesi!$C$15),1,$C70)&gt;0),2,IF($E70=(INDEX(_xlfn.ANCHORARRAY(Sintesi!$C$16),1,$C70)),3,4)))),0),IF($C70&gt;0,IF(($E70=INDEX(_xlfn.ANCHORARRAY(Sintesi!$C$14),1,$C70))*(INDEX(_xlfn.ANCHORARRAY(Sintesi!$C$15),1,$C70)&gt;0),0,IF(($E70=INDEX(_xlfn.ANCHORARRAY(Sintesi!$C$14),1,$C70))*(INDEX(_xlfn.ANCHORARRAY(Sintesi!$C$15),1,$C70)&lt;0)+($E70&gt;=LOOKUP(2,1/($E:$E&lt;&gt;""),$E:$E))*($E70&lt;=$E71)*($E70&gt;INDEX(_xlfn.ANCHORARRAY(Sintesi!$C$14),1,$C70))*($E70&lt;=INDEX(_xlfn.ANCHORARRAY(Sintesi!$C$15),1,$C70))*(INDEX(_xlfn.ANCHORARRAY(Sintesi!$C$15),1,$C70)&gt;0),1,IF(($E70&gt;=LOOKUP(2,1/($E:$E&lt;&gt;""),$E:$E))*($E70&lt;=$E71)*($E70&gt;INDEX(_xlfn.ANCHORARRAY(Sintesi!$C$14),1,$C70))*($E70&lt;INDEX(_xlfn.ANCHORARRAY(Sintesi!$C$16),1,$C70))*(INDEX(_xlfn.ANCHORARRAY(Sintesi!$C$15),1,$C70)&lt;0)+($E70&gt;=LOOKUP(2,1/($E:$E&lt;&gt;""),$E:$E))*($E70&lt;=$E71)*($E70&gt;INDEX(_xlfn.ANCHORARRAY(Sintesi!$C$15),1,$C70))*($E70&lt;INDEX(_xlfn.ANCHORARRAY(Sintesi!$C$16),1,$C70))*(INDEX(_xlfn.ANCHORARRAY(Sintesi!$C$15),1,$C70)&gt;0),2,IF($E70=(INDEX(_xlfn.ANCHORARRAY(Sintesi!$C$16),1,$C70)),3,4)))),0)))</f>
        <v/>
      </c>
      <c r="E70" s="1">
        <f>'Paste cell here'!F70</f>
        <v/>
      </c>
      <c r="F70" s="1">
        <f>'Paste cell here'!C70</f>
        <v/>
      </c>
      <c r="G70" s="1">
        <f>'Paste cell here'!D70</f>
        <v/>
      </c>
      <c r="H70" s="1">
        <f>'Paste cell here'!E70</f>
        <v/>
      </c>
      <c r="I70" s="1">
        <f>'Paste cell here'!X70</f>
        <v/>
      </c>
      <c r="J70" s="1">
        <f>'Paste cell here'!Y70+'Paste cell here'!S70</f>
        <v/>
      </c>
      <c r="K70" s="1">
        <f>I70/H70</f>
        <v/>
      </c>
      <c r="L70" s="1">
        <f>AVERAGE(($F70+$G70)/2-($F70-$G70)/2*COS(PI()*(8-VLOOKUP(MONTH(B70),$O$1:$Q$13,3))/(VLOOKUP(MONTH(B70),$O$1:$Q$13,2)-VLOOKUP(MONTH(B70),$O$1:$Q$13,3))),($F70+$G70)/2-($F70-$G70)/2*COS(PI()*(9-VLOOKUP(MONTH(B70),$O$1:$Q$13,3))/(VLOOKUP(MONTH(B70),$O$1:$Q$13,2)-VLOOKUP(MONTH(B70),$O$1:$Q$13,3))),($F70+$G70)/2-($F70-$G70)/2*COS(PI()*(10-VLOOKUP(MONTH(B70),$O$1:$Q$13,3))/(VLOOKUP(MONTH(B70),$O$1:$Q$13,2)-VLOOKUP(MONTH(B70),$O$1:$Q$13,3))),($F70+$G70)/2-($F70-$G70)/2*COS(PI()*(11-VLOOKUP(MONTH(B70),$O$1:$Q$13,3))/(VLOOKUP(MONTH(B70),$O$1:$Q$13,2)-VLOOKUP(MONTH(B70),$O$1:$Q$13,3))),($F70+$G70)/2-($F70-$G70)/2*COS(PI()*(12-VLOOKUP(MONTH(B70),$O$1:$Q$13,3))/(VLOOKUP(MONTH(B70),$O$1:$Q$13,2)-VLOOKUP(MONTH(B70),$O$1:$Q$13,3))),($F70+$G70)/2-($F70-$G70)/2*COS(PI()*(13-VLOOKUP(MONTH(B70),$O$1:$Q$13,3))/(VLOOKUP(MONTH(B70),$O$1:$Q$13,2)-VLOOKUP(MONTH(B70),$O$1:$Q$13,3))),($F70+$G70)/2-($F70-$G70)/2*COS(PI()*(14-VLOOKUP(MONTH(B70),$O$1:$Q$13,3))/(VLOOKUP(MONTH(B70),$O$1:$Q$13,2)-VLOOKUP(MONTH(B70),$O$1:$Q$13,3))))</f>
        <v/>
      </c>
      <c r="M70" s="1">
        <f t="array" ref="M70">IF(AND(A70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,A70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),IF(L70&lt;_xlfn.IFNA(INDEX(_xlfn.ANCHORARRAY(Sintesi!$C$17)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,1,IF(L70&gt;=_xlfn.IFNA(INDEX(_xlfn.ANCHORARRAY(Sintesi!$C$18)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,0,1-(L70-_xlfn.IFNA(INDEX(_xlfn.ANCHORARRAY(Sintesi!$C$17)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)/(_xlfn.IFNA(INDEX(_xlfn.ANCHORARRAY(Sintesi!$C$18)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-_xlfn.IFNA(INDEX(_xlfn.ANCHORARRAY(Sintesi!$C$17)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))),0)</f>
        <v/>
      </c>
    </row>
    <row r="71">
      <c r="A71" s="1">
        <f>'Paste cell here'!A71</f>
        <v/>
      </c>
      <c r="B71" s="2">
        <f>DATE(Sintesi!$C$4-1,12,31)+A71</f>
        <v/>
      </c>
      <c r="C71" s="34">
        <f t="array" ref="C71">_xlfn.IFNA(MATCH(1,(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)*(_xlfn.ANCHORARRAY(Sintesi!$C$15)&gt;=0)+(_xlfn.ANCHORARRAY(Sintesi!$C$15)&lt;0),0),0)</f>
        <v/>
      </c>
      <c r="D71" s="1">
        <f t="array" ref="D71">IF(ISBLANK($E72),IF(ISNUMBER($E70),IF($C71&gt;0,IF(($E71=INDEX(_xlfn.ANCHORARRAY(Sintesi!$C$14),1,$C71))*(INDEX(_xlfn.ANCHORARRAY(Sintesi!$C$15),1,$C71)&gt;0),0,IF(($E71=INDEX(_xlfn.ANCHORARRAY(Sintesi!$C$14),1,$C71))*(INDEX(_xlfn.ANCHORARRAY(Sintesi!$C$15),1,$C71)&lt;0)+($E71&gt;=$E70)*($E71&lt;=INDEX($E:$E,MATCH(TRUE,INDEX((ISNUMBER($E:$E)),0),0)))*($E71&gt;INDEX(_xlfn.ANCHORARRAY(Sintesi!$C$14),1,$C71))*($E71&lt;=INDEX(_xlfn.ANCHORARRAY(Sintesi!$C$15),1,$C71))*(INDEX(_xlfn.ANCHORARRAY(Sintesi!$C$15),1,$C71)&gt;0),1,IF(($E71&gt;=$E70)*($E71&lt;=INDEX($E:$E,MATCH(TRUE,INDEX((ISNUMBER($E:$E)),0),0)))*($E71&gt;INDEX(_xlfn.ANCHORARRAY(Sintesi!$C$14),1,$C71))*($E71&lt;INDEX(_xlfn.ANCHORARRAY(Sintesi!$C$16),1,$C71))*(INDEX(_xlfn.ANCHORARRAY(Sintesi!$C$15),1,$C71)&lt;0)+($E71&gt;=$E70)*($E71&lt;=INDEX($E:$E,MATCH(TRUE,INDEX((ISNUMBER($E:$E)),0),0)))*($E71&gt;INDEX(_xlfn.ANCHORARRAY(Sintesi!$C$15),1,$C71))*($E71&lt;INDEX(_xlfn.ANCHORARRAY(Sintesi!$C$16),1,$C71))*(INDEX(_xlfn.ANCHORARRAY(Sintesi!$C$15),1,$C71)&gt;0),2,IF($E71=(INDEX(_xlfn.ANCHORARRAY(Sintesi!$C$16),1,$C71)),3,4)))),0),IF($C71&gt;0,IF(($E71=INDEX(_xlfn.ANCHORARRAY(Sintesi!$C$14),1,$C71))*(INDEX(_xlfn.ANCHORARRAY(Sintesi!$C$15),1,$C71)&gt;0),0,IF(($E71=INDEX(_xlfn.ANCHORARRAY(Sintesi!$C$14),1,$C71))*(INDEX(_xlfn.ANCHORARRAY(Sintesi!$C$15),1,$C71)&lt;0)+($E71&gt;=LOOKUP(2,1/($E:$E&lt;&gt;""),$E:$E))*($E71&lt;=INDEX($E:$E,MATCH(TRUE,INDEX((ISNUMBER($E:$E)),0),0)))*($E71&gt;INDEX(_xlfn.ANCHORARRAY(Sintesi!$C$14),1,$C71))*($E71&lt;=INDEX(_xlfn.ANCHORARRAY(Sintesi!$C$15),1,$C71))*(INDEX(_xlfn.ANCHORARRAY(Sintesi!$C$15),1,$C71)&gt;0),1,IF(($E71&gt;=LOOKUP(2,1/($E:$E&lt;&gt;""),$E:$E))*($E71&lt;=INDEX($E:$E,MATCH(TRUE,INDEX((ISNUMBER($E:$E)),0),0)))*($E71&gt;INDEX(_xlfn.ANCHORARRAY(Sintesi!$C$14),1,$C71))*($E71&lt;INDEX(_xlfn.ANCHORARRAY(Sintesi!$C$16),1,$C71))*(INDEX(_xlfn.ANCHORARRAY(Sintesi!$C$15),1,$C71)&lt;0)+($E71&gt;=LOOKUP(2,1/($E:$E&lt;&gt;""),$E:$E))*($E71&lt;=INDEX($E:$E,MATCH(TRUE,INDEX((ISNUMBER($E:$E)),0),0)))*($E71&gt;INDEX(_xlfn.ANCHORARRAY(Sintesi!$C$15),1,$C71))*($E71&lt;INDEX(_xlfn.ANCHORARRAY(Sintesi!$C$16),1,$C71))*(INDEX(_xlfn.ANCHORARRAY(Sintesi!$C$15),1,$C71)&gt;0),2,IF($E71=(INDEX(_xlfn.ANCHORARRAY(Sintesi!$C$16),1,$C71)),3,4)))),0)),IF(ISNUMBER($E70),IF($C71&gt;0,IF(($E71=INDEX(_xlfn.ANCHORARRAY(Sintesi!$C$14),1,$C71))*(INDEX(_xlfn.ANCHORARRAY(Sintesi!$C$15),1,$C71)&gt;0),0,IF(($E71=INDEX(_xlfn.ANCHORARRAY(Sintesi!$C$14),1,$C71))*(INDEX(_xlfn.ANCHORARRAY(Sintesi!$C$15),1,$C71)&lt;0)+($E71&gt;=$E70)*($E71&lt;=$E72)*($E71&gt;INDEX(_xlfn.ANCHORARRAY(Sintesi!$C$14),1,$C71))*($E71&lt;=INDEX(_xlfn.ANCHORARRAY(Sintesi!$C$15),1,$C71))*(INDEX(_xlfn.ANCHORARRAY(Sintesi!$C$15),1,$C71)&gt;0),1,IF(($E71&gt;=$E70)*($E71&lt;=$E72)*($E71&gt;INDEX(_xlfn.ANCHORARRAY(Sintesi!$C$14),1,$C71))*($E71&lt;INDEX(_xlfn.ANCHORARRAY(Sintesi!$C$16),1,$C71))*(INDEX(_xlfn.ANCHORARRAY(Sintesi!$C$15),1,$C71)&lt;0)+($E71&gt;=$E70)*($E71&lt;=$E72)*($E71&gt;INDEX(_xlfn.ANCHORARRAY(Sintesi!$C$15),1,$C71))*($E71&lt;INDEX(_xlfn.ANCHORARRAY(Sintesi!$C$16),1,$C71))*(INDEX(_xlfn.ANCHORARRAY(Sintesi!$C$15),1,$C71)&gt;0),2,IF($E71=(INDEX(_xlfn.ANCHORARRAY(Sintesi!$C$16),1,$C71)),3,4)))),0),IF($C71&gt;0,IF(($E71=INDEX(_xlfn.ANCHORARRAY(Sintesi!$C$14),1,$C71))*(INDEX(_xlfn.ANCHORARRAY(Sintesi!$C$15),1,$C71)&gt;0),0,IF(($E71=INDEX(_xlfn.ANCHORARRAY(Sintesi!$C$14),1,$C71))*(INDEX(_xlfn.ANCHORARRAY(Sintesi!$C$15),1,$C71)&lt;0)+($E71&gt;=LOOKUP(2,1/($E:$E&lt;&gt;""),$E:$E))*($E71&lt;=$E72)*($E71&gt;INDEX(_xlfn.ANCHORARRAY(Sintesi!$C$14),1,$C71))*($E71&lt;=INDEX(_xlfn.ANCHORARRAY(Sintesi!$C$15),1,$C71))*(INDEX(_xlfn.ANCHORARRAY(Sintesi!$C$15),1,$C71)&gt;0),1,IF(($E71&gt;=LOOKUP(2,1/($E:$E&lt;&gt;""),$E:$E))*($E71&lt;=$E72)*($E71&gt;INDEX(_xlfn.ANCHORARRAY(Sintesi!$C$14),1,$C71))*($E71&lt;INDEX(_xlfn.ANCHORARRAY(Sintesi!$C$16),1,$C71))*(INDEX(_xlfn.ANCHORARRAY(Sintesi!$C$15),1,$C71)&lt;0)+($E71&gt;=LOOKUP(2,1/($E:$E&lt;&gt;""),$E:$E))*($E71&lt;=$E72)*($E71&gt;INDEX(_xlfn.ANCHORARRAY(Sintesi!$C$15),1,$C71))*($E71&lt;INDEX(_xlfn.ANCHORARRAY(Sintesi!$C$16),1,$C71))*(INDEX(_xlfn.ANCHORARRAY(Sintesi!$C$15),1,$C71)&gt;0),2,IF($E71=(INDEX(_xlfn.ANCHORARRAY(Sintesi!$C$16),1,$C71)),3,4)))),0)))</f>
        <v/>
      </c>
      <c r="E71" s="1">
        <f>'Paste cell here'!F71</f>
        <v/>
      </c>
      <c r="F71" s="1">
        <f>'Paste cell here'!C71</f>
        <v/>
      </c>
      <c r="G71" s="1">
        <f>'Paste cell here'!D71</f>
        <v/>
      </c>
      <c r="H71" s="1">
        <f>'Paste cell here'!E71</f>
        <v/>
      </c>
      <c r="I71" s="1">
        <f>'Paste cell here'!X71</f>
        <v/>
      </c>
      <c r="J71" s="1">
        <f>'Paste cell here'!Y71+'Paste cell here'!S71</f>
        <v/>
      </c>
      <c r="K71" s="1">
        <f>I71/H71</f>
        <v/>
      </c>
      <c r="L71" s="1">
        <f>AVERAGE(($F71+$G71)/2-($F71-$G71)/2*COS(PI()*(8-VLOOKUP(MONTH(B71),$O$1:$Q$13,3))/(VLOOKUP(MONTH(B71),$O$1:$Q$13,2)-VLOOKUP(MONTH(B71),$O$1:$Q$13,3))),($F71+$G71)/2-($F71-$G71)/2*COS(PI()*(9-VLOOKUP(MONTH(B71),$O$1:$Q$13,3))/(VLOOKUP(MONTH(B71),$O$1:$Q$13,2)-VLOOKUP(MONTH(B71),$O$1:$Q$13,3))),($F71+$G71)/2-($F71-$G71)/2*COS(PI()*(10-VLOOKUP(MONTH(B71),$O$1:$Q$13,3))/(VLOOKUP(MONTH(B71),$O$1:$Q$13,2)-VLOOKUP(MONTH(B71),$O$1:$Q$13,3))),($F71+$G71)/2-($F71-$G71)/2*COS(PI()*(11-VLOOKUP(MONTH(B71),$O$1:$Q$13,3))/(VLOOKUP(MONTH(B71),$O$1:$Q$13,2)-VLOOKUP(MONTH(B71),$O$1:$Q$13,3))),($F71+$G71)/2-($F71-$G71)/2*COS(PI()*(12-VLOOKUP(MONTH(B71),$O$1:$Q$13,3))/(VLOOKUP(MONTH(B71),$O$1:$Q$13,2)-VLOOKUP(MONTH(B71),$O$1:$Q$13,3))),($F71+$G71)/2-($F71-$G71)/2*COS(PI()*(13-VLOOKUP(MONTH(B71),$O$1:$Q$13,3))/(VLOOKUP(MONTH(B71),$O$1:$Q$13,2)-VLOOKUP(MONTH(B71),$O$1:$Q$13,3))),($F71+$G71)/2-($F71-$G71)/2*COS(PI()*(14-VLOOKUP(MONTH(B71),$O$1:$Q$13,3))/(VLOOKUP(MONTH(B71),$O$1:$Q$13,2)-VLOOKUP(MONTH(B71),$O$1:$Q$13,3))))</f>
        <v/>
      </c>
      <c r="M71" s="1">
        <f t="array" ref="M71">IF(AND(A71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,A71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),IF(L71&lt;_xlfn.IFNA(INDEX(_xlfn.ANCHORARRAY(Sintesi!$C$17)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,1,IF(L71&gt;=_xlfn.IFNA(INDEX(_xlfn.ANCHORARRAY(Sintesi!$C$18)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,0,1-(L71-_xlfn.IFNA(INDEX(_xlfn.ANCHORARRAY(Sintesi!$C$17)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)/(_xlfn.IFNA(INDEX(_xlfn.ANCHORARRAY(Sintesi!$C$18)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-_xlfn.IFNA(INDEX(_xlfn.ANCHORARRAY(Sintesi!$C$17)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))),0)</f>
        <v/>
      </c>
    </row>
    <row r="72">
      <c r="A72" s="1">
        <f>'Paste cell here'!A72</f>
        <v/>
      </c>
      <c r="B72" s="2">
        <f>DATE(Sintesi!$C$4-1,12,31)+A72</f>
        <v/>
      </c>
      <c r="C72" s="34">
        <f t="array" ref="C72">_xlfn.IFNA(MATCH(1,(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)*(_xlfn.ANCHORARRAY(Sintesi!$C$15)&gt;=0)+(_xlfn.ANCHORARRAY(Sintesi!$C$15)&lt;0),0),0)</f>
        <v/>
      </c>
      <c r="D72" s="1">
        <f t="array" ref="D72">IF(ISBLANK($E73),IF(ISNUMBER($E71),IF($C72&gt;0,IF(($E72=INDEX(_xlfn.ANCHORARRAY(Sintesi!$C$14),1,$C72))*(INDEX(_xlfn.ANCHORARRAY(Sintesi!$C$15),1,$C72)&gt;0),0,IF(($E72=INDEX(_xlfn.ANCHORARRAY(Sintesi!$C$14),1,$C72))*(INDEX(_xlfn.ANCHORARRAY(Sintesi!$C$15),1,$C72)&lt;0)+($E72&gt;=$E71)*($E72&lt;=INDEX($E:$E,MATCH(TRUE,INDEX((ISNUMBER($E:$E)),0),0)))*($E72&gt;INDEX(_xlfn.ANCHORARRAY(Sintesi!$C$14),1,$C72))*($E72&lt;=INDEX(_xlfn.ANCHORARRAY(Sintesi!$C$15),1,$C72))*(INDEX(_xlfn.ANCHORARRAY(Sintesi!$C$15),1,$C72)&gt;0),1,IF(($E72&gt;=$E71)*($E72&lt;=INDEX($E:$E,MATCH(TRUE,INDEX((ISNUMBER($E:$E)),0),0)))*($E72&gt;INDEX(_xlfn.ANCHORARRAY(Sintesi!$C$14),1,$C72))*($E72&lt;INDEX(_xlfn.ANCHORARRAY(Sintesi!$C$16),1,$C72))*(INDEX(_xlfn.ANCHORARRAY(Sintesi!$C$15),1,$C72)&lt;0)+($E72&gt;=$E71)*($E72&lt;=INDEX($E:$E,MATCH(TRUE,INDEX((ISNUMBER($E:$E)),0),0)))*($E72&gt;INDEX(_xlfn.ANCHORARRAY(Sintesi!$C$15),1,$C72))*($E72&lt;INDEX(_xlfn.ANCHORARRAY(Sintesi!$C$16),1,$C72))*(INDEX(_xlfn.ANCHORARRAY(Sintesi!$C$15),1,$C72)&gt;0),2,IF($E72=(INDEX(_xlfn.ANCHORARRAY(Sintesi!$C$16),1,$C72)),3,4)))),0),IF($C72&gt;0,IF(($E72=INDEX(_xlfn.ANCHORARRAY(Sintesi!$C$14),1,$C72))*(INDEX(_xlfn.ANCHORARRAY(Sintesi!$C$15),1,$C72)&gt;0),0,IF(($E72=INDEX(_xlfn.ANCHORARRAY(Sintesi!$C$14),1,$C72))*(INDEX(_xlfn.ANCHORARRAY(Sintesi!$C$15),1,$C72)&lt;0)+($E72&gt;=LOOKUP(2,1/($E:$E&lt;&gt;""),$E:$E))*($E72&lt;=INDEX($E:$E,MATCH(TRUE,INDEX((ISNUMBER($E:$E)),0),0)))*($E72&gt;INDEX(_xlfn.ANCHORARRAY(Sintesi!$C$14),1,$C72))*($E72&lt;=INDEX(_xlfn.ANCHORARRAY(Sintesi!$C$15),1,$C72))*(INDEX(_xlfn.ANCHORARRAY(Sintesi!$C$15),1,$C72)&gt;0),1,IF(($E72&gt;=LOOKUP(2,1/($E:$E&lt;&gt;""),$E:$E))*($E72&lt;=INDEX($E:$E,MATCH(TRUE,INDEX((ISNUMBER($E:$E)),0),0)))*($E72&gt;INDEX(_xlfn.ANCHORARRAY(Sintesi!$C$14),1,$C72))*($E72&lt;INDEX(_xlfn.ANCHORARRAY(Sintesi!$C$16),1,$C72))*(INDEX(_xlfn.ANCHORARRAY(Sintesi!$C$15),1,$C72)&lt;0)+($E72&gt;=LOOKUP(2,1/($E:$E&lt;&gt;""),$E:$E))*($E72&lt;=INDEX($E:$E,MATCH(TRUE,INDEX((ISNUMBER($E:$E)),0),0)))*($E72&gt;INDEX(_xlfn.ANCHORARRAY(Sintesi!$C$15),1,$C72))*($E72&lt;INDEX(_xlfn.ANCHORARRAY(Sintesi!$C$16),1,$C72))*(INDEX(_xlfn.ANCHORARRAY(Sintesi!$C$15),1,$C72)&gt;0),2,IF($E72=(INDEX(_xlfn.ANCHORARRAY(Sintesi!$C$16),1,$C72)),3,4)))),0)),IF(ISNUMBER($E71),IF($C72&gt;0,IF(($E72=INDEX(_xlfn.ANCHORARRAY(Sintesi!$C$14),1,$C72))*(INDEX(_xlfn.ANCHORARRAY(Sintesi!$C$15),1,$C72)&gt;0),0,IF(($E72=INDEX(_xlfn.ANCHORARRAY(Sintesi!$C$14),1,$C72))*(INDEX(_xlfn.ANCHORARRAY(Sintesi!$C$15),1,$C72)&lt;0)+($E72&gt;=$E71)*($E72&lt;=$E73)*($E72&gt;INDEX(_xlfn.ANCHORARRAY(Sintesi!$C$14),1,$C72))*($E72&lt;=INDEX(_xlfn.ANCHORARRAY(Sintesi!$C$15),1,$C72))*(INDEX(_xlfn.ANCHORARRAY(Sintesi!$C$15),1,$C72)&gt;0),1,IF(($E72&gt;=$E71)*($E72&lt;=$E73)*($E72&gt;INDEX(_xlfn.ANCHORARRAY(Sintesi!$C$14),1,$C72))*($E72&lt;INDEX(_xlfn.ANCHORARRAY(Sintesi!$C$16),1,$C72))*(INDEX(_xlfn.ANCHORARRAY(Sintesi!$C$15),1,$C72)&lt;0)+($E72&gt;=$E71)*($E72&lt;=$E73)*($E72&gt;INDEX(_xlfn.ANCHORARRAY(Sintesi!$C$15),1,$C72))*($E72&lt;INDEX(_xlfn.ANCHORARRAY(Sintesi!$C$16),1,$C72))*(INDEX(_xlfn.ANCHORARRAY(Sintesi!$C$15),1,$C72)&gt;0),2,IF($E72=(INDEX(_xlfn.ANCHORARRAY(Sintesi!$C$16),1,$C72)),3,4)))),0),IF($C72&gt;0,IF(($E72=INDEX(_xlfn.ANCHORARRAY(Sintesi!$C$14),1,$C72))*(INDEX(_xlfn.ANCHORARRAY(Sintesi!$C$15),1,$C72)&gt;0),0,IF(($E72=INDEX(_xlfn.ANCHORARRAY(Sintesi!$C$14),1,$C72))*(INDEX(_xlfn.ANCHORARRAY(Sintesi!$C$15),1,$C72)&lt;0)+($E72&gt;=LOOKUP(2,1/($E:$E&lt;&gt;""),$E:$E))*($E72&lt;=$E73)*($E72&gt;INDEX(_xlfn.ANCHORARRAY(Sintesi!$C$14),1,$C72))*($E72&lt;=INDEX(_xlfn.ANCHORARRAY(Sintesi!$C$15),1,$C72))*(INDEX(_xlfn.ANCHORARRAY(Sintesi!$C$15),1,$C72)&gt;0),1,IF(($E72&gt;=LOOKUP(2,1/($E:$E&lt;&gt;""),$E:$E))*($E72&lt;=$E73)*($E72&gt;INDEX(_xlfn.ANCHORARRAY(Sintesi!$C$14),1,$C72))*($E72&lt;INDEX(_xlfn.ANCHORARRAY(Sintesi!$C$16),1,$C72))*(INDEX(_xlfn.ANCHORARRAY(Sintesi!$C$15),1,$C72)&lt;0)+($E72&gt;=LOOKUP(2,1/($E:$E&lt;&gt;""),$E:$E))*($E72&lt;=$E73)*($E72&gt;INDEX(_xlfn.ANCHORARRAY(Sintesi!$C$15),1,$C72))*($E72&lt;INDEX(_xlfn.ANCHORARRAY(Sintesi!$C$16),1,$C72))*(INDEX(_xlfn.ANCHORARRAY(Sintesi!$C$15),1,$C72)&gt;0),2,IF($E72=(INDEX(_xlfn.ANCHORARRAY(Sintesi!$C$16),1,$C72)),3,4)))),0)))</f>
        <v/>
      </c>
      <c r="E72" s="1">
        <f>'Paste cell here'!F72</f>
        <v/>
      </c>
      <c r="F72" s="1">
        <f>'Paste cell here'!C72</f>
        <v/>
      </c>
      <c r="G72" s="1">
        <f>'Paste cell here'!D72</f>
        <v/>
      </c>
      <c r="H72" s="1">
        <f>'Paste cell here'!E72</f>
        <v/>
      </c>
      <c r="I72" s="1">
        <f>'Paste cell here'!X72</f>
        <v/>
      </c>
      <c r="J72" s="1">
        <f>'Paste cell here'!Y72+'Paste cell here'!S72</f>
        <v/>
      </c>
      <c r="K72" s="1">
        <f>I72/H72</f>
        <v/>
      </c>
      <c r="L72" s="1">
        <f>AVERAGE(($F72+$G72)/2-($F72-$G72)/2*COS(PI()*(8-VLOOKUP(MONTH(B72),$O$1:$Q$13,3))/(VLOOKUP(MONTH(B72),$O$1:$Q$13,2)-VLOOKUP(MONTH(B72),$O$1:$Q$13,3))),($F72+$G72)/2-($F72-$G72)/2*COS(PI()*(9-VLOOKUP(MONTH(B72),$O$1:$Q$13,3))/(VLOOKUP(MONTH(B72),$O$1:$Q$13,2)-VLOOKUP(MONTH(B72),$O$1:$Q$13,3))),($F72+$G72)/2-($F72-$G72)/2*COS(PI()*(10-VLOOKUP(MONTH(B72),$O$1:$Q$13,3))/(VLOOKUP(MONTH(B72),$O$1:$Q$13,2)-VLOOKUP(MONTH(B72),$O$1:$Q$13,3))),($F72+$G72)/2-($F72-$G72)/2*COS(PI()*(11-VLOOKUP(MONTH(B72),$O$1:$Q$13,3))/(VLOOKUP(MONTH(B72),$O$1:$Q$13,2)-VLOOKUP(MONTH(B72),$O$1:$Q$13,3))),($F72+$G72)/2-($F72-$G72)/2*COS(PI()*(12-VLOOKUP(MONTH(B72),$O$1:$Q$13,3))/(VLOOKUP(MONTH(B72),$O$1:$Q$13,2)-VLOOKUP(MONTH(B72),$O$1:$Q$13,3))),($F72+$G72)/2-($F72-$G72)/2*COS(PI()*(13-VLOOKUP(MONTH(B72),$O$1:$Q$13,3))/(VLOOKUP(MONTH(B72),$O$1:$Q$13,2)-VLOOKUP(MONTH(B72),$O$1:$Q$13,3))),($F72+$G72)/2-($F72-$G72)/2*COS(PI()*(14-VLOOKUP(MONTH(B72),$O$1:$Q$13,3))/(VLOOKUP(MONTH(B72),$O$1:$Q$13,2)-VLOOKUP(MONTH(B72),$O$1:$Q$13,3))))</f>
        <v/>
      </c>
      <c r="M72" s="1">
        <f t="array" ref="M72">IF(AND(A72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,A72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),IF(L72&lt;_xlfn.IFNA(INDEX(_xlfn.ANCHORARRAY(Sintesi!$C$17)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,1,IF(L72&gt;=_xlfn.IFNA(INDEX(_xlfn.ANCHORARRAY(Sintesi!$C$18)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,0,1-(L72-_xlfn.IFNA(INDEX(_xlfn.ANCHORARRAY(Sintesi!$C$17)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)/(_xlfn.IFNA(INDEX(_xlfn.ANCHORARRAY(Sintesi!$C$18)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-_xlfn.IFNA(INDEX(_xlfn.ANCHORARRAY(Sintesi!$C$17)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))),0)</f>
        <v/>
      </c>
    </row>
    <row r="73">
      <c r="A73" s="1">
        <f>'Paste cell here'!A73</f>
        <v/>
      </c>
      <c r="B73" s="2">
        <f>DATE(Sintesi!$C$4-1,12,31)+A73</f>
        <v/>
      </c>
      <c r="C73" s="34">
        <f t="array" ref="C73">_xlfn.IFNA(MATCH(1,(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)*(_xlfn.ANCHORARRAY(Sintesi!$C$15)&gt;=0)+(_xlfn.ANCHORARRAY(Sintesi!$C$15)&lt;0),0),0)</f>
        <v/>
      </c>
      <c r="D73" s="1">
        <f t="array" ref="D73">IF(ISBLANK($E74),IF(ISNUMBER($E72),IF($C73&gt;0,IF(($E73=INDEX(_xlfn.ANCHORARRAY(Sintesi!$C$14),1,$C73))*(INDEX(_xlfn.ANCHORARRAY(Sintesi!$C$15),1,$C73)&gt;0),0,IF(($E73=INDEX(_xlfn.ANCHORARRAY(Sintesi!$C$14),1,$C73))*(INDEX(_xlfn.ANCHORARRAY(Sintesi!$C$15),1,$C73)&lt;0)+($E73&gt;=$E72)*($E73&lt;=INDEX($E:$E,MATCH(TRUE,INDEX((ISNUMBER($E:$E)),0),0)))*($E73&gt;INDEX(_xlfn.ANCHORARRAY(Sintesi!$C$14),1,$C73))*($E73&lt;=INDEX(_xlfn.ANCHORARRAY(Sintesi!$C$15),1,$C73))*(INDEX(_xlfn.ANCHORARRAY(Sintesi!$C$15),1,$C73)&gt;0),1,IF(($E73&gt;=$E72)*($E73&lt;=INDEX($E:$E,MATCH(TRUE,INDEX((ISNUMBER($E:$E)),0),0)))*($E73&gt;INDEX(_xlfn.ANCHORARRAY(Sintesi!$C$14),1,$C73))*($E73&lt;INDEX(_xlfn.ANCHORARRAY(Sintesi!$C$16),1,$C73))*(INDEX(_xlfn.ANCHORARRAY(Sintesi!$C$15),1,$C73)&lt;0)+($E73&gt;=$E72)*($E73&lt;=INDEX($E:$E,MATCH(TRUE,INDEX((ISNUMBER($E:$E)),0),0)))*($E73&gt;INDEX(_xlfn.ANCHORARRAY(Sintesi!$C$15),1,$C73))*($E73&lt;INDEX(_xlfn.ANCHORARRAY(Sintesi!$C$16),1,$C73))*(INDEX(_xlfn.ANCHORARRAY(Sintesi!$C$15),1,$C73)&gt;0),2,IF($E73=(INDEX(_xlfn.ANCHORARRAY(Sintesi!$C$16),1,$C73)),3,4)))),0),IF($C73&gt;0,IF(($E73=INDEX(_xlfn.ANCHORARRAY(Sintesi!$C$14),1,$C73))*(INDEX(_xlfn.ANCHORARRAY(Sintesi!$C$15),1,$C73)&gt;0),0,IF(($E73=INDEX(_xlfn.ANCHORARRAY(Sintesi!$C$14),1,$C73))*(INDEX(_xlfn.ANCHORARRAY(Sintesi!$C$15),1,$C73)&lt;0)+($E73&gt;=LOOKUP(2,1/($E:$E&lt;&gt;""),$E:$E))*($E73&lt;=INDEX($E:$E,MATCH(TRUE,INDEX((ISNUMBER($E:$E)),0),0)))*($E73&gt;INDEX(_xlfn.ANCHORARRAY(Sintesi!$C$14),1,$C73))*($E73&lt;=INDEX(_xlfn.ANCHORARRAY(Sintesi!$C$15),1,$C73))*(INDEX(_xlfn.ANCHORARRAY(Sintesi!$C$15),1,$C73)&gt;0),1,IF(($E73&gt;=LOOKUP(2,1/($E:$E&lt;&gt;""),$E:$E))*($E73&lt;=INDEX($E:$E,MATCH(TRUE,INDEX((ISNUMBER($E:$E)),0),0)))*($E73&gt;INDEX(_xlfn.ANCHORARRAY(Sintesi!$C$14),1,$C73))*($E73&lt;INDEX(_xlfn.ANCHORARRAY(Sintesi!$C$16),1,$C73))*(INDEX(_xlfn.ANCHORARRAY(Sintesi!$C$15),1,$C73)&lt;0)+($E73&gt;=LOOKUP(2,1/($E:$E&lt;&gt;""),$E:$E))*($E73&lt;=INDEX($E:$E,MATCH(TRUE,INDEX((ISNUMBER($E:$E)),0),0)))*($E73&gt;INDEX(_xlfn.ANCHORARRAY(Sintesi!$C$15),1,$C73))*($E73&lt;INDEX(_xlfn.ANCHORARRAY(Sintesi!$C$16),1,$C73))*(INDEX(_xlfn.ANCHORARRAY(Sintesi!$C$15),1,$C73)&gt;0),2,IF($E73=(INDEX(_xlfn.ANCHORARRAY(Sintesi!$C$16),1,$C73)),3,4)))),0)),IF(ISNUMBER($E72),IF($C73&gt;0,IF(($E73=INDEX(_xlfn.ANCHORARRAY(Sintesi!$C$14),1,$C73))*(INDEX(_xlfn.ANCHORARRAY(Sintesi!$C$15),1,$C73)&gt;0),0,IF(($E73=INDEX(_xlfn.ANCHORARRAY(Sintesi!$C$14),1,$C73))*(INDEX(_xlfn.ANCHORARRAY(Sintesi!$C$15),1,$C73)&lt;0)+($E73&gt;=$E72)*($E73&lt;=$E74)*($E73&gt;INDEX(_xlfn.ANCHORARRAY(Sintesi!$C$14),1,$C73))*($E73&lt;=INDEX(_xlfn.ANCHORARRAY(Sintesi!$C$15),1,$C73))*(INDEX(_xlfn.ANCHORARRAY(Sintesi!$C$15),1,$C73)&gt;0),1,IF(($E73&gt;=$E72)*($E73&lt;=$E74)*($E73&gt;INDEX(_xlfn.ANCHORARRAY(Sintesi!$C$14),1,$C73))*($E73&lt;INDEX(_xlfn.ANCHORARRAY(Sintesi!$C$16),1,$C73))*(INDEX(_xlfn.ANCHORARRAY(Sintesi!$C$15),1,$C73)&lt;0)+($E73&gt;=$E72)*($E73&lt;=$E74)*($E73&gt;INDEX(_xlfn.ANCHORARRAY(Sintesi!$C$15),1,$C73))*($E73&lt;INDEX(_xlfn.ANCHORARRAY(Sintesi!$C$16),1,$C73))*(INDEX(_xlfn.ANCHORARRAY(Sintesi!$C$15),1,$C73)&gt;0),2,IF($E73=(INDEX(_xlfn.ANCHORARRAY(Sintesi!$C$16),1,$C73)),3,4)))),0),IF($C73&gt;0,IF(($E73=INDEX(_xlfn.ANCHORARRAY(Sintesi!$C$14),1,$C73))*(INDEX(_xlfn.ANCHORARRAY(Sintesi!$C$15),1,$C73)&gt;0),0,IF(($E73=INDEX(_xlfn.ANCHORARRAY(Sintesi!$C$14),1,$C73))*(INDEX(_xlfn.ANCHORARRAY(Sintesi!$C$15),1,$C73)&lt;0)+($E73&gt;=LOOKUP(2,1/($E:$E&lt;&gt;""),$E:$E))*($E73&lt;=$E74)*($E73&gt;INDEX(_xlfn.ANCHORARRAY(Sintesi!$C$14),1,$C73))*($E73&lt;=INDEX(_xlfn.ANCHORARRAY(Sintesi!$C$15),1,$C73))*(INDEX(_xlfn.ANCHORARRAY(Sintesi!$C$15),1,$C73)&gt;0),1,IF(($E73&gt;=LOOKUP(2,1/($E:$E&lt;&gt;""),$E:$E))*($E73&lt;=$E74)*($E73&gt;INDEX(_xlfn.ANCHORARRAY(Sintesi!$C$14),1,$C73))*($E73&lt;INDEX(_xlfn.ANCHORARRAY(Sintesi!$C$16),1,$C73))*(INDEX(_xlfn.ANCHORARRAY(Sintesi!$C$15),1,$C73)&lt;0)+($E73&gt;=LOOKUP(2,1/($E:$E&lt;&gt;""),$E:$E))*($E73&lt;=$E74)*($E73&gt;INDEX(_xlfn.ANCHORARRAY(Sintesi!$C$15),1,$C73))*($E73&lt;INDEX(_xlfn.ANCHORARRAY(Sintesi!$C$16),1,$C73))*(INDEX(_xlfn.ANCHORARRAY(Sintesi!$C$15),1,$C73)&gt;0),2,IF($E73=(INDEX(_xlfn.ANCHORARRAY(Sintesi!$C$16),1,$C73)),3,4)))),0)))</f>
        <v/>
      </c>
      <c r="E73" s="1">
        <f>'Paste cell here'!F73</f>
        <v/>
      </c>
      <c r="F73" s="1">
        <f>'Paste cell here'!C73</f>
        <v/>
      </c>
      <c r="G73" s="1">
        <f>'Paste cell here'!D73</f>
        <v/>
      </c>
      <c r="H73" s="1">
        <f>'Paste cell here'!E73</f>
        <v/>
      </c>
      <c r="I73" s="1">
        <f>'Paste cell here'!X73</f>
        <v/>
      </c>
      <c r="J73" s="1">
        <f>'Paste cell here'!Y73+'Paste cell here'!S73</f>
        <v/>
      </c>
      <c r="K73" s="1">
        <f>I73/H73</f>
        <v/>
      </c>
      <c r="L73" s="1">
        <f>AVERAGE(($F73+$G73)/2-($F73-$G73)/2*COS(PI()*(8-VLOOKUP(MONTH(B73),$O$1:$Q$13,3))/(VLOOKUP(MONTH(B73),$O$1:$Q$13,2)-VLOOKUP(MONTH(B73),$O$1:$Q$13,3))),($F73+$G73)/2-($F73-$G73)/2*COS(PI()*(9-VLOOKUP(MONTH(B73),$O$1:$Q$13,3))/(VLOOKUP(MONTH(B73),$O$1:$Q$13,2)-VLOOKUP(MONTH(B73),$O$1:$Q$13,3))),($F73+$G73)/2-($F73-$G73)/2*COS(PI()*(10-VLOOKUP(MONTH(B73),$O$1:$Q$13,3))/(VLOOKUP(MONTH(B73),$O$1:$Q$13,2)-VLOOKUP(MONTH(B73),$O$1:$Q$13,3))),($F73+$G73)/2-($F73-$G73)/2*COS(PI()*(11-VLOOKUP(MONTH(B73),$O$1:$Q$13,3))/(VLOOKUP(MONTH(B73),$O$1:$Q$13,2)-VLOOKUP(MONTH(B73),$O$1:$Q$13,3))),($F73+$G73)/2-($F73-$G73)/2*COS(PI()*(12-VLOOKUP(MONTH(B73),$O$1:$Q$13,3))/(VLOOKUP(MONTH(B73),$O$1:$Q$13,2)-VLOOKUP(MONTH(B73),$O$1:$Q$13,3))),($F73+$G73)/2-($F73-$G73)/2*COS(PI()*(13-VLOOKUP(MONTH(B73),$O$1:$Q$13,3))/(VLOOKUP(MONTH(B73),$O$1:$Q$13,2)-VLOOKUP(MONTH(B73),$O$1:$Q$13,3))),($F73+$G73)/2-($F73-$G73)/2*COS(PI()*(14-VLOOKUP(MONTH(B73),$O$1:$Q$13,3))/(VLOOKUP(MONTH(B73),$O$1:$Q$13,2)-VLOOKUP(MONTH(B73),$O$1:$Q$13,3))))</f>
        <v/>
      </c>
      <c r="M73" s="1">
        <f t="array" ref="M73">IF(AND(A73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,A73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),IF(L73&lt;_xlfn.IFNA(INDEX(_xlfn.ANCHORARRAY(Sintesi!$C$17)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,1,IF(L73&gt;=_xlfn.IFNA(INDEX(_xlfn.ANCHORARRAY(Sintesi!$C$18)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,0,1-(L73-_xlfn.IFNA(INDEX(_xlfn.ANCHORARRAY(Sintesi!$C$17)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)/(_xlfn.IFNA(INDEX(_xlfn.ANCHORARRAY(Sintesi!$C$18)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-_xlfn.IFNA(INDEX(_xlfn.ANCHORARRAY(Sintesi!$C$17)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))),0)</f>
        <v/>
      </c>
    </row>
    <row r="74">
      <c r="A74" s="1">
        <f>'Paste cell here'!A74</f>
        <v/>
      </c>
      <c r="B74" s="2">
        <f>DATE(Sintesi!$C$4-1,12,31)+A74</f>
        <v/>
      </c>
      <c r="C74" s="34">
        <f t="array" ref="C74">_xlfn.IFNA(MATCH(1,(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)*(_xlfn.ANCHORARRAY(Sintesi!$C$15)&gt;=0)+(_xlfn.ANCHORARRAY(Sintesi!$C$15)&lt;0),0),0)</f>
        <v/>
      </c>
      <c r="D74" s="1">
        <f t="array" ref="D74">IF(ISBLANK($E75),IF(ISNUMBER($E73),IF($C74&gt;0,IF(($E74=INDEX(_xlfn.ANCHORARRAY(Sintesi!$C$14),1,$C74))*(INDEX(_xlfn.ANCHORARRAY(Sintesi!$C$15),1,$C74)&gt;0),0,IF(($E74=INDEX(_xlfn.ANCHORARRAY(Sintesi!$C$14),1,$C74))*(INDEX(_xlfn.ANCHORARRAY(Sintesi!$C$15),1,$C74)&lt;0)+($E74&gt;=$E73)*($E74&lt;=INDEX($E:$E,MATCH(TRUE,INDEX((ISNUMBER($E:$E)),0),0)))*($E74&gt;INDEX(_xlfn.ANCHORARRAY(Sintesi!$C$14),1,$C74))*($E74&lt;=INDEX(_xlfn.ANCHORARRAY(Sintesi!$C$15),1,$C74))*(INDEX(_xlfn.ANCHORARRAY(Sintesi!$C$15),1,$C74)&gt;0),1,IF(($E74&gt;=$E73)*($E74&lt;=INDEX($E:$E,MATCH(TRUE,INDEX((ISNUMBER($E:$E)),0),0)))*($E74&gt;INDEX(_xlfn.ANCHORARRAY(Sintesi!$C$14),1,$C74))*($E74&lt;INDEX(_xlfn.ANCHORARRAY(Sintesi!$C$16),1,$C74))*(INDEX(_xlfn.ANCHORARRAY(Sintesi!$C$15),1,$C74)&lt;0)+($E74&gt;=$E73)*($E74&lt;=INDEX($E:$E,MATCH(TRUE,INDEX((ISNUMBER($E:$E)),0),0)))*($E74&gt;INDEX(_xlfn.ANCHORARRAY(Sintesi!$C$15),1,$C74))*($E74&lt;INDEX(_xlfn.ANCHORARRAY(Sintesi!$C$16),1,$C74))*(INDEX(_xlfn.ANCHORARRAY(Sintesi!$C$15),1,$C74)&gt;0),2,IF($E74=(INDEX(_xlfn.ANCHORARRAY(Sintesi!$C$16),1,$C74)),3,4)))),0),IF($C74&gt;0,IF(($E74=INDEX(_xlfn.ANCHORARRAY(Sintesi!$C$14),1,$C74))*(INDEX(_xlfn.ANCHORARRAY(Sintesi!$C$15),1,$C74)&gt;0),0,IF(($E74=INDEX(_xlfn.ANCHORARRAY(Sintesi!$C$14),1,$C74))*(INDEX(_xlfn.ANCHORARRAY(Sintesi!$C$15),1,$C74)&lt;0)+($E74&gt;=LOOKUP(2,1/($E:$E&lt;&gt;""),$E:$E))*($E74&lt;=INDEX($E:$E,MATCH(TRUE,INDEX((ISNUMBER($E:$E)),0),0)))*($E74&gt;INDEX(_xlfn.ANCHORARRAY(Sintesi!$C$14),1,$C74))*($E74&lt;=INDEX(_xlfn.ANCHORARRAY(Sintesi!$C$15),1,$C74))*(INDEX(_xlfn.ANCHORARRAY(Sintesi!$C$15),1,$C74)&gt;0),1,IF(($E74&gt;=LOOKUP(2,1/($E:$E&lt;&gt;""),$E:$E))*($E74&lt;=INDEX($E:$E,MATCH(TRUE,INDEX((ISNUMBER($E:$E)),0),0)))*($E74&gt;INDEX(_xlfn.ANCHORARRAY(Sintesi!$C$14),1,$C74))*($E74&lt;INDEX(_xlfn.ANCHORARRAY(Sintesi!$C$16),1,$C74))*(INDEX(_xlfn.ANCHORARRAY(Sintesi!$C$15),1,$C74)&lt;0)+($E74&gt;=LOOKUP(2,1/($E:$E&lt;&gt;""),$E:$E))*($E74&lt;=INDEX($E:$E,MATCH(TRUE,INDEX((ISNUMBER($E:$E)),0),0)))*($E74&gt;INDEX(_xlfn.ANCHORARRAY(Sintesi!$C$15),1,$C74))*($E74&lt;INDEX(_xlfn.ANCHORARRAY(Sintesi!$C$16),1,$C74))*(INDEX(_xlfn.ANCHORARRAY(Sintesi!$C$15),1,$C74)&gt;0),2,IF($E74=(INDEX(_xlfn.ANCHORARRAY(Sintesi!$C$16),1,$C74)),3,4)))),0)),IF(ISNUMBER($E73),IF($C74&gt;0,IF(($E74=INDEX(_xlfn.ANCHORARRAY(Sintesi!$C$14),1,$C74))*(INDEX(_xlfn.ANCHORARRAY(Sintesi!$C$15),1,$C74)&gt;0),0,IF(($E74=INDEX(_xlfn.ANCHORARRAY(Sintesi!$C$14),1,$C74))*(INDEX(_xlfn.ANCHORARRAY(Sintesi!$C$15),1,$C74)&lt;0)+($E74&gt;=$E73)*($E74&lt;=$E75)*($E74&gt;INDEX(_xlfn.ANCHORARRAY(Sintesi!$C$14),1,$C74))*($E74&lt;=INDEX(_xlfn.ANCHORARRAY(Sintesi!$C$15),1,$C74))*(INDEX(_xlfn.ANCHORARRAY(Sintesi!$C$15),1,$C74)&gt;0),1,IF(($E74&gt;=$E73)*($E74&lt;=$E75)*($E74&gt;INDEX(_xlfn.ANCHORARRAY(Sintesi!$C$14),1,$C74))*($E74&lt;INDEX(_xlfn.ANCHORARRAY(Sintesi!$C$16),1,$C74))*(INDEX(_xlfn.ANCHORARRAY(Sintesi!$C$15),1,$C74)&lt;0)+($E74&gt;=$E73)*($E74&lt;=$E75)*($E74&gt;INDEX(_xlfn.ANCHORARRAY(Sintesi!$C$15),1,$C74))*($E74&lt;INDEX(_xlfn.ANCHORARRAY(Sintesi!$C$16),1,$C74))*(INDEX(_xlfn.ANCHORARRAY(Sintesi!$C$15),1,$C74)&gt;0),2,IF($E74=(INDEX(_xlfn.ANCHORARRAY(Sintesi!$C$16),1,$C74)),3,4)))),0),IF($C74&gt;0,IF(($E74=INDEX(_xlfn.ANCHORARRAY(Sintesi!$C$14),1,$C74))*(INDEX(_xlfn.ANCHORARRAY(Sintesi!$C$15),1,$C74)&gt;0),0,IF(($E74=INDEX(_xlfn.ANCHORARRAY(Sintesi!$C$14),1,$C74))*(INDEX(_xlfn.ANCHORARRAY(Sintesi!$C$15),1,$C74)&lt;0)+($E74&gt;=LOOKUP(2,1/($E:$E&lt;&gt;""),$E:$E))*($E74&lt;=$E75)*($E74&gt;INDEX(_xlfn.ANCHORARRAY(Sintesi!$C$14),1,$C74))*($E74&lt;=INDEX(_xlfn.ANCHORARRAY(Sintesi!$C$15),1,$C74))*(INDEX(_xlfn.ANCHORARRAY(Sintesi!$C$15),1,$C74)&gt;0),1,IF(($E74&gt;=LOOKUP(2,1/($E:$E&lt;&gt;""),$E:$E))*($E74&lt;=$E75)*($E74&gt;INDEX(_xlfn.ANCHORARRAY(Sintesi!$C$14),1,$C74))*($E74&lt;INDEX(_xlfn.ANCHORARRAY(Sintesi!$C$16),1,$C74))*(INDEX(_xlfn.ANCHORARRAY(Sintesi!$C$15),1,$C74)&lt;0)+($E74&gt;=LOOKUP(2,1/($E:$E&lt;&gt;""),$E:$E))*($E74&lt;=$E75)*($E74&gt;INDEX(_xlfn.ANCHORARRAY(Sintesi!$C$15),1,$C74))*($E74&lt;INDEX(_xlfn.ANCHORARRAY(Sintesi!$C$16),1,$C74))*(INDEX(_xlfn.ANCHORARRAY(Sintesi!$C$15),1,$C74)&gt;0),2,IF($E74=(INDEX(_xlfn.ANCHORARRAY(Sintesi!$C$16),1,$C74)),3,4)))),0)))</f>
        <v/>
      </c>
      <c r="E74" s="1">
        <f>'Paste cell here'!F74</f>
        <v/>
      </c>
      <c r="F74" s="1">
        <f>'Paste cell here'!C74</f>
        <v/>
      </c>
      <c r="G74" s="1">
        <f>'Paste cell here'!D74</f>
        <v/>
      </c>
      <c r="H74" s="1">
        <f>'Paste cell here'!E74</f>
        <v/>
      </c>
      <c r="I74" s="1">
        <f>'Paste cell here'!X74</f>
        <v/>
      </c>
      <c r="J74" s="1">
        <f>'Paste cell here'!Y74+'Paste cell here'!S74</f>
        <v/>
      </c>
      <c r="K74" s="1">
        <f>I74/H74</f>
        <v/>
      </c>
      <c r="L74" s="1">
        <f>AVERAGE(($F74+$G74)/2-($F74-$G74)/2*COS(PI()*(8-VLOOKUP(MONTH(B74),$O$1:$Q$13,3))/(VLOOKUP(MONTH(B74),$O$1:$Q$13,2)-VLOOKUP(MONTH(B74),$O$1:$Q$13,3))),($F74+$G74)/2-($F74-$G74)/2*COS(PI()*(9-VLOOKUP(MONTH(B74),$O$1:$Q$13,3))/(VLOOKUP(MONTH(B74),$O$1:$Q$13,2)-VLOOKUP(MONTH(B74),$O$1:$Q$13,3))),($F74+$G74)/2-($F74-$G74)/2*COS(PI()*(10-VLOOKUP(MONTH(B74),$O$1:$Q$13,3))/(VLOOKUP(MONTH(B74),$O$1:$Q$13,2)-VLOOKUP(MONTH(B74),$O$1:$Q$13,3))),($F74+$G74)/2-($F74-$G74)/2*COS(PI()*(11-VLOOKUP(MONTH(B74),$O$1:$Q$13,3))/(VLOOKUP(MONTH(B74),$O$1:$Q$13,2)-VLOOKUP(MONTH(B74),$O$1:$Q$13,3))),($F74+$G74)/2-($F74-$G74)/2*COS(PI()*(12-VLOOKUP(MONTH(B74),$O$1:$Q$13,3))/(VLOOKUP(MONTH(B74),$O$1:$Q$13,2)-VLOOKUP(MONTH(B74),$O$1:$Q$13,3))),($F74+$G74)/2-($F74-$G74)/2*COS(PI()*(13-VLOOKUP(MONTH(B74),$O$1:$Q$13,3))/(VLOOKUP(MONTH(B74),$O$1:$Q$13,2)-VLOOKUP(MONTH(B74),$O$1:$Q$13,3))),($F74+$G74)/2-($F74-$G74)/2*COS(PI()*(14-VLOOKUP(MONTH(B74),$O$1:$Q$13,3))/(VLOOKUP(MONTH(B74),$O$1:$Q$13,2)-VLOOKUP(MONTH(B74),$O$1:$Q$13,3))))</f>
        <v/>
      </c>
      <c r="M74" s="1">
        <f t="array" ref="M74">IF(AND(A74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,A74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),IF(L74&lt;_xlfn.IFNA(INDEX(_xlfn.ANCHORARRAY(Sintesi!$C$17)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,1,IF(L74&gt;=_xlfn.IFNA(INDEX(_xlfn.ANCHORARRAY(Sintesi!$C$18)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,0,1-(L74-_xlfn.IFNA(INDEX(_xlfn.ANCHORARRAY(Sintesi!$C$17)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)/(_xlfn.IFNA(INDEX(_xlfn.ANCHORARRAY(Sintesi!$C$18)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-_xlfn.IFNA(INDEX(_xlfn.ANCHORARRAY(Sintesi!$C$17)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))),0)</f>
        <v/>
      </c>
    </row>
    <row r="75">
      <c r="A75" s="1">
        <f>'Paste cell here'!A75</f>
        <v/>
      </c>
      <c r="B75" s="2">
        <f>DATE(Sintesi!$C$4-1,12,31)+A75</f>
        <v/>
      </c>
      <c r="C75" s="34">
        <f t="array" ref="C75">_xlfn.IFNA(MATCH(1,(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)*(_xlfn.ANCHORARRAY(Sintesi!$C$15)&gt;=0)+(_xlfn.ANCHORARRAY(Sintesi!$C$15)&lt;0),0),0)</f>
        <v/>
      </c>
      <c r="D75" s="1">
        <f t="array" ref="D75">IF(ISBLANK($E76),IF(ISNUMBER($E74),IF($C75&gt;0,IF(($E75=INDEX(_xlfn.ANCHORARRAY(Sintesi!$C$14),1,$C75))*(INDEX(_xlfn.ANCHORARRAY(Sintesi!$C$15),1,$C75)&gt;0),0,IF(($E75=INDEX(_xlfn.ANCHORARRAY(Sintesi!$C$14),1,$C75))*(INDEX(_xlfn.ANCHORARRAY(Sintesi!$C$15),1,$C75)&lt;0)+($E75&gt;=$E74)*($E75&lt;=INDEX($E:$E,MATCH(TRUE,INDEX((ISNUMBER($E:$E)),0),0)))*($E75&gt;INDEX(_xlfn.ANCHORARRAY(Sintesi!$C$14),1,$C75))*($E75&lt;=INDEX(_xlfn.ANCHORARRAY(Sintesi!$C$15),1,$C75))*(INDEX(_xlfn.ANCHORARRAY(Sintesi!$C$15),1,$C75)&gt;0),1,IF(($E75&gt;=$E74)*($E75&lt;=INDEX($E:$E,MATCH(TRUE,INDEX((ISNUMBER($E:$E)),0),0)))*($E75&gt;INDEX(_xlfn.ANCHORARRAY(Sintesi!$C$14),1,$C75))*($E75&lt;INDEX(_xlfn.ANCHORARRAY(Sintesi!$C$16),1,$C75))*(INDEX(_xlfn.ANCHORARRAY(Sintesi!$C$15),1,$C75)&lt;0)+($E75&gt;=$E74)*($E75&lt;=INDEX($E:$E,MATCH(TRUE,INDEX((ISNUMBER($E:$E)),0),0)))*($E75&gt;INDEX(_xlfn.ANCHORARRAY(Sintesi!$C$15),1,$C75))*($E75&lt;INDEX(_xlfn.ANCHORARRAY(Sintesi!$C$16),1,$C75))*(INDEX(_xlfn.ANCHORARRAY(Sintesi!$C$15),1,$C75)&gt;0),2,IF($E75=(INDEX(_xlfn.ANCHORARRAY(Sintesi!$C$16),1,$C75)),3,4)))),0),IF($C75&gt;0,IF(($E75=INDEX(_xlfn.ANCHORARRAY(Sintesi!$C$14),1,$C75))*(INDEX(_xlfn.ANCHORARRAY(Sintesi!$C$15),1,$C75)&gt;0),0,IF(($E75=INDEX(_xlfn.ANCHORARRAY(Sintesi!$C$14),1,$C75))*(INDEX(_xlfn.ANCHORARRAY(Sintesi!$C$15),1,$C75)&lt;0)+($E75&gt;=LOOKUP(2,1/($E:$E&lt;&gt;""),$E:$E))*($E75&lt;=INDEX($E:$E,MATCH(TRUE,INDEX((ISNUMBER($E:$E)),0),0)))*($E75&gt;INDEX(_xlfn.ANCHORARRAY(Sintesi!$C$14),1,$C75))*($E75&lt;=INDEX(_xlfn.ANCHORARRAY(Sintesi!$C$15),1,$C75))*(INDEX(_xlfn.ANCHORARRAY(Sintesi!$C$15),1,$C75)&gt;0),1,IF(($E75&gt;=LOOKUP(2,1/($E:$E&lt;&gt;""),$E:$E))*($E75&lt;=INDEX($E:$E,MATCH(TRUE,INDEX((ISNUMBER($E:$E)),0),0)))*($E75&gt;INDEX(_xlfn.ANCHORARRAY(Sintesi!$C$14),1,$C75))*($E75&lt;INDEX(_xlfn.ANCHORARRAY(Sintesi!$C$16),1,$C75))*(INDEX(_xlfn.ANCHORARRAY(Sintesi!$C$15),1,$C75)&lt;0)+($E75&gt;=LOOKUP(2,1/($E:$E&lt;&gt;""),$E:$E))*($E75&lt;=INDEX($E:$E,MATCH(TRUE,INDEX((ISNUMBER($E:$E)),0),0)))*($E75&gt;INDEX(_xlfn.ANCHORARRAY(Sintesi!$C$15),1,$C75))*($E75&lt;INDEX(_xlfn.ANCHORARRAY(Sintesi!$C$16),1,$C75))*(INDEX(_xlfn.ANCHORARRAY(Sintesi!$C$15),1,$C75)&gt;0),2,IF($E75=(INDEX(_xlfn.ANCHORARRAY(Sintesi!$C$16),1,$C75)),3,4)))),0)),IF(ISNUMBER($E74),IF($C75&gt;0,IF(($E75=INDEX(_xlfn.ANCHORARRAY(Sintesi!$C$14),1,$C75))*(INDEX(_xlfn.ANCHORARRAY(Sintesi!$C$15),1,$C75)&gt;0),0,IF(($E75=INDEX(_xlfn.ANCHORARRAY(Sintesi!$C$14),1,$C75))*(INDEX(_xlfn.ANCHORARRAY(Sintesi!$C$15),1,$C75)&lt;0)+($E75&gt;=$E74)*($E75&lt;=$E76)*($E75&gt;INDEX(_xlfn.ANCHORARRAY(Sintesi!$C$14),1,$C75))*($E75&lt;=INDEX(_xlfn.ANCHORARRAY(Sintesi!$C$15),1,$C75))*(INDEX(_xlfn.ANCHORARRAY(Sintesi!$C$15),1,$C75)&gt;0),1,IF(($E75&gt;=$E74)*($E75&lt;=$E76)*($E75&gt;INDEX(_xlfn.ANCHORARRAY(Sintesi!$C$14),1,$C75))*($E75&lt;INDEX(_xlfn.ANCHORARRAY(Sintesi!$C$16),1,$C75))*(INDEX(_xlfn.ANCHORARRAY(Sintesi!$C$15),1,$C75)&lt;0)+($E75&gt;=$E74)*($E75&lt;=$E76)*($E75&gt;INDEX(_xlfn.ANCHORARRAY(Sintesi!$C$15),1,$C75))*($E75&lt;INDEX(_xlfn.ANCHORARRAY(Sintesi!$C$16),1,$C75))*(INDEX(_xlfn.ANCHORARRAY(Sintesi!$C$15),1,$C75)&gt;0),2,IF($E75=(INDEX(_xlfn.ANCHORARRAY(Sintesi!$C$16),1,$C75)),3,4)))),0),IF($C75&gt;0,IF(($E75=INDEX(_xlfn.ANCHORARRAY(Sintesi!$C$14),1,$C75))*(INDEX(_xlfn.ANCHORARRAY(Sintesi!$C$15),1,$C75)&gt;0),0,IF(($E75=INDEX(_xlfn.ANCHORARRAY(Sintesi!$C$14),1,$C75))*(INDEX(_xlfn.ANCHORARRAY(Sintesi!$C$15),1,$C75)&lt;0)+($E75&gt;=LOOKUP(2,1/($E:$E&lt;&gt;""),$E:$E))*($E75&lt;=$E76)*($E75&gt;INDEX(_xlfn.ANCHORARRAY(Sintesi!$C$14),1,$C75))*($E75&lt;=INDEX(_xlfn.ANCHORARRAY(Sintesi!$C$15),1,$C75))*(INDEX(_xlfn.ANCHORARRAY(Sintesi!$C$15),1,$C75)&gt;0),1,IF(($E75&gt;=LOOKUP(2,1/($E:$E&lt;&gt;""),$E:$E))*($E75&lt;=$E76)*($E75&gt;INDEX(_xlfn.ANCHORARRAY(Sintesi!$C$14),1,$C75))*($E75&lt;INDEX(_xlfn.ANCHORARRAY(Sintesi!$C$16),1,$C75))*(INDEX(_xlfn.ANCHORARRAY(Sintesi!$C$15),1,$C75)&lt;0)+($E75&gt;=LOOKUP(2,1/($E:$E&lt;&gt;""),$E:$E))*($E75&lt;=$E76)*($E75&gt;INDEX(_xlfn.ANCHORARRAY(Sintesi!$C$15),1,$C75))*($E75&lt;INDEX(_xlfn.ANCHORARRAY(Sintesi!$C$16),1,$C75))*(INDEX(_xlfn.ANCHORARRAY(Sintesi!$C$15),1,$C75)&gt;0),2,IF($E75=(INDEX(_xlfn.ANCHORARRAY(Sintesi!$C$16),1,$C75)),3,4)))),0)))</f>
        <v/>
      </c>
      <c r="E75" s="1">
        <f>'Paste cell here'!F75</f>
        <v/>
      </c>
      <c r="F75" s="1">
        <f>'Paste cell here'!C75</f>
        <v/>
      </c>
      <c r="G75" s="1">
        <f>'Paste cell here'!D75</f>
        <v/>
      </c>
      <c r="H75" s="1">
        <f>'Paste cell here'!E75</f>
        <v/>
      </c>
      <c r="I75" s="1">
        <f>'Paste cell here'!X75</f>
        <v/>
      </c>
      <c r="J75" s="1">
        <f>'Paste cell here'!Y75+'Paste cell here'!S75</f>
        <v/>
      </c>
      <c r="K75" s="1">
        <f>I75/H75</f>
        <v/>
      </c>
      <c r="L75" s="1">
        <f>AVERAGE(($F75+$G75)/2-($F75-$G75)/2*COS(PI()*(8-VLOOKUP(MONTH(B75),$O$1:$Q$13,3))/(VLOOKUP(MONTH(B75),$O$1:$Q$13,2)-VLOOKUP(MONTH(B75),$O$1:$Q$13,3))),($F75+$G75)/2-($F75-$G75)/2*COS(PI()*(9-VLOOKUP(MONTH(B75),$O$1:$Q$13,3))/(VLOOKUP(MONTH(B75),$O$1:$Q$13,2)-VLOOKUP(MONTH(B75),$O$1:$Q$13,3))),($F75+$G75)/2-($F75-$G75)/2*COS(PI()*(10-VLOOKUP(MONTH(B75),$O$1:$Q$13,3))/(VLOOKUP(MONTH(B75),$O$1:$Q$13,2)-VLOOKUP(MONTH(B75),$O$1:$Q$13,3))),($F75+$G75)/2-($F75-$G75)/2*COS(PI()*(11-VLOOKUP(MONTH(B75),$O$1:$Q$13,3))/(VLOOKUP(MONTH(B75),$O$1:$Q$13,2)-VLOOKUP(MONTH(B75),$O$1:$Q$13,3))),($F75+$G75)/2-($F75-$G75)/2*COS(PI()*(12-VLOOKUP(MONTH(B75),$O$1:$Q$13,3))/(VLOOKUP(MONTH(B75),$O$1:$Q$13,2)-VLOOKUP(MONTH(B75),$O$1:$Q$13,3))),($F75+$G75)/2-($F75-$G75)/2*COS(PI()*(13-VLOOKUP(MONTH(B75),$O$1:$Q$13,3))/(VLOOKUP(MONTH(B75),$O$1:$Q$13,2)-VLOOKUP(MONTH(B75),$O$1:$Q$13,3))),($F75+$G75)/2-($F75-$G75)/2*COS(PI()*(14-VLOOKUP(MONTH(B75),$O$1:$Q$13,3))/(VLOOKUP(MONTH(B75),$O$1:$Q$13,2)-VLOOKUP(MONTH(B75),$O$1:$Q$13,3))))</f>
        <v/>
      </c>
      <c r="M75" s="1">
        <f t="array" ref="M75">IF(AND(A75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,A75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),IF(L75&lt;_xlfn.IFNA(INDEX(_xlfn.ANCHORARRAY(Sintesi!$C$17)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,1,IF(L75&gt;=_xlfn.IFNA(INDEX(_xlfn.ANCHORARRAY(Sintesi!$C$18)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,0,1-(L75-_xlfn.IFNA(INDEX(_xlfn.ANCHORARRAY(Sintesi!$C$17)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)/(_xlfn.IFNA(INDEX(_xlfn.ANCHORARRAY(Sintesi!$C$18)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-_xlfn.IFNA(INDEX(_xlfn.ANCHORARRAY(Sintesi!$C$17)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))),0)</f>
        <v/>
      </c>
    </row>
    <row r="76">
      <c r="A76" s="1">
        <f>'Paste cell here'!A76</f>
        <v/>
      </c>
      <c r="B76" s="2">
        <f>DATE(Sintesi!$C$4-1,12,31)+A76</f>
        <v/>
      </c>
      <c r="C76" s="34">
        <f t="array" ref="C76">_xlfn.IFNA(MATCH(1,(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)*(_xlfn.ANCHORARRAY(Sintesi!$C$15)&gt;=0)+(_xlfn.ANCHORARRAY(Sintesi!$C$15)&lt;0),0),0)</f>
        <v/>
      </c>
      <c r="D76" s="1">
        <f t="array" ref="D76">IF(ISBLANK($E77),IF(ISNUMBER($E75),IF($C76&gt;0,IF(($E76=INDEX(_xlfn.ANCHORARRAY(Sintesi!$C$14),1,$C76))*(INDEX(_xlfn.ANCHORARRAY(Sintesi!$C$15),1,$C76)&gt;0),0,IF(($E76=INDEX(_xlfn.ANCHORARRAY(Sintesi!$C$14),1,$C76))*(INDEX(_xlfn.ANCHORARRAY(Sintesi!$C$15),1,$C76)&lt;0)+($E76&gt;=$E75)*($E76&lt;=INDEX($E:$E,MATCH(TRUE,INDEX((ISNUMBER($E:$E)),0),0)))*($E76&gt;INDEX(_xlfn.ANCHORARRAY(Sintesi!$C$14),1,$C76))*($E76&lt;=INDEX(_xlfn.ANCHORARRAY(Sintesi!$C$15),1,$C76))*(INDEX(_xlfn.ANCHORARRAY(Sintesi!$C$15),1,$C76)&gt;0),1,IF(($E76&gt;=$E75)*($E76&lt;=INDEX($E:$E,MATCH(TRUE,INDEX((ISNUMBER($E:$E)),0),0)))*($E76&gt;INDEX(_xlfn.ANCHORARRAY(Sintesi!$C$14),1,$C76))*($E76&lt;INDEX(_xlfn.ANCHORARRAY(Sintesi!$C$16),1,$C76))*(INDEX(_xlfn.ANCHORARRAY(Sintesi!$C$15),1,$C76)&lt;0)+($E76&gt;=$E75)*($E76&lt;=INDEX($E:$E,MATCH(TRUE,INDEX((ISNUMBER($E:$E)),0),0)))*($E76&gt;INDEX(_xlfn.ANCHORARRAY(Sintesi!$C$15),1,$C76))*($E76&lt;INDEX(_xlfn.ANCHORARRAY(Sintesi!$C$16),1,$C76))*(INDEX(_xlfn.ANCHORARRAY(Sintesi!$C$15),1,$C76)&gt;0),2,IF($E76=(INDEX(_xlfn.ANCHORARRAY(Sintesi!$C$16),1,$C76)),3,4)))),0),IF($C76&gt;0,IF(($E76=INDEX(_xlfn.ANCHORARRAY(Sintesi!$C$14),1,$C76))*(INDEX(_xlfn.ANCHORARRAY(Sintesi!$C$15),1,$C76)&gt;0),0,IF(($E76=INDEX(_xlfn.ANCHORARRAY(Sintesi!$C$14),1,$C76))*(INDEX(_xlfn.ANCHORARRAY(Sintesi!$C$15),1,$C76)&lt;0)+($E76&gt;=LOOKUP(2,1/($E:$E&lt;&gt;""),$E:$E))*($E76&lt;=INDEX($E:$E,MATCH(TRUE,INDEX((ISNUMBER($E:$E)),0),0)))*($E76&gt;INDEX(_xlfn.ANCHORARRAY(Sintesi!$C$14),1,$C76))*($E76&lt;=INDEX(_xlfn.ANCHORARRAY(Sintesi!$C$15),1,$C76))*(INDEX(_xlfn.ANCHORARRAY(Sintesi!$C$15),1,$C76)&gt;0),1,IF(($E76&gt;=LOOKUP(2,1/($E:$E&lt;&gt;""),$E:$E))*($E76&lt;=INDEX($E:$E,MATCH(TRUE,INDEX((ISNUMBER($E:$E)),0),0)))*($E76&gt;INDEX(_xlfn.ANCHORARRAY(Sintesi!$C$14),1,$C76))*($E76&lt;INDEX(_xlfn.ANCHORARRAY(Sintesi!$C$16),1,$C76))*(INDEX(_xlfn.ANCHORARRAY(Sintesi!$C$15),1,$C76)&lt;0)+($E76&gt;=LOOKUP(2,1/($E:$E&lt;&gt;""),$E:$E))*($E76&lt;=INDEX($E:$E,MATCH(TRUE,INDEX((ISNUMBER($E:$E)),0),0)))*($E76&gt;INDEX(_xlfn.ANCHORARRAY(Sintesi!$C$15),1,$C76))*($E76&lt;INDEX(_xlfn.ANCHORARRAY(Sintesi!$C$16),1,$C76))*(INDEX(_xlfn.ANCHORARRAY(Sintesi!$C$15),1,$C76)&gt;0),2,IF($E76=(INDEX(_xlfn.ANCHORARRAY(Sintesi!$C$16),1,$C76)),3,4)))),0)),IF(ISNUMBER($E75),IF($C76&gt;0,IF(($E76=INDEX(_xlfn.ANCHORARRAY(Sintesi!$C$14),1,$C76))*(INDEX(_xlfn.ANCHORARRAY(Sintesi!$C$15),1,$C76)&gt;0),0,IF(($E76=INDEX(_xlfn.ANCHORARRAY(Sintesi!$C$14),1,$C76))*(INDEX(_xlfn.ANCHORARRAY(Sintesi!$C$15),1,$C76)&lt;0)+($E76&gt;=$E75)*($E76&lt;=$E77)*($E76&gt;INDEX(_xlfn.ANCHORARRAY(Sintesi!$C$14),1,$C76))*($E76&lt;=INDEX(_xlfn.ANCHORARRAY(Sintesi!$C$15),1,$C76))*(INDEX(_xlfn.ANCHORARRAY(Sintesi!$C$15),1,$C76)&gt;0),1,IF(($E76&gt;=$E75)*($E76&lt;=$E77)*($E76&gt;INDEX(_xlfn.ANCHORARRAY(Sintesi!$C$14),1,$C76))*($E76&lt;INDEX(_xlfn.ANCHORARRAY(Sintesi!$C$16),1,$C76))*(INDEX(_xlfn.ANCHORARRAY(Sintesi!$C$15),1,$C76)&lt;0)+($E76&gt;=$E75)*($E76&lt;=$E77)*($E76&gt;INDEX(_xlfn.ANCHORARRAY(Sintesi!$C$15),1,$C76))*($E76&lt;INDEX(_xlfn.ANCHORARRAY(Sintesi!$C$16),1,$C76))*(INDEX(_xlfn.ANCHORARRAY(Sintesi!$C$15),1,$C76)&gt;0),2,IF($E76=(INDEX(_xlfn.ANCHORARRAY(Sintesi!$C$16),1,$C76)),3,4)))),0),IF($C76&gt;0,IF(($E76=INDEX(_xlfn.ANCHORARRAY(Sintesi!$C$14),1,$C76))*(INDEX(_xlfn.ANCHORARRAY(Sintesi!$C$15),1,$C76)&gt;0),0,IF(($E76=INDEX(_xlfn.ANCHORARRAY(Sintesi!$C$14),1,$C76))*(INDEX(_xlfn.ANCHORARRAY(Sintesi!$C$15),1,$C76)&lt;0)+($E76&gt;=LOOKUP(2,1/($E:$E&lt;&gt;""),$E:$E))*($E76&lt;=$E77)*($E76&gt;INDEX(_xlfn.ANCHORARRAY(Sintesi!$C$14),1,$C76))*($E76&lt;=INDEX(_xlfn.ANCHORARRAY(Sintesi!$C$15),1,$C76))*(INDEX(_xlfn.ANCHORARRAY(Sintesi!$C$15),1,$C76)&gt;0),1,IF(($E76&gt;=LOOKUP(2,1/($E:$E&lt;&gt;""),$E:$E))*($E76&lt;=$E77)*($E76&gt;INDEX(_xlfn.ANCHORARRAY(Sintesi!$C$14),1,$C76))*($E76&lt;INDEX(_xlfn.ANCHORARRAY(Sintesi!$C$16),1,$C76))*(INDEX(_xlfn.ANCHORARRAY(Sintesi!$C$15),1,$C76)&lt;0)+($E76&gt;=LOOKUP(2,1/($E:$E&lt;&gt;""),$E:$E))*($E76&lt;=$E77)*($E76&gt;INDEX(_xlfn.ANCHORARRAY(Sintesi!$C$15),1,$C76))*($E76&lt;INDEX(_xlfn.ANCHORARRAY(Sintesi!$C$16),1,$C76))*(INDEX(_xlfn.ANCHORARRAY(Sintesi!$C$15),1,$C76)&gt;0),2,IF($E76=(INDEX(_xlfn.ANCHORARRAY(Sintesi!$C$16),1,$C76)),3,4)))),0)))</f>
        <v/>
      </c>
      <c r="E76" s="1">
        <f>'Paste cell here'!F76</f>
        <v/>
      </c>
      <c r="F76" s="1">
        <f>'Paste cell here'!C76</f>
        <v/>
      </c>
      <c r="G76" s="1">
        <f>'Paste cell here'!D76</f>
        <v/>
      </c>
      <c r="H76" s="1">
        <f>'Paste cell here'!E76</f>
        <v/>
      </c>
      <c r="I76" s="1">
        <f>'Paste cell here'!X76</f>
        <v/>
      </c>
      <c r="J76" s="1">
        <f>'Paste cell here'!Y76+'Paste cell here'!S76</f>
        <v/>
      </c>
      <c r="K76" s="1">
        <f>I76/H76</f>
        <v/>
      </c>
      <c r="L76" s="1">
        <f>AVERAGE(($F76+$G76)/2-($F76-$G76)/2*COS(PI()*(8-VLOOKUP(MONTH(B76),$O$1:$Q$13,3))/(VLOOKUP(MONTH(B76),$O$1:$Q$13,2)-VLOOKUP(MONTH(B76),$O$1:$Q$13,3))),($F76+$G76)/2-($F76-$G76)/2*COS(PI()*(9-VLOOKUP(MONTH(B76),$O$1:$Q$13,3))/(VLOOKUP(MONTH(B76),$O$1:$Q$13,2)-VLOOKUP(MONTH(B76),$O$1:$Q$13,3))),($F76+$G76)/2-($F76-$G76)/2*COS(PI()*(10-VLOOKUP(MONTH(B76),$O$1:$Q$13,3))/(VLOOKUP(MONTH(B76),$O$1:$Q$13,2)-VLOOKUP(MONTH(B76),$O$1:$Q$13,3))),($F76+$G76)/2-($F76-$G76)/2*COS(PI()*(11-VLOOKUP(MONTH(B76),$O$1:$Q$13,3))/(VLOOKUP(MONTH(B76),$O$1:$Q$13,2)-VLOOKUP(MONTH(B76),$O$1:$Q$13,3))),($F76+$G76)/2-($F76-$G76)/2*COS(PI()*(12-VLOOKUP(MONTH(B76),$O$1:$Q$13,3))/(VLOOKUP(MONTH(B76),$O$1:$Q$13,2)-VLOOKUP(MONTH(B76),$O$1:$Q$13,3))),($F76+$G76)/2-($F76-$G76)/2*COS(PI()*(13-VLOOKUP(MONTH(B76),$O$1:$Q$13,3))/(VLOOKUP(MONTH(B76),$O$1:$Q$13,2)-VLOOKUP(MONTH(B76),$O$1:$Q$13,3))),($F76+$G76)/2-($F76-$G76)/2*COS(PI()*(14-VLOOKUP(MONTH(B76),$O$1:$Q$13,3))/(VLOOKUP(MONTH(B76),$O$1:$Q$13,2)-VLOOKUP(MONTH(B76),$O$1:$Q$13,3))))</f>
        <v/>
      </c>
      <c r="M76" s="1">
        <f t="array" ref="M76">IF(AND(A76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,A76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),IF(L76&lt;_xlfn.IFNA(INDEX(_xlfn.ANCHORARRAY(Sintesi!$C$17)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,1,IF(L76&gt;=_xlfn.IFNA(INDEX(_xlfn.ANCHORARRAY(Sintesi!$C$18)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,0,1-(L76-_xlfn.IFNA(INDEX(_xlfn.ANCHORARRAY(Sintesi!$C$17)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)/(_xlfn.IFNA(INDEX(_xlfn.ANCHORARRAY(Sintesi!$C$18)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-_xlfn.IFNA(INDEX(_xlfn.ANCHORARRAY(Sintesi!$C$17)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))),0)</f>
        <v/>
      </c>
    </row>
    <row r="77">
      <c r="A77" s="1">
        <f>'Paste cell here'!A77</f>
        <v/>
      </c>
      <c r="B77" s="2">
        <f>DATE(Sintesi!$C$4-1,12,31)+A77</f>
        <v/>
      </c>
      <c r="C77" s="34">
        <f t="array" ref="C77">_xlfn.IFNA(MATCH(1,(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)*(_xlfn.ANCHORARRAY(Sintesi!$C$15)&gt;=0)+(_xlfn.ANCHORARRAY(Sintesi!$C$15)&lt;0),0),0)</f>
        <v/>
      </c>
      <c r="D77" s="1">
        <f t="array" ref="D77">IF(ISBLANK($E78),IF(ISNUMBER($E76),IF($C77&gt;0,IF(($E77=INDEX(_xlfn.ANCHORARRAY(Sintesi!$C$14),1,$C77))*(INDEX(_xlfn.ANCHORARRAY(Sintesi!$C$15),1,$C77)&gt;0),0,IF(($E77=INDEX(_xlfn.ANCHORARRAY(Sintesi!$C$14),1,$C77))*(INDEX(_xlfn.ANCHORARRAY(Sintesi!$C$15),1,$C77)&lt;0)+($E77&gt;=$E76)*($E77&lt;=INDEX($E:$E,MATCH(TRUE,INDEX((ISNUMBER($E:$E)),0),0)))*($E77&gt;INDEX(_xlfn.ANCHORARRAY(Sintesi!$C$14),1,$C77))*($E77&lt;=INDEX(_xlfn.ANCHORARRAY(Sintesi!$C$15),1,$C77))*(INDEX(_xlfn.ANCHORARRAY(Sintesi!$C$15),1,$C77)&gt;0),1,IF(($E77&gt;=$E76)*($E77&lt;=INDEX($E:$E,MATCH(TRUE,INDEX((ISNUMBER($E:$E)),0),0)))*($E77&gt;INDEX(_xlfn.ANCHORARRAY(Sintesi!$C$14),1,$C77))*($E77&lt;INDEX(_xlfn.ANCHORARRAY(Sintesi!$C$16),1,$C77))*(INDEX(_xlfn.ANCHORARRAY(Sintesi!$C$15),1,$C77)&lt;0)+($E77&gt;=$E76)*($E77&lt;=INDEX($E:$E,MATCH(TRUE,INDEX((ISNUMBER($E:$E)),0),0)))*($E77&gt;INDEX(_xlfn.ANCHORARRAY(Sintesi!$C$15),1,$C77))*($E77&lt;INDEX(_xlfn.ANCHORARRAY(Sintesi!$C$16),1,$C77))*(INDEX(_xlfn.ANCHORARRAY(Sintesi!$C$15),1,$C77)&gt;0),2,IF($E77=(INDEX(_xlfn.ANCHORARRAY(Sintesi!$C$16),1,$C77)),3,4)))),0),IF($C77&gt;0,IF(($E77=INDEX(_xlfn.ANCHORARRAY(Sintesi!$C$14),1,$C77))*(INDEX(_xlfn.ANCHORARRAY(Sintesi!$C$15),1,$C77)&gt;0),0,IF(($E77=INDEX(_xlfn.ANCHORARRAY(Sintesi!$C$14),1,$C77))*(INDEX(_xlfn.ANCHORARRAY(Sintesi!$C$15),1,$C77)&lt;0)+($E77&gt;=LOOKUP(2,1/($E:$E&lt;&gt;""),$E:$E))*($E77&lt;=INDEX($E:$E,MATCH(TRUE,INDEX((ISNUMBER($E:$E)),0),0)))*($E77&gt;INDEX(_xlfn.ANCHORARRAY(Sintesi!$C$14),1,$C77))*($E77&lt;=INDEX(_xlfn.ANCHORARRAY(Sintesi!$C$15),1,$C77))*(INDEX(_xlfn.ANCHORARRAY(Sintesi!$C$15),1,$C77)&gt;0),1,IF(($E77&gt;=LOOKUP(2,1/($E:$E&lt;&gt;""),$E:$E))*($E77&lt;=INDEX($E:$E,MATCH(TRUE,INDEX((ISNUMBER($E:$E)),0),0)))*($E77&gt;INDEX(_xlfn.ANCHORARRAY(Sintesi!$C$14),1,$C77))*($E77&lt;INDEX(_xlfn.ANCHORARRAY(Sintesi!$C$16),1,$C77))*(INDEX(_xlfn.ANCHORARRAY(Sintesi!$C$15),1,$C77)&lt;0)+($E77&gt;=LOOKUP(2,1/($E:$E&lt;&gt;""),$E:$E))*($E77&lt;=INDEX($E:$E,MATCH(TRUE,INDEX((ISNUMBER($E:$E)),0),0)))*($E77&gt;INDEX(_xlfn.ANCHORARRAY(Sintesi!$C$15),1,$C77))*($E77&lt;INDEX(_xlfn.ANCHORARRAY(Sintesi!$C$16),1,$C77))*(INDEX(_xlfn.ANCHORARRAY(Sintesi!$C$15),1,$C77)&gt;0),2,IF($E77=(INDEX(_xlfn.ANCHORARRAY(Sintesi!$C$16),1,$C77)),3,4)))),0)),IF(ISNUMBER($E76),IF($C77&gt;0,IF(($E77=INDEX(_xlfn.ANCHORARRAY(Sintesi!$C$14),1,$C77))*(INDEX(_xlfn.ANCHORARRAY(Sintesi!$C$15),1,$C77)&gt;0),0,IF(($E77=INDEX(_xlfn.ANCHORARRAY(Sintesi!$C$14),1,$C77))*(INDEX(_xlfn.ANCHORARRAY(Sintesi!$C$15),1,$C77)&lt;0)+($E77&gt;=$E76)*($E77&lt;=$E78)*($E77&gt;INDEX(_xlfn.ANCHORARRAY(Sintesi!$C$14),1,$C77))*($E77&lt;=INDEX(_xlfn.ANCHORARRAY(Sintesi!$C$15),1,$C77))*(INDEX(_xlfn.ANCHORARRAY(Sintesi!$C$15),1,$C77)&gt;0),1,IF(($E77&gt;=$E76)*($E77&lt;=$E78)*($E77&gt;INDEX(_xlfn.ANCHORARRAY(Sintesi!$C$14),1,$C77))*($E77&lt;INDEX(_xlfn.ANCHORARRAY(Sintesi!$C$16),1,$C77))*(INDEX(_xlfn.ANCHORARRAY(Sintesi!$C$15),1,$C77)&lt;0)+($E77&gt;=$E76)*($E77&lt;=$E78)*($E77&gt;INDEX(_xlfn.ANCHORARRAY(Sintesi!$C$15),1,$C77))*($E77&lt;INDEX(_xlfn.ANCHORARRAY(Sintesi!$C$16),1,$C77))*(INDEX(_xlfn.ANCHORARRAY(Sintesi!$C$15),1,$C77)&gt;0),2,IF($E77=(INDEX(_xlfn.ANCHORARRAY(Sintesi!$C$16),1,$C77)),3,4)))),0),IF($C77&gt;0,IF(($E77=INDEX(_xlfn.ANCHORARRAY(Sintesi!$C$14),1,$C77))*(INDEX(_xlfn.ANCHORARRAY(Sintesi!$C$15),1,$C77)&gt;0),0,IF(($E77=INDEX(_xlfn.ANCHORARRAY(Sintesi!$C$14),1,$C77))*(INDEX(_xlfn.ANCHORARRAY(Sintesi!$C$15),1,$C77)&lt;0)+($E77&gt;=LOOKUP(2,1/($E:$E&lt;&gt;""),$E:$E))*($E77&lt;=$E78)*($E77&gt;INDEX(_xlfn.ANCHORARRAY(Sintesi!$C$14),1,$C77))*($E77&lt;=INDEX(_xlfn.ANCHORARRAY(Sintesi!$C$15),1,$C77))*(INDEX(_xlfn.ANCHORARRAY(Sintesi!$C$15),1,$C77)&gt;0),1,IF(($E77&gt;=LOOKUP(2,1/($E:$E&lt;&gt;""),$E:$E))*($E77&lt;=$E78)*($E77&gt;INDEX(_xlfn.ANCHORARRAY(Sintesi!$C$14),1,$C77))*($E77&lt;INDEX(_xlfn.ANCHORARRAY(Sintesi!$C$16),1,$C77))*(INDEX(_xlfn.ANCHORARRAY(Sintesi!$C$15),1,$C77)&lt;0)+($E77&gt;=LOOKUP(2,1/($E:$E&lt;&gt;""),$E:$E))*($E77&lt;=$E78)*($E77&gt;INDEX(_xlfn.ANCHORARRAY(Sintesi!$C$15),1,$C77))*($E77&lt;INDEX(_xlfn.ANCHORARRAY(Sintesi!$C$16),1,$C77))*(INDEX(_xlfn.ANCHORARRAY(Sintesi!$C$15),1,$C77)&gt;0),2,IF($E77=(INDEX(_xlfn.ANCHORARRAY(Sintesi!$C$16),1,$C77)),3,4)))),0)))</f>
        <v/>
      </c>
      <c r="E77" s="1">
        <f>'Paste cell here'!F77</f>
        <v/>
      </c>
      <c r="F77" s="1">
        <f>'Paste cell here'!C77</f>
        <v/>
      </c>
      <c r="G77" s="1">
        <f>'Paste cell here'!D77</f>
        <v/>
      </c>
      <c r="H77" s="1">
        <f>'Paste cell here'!E77</f>
        <v/>
      </c>
      <c r="I77" s="1">
        <f>'Paste cell here'!X77</f>
        <v/>
      </c>
      <c r="J77" s="1">
        <f>'Paste cell here'!Y77+'Paste cell here'!S77</f>
        <v/>
      </c>
      <c r="K77" s="1">
        <f>I77/H77</f>
        <v/>
      </c>
      <c r="L77" s="1">
        <f>AVERAGE(($F77+$G77)/2-($F77-$G77)/2*COS(PI()*(8-VLOOKUP(MONTH(B77),$O$1:$Q$13,3))/(VLOOKUP(MONTH(B77),$O$1:$Q$13,2)-VLOOKUP(MONTH(B77),$O$1:$Q$13,3))),($F77+$G77)/2-($F77-$G77)/2*COS(PI()*(9-VLOOKUP(MONTH(B77),$O$1:$Q$13,3))/(VLOOKUP(MONTH(B77),$O$1:$Q$13,2)-VLOOKUP(MONTH(B77),$O$1:$Q$13,3))),($F77+$G77)/2-($F77-$G77)/2*COS(PI()*(10-VLOOKUP(MONTH(B77),$O$1:$Q$13,3))/(VLOOKUP(MONTH(B77),$O$1:$Q$13,2)-VLOOKUP(MONTH(B77),$O$1:$Q$13,3))),($F77+$G77)/2-($F77-$G77)/2*COS(PI()*(11-VLOOKUP(MONTH(B77),$O$1:$Q$13,3))/(VLOOKUP(MONTH(B77),$O$1:$Q$13,2)-VLOOKUP(MONTH(B77),$O$1:$Q$13,3))),($F77+$G77)/2-($F77-$G77)/2*COS(PI()*(12-VLOOKUP(MONTH(B77),$O$1:$Q$13,3))/(VLOOKUP(MONTH(B77),$O$1:$Q$13,2)-VLOOKUP(MONTH(B77),$O$1:$Q$13,3))),($F77+$G77)/2-($F77-$G77)/2*COS(PI()*(13-VLOOKUP(MONTH(B77),$O$1:$Q$13,3))/(VLOOKUP(MONTH(B77),$O$1:$Q$13,2)-VLOOKUP(MONTH(B77),$O$1:$Q$13,3))),($F77+$G77)/2-($F77-$G77)/2*COS(PI()*(14-VLOOKUP(MONTH(B77),$O$1:$Q$13,3))/(VLOOKUP(MONTH(B77),$O$1:$Q$13,2)-VLOOKUP(MONTH(B77),$O$1:$Q$13,3))))</f>
        <v/>
      </c>
      <c r="M77" s="1">
        <f t="array" ref="M77">IF(AND(A77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,A77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),IF(L77&lt;_xlfn.IFNA(INDEX(_xlfn.ANCHORARRAY(Sintesi!$C$17)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,1,IF(L77&gt;=_xlfn.IFNA(INDEX(_xlfn.ANCHORARRAY(Sintesi!$C$18)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,0,1-(L77-_xlfn.IFNA(INDEX(_xlfn.ANCHORARRAY(Sintesi!$C$17)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)/(_xlfn.IFNA(INDEX(_xlfn.ANCHORARRAY(Sintesi!$C$18)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-_xlfn.IFNA(INDEX(_xlfn.ANCHORARRAY(Sintesi!$C$17)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))),0)</f>
        <v/>
      </c>
    </row>
    <row r="78">
      <c r="A78" s="1">
        <f>'Paste cell here'!A78</f>
        <v/>
      </c>
      <c r="B78" s="2">
        <f>DATE(Sintesi!$C$4-1,12,31)+A78</f>
        <v/>
      </c>
      <c r="C78" s="34">
        <f t="array" ref="C78">_xlfn.IFNA(MATCH(1,(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)*(_xlfn.ANCHORARRAY(Sintesi!$C$15)&gt;=0)+(_xlfn.ANCHORARRAY(Sintesi!$C$15)&lt;0),0),0)</f>
        <v/>
      </c>
      <c r="D78" s="1">
        <f t="array" ref="D78">IF(ISBLANK($E79),IF(ISNUMBER($E77),IF($C78&gt;0,IF(($E78=INDEX(_xlfn.ANCHORARRAY(Sintesi!$C$14),1,$C78))*(INDEX(_xlfn.ANCHORARRAY(Sintesi!$C$15),1,$C78)&gt;0),0,IF(($E78=INDEX(_xlfn.ANCHORARRAY(Sintesi!$C$14),1,$C78))*(INDEX(_xlfn.ANCHORARRAY(Sintesi!$C$15),1,$C78)&lt;0)+($E78&gt;=$E77)*($E78&lt;=INDEX($E:$E,MATCH(TRUE,INDEX((ISNUMBER($E:$E)),0),0)))*($E78&gt;INDEX(_xlfn.ANCHORARRAY(Sintesi!$C$14),1,$C78))*($E78&lt;=INDEX(_xlfn.ANCHORARRAY(Sintesi!$C$15),1,$C78))*(INDEX(_xlfn.ANCHORARRAY(Sintesi!$C$15),1,$C78)&gt;0),1,IF(($E78&gt;=$E77)*($E78&lt;=INDEX($E:$E,MATCH(TRUE,INDEX((ISNUMBER($E:$E)),0),0)))*($E78&gt;INDEX(_xlfn.ANCHORARRAY(Sintesi!$C$14),1,$C78))*($E78&lt;INDEX(_xlfn.ANCHORARRAY(Sintesi!$C$16),1,$C78))*(INDEX(_xlfn.ANCHORARRAY(Sintesi!$C$15),1,$C78)&lt;0)+($E78&gt;=$E77)*($E78&lt;=INDEX($E:$E,MATCH(TRUE,INDEX((ISNUMBER($E:$E)),0),0)))*($E78&gt;INDEX(_xlfn.ANCHORARRAY(Sintesi!$C$15),1,$C78))*($E78&lt;INDEX(_xlfn.ANCHORARRAY(Sintesi!$C$16),1,$C78))*(INDEX(_xlfn.ANCHORARRAY(Sintesi!$C$15),1,$C78)&gt;0),2,IF($E78=(INDEX(_xlfn.ANCHORARRAY(Sintesi!$C$16),1,$C78)),3,4)))),0),IF($C78&gt;0,IF(($E78=INDEX(_xlfn.ANCHORARRAY(Sintesi!$C$14),1,$C78))*(INDEX(_xlfn.ANCHORARRAY(Sintesi!$C$15),1,$C78)&gt;0),0,IF(($E78=INDEX(_xlfn.ANCHORARRAY(Sintesi!$C$14),1,$C78))*(INDEX(_xlfn.ANCHORARRAY(Sintesi!$C$15),1,$C78)&lt;0)+($E78&gt;=LOOKUP(2,1/($E:$E&lt;&gt;""),$E:$E))*($E78&lt;=INDEX($E:$E,MATCH(TRUE,INDEX((ISNUMBER($E:$E)),0),0)))*($E78&gt;INDEX(_xlfn.ANCHORARRAY(Sintesi!$C$14),1,$C78))*($E78&lt;=INDEX(_xlfn.ANCHORARRAY(Sintesi!$C$15),1,$C78))*(INDEX(_xlfn.ANCHORARRAY(Sintesi!$C$15),1,$C78)&gt;0),1,IF(($E78&gt;=LOOKUP(2,1/($E:$E&lt;&gt;""),$E:$E))*($E78&lt;=INDEX($E:$E,MATCH(TRUE,INDEX((ISNUMBER($E:$E)),0),0)))*($E78&gt;INDEX(_xlfn.ANCHORARRAY(Sintesi!$C$14),1,$C78))*($E78&lt;INDEX(_xlfn.ANCHORARRAY(Sintesi!$C$16),1,$C78))*(INDEX(_xlfn.ANCHORARRAY(Sintesi!$C$15),1,$C78)&lt;0)+($E78&gt;=LOOKUP(2,1/($E:$E&lt;&gt;""),$E:$E))*($E78&lt;=INDEX($E:$E,MATCH(TRUE,INDEX((ISNUMBER($E:$E)),0),0)))*($E78&gt;INDEX(_xlfn.ANCHORARRAY(Sintesi!$C$15),1,$C78))*($E78&lt;INDEX(_xlfn.ANCHORARRAY(Sintesi!$C$16),1,$C78))*(INDEX(_xlfn.ANCHORARRAY(Sintesi!$C$15),1,$C78)&gt;0),2,IF($E78=(INDEX(_xlfn.ANCHORARRAY(Sintesi!$C$16),1,$C78)),3,4)))),0)),IF(ISNUMBER($E77),IF($C78&gt;0,IF(($E78=INDEX(_xlfn.ANCHORARRAY(Sintesi!$C$14),1,$C78))*(INDEX(_xlfn.ANCHORARRAY(Sintesi!$C$15),1,$C78)&gt;0),0,IF(($E78=INDEX(_xlfn.ANCHORARRAY(Sintesi!$C$14),1,$C78))*(INDEX(_xlfn.ANCHORARRAY(Sintesi!$C$15),1,$C78)&lt;0)+($E78&gt;=$E77)*($E78&lt;=$E79)*($E78&gt;INDEX(_xlfn.ANCHORARRAY(Sintesi!$C$14),1,$C78))*($E78&lt;=INDEX(_xlfn.ANCHORARRAY(Sintesi!$C$15),1,$C78))*(INDEX(_xlfn.ANCHORARRAY(Sintesi!$C$15),1,$C78)&gt;0),1,IF(($E78&gt;=$E77)*($E78&lt;=$E79)*($E78&gt;INDEX(_xlfn.ANCHORARRAY(Sintesi!$C$14),1,$C78))*($E78&lt;INDEX(_xlfn.ANCHORARRAY(Sintesi!$C$16),1,$C78))*(INDEX(_xlfn.ANCHORARRAY(Sintesi!$C$15),1,$C78)&lt;0)+($E78&gt;=$E77)*($E78&lt;=$E79)*($E78&gt;INDEX(_xlfn.ANCHORARRAY(Sintesi!$C$15),1,$C78))*($E78&lt;INDEX(_xlfn.ANCHORARRAY(Sintesi!$C$16),1,$C78))*(INDEX(_xlfn.ANCHORARRAY(Sintesi!$C$15),1,$C78)&gt;0),2,IF($E78=(INDEX(_xlfn.ANCHORARRAY(Sintesi!$C$16),1,$C78)),3,4)))),0),IF($C78&gt;0,IF(($E78=INDEX(_xlfn.ANCHORARRAY(Sintesi!$C$14),1,$C78))*(INDEX(_xlfn.ANCHORARRAY(Sintesi!$C$15),1,$C78)&gt;0),0,IF(($E78=INDEX(_xlfn.ANCHORARRAY(Sintesi!$C$14),1,$C78))*(INDEX(_xlfn.ANCHORARRAY(Sintesi!$C$15),1,$C78)&lt;0)+($E78&gt;=LOOKUP(2,1/($E:$E&lt;&gt;""),$E:$E))*($E78&lt;=$E79)*($E78&gt;INDEX(_xlfn.ANCHORARRAY(Sintesi!$C$14),1,$C78))*($E78&lt;=INDEX(_xlfn.ANCHORARRAY(Sintesi!$C$15),1,$C78))*(INDEX(_xlfn.ANCHORARRAY(Sintesi!$C$15),1,$C78)&gt;0),1,IF(($E78&gt;=LOOKUP(2,1/($E:$E&lt;&gt;""),$E:$E))*($E78&lt;=$E79)*($E78&gt;INDEX(_xlfn.ANCHORARRAY(Sintesi!$C$14),1,$C78))*($E78&lt;INDEX(_xlfn.ANCHORARRAY(Sintesi!$C$16),1,$C78))*(INDEX(_xlfn.ANCHORARRAY(Sintesi!$C$15),1,$C78)&lt;0)+($E78&gt;=LOOKUP(2,1/($E:$E&lt;&gt;""),$E:$E))*($E78&lt;=$E79)*($E78&gt;INDEX(_xlfn.ANCHORARRAY(Sintesi!$C$15),1,$C78))*($E78&lt;INDEX(_xlfn.ANCHORARRAY(Sintesi!$C$16),1,$C78))*(INDEX(_xlfn.ANCHORARRAY(Sintesi!$C$15),1,$C78)&gt;0),2,IF($E78=(INDEX(_xlfn.ANCHORARRAY(Sintesi!$C$16),1,$C78)),3,4)))),0)))</f>
        <v/>
      </c>
      <c r="E78" s="1">
        <f>'Paste cell here'!F78</f>
        <v/>
      </c>
      <c r="F78" s="1">
        <f>'Paste cell here'!C78</f>
        <v/>
      </c>
      <c r="G78" s="1">
        <f>'Paste cell here'!D78</f>
        <v/>
      </c>
      <c r="H78" s="1">
        <f>'Paste cell here'!E78</f>
        <v/>
      </c>
      <c r="I78" s="1">
        <f>'Paste cell here'!X78</f>
        <v/>
      </c>
      <c r="J78" s="1">
        <f>'Paste cell here'!Y78+'Paste cell here'!S78</f>
        <v/>
      </c>
      <c r="K78" s="1">
        <f>I78/H78</f>
        <v/>
      </c>
      <c r="L78" s="1">
        <f>AVERAGE(($F78+$G78)/2-($F78-$G78)/2*COS(PI()*(8-VLOOKUP(MONTH(B78),$O$1:$Q$13,3))/(VLOOKUP(MONTH(B78),$O$1:$Q$13,2)-VLOOKUP(MONTH(B78),$O$1:$Q$13,3))),($F78+$G78)/2-($F78-$G78)/2*COS(PI()*(9-VLOOKUP(MONTH(B78),$O$1:$Q$13,3))/(VLOOKUP(MONTH(B78),$O$1:$Q$13,2)-VLOOKUP(MONTH(B78),$O$1:$Q$13,3))),($F78+$G78)/2-($F78-$G78)/2*COS(PI()*(10-VLOOKUP(MONTH(B78),$O$1:$Q$13,3))/(VLOOKUP(MONTH(B78),$O$1:$Q$13,2)-VLOOKUP(MONTH(B78),$O$1:$Q$13,3))),($F78+$G78)/2-($F78-$G78)/2*COS(PI()*(11-VLOOKUP(MONTH(B78),$O$1:$Q$13,3))/(VLOOKUP(MONTH(B78),$O$1:$Q$13,2)-VLOOKUP(MONTH(B78),$O$1:$Q$13,3))),($F78+$G78)/2-($F78-$G78)/2*COS(PI()*(12-VLOOKUP(MONTH(B78),$O$1:$Q$13,3))/(VLOOKUP(MONTH(B78),$O$1:$Q$13,2)-VLOOKUP(MONTH(B78),$O$1:$Q$13,3))),($F78+$G78)/2-($F78-$G78)/2*COS(PI()*(13-VLOOKUP(MONTH(B78),$O$1:$Q$13,3))/(VLOOKUP(MONTH(B78),$O$1:$Q$13,2)-VLOOKUP(MONTH(B78),$O$1:$Q$13,3))),($F78+$G78)/2-($F78-$G78)/2*COS(PI()*(14-VLOOKUP(MONTH(B78),$O$1:$Q$13,3))/(VLOOKUP(MONTH(B78),$O$1:$Q$13,2)-VLOOKUP(MONTH(B78),$O$1:$Q$13,3))))</f>
        <v/>
      </c>
      <c r="M78" s="1">
        <f t="array" ref="M78">IF(AND(A78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,A78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),IF(L78&lt;_xlfn.IFNA(INDEX(_xlfn.ANCHORARRAY(Sintesi!$C$17)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,1,IF(L78&gt;=_xlfn.IFNA(INDEX(_xlfn.ANCHORARRAY(Sintesi!$C$18)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,0,1-(L78-_xlfn.IFNA(INDEX(_xlfn.ANCHORARRAY(Sintesi!$C$17)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)/(_xlfn.IFNA(INDEX(_xlfn.ANCHORARRAY(Sintesi!$C$18)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-_xlfn.IFNA(INDEX(_xlfn.ANCHORARRAY(Sintesi!$C$17)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))),0)</f>
        <v/>
      </c>
    </row>
    <row r="79">
      <c r="A79" s="1">
        <f>'Paste cell here'!A79</f>
        <v/>
      </c>
      <c r="B79" s="2">
        <f>DATE(Sintesi!$C$4-1,12,31)+A79</f>
        <v/>
      </c>
      <c r="C79" s="34">
        <f t="array" ref="C79">_xlfn.IFNA(MATCH(1,(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)*(_xlfn.ANCHORARRAY(Sintesi!$C$15)&gt;=0)+(_xlfn.ANCHORARRAY(Sintesi!$C$15)&lt;0),0),0)</f>
        <v/>
      </c>
      <c r="D79" s="1">
        <f t="array" ref="D79">IF(ISBLANK($E80),IF(ISNUMBER($E78),IF($C79&gt;0,IF(($E79=INDEX(_xlfn.ANCHORARRAY(Sintesi!$C$14),1,$C79))*(INDEX(_xlfn.ANCHORARRAY(Sintesi!$C$15),1,$C79)&gt;0),0,IF(($E79=INDEX(_xlfn.ANCHORARRAY(Sintesi!$C$14),1,$C79))*(INDEX(_xlfn.ANCHORARRAY(Sintesi!$C$15),1,$C79)&lt;0)+($E79&gt;=$E78)*($E79&lt;=INDEX($E:$E,MATCH(TRUE,INDEX((ISNUMBER($E:$E)),0),0)))*($E79&gt;INDEX(_xlfn.ANCHORARRAY(Sintesi!$C$14),1,$C79))*($E79&lt;=INDEX(_xlfn.ANCHORARRAY(Sintesi!$C$15),1,$C79))*(INDEX(_xlfn.ANCHORARRAY(Sintesi!$C$15),1,$C79)&gt;0),1,IF(($E79&gt;=$E78)*($E79&lt;=INDEX($E:$E,MATCH(TRUE,INDEX((ISNUMBER($E:$E)),0),0)))*($E79&gt;INDEX(_xlfn.ANCHORARRAY(Sintesi!$C$14),1,$C79))*($E79&lt;INDEX(_xlfn.ANCHORARRAY(Sintesi!$C$16),1,$C79))*(INDEX(_xlfn.ANCHORARRAY(Sintesi!$C$15),1,$C79)&lt;0)+($E79&gt;=$E78)*($E79&lt;=INDEX($E:$E,MATCH(TRUE,INDEX((ISNUMBER($E:$E)),0),0)))*($E79&gt;INDEX(_xlfn.ANCHORARRAY(Sintesi!$C$15),1,$C79))*($E79&lt;INDEX(_xlfn.ANCHORARRAY(Sintesi!$C$16),1,$C79))*(INDEX(_xlfn.ANCHORARRAY(Sintesi!$C$15),1,$C79)&gt;0),2,IF($E79=(INDEX(_xlfn.ANCHORARRAY(Sintesi!$C$16),1,$C79)),3,4)))),0),IF($C79&gt;0,IF(($E79=INDEX(_xlfn.ANCHORARRAY(Sintesi!$C$14),1,$C79))*(INDEX(_xlfn.ANCHORARRAY(Sintesi!$C$15),1,$C79)&gt;0),0,IF(($E79=INDEX(_xlfn.ANCHORARRAY(Sintesi!$C$14),1,$C79))*(INDEX(_xlfn.ANCHORARRAY(Sintesi!$C$15),1,$C79)&lt;0)+($E79&gt;=LOOKUP(2,1/($E:$E&lt;&gt;""),$E:$E))*($E79&lt;=INDEX($E:$E,MATCH(TRUE,INDEX((ISNUMBER($E:$E)),0),0)))*($E79&gt;INDEX(_xlfn.ANCHORARRAY(Sintesi!$C$14),1,$C79))*($E79&lt;=INDEX(_xlfn.ANCHORARRAY(Sintesi!$C$15),1,$C79))*(INDEX(_xlfn.ANCHORARRAY(Sintesi!$C$15),1,$C79)&gt;0),1,IF(($E79&gt;=LOOKUP(2,1/($E:$E&lt;&gt;""),$E:$E))*($E79&lt;=INDEX($E:$E,MATCH(TRUE,INDEX((ISNUMBER($E:$E)),0),0)))*($E79&gt;INDEX(_xlfn.ANCHORARRAY(Sintesi!$C$14),1,$C79))*($E79&lt;INDEX(_xlfn.ANCHORARRAY(Sintesi!$C$16),1,$C79))*(INDEX(_xlfn.ANCHORARRAY(Sintesi!$C$15),1,$C79)&lt;0)+($E79&gt;=LOOKUP(2,1/($E:$E&lt;&gt;""),$E:$E))*($E79&lt;=INDEX($E:$E,MATCH(TRUE,INDEX((ISNUMBER($E:$E)),0),0)))*($E79&gt;INDEX(_xlfn.ANCHORARRAY(Sintesi!$C$15),1,$C79))*($E79&lt;INDEX(_xlfn.ANCHORARRAY(Sintesi!$C$16),1,$C79))*(INDEX(_xlfn.ANCHORARRAY(Sintesi!$C$15),1,$C79)&gt;0),2,IF($E79=(INDEX(_xlfn.ANCHORARRAY(Sintesi!$C$16),1,$C79)),3,4)))),0)),IF(ISNUMBER($E78),IF($C79&gt;0,IF(($E79=INDEX(_xlfn.ANCHORARRAY(Sintesi!$C$14),1,$C79))*(INDEX(_xlfn.ANCHORARRAY(Sintesi!$C$15),1,$C79)&gt;0),0,IF(($E79=INDEX(_xlfn.ANCHORARRAY(Sintesi!$C$14),1,$C79))*(INDEX(_xlfn.ANCHORARRAY(Sintesi!$C$15),1,$C79)&lt;0)+($E79&gt;=$E78)*($E79&lt;=$E80)*($E79&gt;INDEX(_xlfn.ANCHORARRAY(Sintesi!$C$14),1,$C79))*($E79&lt;=INDEX(_xlfn.ANCHORARRAY(Sintesi!$C$15),1,$C79))*(INDEX(_xlfn.ANCHORARRAY(Sintesi!$C$15),1,$C79)&gt;0),1,IF(($E79&gt;=$E78)*($E79&lt;=$E80)*($E79&gt;INDEX(_xlfn.ANCHORARRAY(Sintesi!$C$14),1,$C79))*($E79&lt;INDEX(_xlfn.ANCHORARRAY(Sintesi!$C$16),1,$C79))*(INDEX(_xlfn.ANCHORARRAY(Sintesi!$C$15),1,$C79)&lt;0)+($E79&gt;=$E78)*($E79&lt;=$E80)*($E79&gt;INDEX(_xlfn.ANCHORARRAY(Sintesi!$C$15),1,$C79))*($E79&lt;INDEX(_xlfn.ANCHORARRAY(Sintesi!$C$16),1,$C79))*(INDEX(_xlfn.ANCHORARRAY(Sintesi!$C$15),1,$C79)&gt;0),2,IF($E79=(INDEX(_xlfn.ANCHORARRAY(Sintesi!$C$16),1,$C79)),3,4)))),0),IF($C79&gt;0,IF(($E79=INDEX(_xlfn.ANCHORARRAY(Sintesi!$C$14),1,$C79))*(INDEX(_xlfn.ANCHORARRAY(Sintesi!$C$15),1,$C79)&gt;0),0,IF(($E79=INDEX(_xlfn.ANCHORARRAY(Sintesi!$C$14),1,$C79))*(INDEX(_xlfn.ANCHORARRAY(Sintesi!$C$15),1,$C79)&lt;0)+($E79&gt;=LOOKUP(2,1/($E:$E&lt;&gt;""),$E:$E))*($E79&lt;=$E80)*($E79&gt;INDEX(_xlfn.ANCHORARRAY(Sintesi!$C$14),1,$C79))*($E79&lt;=INDEX(_xlfn.ANCHORARRAY(Sintesi!$C$15),1,$C79))*(INDEX(_xlfn.ANCHORARRAY(Sintesi!$C$15),1,$C79)&gt;0),1,IF(($E79&gt;=LOOKUP(2,1/($E:$E&lt;&gt;""),$E:$E))*($E79&lt;=$E80)*($E79&gt;INDEX(_xlfn.ANCHORARRAY(Sintesi!$C$14),1,$C79))*($E79&lt;INDEX(_xlfn.ANCHORARRAY(Sintesi!$C$16),1,$C79))*(INDEX(_xlfn.ANCHORARRAY(Sintesi!$C$15),1,$C79)&lt;0)+($E79&gt;=LOOKUP(2,1/($E:$E&lt;&gt;""),$E:$E))*($E79&lt;=$E80)*($E79&gt;INDEX(_xlfn.ANCHORARRAY(Sintesi!$C$15),1,$C79))*($E79&lt;INDEX(_xlfn.ANCHORARRAY(Sintesi!$C$16),1,$C79))*(INDEX(_xlfn.ANCHORARRAY(Sintesi!$C$15),1,$C79)&gt;0),2,IF($E79=(INDEX(_xlfn.ANCHORARRAY(Sintesi!$C$16),1,$C79)),3,4)))),0)))</f>
        <v/>
      </c>
      <c r="E79" s="1">
        <f>'Paste cell here'!F79</f>
        <v/>
      </c>
      <c r="F79" s="1">
        <f>'Paste cell here'!C79</f>
        <v/>
      </c>
      <c r="G79" s="1">
        <f>'Paste cell here'!D79</f>
        <v/>
      </c>
      <c r="H79" s="1">
        <f>'Paste cell here'!E79</f>
        <v/>
      </c>
      <c r="I79" s="1">
        <f>'Paste cell here'!X79</f>
        <v/>
      </c>
      <c r="J79" s="1">
        <f>'Paste cell here'!Y79+'Paste cell here'!S79</f>
        <v/>
      </c>
      <c r="K79" s="1">
        <f>I79/H79</f>
        <v/>
      </c>
      <c r="L79" s="1">
        <f>AVERAGE(($F79+$G79)/2-($F79-$G79)/2*COS(PI()*(8-VLOOKUP(MONTH(B79),$O$1:$Q$13,3))/(VLOOKUP(MONTH(B79),$O$1:$Q$13,2)-VLOOKUP(MONTH(B79),$O$1:$Q$13,3))),($F79+$G79)/2-($F79-$G79)/2*COS(PI()*(9-VLOOKUP(MONTH(B79),$O$1:$Q$13,3))/(VLOOKUP(MONTH(B79),$O$1:$Q$13,2)-VLOOKUP(MONTH(B79),$O$1:$Q$13,3))),($F79+$G79)/2-($F79-$G79)/2*COS(PI()*(10-VLOOKUP(MONTH(B79),$O$1:$Q$13,3))/(VLOOKUP(MONTH(B79),$O$1:$Q$13,2)-VLOOKUP(MONTH(B79),$O$1:$Q$13,3))),($F79+$G79)/2-($F79-$G79)/2*COS(PI()*(11-VLOOKUP(MONTH(B79),$O$1:$Q$13,3))/(VLOOKUP(MONTH(B79),$O$1:$Q$13,2)-VLOOKUP(MONTH(B79),$O$1:$Q$13,3))),($F79+$G79)/2-($F79-$G79)/2*COS(PI()*(12-VLOOKUP(MONTH(B79),$O$1:$Q$13,3))/(VLOOKUP(MONTH(B79),$O$1:$Q$13,2)-VLOOKUP(MONTH(B79),$O$1:$Q$13,3))),($F79+$G79)/2-($F79-$G79)/2*COS(PI()*(13-VLOOKUP(MONTH(B79),$O$1:$Q$13,3))/(VLOOKUP(MONTH(B79),$O$1:$Q$13,2)-VLOOKUP(MONTH(B79),$O$1:$Q$13,3))),($F79+$G79)/2-($F79-$G79)/2*COS(PI()*(14-VLOOKUP(MONTH(B79),$O$1:$Q$13,3))/(VLOOKUP(MONTH(B79),$O$1:$Q$13,2)-VLOOKUP(MONTH(B79),$O$1:$Q$13,3))))</f>
        <v/>
      </c>
      <c r="M79" s="1">
        <f t="array" ref="M79">IF(AND(A79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,A79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),IF(L79&lt;_xlfn.IFNA(INDEX(_xlfn.ANCHORARRAY(Sintesi!$C$17)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,1,IF(L79&gt;=_xlfn.IFNA(INDEX(_xlfn.ANCHORARRAY(Sintesi!$C$18)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,0,1-(L79-_xlfn.IFNA(INDEX(_xlfn.ANCHORARRAY(Sintesi!$C$17)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)/(_xlfn.IFNA(INDEX(_xlfn.ANCHORARRAY(Sintesi!$C$18)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-_xlfn.IFNA(INDEX(_xlfn.ANCHORARRAY(Sintesi!$C$17)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))),0)</f>
        <v/>
      </c>
    </row>
    <row r="80">
      <c r="A80" s="1">
        <f>'Paste cell here'!A80</f>
        <v/>
      </c>
      <c r="B80" s="2">
        <f>DATE(Sintesi!$C$4-1,12,31)+A80</f>
        <v/>
      </c>
      <c r="C80" s="34">
        <f t="array" ref="C80">_xlfn.IFNA(MATCH(1,(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)*(_xlfn.ANCHORARRAY(Sintesi!$C$15)&gt;=0)+(_xlfn.ANCHORARRAY(Sintesi!$C$15)&lt;0),0),0)</f>
        <v/>
      </c>
      <c r="D80" s="1">
        <f t="array" ref="D80">IF(ISBLANK($E81),IF(ISNUMBER($E79),IF($C80&gt;0,IF(($E80=INDEX(_xlfn.ANCHORARRAY(Sintesi!$C$14),1,$C80))*(INDEX(_xlfn.ANCHORARRAY(Sintesi!$C$15),1,$C80)&gt;0),0,IF(($E80=INDEX(_xlfn.ANCHORARRAY(Sintesi!$C$14),1,$C80))*(INDEX(_xlfn.ANCHORARRAY(Sintesi!$C$15),1,$C80)&lt;0)+($E80&gt;=$E79)*($E80&lt;=INDEX($E:$E,MATCH(TRUE,INDEX((ISNUMBER($E:$E)),0),0)))*($E80&gt;INDEX(_xlfn.ANCHORARRAY(Sintesi!$C$14),1,$C80))*($E80&lt;=INDEX(_xlfn.ANCHORARRAY(Sintesi!$C$15),1,$C80))*(INDEX(_xlfn.ANCHORARRAY(Sintesi!$C$15),1,$C80)&gt;0),1,IF(($E80&gt;=$E79)*($E80&lt;=INDEX($E:$E,MATCH(TRUE,INDEX((ISNUMBER($E:$E)),0),0)))*($E80&gt;INDEX(_xlfn.ANCHORARRAY(Sintesi!$C$14),1,$C80))*($E80&lt;INDEX(_xlfn.ANCHORARRAY(Sintesi!$C$16),1,$C80))*(INDEX(_xlfn.ANCHORARRAY(Sintesi!$C$15),1,$C80)&lt;0)+($E80&gt;=$E79)*($E80&lt;=INDEX($E:$E,MATCH(TRUE,INDEX((ISNUMBER($E:$E)),0),0)))*($E80&gt;INDEX(_xlfn.ANCHORARRAY(Sintesi!$C$15),1,$C80))*($E80&lt;INDEX(_xlfn.ANCHORARRAY(Sintesi!$C$16),1,$C80))*(INDEX(_xlfn.ANCHORARRAY(Sintesi!$C$15),1,$C80)&gt;0),2,IF($E80=(INDEX(_xlfn.ANCHORARRAY(Sintesi!$C$16),1,$C80)),3,4)))),0),IF($C80&gt;0,IF(($E80=INDEX(_xlfn.ANCHORARRAY(Sintesi!$C$14),1,$C80))*(INDEX(_xlfn.ANCHORARRAY(Sintesi!$C$15),1,$C80)&gt;0),0,IF(($E80=INDEX(_xlfn.ANCHORARRAY(Sintesi!$C$14),1,$C80))*(INDEX(_xlfn.ANCHORARRAY(Sintesi!$C$15),1,$C80)&lt;0)+($E80&gt;=LOOKUP(2,1/($E:$E&lt;&gt;""),$E:$E))*($E80&lt;=INDEX($E:$E,MATCH(TRUE,INDEX((ISNUMBER($E:$E)),0),0)))*($E80&gt;INDEX(_xlfn.ANCHORARRAY(Sintesi!$C$14),1,$C80))*($E80&lt;=INDEX(_xlfn.ANCHORARRAY(Sintesi!$C$15),1,$C80))*(INDEX(_xlfn.ANCHORARRAY(Sintesi!$C$15),1,$C80)&gt;0),1,IF(($E80&gt;=LOOKUP(2,1/($E:$E&lt;&gt;""),$E:$E))*($E80&lt;=INDEX($E:$E,MATCH(TRUE,INDEX((ISNUMBER($E:$E)),0),0)))*($E80&gt;INDEX(_xlfn.ANCHORARRAY(Sintesi!$C$14),1,$C80))*($E80&lt;INDEX(_xlfn.ANCHORARRAY(Sintesi!$C$16),1,$C80))*(INDEX(_xlfn.ANCHORARRAY(Sintesi!$C$15),1,$C80)&lt;0)+($E80&gt;=LOOKUP(2,1/($E:$E&lt;&gt;""),$E:$E))*($E80&lt;=INDEX($E:$E,MATCH(TRUE,INDEX((ISNUMBER($E:$E)),0),0)))*($E80&gt;INDEX(_xlfn.ANCHORARRAY(Sintesi!$C$15),1,$C80))*($E80&lt;INDEX(_xlfn.ANCHORARRAY(Sintesi!$C$16),1,$C80))*(INDEX(_xlfn.ANCHORARRAY(Sintesi!$C$15),1,$C80)&gt;0),2,IF($E80=(INDEX(_xlfn.ANCHORARRAY(Sintesi!$C$16),1,$C80)),3,4)))),0)),IF(ISNUMBER($E79),IF($C80&gt;0,IF(($E80=INDEX(_xlfn.ANCHORARRAY(Sintesi!$C$14),1,$C80))*(INDEX(_xlfn.ANCHORARRAY(Sintesi!$C$15),1,$C80)&gt;0),0,IF(($E80=INDEX(_xlfn.ANCHORARRAY(Sintesi!$C$14),1,$C80))*(INDEX(_xlfn.ANCHORARRAY(Sintesi!$C$15),1,$C80)&lt;0)+($E80&gt;=$E79)*($E80&lt;=$E81)*($E80&gt;INDEX(_xlfn.ANCHORARRAY(Sintesi!$C$14),1,$C80))*($E80&lt;=INDEX(_xlfn.ANCHORARRAY(Sintesi!$C$15),1,$C80))*(INDEX(_xlfn.ANCHORARRAY(Sintesi!$C$15),1,$C80)&gt;0),1,IF(($E80&gt;=$E79)*($E80&lt;=$E81)*($E80&gt;INDEX(_xlfn.ANCHORARRAY(Sintesi!$C$14),1,$C80))*($E80&lt;INDEX(_xlfn.ANCHORARRAY(Sintesi!$C$16),1,$C80))*(INDEX(_xlfn.ANCHORARRAY(Sintesi!$C$15),1,$C80)&lt;0)+($E80&gt;=$E79)*($E80&lt;=$E81)*($E80&gt;INDEX(_xlfn.ANCHORARRAY(Sintesi!$C$15),1,$C80))*($E80&lt;INDEX(_xlfn.ANCHORARRAY(Sintesi!$C$16),1,$C80))*(INDEX(_xlfn.ANCHORARRAY(Sintesi!$C$15),1,$C80)&gt;0),2,IF($E80=(INDEX(_xlfn.ANCHORARRAY(Sintesi!$C$16),1,$C80)),3,4)))),0),IF($C80&gt;0,IF(($E80=INDEX(_xlfn.ANCHORARRAY(Sintesi!$C$14),1,$C80))*(INDEX(_xlfn.ANCHORARRAY(Sintesi!$C$15),1,$C80)&gt;0),0,IF(($E80=INDEX(_xlfn.ANCHORARRAY(Sintesi!$C$14),1,$C80))*(INDEX(_xlfn.ANCHORARRAY(Sintesi!$C$15),1,$C80)&lt;0)+($E80&gt;=LOOKUP(2,1/($E:$E&lt;&gt;""),$E:$E))*($E80&lt;=$E81)*($E80&gt;INDEX(_xlfn.ANCHORARRAY(Sintesi!$C$14),1,$C80))*($E80&lt;=INDEX(_xlfn.ANCHORARRAY(Sintesi!$C$15),1,$C80))*(INDEX(_xlfn.ANCHORARRAY(Sintesi!$C$15),1,$C80)&gt;0),1,IF(($E80&gt;=LOOKUP(2,1/($E:$E&lt;&gt;""),$E:$E))*($E80&lt;=$E81)*($E80&gt;INDEX(_xlfn.ANCHORARRAY(Sintesi!$C$14),1,$C80))*($E80&lt;INDEX(_xlfn.ANCHORARRAY(Sintesi!$C$16),1,$C80))*(INDEX(_xlfn.ANCHORARRAY(Sintesi!$C$15),1,$C80)&lt;0)+($E80&gt;=LOOKUP(2,1/($E:$E&lt;&gt;""),$E:$E))*($E80&lt;=$E81)*($E80&gt;INDEX(_xlfn.ANCHORARRAY(Sintesi!$C$15),1,$C80))*($E80&lt;INDEX(_xlfn.ANCHORARRAY(Sintesi!$C$16),1,$C80))*(INDEX(_xlfn.ANCHORARRAY(Sintesi!$C$15),1,$C80)&gt;0),2,IF($E80=(INDEX(_xlfn.ANCHORARRAY(Sintesi!$C$16),1,$C80)),3,4)))),0)))</f>
        <v/>
      </c>
      <c r="E80" s="1">
        <f>'Paste cell here'!F80</f>
        <v/>
      </c>
      <c r="F80" s="1">
        <f>'Paste cell here'!C80</f>
        <v/>
      </c>
      <c r="G80" s="1">
        <f>'Paste cell here'!D80</f>
        <v/>
      </c>
      <c r="H80" s="1">
        <f>'Paste cell here'!E80</f>
        <v/>
      </c>
      <c r="I80" s="1">
        <f>'Paste cell here'!X80</f>
        <v/>
      </c>
      <c r="J80" s="1">
        <f>'Paste cell here'!Y80+'Paste cell here'!S80</f>
        <v/>
      </c>
      <c r="K80" s="1">
        <f>I80/H80</f>
        <v/>
      </c>
      <c r="L80" s="1">
        <f>AVERAGE(($F80+$G80)/2-($F80-$G80)/2*COS(PI()*(8-VLOOKUP(MONTH(B80),$O$1:$Q$13,3))/(VLOOKUP(MONTH(B80),$O$1:$Q$13,2)-VLOOKUP(MONTH(B80),$O$1:$Q$13,3))),($F80+$G80)/2-($F80-$G80)/2*COS(PI()*(9-VLOOKUP(MONTH(B80),$O$1:$Q$13,3))/(VLOOKUP(MONTH(B80),$O$1:$Q$13,2)-VLOOKUP(MONTH(B80),$O$1:$Q$13,3))),($F80+$G80)/2-($F80-$G80)/2*COS(PI()*(10-VLOOKUP(MONTH(B80),$O$1:$Q$13,3))/(VLOOKUP(MONTH(B80),$O$1:$Q$13,2)-VLOOKUP(MONTH(B80),$O$1:$Q$13,3))),($F80+$G80)/2-($F80-$G80)/2*COS(PI()*(11-VLOOKUP(MONTH(B80),$O$1:$Q$13,3))/(VLOOKUP(MONTH(B80),$O$1:$Q$13,2)-VLOOKUP(MONTH(B80),$O$1:$Q$13,3))),($F80+$G80)/2-($F80-$G80)/2*COS(PI()*(12-VLOOKUP(MONTH(B80),$O$1:$Q$13,3))/(VLOOKUP(MONTH(B80),$O$1:$Q$13,2)-VLOOKUP(MONTH(B80),$O$1:$Q$13,3))),($F80+$G80)/2-($F80-$G80)/2*COS(PI()*(13-VLOOKUP(MONTH(B80),$O$1:$Q$13,3))/(VLOOKUP(MONTH(B80),$O$1:$Q$13,2)-VLOOKUP(MONTH(B80),$O$1:$Q$13,3))),($F80+$G80)/2-($F80-$G80)/2*COS(PI()*(14-VLOOKUP(MONTH(B80),$O$1:$Q$13,3))/(VLOOKUP(MONTH(B80),$O$1:$Q$13,2)-VLOOKUP(MONTH(B80),$O$1:$Q$13,3))))</f>
        <v/>
      </c>
      <c r="M80" s="1">
        <f t="array" ref="M80">IF(AND(A80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,A80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),IF(L80&lt;_xlfn.IFNA(INDEX(_xlfn.ANCHORARRAY(Sintesi!$C$17)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,1,IF(L80&gt;=_xlfn.IFNA(INDEX(_xlfn.ANCHORARRAY(Sintesi!$C$18)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,0,1-(L80-_xlfn.IFNA(INDEX(_xlfn.ANCHORARRAY(Sintesi!$C$17)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)/(_xlfn.IFNA(INDEX(_xlfn.ANCHORARRAY(Sintesi!$C$18)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-_xlfn.IFNA(INDEX(_xlfn.ANCHORARRAY(Sintesi!$C$17)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))),0)</f>
        <v/>
      </c>
    </row>
    <row r="81">
      <c r="A81" s="1">
        <f>'Paste cell here'!A81</f>
        <v/>
      </c>
      <c r="B81" s="2">
        <f>DATE(Sintesi!$C$4-1,12,31)+A81</f>
        <v/>
      </c>
      <c r="C81" s="34">
        <f t="array" ref="C81">_xlfn.IFNA(MATCH(1,(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)*(_xlfn.ANCHORARRAY(Sintesi!$C$15)&gt;=0)+(_xlfn.ANCHORARRAY(Sintesi!$C$15)&lt;0),0),0)</f>
        <v/>
      </c>
      <c r="D81" s="1">
        <f t="array" ref="D81">IF(ISBLANK($E82),IF(ISNUMBER($E80),IF($C81&gt;0,IF(($E81=INDEX(_xlfn.ANCHORARRAY(Sintesi!$C$14),1,$C81))*(INDEX(_xlfn.ANCHORARRAY(Sintesi!$C$15),1,$C81)&gt;0),0,IF(($E81=INDEX(_xlfn.ANCHORARRAY(Sintesi!$C$14),1,$C81))*(INDEX(_xlfn.ANCHORARRAY(Sintesi!$C$15),1,$C81)&lt;0)+($E81&gt;=$E80)*($E81&lt;=INDEX($E:$E,MATCH(TRUE,INDEX((ISNUMBER($E:$E)),0),0)))*($E81&gt;INDEX(_xlfn.ANCHORARRAY(Sintesi!$C$14),1,$C81))*($E81&lt;=INDEX(_xlfn.ANCHORARRAY(Sintesi!$C$15),1,$C81))*(INDEX(_xlfn.ANCHORARRAY(Sintesi!$C$15),1,$C81)&gt;0),1,IF(($E81&gt;=$E80)*($E81&lt;=INDEX($E:$E,MATCH(TRUE,INDEX((ISNUMBER($E:$E)),0),0)))*($E81&gt;INDEX(_xlfn.ANCHORARRAY(Sintesi!$C$14),1,$C81))*($E81&lt;INDEX(_xlfn.ANCHORARRAY(Sintesi!$C$16),1,$C81))*(INDEX(_xlfn.ANCHORARRAY(Sintesi!$C$15),1,$C81)&lt;0)+($E81&gt;=$E80)*($E81&lt;=INDEX($E:$E,MATCH(TRUE,INDEX((ISNUMBER($E:$E)),0),0)))*($E81&gt;INDEX(_xlfn.ANCHORARRAY(Sintesi!$C$15),1,$C81))*($E81&lt;INDEX(_xlfn.ANCHORARRAY(Sintesi!$C$16),1,$C81))*(INDEX(_xlfn.ANCHORARRAY(Sintesi!$C$15),1,$C81)&gt;0),2,IF($E81=(INDEX(_xlfn.ANCHORARRAY(Sintesi!$C$16),1,$C81)),3,4)))),0),IF($C81&gt;0,IF(($E81=INDEX(_xlfn.ANCHORARRAY(Sintesi!$C$14),1,$C81))*(INDEX(_xlfn.ANCHORARRAY(Sintesi!$C$15),1,$C81)&gt;0),0,IF(($E81=INDEX(_xlfn.ANCHORARRAY(Sintesi!$C$14),1,$C81))*(INDEX(_xlfn.ANCHORARRAY(Sintesi!$C$15),1,$C81)&lt;0)+($E81&gt;=LOOKUP(2,1/($E:$E&lt;&gt;""),$E:$E))*($E81&lt;=INDEX($E:$E,MATCH(TRUE,INDEX((ISNUMBER($E:$E)),0),0)))*($E81&gt;INDEX(_xlfn.ANCHORARRAY(Sintesi!$C$14),1,$C81))*($E81&lt;=INDEX(_xlfn.ANCHORARRAY(Sintesi!$C$15),1,$C81))*(INDEX(_xlfn.ANCHORARRAY(Sintesi!$C$15),1,$C81)&gt;0),1,IF(($E81&gt;=LOOKUP(2,1/($E:$E&lt;&gt;""),$E:$E))*($E81&lt;=INDEX($E:$E,MATCH(TRUE,INDEX((ISNUMBER($E:$E)),0),0)))*($E81&gt;INDEX(_xlfn.ANCHORARRAY(Sintesi!$C$14),1,$C81))*($E81&lt;INDEX(_xlfn.ANCHORARRAY(Sintesi!$C$16),1,$C81))*(INDEX(_xlfn.ANCHORARRAY(Sintesi!$C$15),1,$C81)&lt;0)+($E81&gt;=LOOKUP(2,1/($E:$E&lt;&gt;""),$E:$E))*($E81&lt;=INDEX($E:$E,MATCH(TRUE,INDEX((ISNUMBER($E:$E)),0),0)))*($E81&gt;INDEX(_xlfn.ANCHORARRAY(Sintesi!$C$15),1,$C81))*($E81&lt;INDEX(_xlfn.ANCHORARRAY(Sintesi!$C$16),1,$C81))*(INDEX(_xlfn.ANCHORARRAY(Sintesi!$C$15),1,$C81)&gt;0),2,IF($E81=(INDEX(_xlfn.ANCHORARRAY(Sintesi!$C$16),1,$C81)),3,4)))),0)),IF(ISNUMBER($E80),IF($C81&gt;0,IF(($E81=INDEX(_xlfn.ANCHORARRAY(Sintesi!$C$14),1,$C81))*(INDEX(_xlfn.ANCHORARRAY(Sintesi!$C$15),1,$C81)&gt;0),0,IF(($E81=INDEX(_xlfn.ANCHORARRAY(Sintesi!$C$14),1,$C81))*(INDEX(_xlfn.ANCHORARRAY(Sintesi!$C$15),1,$C81)&lt;0)+($E81&gt;=$E80)*($E81&lt;=$E82)*($E81&gt;INDEX(_xlfn.ANCHORARRAY(Sintesi!$C$14),1,$C81))*($E81&lt;=INDEX(_xlfn.ANCHORARRAY(Sintesi!$C$15),1,$C81))*(INDEX(_xlfn.ANCHORARRAY(Sintesi!$C$15),1,$C81)&gt;0),1,IF(($E81&gt;=$E80)*($E81&lt;=$E82)*($E81&gt;INDEX(_xlfn.ANCHORARRAY(Sintesi!$C$14),1,$C81))*($E81&lt;INDEX(_xlfn.ANCHORARRAY(Sintesi!$C$16),1,$C81))*(INDEX(_xlfn.ANCHORARRAY(Sintesi!$C$15),1,$C81)&lt;0)+($E81&gt;=$E80)*($E81&lt;=$E82)*($E81&gt;INDEX(_xlfn.ANCHORARRAY(Sintesi!$C$15),1,$C81))*($E81&lt;INDEX(_xlfn.ANCHORARRAY(Sintesi!$C$16),1,$C81))*(INDEX(_xlfn.ANCHORARRAY(Sintesi!$C$15),1,$C81)&gt;0),2,IF($E81=(INDEX(_xlfn.ANCHORARRAY(Sintesi!$C$16),1,$C81)),3,4)))),0),IF($C81&gt;0,IF(($E81=INDEX(_xlfn.ANCHORARRAY(Sintesi!$C$14),1,$C81))*(INDEX(_xlfn.ANCHORARRAY(Sintesi!$C$15),1,$C81)&gt;0),0,IF(($E81=INDEX(_xlfn.ANCHORARRAY(Sintesi!$C$14),1,$C81))*(INDEX(_xlfn.ANCHORARRAY(Sintesi!$C$15),1,$C81)&lt;0)+($E81&gt;=LOOKUP(2,1/($E:$E&lt;&gt;""),$E:$E))*($E81&lt;=$E82)*($E81&gt;INDEX(_xlfn.ANCHORARRAY(Sintesi!$C$14),1,$C81))*($E81&lt;=INDEX(_xlfn.ANCHORARRAY(Sintesi!$C$15),1,$C81))*(INDEX(_xlfn.ANCHORARRAY(Sintesi!$C$15),1,$C81)&gt;0),1,IF(($E81&gt;=LOOKUP(2,1/($E:$E&lt;&gt;""),$E:$E))*($E81&lt;=$E82)*($E81&gt;INDEX(_xlfn.ANCHORARRAY(Sintesi!$C$14),1,$C81))*($E81&lt;INDEX(_xlfn.ANCHORARRAY(Sintesi!$C$16),1,$C81))*(INDEX(_xlfn.ANCHORARRAY(Sintesi!$C$15),1,$C81)&lt;0)+($E81&gt;=LOOKUP(2,1/($E:$E&lt;&gt;""),$E:$E))*($E81&lt;=$E82)*($E81&gt;INDEX(_xlfn.ANCHORARRAY(Sintesi!$C$15),1,$C81))*($E81&lt;INDEX(_xlfn.ANCHORARRAY(Sintesi!$C$16),1,$C81))*(INDEX(_xlfn.ANCHORARRAY(Sintesi!$C$15),1,$C81)&gt;0),2,IF($E81=(INDEX(_xlfn.ANCHORARRAY(Sintesi!$C$16),1,$C81)),3,4)))),0)))</f>
        <v/>
      </c>
      <c r="E81" s="1">
        <f>'Paste cell here'!F81</f>
        <v/>
      </c>
      <c r="F81" s="1">
        <f>'Paste cell here'!C81</f>
        <v/>
      </c>
      <c r="G81" s="1">
        <f>'Paste cell here'!D81</f>
        <v/>
      </c>
      <c r="H81" s="1">
        <f>'Paste cell here'!E81</f>
        <v/>
      </c>
      <c r="I81" s="1">
        <f>'Paste cell here'!X81</f>
        <v/>
      </c>
      <c r="J81" s="1">
        <f>'Paste cell here'!Y81+'Paste cell here'!S81</f>
        <v/>
      </c>
      <c r="K81" s="1">
        <f>I81/H81</f>
        <v/>
      </c>
      <c r="L81" s="1">
        <f>AVERAGE(($F81+$G81)/2-($F81-$G81)/2*COS(PI()*(8-VLOOKUP(MONTH(B81),$O$1:$Q$13,3))/(VLOOKUP(MONTH(B81),$O$1:$Q$13,2)-VLOOKUP(MONTH(B81),$O$1:$Q$13,3))),($F81+$G81)/2-($F81-$G81)/2*COS(PI()*(9-VLOOKUP(MONTH(B81),$O$1:$Q$13,3))/(VLOOKUP(MONTH(B81),$O$1:$Q$13,2)-VLOOKUP(MONTH(B81),$O$1:$Q$13,3))),($F81+$G81)/2-($F81-$G81)/2*COS(PI()*(10-VLOOKUP(MONTH(B81),$O$1:$Q$13,3))/(VLOOKUP(MONTH(B81),$O$1:$Q$13,2)-VLOOKUP(MONTH(B81),$O$1:$Q$13,3))),($F81+$G81)/2-($F81-$G81)/2*COS(PI()*(11-VLOOKUP(MONTH(B81),$O$1:$Q$13,3))/(VLOOKUP(MONTH(B81),$O$1:$Q$13,2)-VLOOKUP(MONTH(B81),$O$1:$Q$13,3))),($F81+$G81)/2-($F81-$G81)/2*COS(PI()*(12-VLOOKUP(MONTH(B81),$O$1:$Q$13,3))/(VLOOKUP(MONTH(B81),$O$1:$Q$13,2)-VLOOKUP(MONTH(B81),$O$1:$Q$13,3))),($F81+$G81)/2-($F81-$G81)/2*COS(PI()*(13-VLOOKUP(MONTH(B81),$O$1:$Q$13,3))/(VLOOKUP(MONTH(B81),$O$1:$Q$13,2)-VLOOKUP(MONTH(B81),$O$1:$Q$13,3))),($F81+$G81)/2-($F81-$G81)/2*COS(PI()*(14-VLOOKUP(MONTH(B81),$O$1:$Q$13,3))/(VLOOKUP(MONTH(B81),$O$1:$Q$13,2)-VLOOKUP(MONTH(B81),$O$1:$Q$13,3))))</f>
        <v/>
      </c>
      <c r="M81" s="1">
        <f t="array" ref="M81">IF(AND(A81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,A81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),IF(L81&lt;_xlfn.IFNA(INDEX(_xlfn.ANCHORARRAY(Sintesi!$C$17)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,1,IF(L81&gt;=_xlfn.IFNA(INDEX(_xlfn.ANCHORARRAY(Sintesi!$C$18)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,0,1-(L81-_xlfn.IFNA(INDEX(_xlfn.ANCHORARRAY(Sintesi!$C$17)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)/(_xlfn.IFNA(INDEX(_xlfn.ANCHORARRAY(Sintesi!$C$18)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-_xlfn.IFNA(INDEX(_xlfn.ANCHORARRAY(Sintesi!$C$17)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))),0)</f>
        <v/>
      </c>
    </row>
    <row r="82">
      <c r="A82" s="1">
        <f>'Paste cell here'!A82</f>
        <v/>
      </c>
      <c r="B82" s="2">
        <f>DATE(Sintesi!$C$4-1,12,31)+A82</f>
        <v/>
      </c>
      <c r="C82" s="34">
        <f t="array" ref="C82">_xlfn.IFNA(MATCH(1,(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)*(_xlfn.ANCHORARRAY(Sintesi!$C$15)&gt;=0)+(_xlfn.ANCHORARRAY(Sintesi!$C$15)&lt;0),0),0)</f>
        <v/>
      </c>
      <c r="D82" s="1">
        <f t="array" ref="D82">IF(ISBLANK($E83),IF(ISNUMBER($E81),IF($C82&gt;0,IF(($E82=INDEX(_xlfn.ANCHORARRAY(Sintesi!$C$14),1,$C82))*(INDEX(_xlfn.ANCHORARRAY(Sintesi!$C$15),1,$C82)&gt;0),0,IF(($E82=INDEX(_xlfn.ANCHORARRAY(Sintesi!$C$14),1,$C82))*(INDEX(_xlfn.ANCHORARRAY(Sintesi!$C$15),1,$C82)&lt;0)+($E82&gt;=$E81)*($E82&lt;=INDEX($E:$E,MATCH(TRUE,INDEX((ISNUMBER($E:$E)),0),0)))*($E82&gt;INDEX(_xlfn.ANCHORARRAY(Sintesi!$C$14),1,$C82))*($E82&lt;=INDEX(_xlfn.ANCHORARRAY(Sintesi!$C$15),1,$C82))*(INDEX(_xlfn.ANCHORARRAY(Sintesi!$C$15),1,$C82)&gt;0),1,IF(($E82&gt;=$E81)*($E82&lt;=INDEX($E:$E,MATCH(TRUE,INDEX((ISNUMBER($E:$E)),0),0)))*($E82&gt;INDEX(_xlfn.ANCHORARRAY(Sintesi!$C$14),1,$C82))*($E82&lt;INDEX(_xlfn.ANCHORARRAY(Sintesi!$C$16),1,$C82))*(INDEX(_xlfn.ANCHORARRAY(Sintesi!$C$15),1,$C82)&lt;0)+($E82&gt;=$E81)*($E82&lt;=INDEX($E:$E,MATCH(TRUE,INDEX((ISNUMBER($E:$E)),0),0)))*($E82&gt;INDEX(_xlfn.ANCHORARRAY(Sintesi!$C$15),1,$C82))*($E82&lt;INDEX(_xlfn.ANCHORARRAY(Sintesi!$C$16),1,$C82))*(INDEX(_xlfn.ANCHORARRAY(Sintesi!$C$15),1,$C82)&gt;0),2,IF($E82=(INDEX(_xlfn.ANCHORARRAY(Sintesi!$C$16),1,$C82)),3,4)))),0),IF($C82&gt;0,IF(($E82=INDEX(_xlfn.ANCHORARRAY(Sintesi!$C$14),1,$C82))*(INDEX(_xlfn.ANCHORARRAY(Sintesi!$C$15),1,$C82)&gt;0),0,IF(($E82=INDEX(_xlfn.ANCHORARRAY(Sintesi!$C$14),1,$C82))*(INDEX(_xlfn.ANCHORARRAY(Sintesi!$C$15),1,$C82)&lt;0)+($E82&gt;=LOOKUP(2,1/($E:$E&lt;&gt;""),$E:$E))*($E82&lt;=INDEX($E:$E,MATCH(TRUE,INDEX((ISNUMBER($E:$E)),0),0)))*($E82&gt;INDEX(_xlfn.ANCHORARRAY(Sintesi!$C$14),1,$C82))*($E82&lt;=INDEX(_xlfn.ANCHORARRAY(Sintesi!$C$15),1,$C82))*(INDEX(_xlfn.ANCHORARRAY(Sintesi!$C$15),1,$C82)&gt;0),1,IF(($E82&gt;=LOOKUP(2,1/($E:$E&lt;&gt;""),$E:$E))*($E82&lt;=INDEX($E:$E,MATCH(TRUE,INDEX((ISNUMBER($E:$E)),0),0)))*($E82&gt;INDEX(_xlfn.ANCHORARRAY(Sintesi!$C$14),1,$C82))*($E82&lt;INDEX(_xlfn.ANCHORARRAY(Sintesi!$C$16),1,$C82))*(INDEX(_xlfn.ANCHORARRAY(Sintesi!$C$15),1,$C82)&lt;0)+($E82&gt;=LOOKUP(2,1/($E:$E&lt;&gt;""),$E:$E))*($E82&lt;=INDEX($E:$E,MATCH(TRUE,INDEX((ISNUMBER($E:$E)),0),0)))*($E82&gt;INDEX(_xlfn.ANCHORARRAY(Sintesi!$C$15),1,$C82))*($E82&lt;INDEX(_xlfn.ANCHORARRAY(Sintesi!$C$16),1,$C82))*(INDEX(_xlfn.ANCHORARRAY(Sintesi!$C$15),1,$C82)&gt;0),2,IF($E82=(INDEX(_xlfn.ANCHORARRAY(Sintesi!$C$16),1,$C82)),3,4)))),0)),IF(ISNUMBER($E81),IF($C82&gt;0,IF(($E82=INDEX(_xlfn.ANCHORARRAY(Sintesi!$C$14),1,$C82))*(INDEX(_xlfn.ANCHORARRAY(Sintesi!$C$15),1,$C82)&gt;0),0,IF(($E82=INDEX(_xlfn.ANCHORARRAY(Sintesi!$C$14),1,$C82))*(INDEX(_xlfn.ANCHORARRAY(Sintesi!$C$15),1,$C82)&lt;0)+($E82&gt;=$E81)*($E82&lt;=$E83)*($E82&gt;INDEX(_xlfn.ANCHORARRAY(Sintesi!$C$14),1,$C82))*($E82&lt;=INDEX(_xlfn.ANCHORARRAY(Sintesi!$C$15),1,$C82))*(INDEX(_xlfn.ANCHORARRAY(Sintesi!$C$15),1,$C82)&gt;0),1,IF(($E82&gt;=$E81)*($E82&lt;=$E83)*($E82&gt;INDEX(_xlfn.ANCHORARRAY(Sintesi!$C$14),1,$C82))*($E82&lt;INDEX(_xlfn.ANCHORARRAY(Sintesi!$C$16),1,$C82))*(INDEX(_xlfn.ANCHORARRAY(Sintesi!$C$15),1,$C82)&lt;0)+($E82&gt;=$E81)*($E82&lt;=$E83)*($E82&gt;INDEX(_xlfn.ANCHORARRAY(Sintesi!$C$15),1,$C82))*($E82&lt;INDEX(_xlfn.ANCHORARRAY(Sintesi!$C$16),1,$C82))*(INDEX(_xlfn.ANCHORARRAY(Sintesi!$C$15),1,$C82)&gt;0),2,IF($E82=(INDEX(_xlfn.ANCHORARRAY(Sintesi!$C$16),1,$C82)),3,4)))),0),IF($C82&gt;0,IF(($E82=INDEX(_xlfn.ANCHORARRAY(Sintesi!$C$14),1,$C82))*(INDEX(_xlfn.ANCHORARRAY(Sintesi!$C$15),1,$C82)&gt;0),0,IF(($E82=INDEX(_xlfn.ANCHORARRAY(Sintesi!$C$14),1,$C82))*(INDEX(_xlfn.ANCHORARRAY(Sintesi!$C$15),1,$C82)&lt;0)+($E82&gt;=LOOKUP(2,1/($E:$E&lt;&gt;""),$E:$E))*($E82&lt;=$E83)*($E82&gt;INDEX(_xlfn.ANCHORARRAY(Sintesi!$C$14),1,$C82))*($E82&lt;=INDEX(_xlfn.ANCHORARRAY(Sintesi!$C$15),1,$C82))*(INDEX(_xlfn.ANCHORARRAY(Sintesi!$C$15),1,$C82)&gt;0),1,IF(($E82&gt;=LOOKUP(2,1/($E:$E&lt;&gt;""),$E:$E))*($E82&lt;=$E83)*($E82&gt;INDEX(_xlfn.ANCHORARRAY(Sintesi!$C$14),1,$C82))*($E82&lt;INDEX(_xlfn.ANCHORARRAY(Sintesi!$C$16),1,$C82))*(INDEX(_xlfn.ANCHORARRAY(Sintesi!$C$15),1,$C82)&lt;0)+($E82&gt;=LOOKUP(2,1/($E:$E&lt;&gt;""),$E:$E))*($E82&lt;=$E83)*($E82&gt;INDEX(_xlfn.ANCHORARRAY(Sintesi!$C$15),1,$C82))*($E82&lt;INDEX(_xlfn.ANCHORARRAY(Sintesi!$C$16),1,$C82))*(INDEX(_xlfn.ANCHORARRAY(Sintesi!$C$15),1,$C82)&gt;0),2,IF($E82=(INDEX(_xlfn.ANCHORARRAY(Sintesi!$C$16),1,$C82)),3,4)))),0)))</f>
        <v/>
      </c>
      <c r="E82" s="1">
        <f>'Paste cell here'!F82</f>
        <v/>
      </c>
      <c r="F82" s="1">
        <f>'Paste cell here'!C82</f>
        <v/>
      </c>
      <c r="G82" s="1">
        <f>'Paste cell here'!D82</f>
        <v/>
      </c>
      <c r="H82" s="1">
        <f>'Paste cell here'!E82</f>
        <v/>
      </c>
      <c r="I82" s="1">
        <f>'Paste cell here'!X82</f>
        <v/>
      </c>
      <c r="J82" s="1">
        <f>'Paste cell here'!Y82+'Paste cell here'!S82</f>
        <v/>
      </c>
      <c r="K82" s="1">
        <f>I82/H82</f>
        <v/>
      </c>
      <c r="L82" s="1">
        <f>AVERAGE(($F82+$G82)/2-($F82-$G82)/2*COS(PI()*(8-VLOOKUP(MONTH(B82),$O$1:$Q$13,3))/(VLOOKUP(MONTH(B82),$O$1:$Q$13,2)-VLOOKUP(MONTH(B82),$O$1:$Q$13,3))),($F82+$G82)/2-($F82-$G82)/2*COS(PI()*(9-VLOOKUP(MONTH(B82),$O$1:$Q$13,3))/(VLOOKUP(MONTH(B82),$O$1:$Q$13,2)-VLOOKUP(MONTH(B82),$O$1:$Q$13,3))),($F82+$G82)/2-($F82-$G82)/2*COS(PI()*(10-VLOOKUP(MONTH(B82),$O$1:$Q$13,3))/(VLOOKUP(MONTH(B82),$O$1:$Q$13,2)-VLOOKUP(MONTH(B82),$O$1:$Q$13,3))),($F82+$G82)/2-($F82-$G82)/2*COS(PI()*(11-VLOOKUP(MONTH(B82),$O$1:$Q$13,3))/(VLOOKUP(MONTH(B82),$O$1:$Q$13,2)-VLOOKUP(MONTH(B82),$O$1:$Q$13,3))),($F82+$G82)/2-($F82-$G82)/2*COS(PI()*(12-VLOOKUP(MONTH(B82),$O$1:$Q$13,3))/(VLOOKUP(MONTH(B82),$O$1:$Q$13,2)-VLOOKUP(MONTH(B82),$O$1:$Q$13,3))),($F82+$G82)/2-($F82-$G82)/2*COS(PI()*(13-VLOOKUP(MONTH(B82),$O$1:$Q$13,3))/(VLOOKUP(MONTH(B82),$O$1:$Q$13,2)-VLOOKUP(MONTH(B82),$O$1:$Q$13,3))),($F82+$G82)/2-($F82-$G82)/2*COS(PI()*(14-VLOOKUP(MONTH(B82),$O$1:$Q$13,3))/(VLOOKUP(MONTH(B82),$O$1:$Q$13,2)-VLOOKUP(MONTH(B82),$O$1:$Q$13,3))))</f>
        <v/>
      </c>
      <c r="M82" s="1">
        <f t="array" ref="M82">IF(AND(A82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,A82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),IF(L82&lt;_xlfn.IFNA(INDEX(_xlfn.ANCHORARRAY(Sintesi!$C$17)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,1,IF(L82&gt;=_xlfn.IFNA(INDEX(_xlfn.ANCHORARRAY(Sintesi!$C$18)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,0,1-(L82-_xlfn.IFNA(INDEX(_xlfn.ANCHORARRAY(Sintesi!$C$17)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)/(_xlfn.IFNA(INDEX(_xlfn.ANCHORARRAY(Sintesi!$C$18)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-_xlfn.IFNA(INDEX(_xlfn.ANCHORARRAY(Sintesi!$C$17)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))),0)</f>
        <v/>
      </c>
    </row>
    <row r="83">
      <c r="A83" s="1">
        <f>'Paste cell here'!A83</f>
        <v/>
      </c>
      <c r="B83" s="2">
        <f>DATE(Sintesi!$C$4-1,12,31)+A83</f>
        <v/>
      </c>
      <c r="C83" s="34">
        <f t="array" ref="C83">_xlfn.IFNA(MATCH(1,(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)*(_xlfn.ANCHORARRAY(Sintesi!$C$15)&gt;=0)+(_xlfn.ANCHORARRAY(Sintesi!$C$15)&lt;0),0),0)</f>
        <v/>
      </c>
      <c r="D83" s="1">
        <f t="array" ref="D83">IF(ISBLANK($E84),IF(ISNUMBER($E82),IF($C83&gt;0,IF(($E83=INDEX(_xlfn.ANCHORARRAY(Sintesi!$C$14),1,$C83))*(INDEX(_xlfn.ANCHORARRAY(Sintesi!$C$15),1,$C83)&gt;0),0,IF(($E83=INDEX(_xlfn.ANCHORARRAY(Sintesi!$C$14),1,$C83))*(INDEX(_xlfn.ANCHORARRAY(Sintesi!$C$15),1,$C83)&lt;0)+($E83&gt;=$E82)*($E83&lt;=INDEX($E:$E,MATCH(TRUE,INDEX((ISNUMBER($E:$E)),0),0)))*($E83&gt;INDEX(_xlfn.ANCHORARRAY(Sintesi!$C$14),1,$C83))*($E83&lt;=INDEX(_xlfn.ANCHORARRAY(Sintesi!$C$15),1,$C83))*(INDEX(_xlfn.ANCHORARRAY(Sintesi!$C$15),1,$C83)&gt;0),1,IF(($E83&gt;=$E82)*($E83&lt;=INDEX($E:$E,MATCH(TRUE,INDEX((ISNUMBER($E:$E)),0),0)))*($E83&gt;INDEX(_xlfn.ANCHORARRAY(Sintesi!$C$14),1,$C83))*($E83&lt;INDEX(_xlfn.ANCHORARRAY(Sintesi!$C$16),1,$C83))*(INDEX(_xlfn.ANCHORARRAY(Sintesi!$C$15),1,$C83)&lt;0)+($E83&gt;=$E82)*($E83&lt;=INDEX($E:$E,MATCH(TRUE,INDEX((ISNUMBER($E:$E)),0),0)))*($E83&gt;INDEX(_xlfn.ANCHORARRAY(Sintesi!$C$15),1,$C83))*($E83&lt;INDEX(_xlfn.ANCHORARRAY(Sintesi!$C$16),1,$C83))*(INDEX(_xlfn.ANCHORARRAY(Sintesi!$C$15),1,$C83)&gt;0),2,IF($E83=(INDEX(_xlfn.ANCHORARRAY(Sintesi!$C$16),1,$C83)),3,4)))),0),IF($C83&gt;0,IF(($E83=INDEX(_xlfn.ANCHORARRAY(Sintesi!$C$14),1,$C83))*(INDEX(_xlfn.ANCHORARRAY(Sintesi!$C$15),1,$C83)&gt;0),0,IF(($E83=INDEX(_xlfn.ANCHORARRAY(Sintesi!$C$14),1,$C83))*(INDEX(_xlfn.ANCHORARRAY(Sintesi!$C$15),1,$C83)&lt;0)+($E83&gt;=LOOKUP(2,1/($E:$E&lt;&gt;""),$E:$E))*($E83&lt;=INDEX($E:$E,MATCH(TRUE,INDEX((ISNUMBER($E:$E)),0),0)))*($E83&gt;INDEX(_xlfn.ANCHORARRAY(Sintesi!$C$14),1,$C83))*($E83&lt;=INDEX(_xlfn.ANCHORARRAY(Sintesi!$C$15),1,$C83))*(INDEX(_xlfn.ANCHORARRAY(Sintesi!$C$15),1,$C83)&gt;0),1,IF(($E83&gt;=LOOKUP(2,1/($E:$E&lt;&gt;""),$E:$E))*($E83&lt;=INDEX($E:$E,MATCH(TRUE,INDEX((ISNUMBER($E:$E)),0),0)))*($E83&gt;INDEX(_xlfn.ANCHORARRAY(Sintesi!$C$14),1,$C83))*($E83&lt;INDEX(_xlfn.ANCHORARRAY(Sintesi!$C$16),1,$C83))*(INDEX(_xlfn.ANCHORARRAY(Sintesi!$C$15),1,$C83)&lt;0)+($E83&gt;=LOOKUP(2,1/($E:$E&lt;&gt;""),$E:$E))*($E83&lt;=INDEX($E:$E,MATCH(TRUE,INDEX((ISNUMBER($E:$E)),0),0)))*($E83&gt;INDEX(_xlfn.ANCHORARRAY(Sintesi!$C$15),1,$C83))*($E83&lt;INDEX(_xlfn.ANCHORARRAY(Sintesi!$C$16),1,$C83))*(INDEX(_xlfn.ANCHORARRAY(Sintesi!$C$15),1,$C83)&gt;0),2,IF($E83=(INDEX(_xlfn.ANCHORARRAY(Sintesi!$C$16),1,$C83)),3,4)))),0)),IF(ISNUMBER($E82),IF($C83&gt;0,IF(($E83=INDEX(_xlfn.ANCHORARRAY(Sintesi!$C$14),1,$C83))*(INDEX(_xlfn.ANCHORARRAY(Sintesi!$C$15),1,$C83)&gt;0),0,IF(($E83=INDEX(_xlfn.ANCHORARRAY(Sintesi!$C$14),1,$C83))*(INDEX(_xlfn.ANCHORARRAY(Sintesi!$C$15),1,$C83)&lt;0)+($E83&gt;=$E82)*($E83&lt;=$E84)*($E83&gt;INDEX(_xlfn.ANCHORARRAY(Sintesi!$C$14),1,$C83))*($E83&lt;=INDEX(_xlfn.ANCHORARRAY(Sintesi!$C$15),1,$C83))*(INDEX(_xlfn.ANCHORARRAY(Sintesi!$C$15),1,$C83)&gt;0),1,IF(($E83&gt;=$E82)*($E83&lt;=$E84)*($E83&gt;INDEX(_xlfn.ANCHORARRAY(Sintesi!$C$14),1,$C83))*($E83&lt;INDEX(_xlfn.ANCHORARRAY(Sintesi!$C$16),1,$C83))*(INDEX(_xlfn.ANCHORARRAY(Sintesi!$C$15),1,$C83)&lt;0)+($E83&gt;=$E82)*($E83&lt;=$E84)*($E83&gt;INDEX(_xlfn.ANCHORARRAY(Sintesi!$C$15),1,$C83))*($E83&lt;INDEX(_xlfn.ANCHORARRAY(Sintesi!$C$16),1,$C83))*(INDEX(_xlfn.ANCHORARRAY(Sintesi!$C$15),1,$C83)&gt;0),2,IF($E83=(INDEX(_xlfn.ANCHORARRAY(Sintesi!$C$16),1,$C83)),3,4)))),0),IF($C83&gt;0,IF(($E83=INDEX(_xlfn.ANCHORARRAY(Sintesi!$C$14),1,$C83))*(INDEX(_xlfn.ANCHORARRAY(Sintesi!$C$15),1,$C83)&gt;0),0,IF(($E83=INDEX(_xlfn.ANCHORARRAY(Sintesi!$C$14),1,$C83))*(INDEX(_xlfn.ANCHORARRAY(Sintesi!$C$15),1,$C83)&lt;0)+($E83&gt;=LOOKUP(2,1/($E:$E&lt;&gt;""),$E:$E))*($E83&lt;=$E84)*($E83&gt;INDEX(_xlfn.ANCHORARRAY(Sintesi!$C$14),1,$C83))*($E83&lt;=INDEX(_xlfn.ANCHORARRAY(Sintesi!$C$15),1,$C83))*(INDEX(_xlfn.ANCHORARRAY(Sintesi!$C$15),1,$C83)&gt;0),1,IF(($E83&gt;=LOOKUP(2,1/($E:$E&lt;&gt;""),$E:$E))*($E83&lt;=$E84)*($E83&gt;INDEX(_xlfn.ANCHORARRAY(Sintesi!$C$14),1,$C83))*($E83&lt;INDEX(_xlfn.ANCHORARRAY(Sintesi!$C$16),1,$C83))*(INDEX(_xlfn.ANCHORARRAY(Sintesi!$C$15),1,$C83)&lt;0)+($E83&gt;=LOOKUP(2,1/($E:$E&lt;&gt;""),$E:$E))*($E83&lt;=$E84)*($E83&gt;INDEX(_xlfn.ANCHORARRAY(Sintesi!$C$15),1,$C83))*($E83&lt;INDEX(_xlfn.ANCHORARRAY(Sintesi!$C$16),1,$C83))*(INDEX(_xlfn.ANCHORARRAY(Sintesi!$C$15),1,$C83)&gt;0),2,IF($E83=(INDEX(_xlfn.ANCHORARRAY(Sintesi!$C$16),1,$C83)),3,4)))),0)))</f>
        <v/>
      </c>
      <c r="E83" s="1">
        <f>'Paste cell here'!F83</f>
        <v/>
      </c>
      <c r="F83" s="1">
        <f>'Paste cell here'!C83</f>
        <v/>
      </c>
      <c r="G83" s="1">
        <f>'Paste cell here'!D83</f>
        <v/>
      </c>
      <c r="H83" s="1">
        <f>'Paste cell here'!E83</f>
        <v/>
      </c>
      <c r="I83" s="1">
        <f>'Paste cell here'!X83</f>
        <v/>
      </c>
      <c r="J83" s="1">
        <f>'Paste cell here'!Y83+'Paste cell here'!S83</f>
        <v/>
      </c>
      <c r="K83" s="1">
        <f>I83/H83</f>
        <v/>
      </c>
      <c r="L83" s="1">
        <f>AVERAGE(($F83+$G83)/2-($F83-$G83)/2*COS(PI()*(8-VLOOKUP(MONTH(B83),$O$1:$Q$13,3))/(VLOOKUP(MONTH(B83),$O$1:$Q$13,2)-VLOOKUP(MONTH(B83),$O$1:$Q$13,3))),($F83+$G83)/2-($F83-$G83)/2*COS(PI()*(9-VLOOKUP(MONTH(B83),$O$1:$Q$13,3))/(VLOOKUP(MONTH(B83),$O$1:$Q$13,2)-VLOOKUP(MONTH(B83),$O$1:$Q$13,3))),($F83+$G83)/2-($F83-$G83)/2*COS(PI()*(10-VLOOKUP(MONTH(B83),$O$1:$Q$13,3))/(VLOOKUP(MONTH(B83),$O$1:$Q$13,2)-VLOOKUP(MONTH(B83),$O$1:$Q$13,3))),($F83+$G83)/2-($F83-$G83)/2*COS(PI()*(11-VLOOKUP(MONTH(B83),$O$1:$Q$13,3))/(VLOOKUP(MONTH(B83),$O$1:$Q$13,2)-VLOOKUP(MONTH(B83),$O$1:$Q$13,3))),($F83+$G83)/2-($F83-$G83)/2*COS(PI()*(12-VLOOKUP(MONTH(B83),$O$1:$Q$13,3))/(VLOOKUP(MONTH(B83),$O$1:$Q$13,2)-VLOOKUP(MONTH(B83),$O$1:$Q$13,3))),($F83+$G83)/2-($F83-$G83)/2*COS(PI()*(13-VLOOKUP(MONTH(B83),$O$1:$Q$13,3))/(VLOOKUP(MONTH(B83),$O$1:$Q$13,2)-VLOOKUP(MONTH(B83),$O$1:$Q$13,3))),($F83+$G83)/2-($F83-$G83)/2*COS(PI()*(14-VLOOKUP(MONTH(B83),$O$1:$Q$13,3))/(VLOOKUP(MONTH(B83),$O$1:$Q$13,2)-VLOOKUP(MONTH(B83),$O$1:$Q$13,3))))</f>
        <v/>
      </c>
      <c r="M83" s="1">
        <f t="array" ref="M83">IF(AND(A83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,A83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),IF(L83&lt;_xlfn.IFNA(INDEX(_xlfn.ANCHORARRAY(Sintesi!$C$17)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,1,IF(L83&gt;=_xlfn.IFNA(INDEX(_xlfn.ANCHORARRAY(Sintesi!$C$18)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,0,1-(L83-_xlfn.IFNA(INDEX(_xlfn.ANCHORARRAY(Sintesi!$C$17)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)/(_xlfn.IFNA(INDEX(_xlfn.ANCHORARRAY(Sintesi!$C$18)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-_xlfn.IFNA(INDEX(_xlfn.ANCHORARRAY(Sintesi!$C$17)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))),0)</f>
        <v/>
      </c>
    </row>
    <row r="84">
      <c r="A84" s="1">
        <f>'Paste cell here'!A84</f>
        <v/>
      </c>
      <c r="B84" s="2">
        <f>DATE(Sintesi!$C$4-1,12,31)+A84</f>
        <v/>
      </c>
      <c r="C84" s="34">
        <f t="array" ref="C84">_xlfn.IFNA(MATCH(1,(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)*(_xlfn.ANCHORARRAY(Sintesi!$C$15)&gt;=0)+(_xlfn.ANCHORARRAY(Sintesi!$C$15)&lt;0),0),0)</f>
        <v/>
      </c>
      <c r="D84" s="1">
        <f t="array" ref="D84">IF(ISBLANK($E85),IF(ISNUMBER($E83),IF($C84&gt;0,IF(($E84=INDEX(_xlfn.ANCHORARRAY(Sintesi!$C$14),1,$C84))*(INDEX(_xlfn.ANCHORARRAY(Sintesi!$C$15),1,$C84)&gt;0),0,IF(($E84=INDEX(_xlfn.ANCHORARRAY(Sintesi!$C$14),1,$C84))*(INDEX(_xlfn.ANCHORARRAY(Sintesi!$C$15),1,$C84)&lt;0)+($E84&gt;=$E83)*($E84&lt;=INDEX($E:$E,MATCH(TRUE,INDEX((ISNUMBER($E:$E)),0),0)))*($E84&gt;INDEX(_xlfn.ANCHORARRAY(Sintesi!$C$14),1,$C84))*($E84&lt;=INDEX(_xlfn.ANCHORARRAY(Sintesi!$C$15),1,$C84))*(INDEX(_xlfn.ANCHORARRAY(Sintesi!$C$15),1,$C84)&gt;0),1,IF(($E84&gt;=$E83)*($E84&lt;=INDEX($E:$E,MATCH(TRUE,INDEX((ISNUMBER($E:$E)),0),0)))*($E84&gt;INDEX(_xlfn.ANCHORARRAY(Sintesi!$C$14),1,$C84))*($E84&lt;INDEX(_xlfn.ANCHORARRAY(Sintesi!$C$16),1,$C84))*(INDEX(_xlfn.ANCHORARRAY(Sintesi!$C$15),1,$C84)&lt;0)+($E84&gt;=$E83)*($E84&lt;=INDEX($E:$E,MATCH(TRUE,INDEX((ISNUMBER($E:$E)),0),0)))*($E84&gt;INDEX(_xlfn.ANCHORARRAY(Sintesi!$C$15),1,$C84))*($E84&lt;INDEX(_xlfn.ANCHORARRAY(Sintesi!$C$16),1,$C84))*(INDEX(_xlfn.ANCHORARRAY(Sintesi!$C$15),1,$C84)&gt;0),2,IF($E84=(INDEX(_xlfn.ANCHORARRAY(Sintesi!$C$16),1,$C84)),3,4)))),0),IF($C84&gt;0,IF(($E84=INDEX(_xlfn.ANCHORARRAY(Sintesi!$C$14),1,$C84))*(INDEX(_xlfn.ANCHORARRAY(Sintesi!$C$15),1,$C84)&gt;0),0,IF(($E84=INDEX(_xlfn.ANCHORARRAY(Sintesi!$C$14),1,$C84))*(INDEX(_xlfn.ANCHORARRAY(Sintesi!$C$15),1,$C84)&lt;0)+($E84&gt;=LOOKUP(2,1/($E:$E&lt;&gt;""),$E:$E))*($E84&lt;=INDEX($E:$E,MATCH(TRUE,INDEX((ISNUMBER($E:$E)),0),0)))*($E84&gt;INDEX(_xlfn.ANCHORARRAY(Sintesi!$C$14),1,$C84))*($E84&lt;=INDEX(_xlfn.ANCHORARRAY(Sintesi!$C$15),1,$C84))*(INDEX(_xlfn.ANCHORARRAY(Sintesi!$C$15),1,$C84)&gt;0),1,IF(($E84&gt;=LOOKUP(2,1/($E:$E&lt;&gt;""),$E:$E))*($E84&lt;=INDEX($E:$E,MATCH(TRUE,INDEX((ISNUMBER($E:$E)),0),0)))*($E84&gt;INDEX(_xlfn.ANCHORARRAY(Sintesi!$C$14),1,$C84))*($E84&lt;INDEX(_xlfn.ANCHORARRAY(Sintesi!$C$16),1,$C84))*(INDEX(_xlfn.ANCHORARRAY(Sintesi!$C$15),1,$C84)&lt;0)+($E84&gt;=LOOKUP(2,1/($E:$E&lt;&gt;""),$E:$E))*($E84&lt;=INDEX($E:$E,MATCH(TRUE,INDEX((ISNUMBER($E:$E)),0),0)))*($E84&gt;INDEX(_xlfn.ANCHORARRAY(Sintesi!$C$15),1,$C84))*($E84&lt;INDEX(_xlfn.ANCHORARRAY(Sintesi!$C$16),1,$C84))*(INDEX(_xlfn.ANCHORARRAY(Sintesi!$C$15),1,$C84)&gt;0),2,IF($E84=(INDEX(_xlfn.ANCHORARRAY(Sintesi!$C$16),1,$C84)),3,4)))),0)),IF(ISNUMBER($E83),IF($C84&gt;0,IF(($E84=INDEX(_xlfn.ANCHORARRAY(Sintesi!$C$14),1,$C84))*(INDEX(_xlfn.ANCHORARRAY(Sintesi!$C$15),1,$C84)&gt;0),0,IF(($E84=INDEX(_xlfn.ANCHORARRAY(Sintesi!$C$14),1,$C84))*(INDEX(_xlfn.ANCHORARRAY(Sintesi!$C$15),1,$C84)&lt;0)+($E84&gt;=$E83)*($E84&lt;=$E85)*($E84&gt;INDEX(_xlfn.ANCHORARRAY(Sintesi!$C$14),1,$C84))*($E84&lt;=INDEX(_xlfn.ANCHORARRAY(Sintesi!$C$15),1,$C84))*(INDEX(_xlfn.ANCHORARRAY(Sintesi!$C$15),1,$C84)&gt;0),1,IF(($E84&gt;=$E83)*($E84&lt;=$E85)*($E84&gt;INDEX(_xlfn.ANCHORARRAY(Sintesi!$C$14),1,$C84))*($E84&lt;INDEX(_xlfn.ANCHORARRAY(Sintesi!$C$16),1,$C84))*(INDEX(_xlfn.ANCHORARRAY(Sintesi!$C$15),1,$C84)&lt;0)+($E84&gt;=$E83)*($E84&lt;=$E85)*($E84&gt;INDEX(_xlfn.ANCHORARRAY(Sintesi!$C$15),1,$C84))*($E84&lt;INDEX(_xlfn.ANCHORARRAY(Sintesi!$C$16),1,$C84))*(INDEX(_xlfn.ANCHORARRAY(Sintesi!$C$15),1,$C84)&gt;0),2,IF($E84=(INDEX(_xlfn.ANCHORARRAY(Sintesi!$C$16),1,$C84)),3,4)))),0),IF($C84&gt;0,IF(($E84=INDEX(_xlfn.ANCHORARRAY(Sintesi!$C$14),1,$C84))*(INDEX(_xlfn.ANCHORARRAY(Sintesi!$C$15),1,$C84)&gt;0),0,IF(($E84=INDEX(_xlfn.ANCHORARRAY(Sintesi!$C$14),1,$C84))*(INDEX(_xlfn.ANCHORARRAY(Sintesi!$C$15),1,$C84)&lt;0)+($E84&gt;=LOOKUP(2,1/($E:$E&lt;&gt;""),$E:$E))*($E84&lt;=$E85)*($E84&gt;INDEX(_xlfn.ANCHORARRAY(Sintesi!$C$14),1,$C84))*($E84&lt;=INDEX(_xlfn.ANCHORARRAY(Sintesi!$C$15),1,$C84))*(INDEX(_xlfn.ANCHORARRAY(Sintesi!$C$15),1,$C84)&gt;0),1,IF(($E84&gt;=LOOKUP(2,1/($E:$E&lt;&gt;""),$E:$E))*($E84&lt;=$E85)*($E84&gt;INDEX(_xlfn.ANCHORARRAY(Sintesi!$C$14),1,$C84))*($E84&lt;INDEX(_xlfn.ANCHORARRAY(Sintesi!$C$16),1,$C84))*(INDEX(_xlfn.ANCHORARRAY(Sintesi!$C$15),1,$C84)&lt;0)+($E84&gt;=LOOKUP(2,1/($E:$E&lt;&gt;""),$E:$E))*($E84&lt;=$E85)*($E84&gt;INDEX(_xlfn.ANCHORARRAY(Sintesi!$C$15),1,$C84))*($E84&lt;INDEX(_xlfn.ANCHORARRAY(Sintesi!$C$16),1,$C84))*(INDEX(_xlfn.ANCHORARRAY(Sintesi!$C$15),1,$C84)&gt;0),2,IF($E84=(INDEX(_xlfn.ANCHORARRAY(Sintesi!$C$16),1,$C84)),3,4)))),0)))</f>
        <v/>
      </c>
      <c r="E84" s="1">
        <f>'Paste cell here'!F84</f>
        <v/>
      </c>
      <c r="F84" s="1">
        <f>'Paste cell here'!C84</f>
        <v/>
      </c>
      <c r="G84" s="1">
        <f>'Paste cell here'!D84</f>
        <v/>
      </c>
      <c r="H84" s="1">
        <f>'Paste cell here'!E84</f>
        <v/>
      </c>
      <c r="I84" s="1">
        <f>'Paste cell here'!X84</f>
        <v/>
      </c>
      <c r="J84" s="1">
        <f>'Paste cell here'!Y84+'Paste cell here'!S84</f>
        <v/>
      </c>
      <c r="K84" s="1">
        <f>I84/H84</f>
        <v/>
      </c>
      <c r="L84" s="1">
        <f>AVERAGE(($F84+$G84)/2-($F84-$G84)/2*COS(PI()*(8-VLOOKUP(MONTH(B84),$O$1:$Q$13,3))/(VLOOKUP(MONTH(B84),$O$1:$Q$13,2)-VLOOKUP(MONTH(B84),$O$1:$Q$13,3))),($F84+$G84)/2-($F84-$G84)/2*COS(PI()*(9-VLOOKUP(MONTH(B84),$O$1:$Q$13,3))/(VLOOKUP(MONTH(B84),$O$1:$Q$13,2)-VLOOKUP(MONTH(B84),$O$1:$Q$13,3))),($F84+$G84)/2-($F84-$G84)/2*COS(PI()*(10-VLOOKUP(MONTH(B84),$O$1:$Q$13,3))/(VLOOKUP(MONTH(B84),$O$1:$Q$13,2)-VLOOKUP(MONTH(B84),$O$1:$Q$13,3))),($F84+$G84)/2-($F84-$G84)/2*COS(PI()*(11-VLOOKUP(MONTH(B84),$O$1:$Q$13,3))/(VLOOKUP(MONTH(B84),$O$1:$Q$13,2)-VLOOKUP(MONTH(B84),$O$1:$Q$13,3))),($F84+$G84)/2-($F84-$G84)/2*COS(PI()*(12-VLOOKUP(MONTH(B84),$O$1:$Q$13,3))/(VLOOKUP(MONTH(B84),$O$1:$Q$13,2)-VLOOKUP(MONTH(B84),$O$1:$Q$13,3))),($F84+$G84)/2-($F84-$G84)/2*COS(PI()*(13-VLOOKUP(MONTH(B84),$O$1:$Q$13,3))/(VLOOKUP(MONTH(B84),$O$1:$Q$13,2)-VLOOKUP(MONTH(B84),$O$1:$Q$13,3))),($F84+$G84)/2-($F84-$G84)/2*COS(PI()*(14-VLOOKUP(MONTH(B84),$O$1:$Q$13,3))/(VLOOKUP(MONTH(B84),$O$1:$Q$13,2)-VLOOKUP(MONTH(B84),$O$1:$Q$13,3))))</f>
        <v/>
      </c>
      <c r="M84" s="1">
        <f t="array" ref="M84">IF(AND(A84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,A84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),IF(L84&lt;_xlfn.IFNA(INDEX(_xlfn.ANCHORARRAY(Sintesi!$C$17)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,1,IF(L84&gt;=_xlfn.IFNA(INDEX(_xlfn.ANCHORARRAY(Sintesi!$C$18)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,0,1-(L84-_xlfn.IFNA(INDEX(_xlfn.ANCHORARRAY(Sintesi!$C$17)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)/(_xlfn.IFNA(INDEX(_xlfn.ANCHORARRAY(Sintesi!$C$18)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-_xlfn.IFNA(INDEX(_xlfn.ANCHORARRAY(Sintesi!$C$17)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))),0)</f>
        <v/>
      </c>
    </row>
    <row r="85">
      <c r="A85" s="1">
        <f>'Paste cell here'!A85</f>
        <v/>
      </c>
      <c r="B85" s="2">
        <f>DATE(Sintesi!$C$4-1,12,31)+A85</f>
        <v/>
      </c>
      <c r="C85" s="34">
        <f t="array" ref="C85">_xlfn.IFNA(MATCH(1,(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)*(_xlfn.ANCHORARRAY(Sintesi!$C$15)&gt;=0)+(_xlfn.ANCHORARRAY(Sintesi!$C$15)&lt;0),0),0)</f>
        <v/>
      </c>
      <c r="D85" s="1">
        <f t="array" ref="D85">IF(ISBLANK($E86),IF(ISNUMBER($E84),IF($C85&gt;0,IF(($E85=INDEX(_xlfn.ANCHORARRAY(Sintesi!$C$14),1,$C85))*(INDEX(_xlfn.ANCHORARRAY(Sintesi!$C$15),1,$C85)&gt;0),0,IF(($E85=INDEX(_xlfn.ANCHORARRAY(Sintesi!$C$14),1,$C85))*(INDEX(_xlfn.ANCHORARRAY(Sintesi!$C$15),1,$C85)&lt;0)+($E85&gt;=$E84)*($E85&lt;=INDEX($E:$E,MATCH(TRUE,INDEX((ISNUMBER($E:$E)),0),0)))*($E85&gt;INDEX(_xlfn.ANCHORARRAY(Sintesi!$C$14),1,$C85))*($E85&lt;=INDEX(_xlfn.ANCHORARRAY(Sintesi!$C$15),1,$C85))*(INDEX(_xlfn.ANCHORARRAY(Sintesi!$C$15),1,$C85)&gt;0),1,IF(($E85&gt;=$E84)*($E85&lt;=INDEX($E:$E,MATCH(TRUE,INDEX((ISNUMBER($E:$E)),0),0)))*($E85&gt;INDEX(_xlfn.ANCHORARRAY(Sintesi!$C$14),1,$C85))*($E85&lt;INDEX(_xlfn.ANCHORARRAY(Sintesi!$C$16),1,$C85))*(INDEX(_xlfn.ANCHORARRAY(Sintesi!$C$15),1,$C85)&lt;0)+($E85&gt;=$E84)*($E85&lt;=INDEX($E:$E,MATCH(TRUE,INDEX((ISNUMBER($E:$E)),0),0)))*($E85&gt;INDEX(_xlfn.ANCHORARRAY(Sintesi!$C$15),1,$C85))*($E85&lt;INDEX(_xlfn.ANCHORARRAY(Sintesi!$C$16),1,$C85))*(INDEX(_xlfn.ANCHORARRAY(Sintesi!$C$15),1,$C85)&gt;0),2,IF($E85=(INDEX(_xlfn.ANCHORARRAY(Sintesi!$C$16),1,$C85)),3,4)))),0),IF($C85&gt;0,IF(($E85=INDEX(_xlfn.ANCHORARRAY(Sintesi!$C$14),1,$C85))*(INDEX(_xlfn.ANCHORARRAY(Sintesi!$C$15),1,$C85)&gt;0),0,IF(($E85=INDEX(_xlfn.ANCHORARRAY(Sintesi!$C$14),1,$C85))*(INDEX(_xlfn.ANCHORARRAY(Sintesi!$C$15),1,$C85)&lt;0)+($E85&gt;=LOOKUP(2,1/($E:$E&lt;&gt;""),$E:$E))*($E85&lt;=INDEX($E:$E,MATCH(TRUE,INDEX((ISNUMBER($E:$E)),0),0)))*($E85&gt;INDEX(_xlfn.ANCHORARRAY(Sintesi!$C$14),1,$C85))*($E85&lt;=INDEX(_xlfn.ANCHORARRAY(Sintesi!$C$15),1,$C85))*(INDEX(_xlfn.ANCHORARRAY(Sintesi!$C$15),1,$C85)&gt;0),1,IF(($E85&gt;=LOOKUP(2,1/($E:$E&lt;&gt;""),$E:$E))*($E85&lt;=INDEX($E:$E,MATCH(TRUE,INDEX((ISNUMBER($E:$E)),0),0)))*($E85&gt;INDEX(_xlfn.ANCHORARRAY(Sintesi!$C$14),1,$C85))*($E85&lt;INDEX(_xlfn.ANCHORARRAY(Sintesi!$C$16),1,$C85))*(INDEX(_xlfn.ANCHORARRAY(Sintesi!$C$15),1,$C85)&lt;0)+($E85&gt;=LOOKUP(2,1/($E:$E&lt;&gt;""),$E:$E))*($E85&lt;=INDEX($E:$E,MATCH(TRUE,INDEX((ISNUMBER($E:$E)),0),0)))*($E85&gt;INDEX(_xlfn.ANCHORARRAY(Sintesi!$C$15),1,$C85))*($E85&lt;INDEX(_xlfn.ANCHORARRAY(Sintesi!$C$16),1,$C85))*(INDEX(_xlfn.ANCHORARRAY(Sintesi!$C$15),1,$C85)&gt;0),2,IF($E85=(INDEX(_xlfn.ANCHORARRAY(Sintesi!$C$16),1,$C85)),3,4)))),0)),IF(ISNUMBER($E84),IF($C85&gt;0,IF(($E85=INDEX(_xlfn.ANCHORARRAY(Sintesi!$C$14),1,$C85))*(INDEX(_xlfn.ANCHORARRAY(Sintesi!$C$15),1,$C85)&gt;0),0,IF(($E85=INDEX(_xlfn.ANCHORARRAY(Sintesi!$C$14),1,$C85))*(INDEX(_xlfn.ANCHORARRAY(Sintesi!$C$15),1,$C85)&lt;0)+($E85&gt;=$E84)*($E85&lt;=$E86)*($E85&gt;INDEX(_xlfn.ANCHORARRAY(Sintesi!$C$14),1,$C85))*($E85&lt;=INDEX(_xlfn.ANCHORARRAY(Sintesi!$C$15),1,$C85))*(INDEX(_xlfn.ANCHORARRAY(Sintesi!$C$15),1,$C85)&gt;0),1,IF(($E85&gt;=$E84)*($E85&lt;=$E86)*($E85&gt;INDEX(_xlfn.ANCHORARRAY(Sintesi!$C$14),1,$C85))*($E85&lt;INDEX(_xlfn.ANCHORARRAY(Sintesi!$C$16),1,$C85))*(INDEX(_xlfn.ANCHORARRAY(Sintesi!$C$15),1,$C85)&lt;0)+($E85&gt;=$E84)*($E85&lt;=$E86)*($E85&gt;INDEX(_xlfn.ANCHORARRAY(Sintesi!$C$15),1,$C85))*($E85&lt;INDEX(_xlfn.ANCHORARRAY(Sintesi!$C$16),1,$C85))*(INDEX(_xlfn.ANCHORARRAY(Sintesi!$C$15),1,$C85)&gt;0),2,IF($E85=(INDEX(_xlfn.ANCHORARRAY(Sintesi!$C$16),1,$C85)),3,4)))),0),IF($C85&gt;0,IF(($E85=INDEX(_xlfn.ANCHORARRAY(Sintesi!$C$14),1,$C85))*(INDEX(_xlfn.ANCHORARRAY(Sintesi!$C$15),1,$C85)&gt;0),0,IF(($E85=INDEX(_xlfn.ANCHORARRAY(Sintesi!$C$14),1,$C85))*(INDEX(_xlfn.ANCHORARRAY(Sintesi!$C$15),1,$C85)&lt;0)+($E85&gt;=LOOKUP(2,1/($E:$E&lt;&gt;""),$E:$E))*($E85&lt;=$E86)*($E85&gt;INDEX(_xlfn.ANCHORARRAY(Sintesi!$C$14),1,$C85))*($E85&lt;=INDEX(_xlfn.ANCHORARRAY(Sintesi!$C$15),1,$C85))*(INDEX(_xlfn.ANCHORARRAY(Sintesi!$C$15),1,$C85)&gt;0),1,IF(($E85&gt;=LOOKUP(2,1/($E:$E&lt;&gt;""),$E:$E))*($E85&lt;=$E86)*($E85&gt;INDEX(_xlfn.ANCHORARRAY(Sintesi!$C$14),1,$C85))*($E85&lt;INDEX(_xlfn.ANCHORARRAY(Sintesi!$C$16),1,$C85))*(INDEX(_xlfn.ANCHORARRAY(Sintesi!$C$15),1,$C85)&lt;0)+($E85&gt;=LOOKUP(2,1/($E:$E&lt;&gt;""),$E:$E))*($E85&lt;=$E86)*($E85&gt;INDEX(_xlfn.ANCHORARRAY(Sintesi!$C$15),1,$C85))*($E85&lt;INDEX(_xlfn.ANCHORARRAY(Sintesi!$C$16),1,$C85))*(INDEX(_xlfn.ANCHORARRAY(Sintesi!$C$15),1,$C85)&gt;0),2,IF($E85=(INDEX(_xlfn.ANCHORARRAY(Sintesi!$C$16),1,$C85)),3,4)))),0)))</f>
        <v/>
      </c>
      <c r="E85" s="1">
        <f>'Paste cell here'!F85</f>
        <v/>
      </c>
      <c r="F85" s="1">
        <f>'Paste cell here'!C85</f>
        <v/>
      </c>
      <c r="G85" s="1">
        <f>'Paste cell here'!D85</f>
        <v/>
      </c>
      <c r="H85" s="1">
        <f>'Paste cell here'!E85</f>
        <v/>
      </c>
      <c r="I85" s="1">
        <f>'Paste cell here'!X85</f>
        <v/>
      </c>
      <c r="J85" s="1">
        <f>'Paste cell here'!Y85+'Paste cell here'!S85</f>
        <v/>
      </c>
      <c r="K85" s="1">
        <f>I85/H85</f>
        <v/>
      </c>
      <c r="L85" s="1">
        <f>AVERAGE(($F85+$G85)/2-($F85-$G85)/2*COS(PI()*(8-VLOOKUP(MONTH(B85),$O$1:$Q$13,3))/(VLOOKUP(MONTH(B85),$O$1:$Q$13,2)-VLOOKUP(MONTH(B85),$O$1:$Q$13,3))),($F85+$G85)/2-($F85-$G85)/2*COS(PI()*(9-VLOOKUP(MONTH(B85),$O$1:$Q$13,3))/(VLOOKUP(MONTH(B85),$O$1:$Q$13,2)-VLOOKUP(MONTH(B85),$O$1:$Q$13,3))),($F85+$G85)/2-($F85-$G85)/2*COS(PI()*(10-VLOOKUP(MONTH(B85),$O$1:$Q$13,3))/(VLOOKUP(MONTH(B85),$O$1:$Q$13,2)-VLOOKUP(MONTH(B85),$O$1:$Q$13,3))),($F85+$G85)/2-($F85-$G85)/2*COS(PI()*(11-VLOOKUP(MONTH(B85),$O$1:$Q$13,3))/(VLOOKUP(MONTH(B85),$O$1:$Q$13,2)-VLOOKUP(MONTH(B85),$O$1:$Q$13,3))),($F85+$G85)/2-($F85-$G85)/2*COS(PI()*(12-VLOOKUP(MONTH(B85),$O$1:$Q$13,3))/(VLOOKUP(MONTH(B85),$O$1:$Q$13,2)-VLOOKUP(MONTH(B85),$O$1:$Q$13,3))),($F85+$G85)/2-($F85-$G85)/2*COS(PI()*(13-VLOOKUP(MONTH(B85),$O$1:$Q$13,3))/(VLOOKUP(MONTH(B85),$O$1:$Q$13,2)-VLOOKUP(MONTH(B85),$O$1:$Q$13,3))),($F85+$G85)/2-($F85-$G85)/2*COS(PI()*(14-VLOOKUP(MONTH(B85),$O$1:$Q$13,3))/(VLOOKUP(MONTH(B85),$O$1:$Q$13,2)-VLOOKUP(MONTH(B85),$O$1:$Q$13,3))))</f>
        <v/>
      </c>
      <c r="M85" s="1">
        <f t="array" ref="M85">IF(AND(A85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,A85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),IF(L85&lt;_xlfn.IFNA(INDEX(_xlfn.ANCHORARRAY(Sintesi!$C$17)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,1,IF(L85&gt;=_xlfn.IFNA(INDEX(_xlfn.ANCHORARRAY(Sintesi!$C$18)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,0,1-(L85-_xlfn.IFNA(INDEX(_xlfn.ANCHORARRAY(Sintesi!$C$17)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)/(_xlfn.IFNA(INDEX(_xlfn.ANCHORARRAY(Sintesi!$C$18)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-_xlfn.IFNA(INDEX(_xlfn.ANCHORARRAY(Sintesi!$C$17)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))),0)</f>
        <v/>
      </c>
    </row>
    <row r="86">
      <c r="A86" s="1">
        <f>'Paste cell here'!A86</f>
        <v/>
      </c>
      <c r="B86" s="2">
        <f>DATE(Sintesi!$C$4-1,12,31)+A86</f>
        <v/>
      </c>
      <c r="C86" s="34">
        <f t="array" ref="C86">_xlfn.IFNA(MATCH(1,(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)*(_xlfn.ANCHORARRAY(Sintesi!$C$15)&gt;=0)+(_xlfn.ANCHORARRAY(Sintesi!$C$15)&lt;0),0),0)</f>
        <v/>
      </c>
      <c r="D86" s="1">
        <f t="array" ref="D86">IF(ISBLANK($E87),IF(ISNUMBER($E85),IF($C86&gt;0,IF(($E86=INDEX(_xlfn.ANCHORARRAY(Sintesi!$C$14),1,$C86))*(INDEX(_xlfn.ANCHORARRAY(Sintesi!$C$15),1,$C86)&gt;0),0,IF(($E86=INDEX(_xlfn.ANCHORARRAY(Sintesi!$C$14),1,$C86))*(INDEX(_xlfn.ANCHORARRAY(Sintesi!$C$15),1,$C86)&lt;0)+($E86&gt;=$E85)*($E86&lt;=INDEX($E:$E,MATCH(TRUE,INDEX((ISNUMBER($E:$E)),0),0)))*($E86&gt;INDEX(_xlfn.ANCHORARRAY(Sintesi!$C$14),1,$C86))*($E86&lt;=INDEX(_xlfn.ANCHORARRAY(Sintesi!$C$15),1,$C86))*(INDEX(_xlfn.ANCHORARRAY(Sintesi!$C$15),1,$C86)&gt;0),1,IF(($E86&gt;=$E85)*($E86&lt;=INDEX($E:$E,MATCH(TRUE,INDEX((ISNUMBER($E:$E)),0),0)))*($E86&gt;INDEX(_xlfn.ANCHORARRAY(Sintesi!$C$14),1,$C86))*($E86&lt;INDEX(_xlfn.ANCHORARRAY(Sintesi!$C$16),1,$C86))*(INDEX(_xlfn.ANCHORARRAY(Sintesi!$C$15),1,$C86)&lt;0)+($E86&gt;=$E85)*($E86&lt;=INDEX($E:$E,MATCH(TRUE,INDEX((ISNUMBER($E:$E)),0),0)))*($E86&gt;INDEX(_xlfn.ANCHORARRAY(Sintesi!$C$15),1,$C86))*($E86&lt;INDEX(_xlfn.ANCHORARRAY(Sintesi!$C$16),1,$C86))*(INDEX(_xlfn.ANCHORARRAY(Sintesi!$C$15),1,$C86)&gt;0),2,IF($E86=(INDEX(_xlfn.ANCHORARRAY(Sintesi!$C$16),1,$C86)),3,4)))),0),IF($C86&gt;0,IF(($E86=INDEX(_xlfn.ANCHORARRAY(Sintesi!$C$14),1,$C86))*(INDEX(_xlfn.ANCHORARRAY(Sintesi!$C$15),1,$C86)&gt;0),0,IF(($E86=INDEX(_xlfn.ANCHORARRAY(Sintesi!$C$14),1,$C86))*(INDEX(_xlfn.ANCHORARRAY(Sintesi!$C$15),1,$C86)&lt;0)+($E86&gt;=LOOKUP(2,1/($E:$E&lt;&gt;""),$E:$E))*($E86&lt;=INDEX($E:$E,MATCH(TRUE,INDEX((ISNUMBER($E:$E)),0),0)))*($E86&gt;INDEX(_xlfn.ANCHORARRAY(Sintesi!$C$14),1,$C86))*($E86&lt;=INDEX(_xlfn.ANCHORARRAY(Sintesi!$C$15),1,$C86))*(INDEX(_xlfn.ANCHORARRAY(Sintesi!$C$15),1,$C86)&gt;0),1,IF(($E86&gt;=LOOKUP(2,1/($E:$E&lt;&gt;""),$E:$E))*($E86&lt;=INDEX($E:$E,MATCH(TRUE,INDEX((ISNUMBER($E:$E)),0),0)))*($E86&gt;INDEX(_xlfn.ANCHORARRAY(Sintesi!$C$14),1,$C86))*($E86&lt;INDEX(_xlfn.ANCHORARRAY(Sintesi!$C$16),1,$C86))*(INDEX(_xlfn.ANCHORARRAY(Sintesi!$C$15),1,$C86)&lt;0)+($E86&gt;=LOOKUP(2,1/($E:$E&lt;&gt;""),$E:$E))*($E86&lt;=INDEX($E:$E,MATCH(TRUE,INDEX((ISNUMBER($E:$E)),0),0)))*($E86&gt;INDEX(_xlfn.ANCHORARRAY(Sintesi!$C$15),1,$C86))*($E86&lt;INDEX(_xlfn.ANCHORARRAY(Sintesi!$C$16),1,$C86))*(INDEX(_xlfn.ANCHORARRAY(Sintesi!$C$15),1,$C86)&gt;0),2,IF($E86=(INDEX(_xlfn.ANCHORARRAY(Sintesi!$C$16),1,$C86)),3,4)))),0)),IF(ISNUMBER($E85),IF($C86&gt;0,IF(($E86=INDEX(_xlfn.ANCHORARRAY(Sintesi!$C$14),1,$C86))*(INDEX(_xlfn.ANCHORARRAY(Sintesi!$C$15),1,$C86)&gt;0),0,IF(($E86=INDEX(_xlfn.ANCHORARRAY(Sintesi!$C$14),1,$C86))*(INDEX(_xlfn.ANCHORARRAY(Sintesi!$C$15),1,$C86)&lt;0)+($E86&gt;=$E85)*($E86&lt;=$E87)*($E86&gt;INDEX(_xlfn.ANCHORARRAY(Sintesi!$C$14),1,$C86))*($E86&lt;=INDEX(_xlfn.ANCHORARRAY(Sintesi!$C$15),1,$C86))*(INDEX(_xlfn.ANCHORARRAY(Sintesi!$C$15),1,$C86)&gt;0),1,IF(($E86&gt;=$E85)*($E86&lt;=$E87)*($E86&gt;INDEX(_xlfn.ANCHORARRAY(Sintesi!$C$14),1,$C86))*($E86&lt;INDEX(_xlfn.ANCHORARRAY(Sintesi!$C$16),1,$C86))*(INDEX(_xlfn.ANCHORARRAY(Sintesi!$C$15),1,$C86)&lt;0)+($E86&gt;=$E85)*($E86&lt;=$E87)*($E86&gt;INDEX(_xlfn.ANCHORARRAY(Sintesi!$C$15),1,$C86))*($E86&lt;INDEX(_xlfn.ANCHORARRAY(Sintesi!$C$16),1,$C86))*(INDEX(_xlfn.ANCHORARRAY(Sintesi!$C$15),1,$C86)&gt;0),2,IF($E86=(INDEX(_xlfn.ANCHORARRAY(Sintesi!$C$16),1,$C86)),3,4)))),0),IF($C86&gt;0,IF(($E86=INDEX(_xlfn.ANCHORARRAY(Sintesi!$C$14),1,$C86))*(INDEX(_xlfn.ANCHORARRAY(Sintesi!$C$15),1,$C86)&gt;0),0,IF(($E86=INDEX(_xlfn.ANCHORARRAY(Sintesi!$C$14),1,$C86))*(INDEX(_xlfn.ANCHORARRAY(Sintesi!$C$15),1,$C86)&lt;0)+($E86&gt;=LOOKUP(2,1/($E:$E&lt;&gt;""),$E:$E))*($E86&lt;=$E87)*($E86&gt;INDEX(_xlfn.ANCHORARRAY(Sintesi!$C$14),1,$C86))*($E86&lt;=INDEX(_xlfn.ANCHORARRAY(Sintesi!$C$15),1,$C86))*(INDEX(_xlfn.ANCHORARRAY(Sintesi!$C$15),1,$C86)&gt;0),1,IF(($E86&gt;=LOOKUP(2,1/($E:$E&lt;&gt;""),$E:$E))*($E86&lt;=$E87)*($E86&gt;INDEX(_xlfn.ANCHORARRAY(Sintesi!$C$14),1,$C86))*($E86&lt;INDEX(_xlfn.ANCHORARRAY(Sintesi!$C$16),1,$C86))*(INDEX(_xlfn.ANCHORARRAY(Sintesi!$C$15),1,$C86)&lt;0)+($E86&gt;=LOOKUP(2,1/($E:$E&lt;&gt;""),$E:$E))*($E86&lt;=$E87)*($E86&gt;INDEX(_xlfn.ANCHORARRAY(Sintesi!$C$15),1,$C86))*($E86&lt;INDEX(_xlfn.ANCHORARRAY(Sintesi!$C$16),1,$C86))*(INDEX(_xlfn.ANCHORARRAY(Sintesi!$C$15),1,$C86)&gt;0),2,IF($E86=(INDEX(_xlfn.ANCHORARRAY(Sintesi!$C$16),1,$C86)),3,4)))),0)))</f>
        <v/>
      </c>
      <c r="E86" s="1">
        <f>'Paste cell here'!F86</f>
        <v/>
      </c>
      <c r="F86" s="1">
        <f>'Paste cell here'!C86</f>
        <v/>
      </c>
      <c r="G86" s="1">
        <f>'Paste cell here'!D86</f>
        <v/>
      </c>
      <c r="H86" s="1">
        <f>'Paste cell here'!E86</f>
        <v/>
      </c>
      <c r="I86" s="1">
        <f>'Paste cell here'!X86</f>
        <v/>
      </c>
      <c r="J86" s="1">
        <f>'Paste cell here'!Y86+'Paste cell here'!S86</f>
        <v/>
      </c>
      <c r="K86" s="1">
        <f>I86/H86</f>
        <v/>
      </c>
      <c r="L86" s="1">
        <f>AVERAGE(($F86+$G86)/2-($F86-$G86)/2*COS(PI()*(8-VLOOKUP(MONTH(B86),$O$1:$Q$13,3))/(VLOOKUP(MONTH(B86),$O$1:$Q$13,2)-VLOOKUP(MONTH(B86),$O$1:$Q$13,3))),($F86+$G86)/2-($F86-$G86)/2*COS(PI()*(9-VLOOKUP(MONTH(B86),$O$1:$Q$13,3))/(VLOOKUP(MONTH(B86),$O$1:$Q$13,2)-VLOOKUP(MONTH(B86),$O$1:$Q$13,3))),($F86+$G86)/2-($F86-$G86)/2*COS(PI()*(10-VLOOKUP(MONTH(B86),$O$1:$Q$13,3))/(VLOOKUP(MONTH(B86),$O$1:$Q$13,2)-VLOOKUP(MONTH(B86),$O$1:$Q$13,3))),($F86+$G86)/2-($F86-$G86)/2*COS(PI()*(11-VLOOKUP(MONTH(B86),$O$1:$Q$13,3))/(VLOOKUP(MONTH(B86),$O$1:$Q$13,2)-VLOOKUP(MONTH(B86),$O$1:$Q$13,3))),($F86+$G86)/2-($F86-$G86)/2*COS(PI()*(12-VLOOKUP(MONTH(B86),$O$1:$Q$13,3))/(VLOOKUP(MONTH(B86),$O$1:$Q$13,2)-VLOOKUP(MONTH(B86),$O$1:$Q$13,3))),($F86+$G86)/2-($F86-$G86)/2*COS(PI()*(13-VLOOKUP(MONTH(B86),$O$1:$Q$13,3))/(VLOOKUP(MONTH(B86),$O$1:$Q$13,2)-VLOOKUP(MONTH(B86),$O$1:$Q$13,3))),($F86+$G86)/2-($F86-$G86)/2*COS(PI()*(14-VLOOKUP(MONTH(B86),$O$1:$Q$13,3))/(VLOOKUP(MONTH(B86),$O$1:$Q$13,2)-VLOOKUP(MONTH(B86),$O$1:$Q$13,3))))</f>
        <v/>
      </c>
      <c r="M86" s="1">
        <f t="array" ref="M86">IF(AND(A86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,A86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),IF(L86&lt;_xlfn.IFNA(INDEX(_xlfn.ANCHORARRAY(Sintesi!$C$17)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,1,IF(L86&gt;=_xlfn.IFNA(INDEX(_xlfn.ANCHORARRAY(Sintesi!$C$18)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,0,1-(L86-_xlfn.IFNA(INDEX(_xlfn.ANCHORARRAY(Sintesi!$C$17)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)/(_xlfn.IFNA(INDEX(_xlfn.ANCHORARRAY(Sintesi!$C$18)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-_xlfn.IFNA(INDEX(_xlfn.ANCHORARRAY(Sintesi!$C$17)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))),0)</f>
        <v/>
      </c>
    </row>
    <row r="87">
      <c r="A87" s="1">
        <f>'Paste cell here'!A87</f>
        <v/>
      </c>
      <c r="B87" s="2">
        <f>DATE(Sintesi!$C$4-1,12,31)+A87</f>
        <v/>
      </c>
      <c r="C87" s="34">
        <f t="array" ref="C87">_xlfn.IFNA(MATCH(1,(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)*(_xlfn.ANCHORARRAY(Sintesi!$C$15)&gt;=0)+(_xlfn.ANCHORARRAY(Sintesi!$C$15)&lt;0),0),0)</f>
        <v/>
      </c>
      <c r="D87" s="1">
        <f t="array" ref="D87">IF(ISBLANK($E88),IF(ISNUMBER($E86),IF($C87&gt;0,IF(($E87=INDEX(_xlfn.ANCHORARRAY(Sintesi!$C$14),1,$C87))*(INDEX(_xlfn.ANCHORARRAY(Sintesi!$C$15),1,$C87)&gt;0),0,IF(($E87=INDEX(_xlfn.ANCHORARRAY(Sintesi!$C$14),1,$C87))*(INDEX(_xlfn.ANCHORARRAY(Sintesi!$C$15),1,$C87)&lt;0)+($E87&gt;=$E86)*($E87&lt;=INDEX($E:$E,MATCH(TRUE,INDEX((ISNUMBER($E:$E)),0),0)))*($E87&gt;INDEX(_xlfn.ANCHORARRAY(Sintesi!$C$14),1,$C87))*($E87&lt;=INDEX(_xlfn.ANCHORARRAY(Sintesi!$C$15),1,$C87))*(INDEX(_xlfn.ANCHORARRAY(Sintesi!$C$15),1,$C87)&gt;0),1,IF(($E87&gt;=$E86)*($E87&lt;=INDEX($E:$E,MATCH(TRUE,INDEX((ISNUMBER($E:$E)),0),0)))*($E87&gt;INDEX(_xlfn.ANCHORARRAY(Sintesi!$C$14),1,$C87))*($E87&lt;INDEX(_xlfn.ANCHORARRAY(Sintesi!$C$16),1,$C87))*(INDEX(_xlfn.ANCHORARRAY(Sintesi!$C$15),1,$C87)&lt;0)+($E87&gt;=$E86)*($E87&lt;=INDEX($E:$E,MATCH(TRUE,INDEX((ISNUMBER($E:$E)),0),0)))*($E87&gt;INDEX(_xlfn.ANCHORARRAY(Sintesi!$C$15),1,$C87))*($E87&lt;INDEX(_xlfn.ANCHORARRAY(Sintesi!$C$16),1,$C87))*(INDEX(_xlfn.ANCHORARRAY(Sintesi!$C$15),1,$C87)&gt;0),2,IF($E87=(INDEX(_xlfn.ANCHORARRAY(Sintesi!$C$16),1,$C87)),3,4)))),0),IF($C87&gt;0,IF(($E87=INDEX(_xlfn.ANCHORARRAY(Sintesi!$C$14),1,$C87))*(INDEX(_xlfn.ANCHORARRAY(Sintesi!$C$15),1,$C87)&gt;0),0,IF(($E87=INDEX(_xlfn.ANCHORARRAY(Sintesi!$C$14),1,$C87))*(INDEX(_xlfn.ANCHORARRAY(Sintesi!$C$15),1,$C87)&lt;0)+($E87&gt;=LOOKUP(2,1/($E:$E&lt;&gt;""),$E:$E))*($E87&lt;=INDEX($E:$E,MATCH(TRUE,INDEX((ISNUMBER($E:$E)),0),0)))*($E87&gt;INDEX(_xlfn.ANCHORARRAY(Sintesi!$C$14),1,$C87))*($E87&lt;=INDEX(_xlfn.ANCHORARRAY(Sintesi!$C$15),1,$C87))*(INDEX(_xlfn.ANCHORARRAY(Sintesi!$C$15),1,$C87)&gt;0),1,IF(($E87&gt;=LOOKUP(2,1/($E:$E&lt;&gt;""),$E:$E))*($E87&lt;=INDEX($E:$E,MATCH(TRUE,INDEX((ISNUMBER($E:$E)),0),0)))*($E87&gt;INDEX(_xlfn.ANCHORARRAY(Sintesi!$C$14),1,$C87))*($E87&lt;INDEX(_xlfn.ANCHORARRAY(Sintesi!$C$16),1,$C87))*(INDEX(_xlfn.ANCHORARRAY(Sintesi!$C$15),1,$C87)&lt;0)+($E87&gt;=LOOKUP(2,1/($E:$E&lt;&gt;""),$E:$E))*($E87&lt;=INDEX($E:$E,MATCH(TRUE,INDEX((ISNUMBER($E:$E)),0),0)))*($E87&gt;INDEX(_xlfn.ANCHORARRAY(Sintesi!$C$15),1,$C87))*($E87&lt;INDEX(_xlfn.ANCHORARRAY(Sintesi!$C$16),1,$C87))*(INDEX(_xlfn.ANCHORARRAY(Sintesi!$C$15),1,$C87)&gt;0),2,IF($E87=(INDEX(_xlfn.ANCHORARRAY(Sintesi!$C$16),1,$C87)),3,4)))),0)),IF(ISNUMBER($E86),IF($C87&gt;0,IF(($E87=INDEX(_xlfn.ANCHORARRAY(Sintesi!$C$14),1,$C87))*(INDEX(_xlfn.ANCHORARRAY(Sintesi!$C$15),1,$C87)&gt;0),0,IF(($E87=INDEX(_xlfn.ANCHORARRAY(Sintesi!$C$14),1,$C87))*(INDEX(_xlfn.ANCHORARRAY(Sintesi!$C$15),1,$C87)&lt;0)+($E87&gt;=$E86)*($E87&lt;=$E88)*($E87&gt;INDEX(_xlfn.ANCHORARRAY(Sintesi!$C$14),1,$C87))*($E87&lt;=INDEX(_xlfn.ANCHORARRAY(Sintesi!$C$15),1,$C87))*(INDEX(_xlfn.ANCHORARRAY(Sintesi!$C$15),1,$C87)&gt;0),1,IF(($E87&gt;=$E86)*($E87&lt;=$E88)*($E87&gt;INDEX(_xlfn.ANCHORARRAY(Sintesi!$C$14),1,$C87))*($E87&lt;INDEX(_xlfn.ANCHORARRAY(Sintesi!$C$16),1,$C87))*(INDEX(_xlfn.ANCHORARRAY(Sintesi!$C$15),1,$C87)&lt;0)+($E87&gt;=$E86)*($E87&lt;=$E88)*($E87&gt;INDEX(_xlfn.ANCHORARRAY(Sintesi!$C$15),1,$C87))*($E87&lt;INDEX(_xlfn.ANCHORARRAY(Sintesi!$C$16),1,$C87))*(INDEX(_xlfn.ANCHORARRAY(Sintesi!$C$15),1,$C87)&gt;0),2,IF($E87=(INDEX(_xlfn.ANCHORARRAY(Sintesi!$C$16),1,$C87)),3,4)))),0),IF($C87&gt;0,IF(($E87=INDEX(_xlfn.ANCHORARRAY(Sintesi!$C$14),1,$C87))*(INDEX(_xlfn.ANCHORARRAY(Sintesi!$C$15),1,$C87)&gt;0),0,IF(($E87=INDEX(_xlfn.ANCHORARRAY(Sintesi!$C$14),1,$C87))*(INDEX(_xlfn.ANCHORARRAY(Sintesi!$C$15),1,$C87)&lt;0)+($E87&gt;=LOOKUP(2,1/($E:$E&lt;&gt;""),$E:$E))*($E87&lt;=$E88)*($E87&gt;INDEX(_xlfn.ANCHORARRAY(Sintesi!$C$14),1,$C87))*($E87&lt;=INDEX(_xlfn.ANCHORARRAY(Sintesi!$C$15),1,$C87))*(INDEX(_xlfn.ANCHORARRAY(Sintesi!$C$15),1,$C87)&gt;0),1,IF(($E87&gt;=LOOKUP(2,1/($E:$E&lt;&gt;""),$E:$E))*($E87&lt;=$E88)*($E87&gt;INDEX(_xlfn.ANCHORARRAY(Sintesi!$C$14),1,$C87))*($E87&lt;INDEX(_xlfn.ANCHORARRAY(Sintesi!$C$16),1,$C87))*(INDEX(_xlfn.ANCHORARRAY(Sintesi!$C$15),1,$C87)&lt;0)+($E87&gt;=LOOKUP(2,1/($E:$E&lt;&gt;""),$E:$E))*($E87&lt;=$E88)*($E87&gt;INDEX(_xlfn.ANCHORARRAY(Sintesi!$C$15),1,$C87))*($E87&lt;INDEX(_xlfn.ANCHORARRAY(Sintesi!$C$16),1,$C87))*(INDEX(_xlfn.ANCHORARRAY(Sintesi!$C$15),1,$C87)&gt;0),2,IF($E87=(INDEX(_xlfn.ANCHORARRAY(Sintesi!$C$16),1,$C87)),3,4)))),0)))</f>
        <v/>
      </c>
      <c r="E87" s="1">
        <f>'Paste cell here'!F87</f>
        <v/>
      </c>
      <c r="F87" s="1">
        <f>'Paste cell here'!C87</f>
        <v/>
      </c>
      <c r="G87" s="1">
        <f>'Paste cell here'!D87</f>
        <v/>
      </c>
      <c r="H87" s="1">
        <f>'Paste cell here'!E87</f>
        <v/>
      </c>
      <c r="I87" s="1">
        <f>'Paste cell here'!X87</f>
        <v/>
      </c>
      <c r="J87" s="1">
        <f>'Paste cell here'!Y87+'Paste cell here'!S87</f>
        <v/>
      </c>
      <c r="K87" s="1">
        <f>I87/H87</f>
        <v/>
      </c>
      <c r="L87" s="1">
        <f>AVERAGE(($F87+$G87)/2-($F87-$G87)/2*COS(PI()*(8-VLOOKUP(MONTH(B87),$O$1:$Q$13,3))/(VLOOKUP(MONTH(B87),$O$1:$Q$13,2)-VLOOKUP(MONTH(B87),$O$1:$Q$13,3))),($F87+$G87)/2-($F87-$G87)/2*COS(PI()*(9-VLOOKUP(MONTH(B87),$O$1:$Q$13,3))/(VLOOKUP(MONTH(B87),$O$1:$Q$13,2)-VLOOKUP(MONTH(B87),$O$1:$Q$13,3))),($F87+$G87)/2-($F87-$G87)/2*COS(PI()*(10-VLOOKUP(MONTH(B87),$O$1:$Q$13,3))/(VLOOKUP(MONTH(B87),$O$1:$Q$13,2)-VLOOKUP(MONTH(B87),$O$1:$Q$13,3))),($F87+$G87)/2-($F87-$G87)/2*COS(PI()*(11-VLOOKUP(MONTH(B87),$O$1:$Q$13,3))/(VLOOKUP(MONTH(B87),$O$1:$Q$13,2)-VLOOKUP(MONTH(B87),$O$1:$Q$13,3))),($F87+$G87)/2-($F87-$G87)/2*COS(PI()*(12-VLOOKUP(MONTH(B87),$O$1:$Q$13,3))/(VLOOKUP(MONTH(B87),$O$1:$Q$13,2)-VLOOKUP(MONTH(B87),$O$1:$Q$13,3))),($F87+$G87)/2-($F87-$G87)/2*COS(PI()*(13-VLOOKUP(MONTH(B87),$O$1:$Q$13,3))/(VLOOKUP(MONTH(B87),$O$1:$Q$13,2)-VLOOKUP(MONTH(B87),$O$1:$Q$13,3))),($F87+$G87)/2-($F87-$G87)/2*COS(PI()*(14-VLOOKUP(MONTH(B87),$O$1:$Q$13,3))/(VLOOKUP(MONTH(B87),$O$1:$Q$13,2)-VLOOKUP(MONTH(B87),$O$1:$Q$13,3))))</f>
        <v/>
      </c>
      <c r="M87" s="1">
        <f t="array" ref="M87">IF(AND(A87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,A87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),IF(L87&lt;_xlfn.IFNA(INDEX(_xlfn.ANCHORARRAY(Sintesi!$C$17)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,1,IF(L87&gt;=_xlfn.IFNA(INDEX(_xlfn.ANCHORARRAY(Sintesi!$C$18)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,0,1-(L87-_xlfn.IFNA(INDEX(_xlfn.ANCHORARRAY(Sintesi!$C$17)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)/(_xlfn.IFNA(INDEX(_xlfn.ANCHORARRAY(Sintesi!$C$18)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-_xlfn.IFNA(INDEX(_xlfn.ANCHORARRAY(Sintesi!$C$17)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))),0)</f>
        <v/>
      </c>
    </row>
    <row r="88">
      <c r="A88" s="1">
        <f>'Paste cell here'!A88</f>
        <v/>
      </c>
      <c r="B88" s="2">
        <f>DATE(Sintesi!$C$4-1,12,31)+A88</f>
        <v/>
      </c>
      <c r="C88" s="34">
        <f t="array" ref="C88">_xlfn.IFNA(MATCH(1,(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)*(_xlfn.ANCHORARRAY(Sintesi!$C$15)&gt;=0)+(_xlfn.ANCHORARRAY(Sintesi!$C$15)&lt;0),0),0)</f>
        <v/>
      </c>
      <c r="D88" s="1">
        <f t="array" ref="D88">IF(ISBLANK($E89),IF(ISNUMBER($E87),IF($C88&gt;0,IF(($E88=INDEX(_xlfn.ANCHORARRAY(Sintesi!$C$14),1,$C88))*(INDEX(_xlfn.ANCHORARRAY(Sintesi!$C$15),1,$C88)&gt;0),0,IF(($E88=INDEX(_xlfn.ANCHORARRAY(Sintesi!$C$14),1,$C88))*(INDEX(_xlfn.ANCHORARRAY(Sintesi!$C$15),1,$C88)&lt;0)+($E88&gt;=$E87)*($E88&lt;=INDEX($E:$E,MATCH(TRUE,INDEX((ISNUMBER($E:$E)),0),0)))*($E88&gt;INDEX(_xlfn.ANCHORARRAY(Sintesi!$C$14),1,$C88))*($E88&lt;=INDEX(_xlfn.ANCHORARRAY(Sintesi!$C$15),1,$C88))*(INDEX(_xlfn.ANCHORARRAY(Sintesi!$C$15),1,$C88)&gt;0),1,IF(($E88&gt;=$E87)*($E88&lt;=INDEX($E:$E,MATCH(TRUE,INDEX((ISNUMBER($E:$E)),0),0)))*($E88&gt;INDEX(_xlfn.ANCHORARRAY(Sintesi!$C$14),1,$C88))*($E88&lt;INDEX(_xlfn.ANCHORARRAY(Sintesi!$C$16),1,$C88))*(INDEX(_xlfn.ANCHORARRAY(Sintesi!$C$15),1,$C88)&lt;0)+($E88&gt;=$E87)*($E88&lt;=INDEX($E:$E,MATCH(TRUE,INDEX((ISNUMBER($E:$E)),0),0)))*($E88&gt;INDEX(_xlfn.ANCHORARRAY(Sintesi!$C$15),1,$C88))*($E88&lt;INDEX(_xlfn.ANCHORARRAY(Sintesi!$C$16),1,$C88))*(INDEX(_xlfn.ANCHORARRAY(Sintesi!$C$15),1,$C88)&gt;0),2,IF($E88=(INDEX(_xlfn.ANCHORARRAY(Sintesi!$C$16),1,$C88)),3,4)))),0),IF($C88&gt;0,IF(($E88=INDEX(_xlfn.ANCHORARRAY(Sintesi!$C$14),1,$C88))*(INDEX(_xlfn.ANCHORARRAY(Sintesi!$C$15),1,$C88)&gt;0),0,IF(($E88=INDEX(_xlfn.ANCHORARRAY(Sintesi!$C$14),1,$C88))*(INDEX(_xlfn.ANCHORARRAY(Sintesi!$C$15),1,$C88)&lt;0)+($E88&gt;=LOOKUP(2,1/($E:$E&lt;&gt;""),$E:$E))*($E88&lt;=INDEX($E:$E,MATCH(TRUE,INDEX((ISNUMBER($E:$E)),0),0)))*($E88&gt;INDEX(_xlfn.ANCHORARRAY(Sintesi!$C$14),1,$C88))*($E88&lt;=INDEX(_xlfn.ANCHORARRAY(Sintesi!$C$15),1,$C88))*(INDEX(_xlfn.ANCHORARRAY(Sintesi!$C$15),1,$C88)&gt;0),1,IF(($E88&gt;=LOOKUP(2,1/($E:$E&lt;&gt;""),$E:$E))*($E88&lt;=INDEX($E:$E,MATCH(TRUE,INDEX((ISNUMBER($E:$E)),0),0)))*($E88&gt;INDEX(_xlfn.ANCHORARRAY(Sintesi!$C$14),1,$C88))*($E88&lt;INDEX(_xlfn.ANCHORARRAY(Sintesi!$C$16),1,$C88))*(INDEX(_xlfn.ANCHORARRAY(Sintesi!$C$15),1,$C88)&lt;0)+($E88&gt;=LOOKUP(2,1/($E:$E&lt;&gt;""),$E:$E))*($E88&lt;=INDEX($E:$E,MATCH(TRUE,INDEX((ISNUMBER($E:$E)),0),0)))*($E88&gt;INDEX(_xlfn.ANCHORARRAY(Sintesi!$C$15),1,$C88))*($E88&lt;INDEX(_xlfn.ANCHORARRAY(Sintesi!$C$16),1,$C88))*(INDEX(_xlfn.ANCHORARRAY(Sintesi!$C$15),1,$C88)&gt;0),2,IF($E88=(INDEX(_xlfn.ANCHORARRAY(Sintesi!$C$16),1,$C88)),3,4)))),0)),IF(ISNUMBER($E87),IF($C88&gt;0,IF(($E88=INDEX(_xlfn.ANCHORARRAY(Sintesi!$C$14),1,$C88))*(INDEX(_xlfn.ANCHORARRAY(Sintesi!$C$15),1,$C88)&gt;0),0,IF(($E88=INDEX(_xlfn.ANCHORARRAY(Sintesi!$C$14),1,$C88))*(INDEX(_xlfn.ANCHORARRAY(Sintesi!$C$15),1,$C88)&lt;0)+($E88&gt;=$E87)*($E88&lt;=$E89)*($E88&gt;INDEX(_xlfn.ANCHORARRAY(Sintesi!$C$14),1,$C88))*($E88&lt;=INDEX(_xlfn.ANCHORARRAY(Sintesi!$C$15),1,$C88))*(INDEX(_xlfn.ANCHORARRAY(Sintesi!$C$15),1,$C88)&gt;0),1,IF(($E88&gt;=$E87)*($E88&lt;=$E89)*($E88&gt;INDEX(_xlfn.ANCHORARRAY(Sintesi!$C$14),1,$C88))*($E88&lt;INDEX(_xlfn.ANCHORARRAY(Sintesi!$C$16),1,$C88))*(INDEX(_xlfn.ANCHORARRAY(Sintesi!$C$15),1,$C88)&lt;0)+($E88&gt;=$E87)*($E88&lt;=$E89)*($E88&gt;INDEX(_xlfn.ANCHORARRAY(Sintesi!$C$15),1,$C88))*($E88&lt;INDEX(_xlfn.ANCHORARRAY(Sintesi!$C$16),1,$C88))*(INDEX(_xlfn.ANCHORARRAY(Sintesi!$C$15),1,$C88)&gt;0),2,IF($E88=(INDEX(_xlfn.ANCHORARRAY(Sintesi!$C$16),1,$C88)),3,4)))),0),IF($C88&gt;0,IF(($E88=INDEX(_xlfn.ANCHORARRAY(Sintesi!$C$14),1,$C88))*(INDEX(_xlfn.ANCHORARRAY(Sintesi!$C$15),1,$C88)&gt;0),0,IF(($E88=INDEX(_xlfn.ANCHORARRAY(Sintesi!$C$14),1,$C88))*(INDEX(_xlfn.ANCHORARRAY(Sintesi!$C$15),1,$C88)&lt;0)+($E88&gt;=LOOKUP(2,1/($E:$E&lt;&gt;""),$E:$E))*($E88&lt;=$E89)*($E88&gt;INDEX(_xlfn.ANCHORARRAY(Sintesi!$C$14),1,$C88))*($E88&lt;=INDEX(_xlfn.ANCHORARRAY(Sintesi!$C$15),1,$C88))*(INDEX(_xlfn.ANCHORARRAY(Sintesi!$C$15),1,$C88)&gt;0),1,IF(($E88&gt;=LOOKUP(2,1/($E:$E&lt;&gt;""),$E:$E))*($E88&lt;=$E89)*($E88&gt;INDEX(_xlfn.ANCHORARRAY(Sintesi!$C$14),1,$C88))*($E88&lt;INDEX(_xlfn.ANCHORARRAY(Sintesi!$C$16),1,$C88))*(INDEX(_xlfn.ANCHORARRAY(Sintesi!$C$15),1,$C88)&lt;0)+($E88&gt;=LOOKUP(2,1/($E:$E&lt;&gt;""),$E:$E))*($E88&lt;=$E89)*($E88&gt;INDEX(_xlfn.ANCHORARRAY(Sintesi!$C$15),1,$C88))*($E88&lt;INDEX(_xlfn.ANCHORARRAY(Sintesi!$C$16),1,$C88))*(INDEX(_xlfn.ANCHORARRAY(Sintesi!$C$15),1,$C88)&gt;0),2,IF($E88=(INDEX(_xlfn.ANCHORARRAY(Sintesi!$C$16),1,$C88)),3,4)))),0)))</f>
        <v/>
      </c>
      <c r="E88" s="1">
        <f>'Paste cell here'!F88</f>
        <v/>
      </c>
      <c r="F88" s="1">
        <f>'Paste cell here'!C88</f>
        <v/>
      </c>
      <c r="G88" s="1">
        <f>'Paste cell here'!D88</f>
        <v/>
      </c>
      <c r="H88" s="1">
        <f>'Paste cell here'!E88</f>
        <v/>
      </c>
      <c r="I88" s="1">
        <f>'Paste cell here'!X88</f>
        <v/>
      </c>
      <c r="J88" s="1">
        <f>'Paste cell here'!Y88+'Paste cell here'!S88</f>
        <v/>
      </c>
      <c r="K88" s="1">
        <f>I88/H88</f>
        <v/>
      </c>
      <c r="L88" s="1">
        <f>AVERAGE(($F88+$G88)/2-($F88-$G88)/2*COS(PI()*(8-VLOOKUP(MONTH(B88),$O$1:$Q$13,3))/(VLOOKUP(MONTH(B88),$O$1:$Q$13,2)-VLOOKUP(MONTH(B88),$O$1:$Q$13,3))),($F88+$G88)/2-($F88-$G88)/2*COS(PI()*(9-VLOOKUP(MONTH(B88),$O$1:$Q$13,3))/(VLOOKUP(MONTH(B88),$O$1:$Q$13,2)-VLOOKUP(MONTH(B88),$O$1:$Q$13,3))),($F88+$G88)/2-($F88-$G88)/2*COS(PI()*(10-VLOOKUP(MONTH(B88),$O$1:$Q$13,3))/(VLOOKUP(MONTH(B88),$O$1:$Q$13,2)-VLOOKUP(MONTH(B88),$O$1:$Q$13,3))),($F88+$G88)/2-($F88-$G88)/2*COS(PI()*(11-VLOOKUP(MONTH(B88),$O$1:$Q$13,3))/(VLOOKUP(MONTH(B88),$O$1:$Q$13,2)-VLOOKUP(MONTH(B88),$O$1:$Q$13,3))),($F88+$G88)/2-($F88-$G88)/2*COS(PI()*(12-VLOOKUP(MONTH(B88),$O$1:$Q$13,3))/(VLOOKUP(MONTH(B88),$O$1:$Q$13,2)-VLOOKUP(MONTH(B88),$O$1:$Q$13,3))),($F88+$G88)/2-($F88-$G88)/2*COS(PI()*(13-VLOOKUP(MONTH(B88),$O$1:$Q$13,3))/(VLOOKUP(MONTH(B88),$O$1:$Q$13,2)-VLOOKUP(MONTH(B88),$O$1:$Q$13,3))),($F88+$G88)/2-($F88-$G88)/2*COS(PI()*(14-VLOOKUP(MONTH(B88),$O$1:$Q$13,3))/(VLOOKUP(MONTH(B88),$O$1:$Q$13,2)-VLOOKUP(MONTH(B88),$O$1:$Q$13,3))))</f>
        <v/>
      </c>
      <c r="M88" s="1">
        <f t="array" ref="M88">IF(AND(A88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,A88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),IF(L88&lt;_xlfn.IFNA(INDEX(_xlfn.ANCHORARRAY(Sintesi!$C$17)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,1,IF(L88&gt;=_xlfn.IFNA(INDEX(_xlfn.ANCHORARRAY(Sintesi!$C$18)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,0,1-(L88-_xlfn.IFNA(INDEX(_xlfn.ANCHORARRAY(Sintesi!$C$17)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)/(_xlfn.IFNA(INDEX(_xlfn.ANCHORARRAY(Sintesi!$C$18)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-_xlfn.IFNA(INDEX(_xlfn.ANCHORARRAY(Sintesi!$C$17)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))),0)</f>
        <v/>
      </c>
    </row>
    <row r="89">
      <c r="A89" s="1">
        <f>'Paste cell here'!A89</f>
        <v/>
      </c>
      <c r="B89" s="2">
        <f>DATE(Sintesi!$C$4-1,12,31)+A89</f>
        <v/>
      </c>
      <c r="C89" s="34">
        <f t="array" ref="C89">_xlfn.IFNA(MATCH(1,(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)*(_xlfn.ANCHORARRAY(Sintesi!$C$15)&gt;=0)+(_xlfn.ANCHORARRAY(Sintesi!$C$15)&lt;0),0),0)</f>
        <v/>
      </c>
      <c r="D89" s="1">
        <f t="array" ref="D89">IF(ISBLANK($E90),IF(ISNUMBER($E88),IF($C89&gt;0,IF(($E89=INDEX(_xlfn.ANCHORARRAY(Sintesi!$C$14),1,$C89))*(INDEX(_xlfn.ANCHORARRAY(Sintesi!$C$15),1,$C89)&gt;0),0,IF(($E89=INDEX(_xlfn.ANCHORARRAY(Sintesi!$C$14),1,$C89))*(INDEX(_xlfn.ANCHORARRAY(Sintesi!$C$15),1,$C89)&lt;0)+($E89&gt;=$E88)*($E89&lt;=INDEX($E:$E,MATCH(TRUE,INDEX((ISNUMBER($E:$E)),0),0)))*($E89&gt;INDEX(_xlfn.ANCHORARRAY(Sintesi!$C$14),1,$C89))*($E89&lt;=INDEX(_xlfn.ANCHORARRAY(Sintesi!$C$15),1,$C89))*(INDEX(_xlfn.ANCHORARRAY(Sintesi!$C$15),1,$C89)&gt;0),1,IF(($E89&gt;=$E88)*($E89&lt;=INDEX($E:$E,MATCH(TRUE,INDEX((ISNUMBER($E:$E)),0),0)))*($E89&gt;INDEX(_xlfn.ANCHORARRAY(Sintesi!$C$14),1,$C89))*($E89&lt;INDEX(_xlfn.ANCHORARRAY(Sintesi!$C$16),1,$C89))*(INDEX(_xlfn.ANCHORARRAY(Sintesi!$C$15),1,$C89)&lt;0)+($E89&gt;=$E88)*($E89&lt;=INDEX($E:$E,MATCH(TRUE,INDEX((ISNUMBER($E:$E)),0),0)))*($E89&gt;INDEX(_xlfn.ANCHORARRAY(Sintesi!$C$15),1,$C89))*($E89&lt;INDEX(_xlfn.ANCHORARRAY(Sintesi!$C$16),1,$C89))*(INDEX(_xlfn.ANCHORARRAY(Sintesi!$C$15),1,$C89)&gt;0),2,IF($E89=(INDEX(_xlfn.ANCHORARRAY(Sintesi!$C$16),1,$C89)),3,4)))),0),IF($C89&gt;0,IF(($E89=INDEX(_xlfn.ANCHORARRAY(Sintesi!$C$14),1,$C89))*(INDEX(_xlfn.ANCHORARRAY(Sintesi!$C$15),1,$C89)&gt;0),0,IF(($E89=INDEX(_xlfn.ANCHORARRAY(Sintesi!$C$14),1,$C89))*(INDEX(_xlfn.ANCHORARRAY(Sintesi!$C$15),1,$C89)&lt;0)+($E89&gt;=LOOKUP(2,1/($E:$E&lt;&gt;""),$E:$E))*($E89&lt;=INDEX($E:$E,MATCH(TRUE,INDEX((ISNUMBER($E:$E)),0),0)))*($E89&gt;INDEX(_xlfn.ANCHORARRAY(Sintesi!$C$14),1,$C89))*($E89&lt;=INDEX(_xlfn.ANCHORARRAY(Sintesi!$C$15),1,$C89))*(INDEX(_xlfn.ANCHORARRAY(Sintesi!$C$15),1,$C89)&gt;0),1,IF(($E89&gt;=LOOKUP(2,1/($E:$E&lt;&gt;""),$E:$E))*($E89&lt;=INDEX($E:$E,MATCH(TRUE,INDEX((ISNUMBER($E:$E)),0),0)))*($E89&gt;INDEX(_xlfn.ANCHORARRAY(Sintesi!$C$14),1,$C89))*($E89&lt;INDEX(_xlfn.ANCHORARRAY(Sintesi!$C$16),1,$C89))*(INDEX(_xlfn.ANCHORARRAY(Sintesi!$C$15),1,$C89)&lt;0)+($E89&gt;=LOOKUP(2,1/($E:$E&lt;&gt;""),$E:$E))*($E89&lt;=INDEX($E:$E,MATCH(TRUE,INDEX((ISNUMBER($E:$E)),0),0)))*($E89&gt;INDEX(_xlfn.ANCHORARRAY(Sintesi!$C$15),1,$C89))*($E89&lt;INDEX(_xlfn.ANCHORARRAY(Sintesi!$C$16),1,$C89))*(INDEX(_xlfn.ANCHORARRAY(Sintesi!$C$15),1,$C89)&gt;0),2,IF($E89=(INDEX(_xlfn.ANCHORARRAY(Sintesi!$C$16),1,$C89)),3,4)))),0)),IF(ISNUMBER($E88),IF($C89&gt;0,IF(($E89=INDEX(_xlfn.ANCHORARRAY(Sintesi!$C$14),1,$C89))*(INDEX(_xlfn.ANCHORARRAY(Sintesi!$C$15),1,$C89)&gt;0),0,IF(($E89=INDEX(_xlfn.ANCHORARRAY(Sintesi!$C$14),1,$C89))*(INDEX(_xlfn.ANCHORARRAY(Sintesi!$C$15),1,$C89)&lt;0)+($E89&gt;=$E88)*($E89&lt;=$E90)*($E89&gt;INDEX(_xlfn.ANCHORARRAY(Sintesi!$C$14),1,$C89))*($E89&lt;=INDEX(_xlfn.ANCHORARRAY(Sintesi!$C$15),1,$C89))*(INDEX(_xlfn.ANCHORARRAY(Sintesi!$C$15),1,$C89)&gt;0),1,IF(($E89&gt;=$E88)*($E89&lt;=$E90)*($E89&gt;INDEX(_xlfn.ANCHORARRAY(Sintesi!$C$14),1,$C89))*($E89&lt;INDEX(_xlfn.ANCHORARRAY(Sintesi!$C$16),1,$C89))*(INDEX(_xlfn.ANCHORARRAY(Sintesi!$C$15),1,$C89)&lt;0)+($E89&gt;=$E88)*($E89&lt;=$E90)*($E89&gt;INDEX(_xlfn.ANCHORARRAY(Sintesi!$C$15),1,$C89))*($E89&lt;INDEX(_xlfn.ANCHORARRAY(Sintesi!$C$16),1,$C89))*(INDEX(_xlfn.ANCHORARRAY(Sintesi!$C$15),1,$C89)&gt;0),2,IF($E89=(INDEX(_xlfn.ANCHORARRAY(Sintesi!$C$16),1,$C89)),3,4)))),0),IF($C89&gt;0,IF(($E89=INDEX(_xlfn.ANCHORARRAY(Sintesi!$C$14),1,$C89))*(INDEX(_xlfn.ANCHORARRAY(Sintesi!$C$15),1,$C89)&gt;0),0,IF(($E89=INDEX(_xlfn.ANCHORARRAY(Sintesi!$C$14),1,$C89))*(INDEX(_xlfn.ANCHORARRAY(Sintesi!$C$15),1,$C89)&lt;0)+($E89&gt;=LOOKUP(2,1/($E:$E&lt;&gt;""),$E:$E))*($E89&lt;=$E90)*($E89&gt;INDEX(_xlfn.ANCHORARRAY(Sintesi!$C$14),1,$C89))*($E89&lt;=INDEX(_xlfn.ANCHORARRAY(Sintesi!$C$15),1,$C89))*(INDEX(_xlfn.ANCHORARRAY(Sintesi!$C$15),1,$C89)&gt;0),1,IF(($E89&gt;=LOOKUP(2,1/($E:$E&lt;&gt;""),$E:$E))*($E89&lt;=$E90)*($E89&gt;INDEX(_xlfn.ANCHORARRAY(Sintesi!$C$14),1,$C89))*($E89&lt;INDEX(_xlfn.ANCHORARRAY(Sintesi!$C$16),1,$C89))*(INDEX(_xlfn.ANCHORARRAY(Sintesi!$C$15),1,$C89)&lt;0)+($E89&gt;=LOOKUP(2,1/($E:$E&lt;&gt;""),$E:$E))*($E89&lt;=$E90)*($E89&gt;INDEX(_xlfn.ANCHORARRAY(Sintesi!$C$15),1,$C89))*($E89&lt;INDEX(_xlfn.ANCHORARRAY(Sintesi!$C$16),1,$C89))*(INDEX(_xlfn.ANCHORARRAY(Sintesi!$C$15),1,$C89)&gt;0),2,IF($E89=(INDEX(_xlfn.ANCHORARRAY(Sintesi!$C$16),1,$C89)),3,4)))),0)))</f>
        <v/>
      </c>
      <c r="E89" s="1">
        <f>'Paste cell here'!F89</f>
        <v/>
      </c>
      <c r="F89" s="1">
        <f>'Paste cell here'!C89</f>
        <v/>
      </c>
      <c r="G89" s="1">
        <f>'Paste cell here'!D89</f>
        <v/>
      </c>
      <c r="H89" s="1">
        <f>'Paste cell here'!E89</f>
        <v/>
      </c>
      <c r="I89" s="1">
        <f>'Paste cell here'!X89</f>
        <v/>
      </c>
      <c r="J89" s="1">
        <f>'Paste cell here'!Y89+'Paste cell here'!S89</f>
        <v/>
      </c>
      <c r="K89" s="1">
        <f>I89/H89</f>
        <v/>
      </c>
      <c r="L89" s="1">
        <f>AVERAGE(($F89+$G89)/2-($F89-$G89)/2*COS(PI()*(8-VLOOKUP(MONTH(B89),$O$1:$Q$13,3))/(VLOOKUP(MONTH(B89),$O$1:$Q$13,2)-VLOOKUP(MONTH(B89),$O$1:$Q$13,3))),($F89+$G89)/2-($F89-$G89)/2*COS(PI()*(9-VLOOKUP(MONTH(B89),$O$1:$Q$13,3))/(VLOOKUP(MONTH(B89),$O$1:$Q$13,2)-VLOOKUP(MONTH(B89),$O$1:$Q$13,3))),($F89+$G89)/2-($F89-$G89)/2*COS(PI()*(10-VLOOKUP(MONTH(B89),$O$1:$Q$13,3))/(VLOOKUP(MONTH(B89),$O$1:$Q$13,2)-VLOOKUP(MONTH(B89),$O$1:$Q$13,3))),($F89+$G89)/2-($F89-$G89)/2*COS(PI()*(11-VLOOKUP(MONTH(B89),$O$1:$Q$13,3))/(VLOOKUP(MONTH(B89),$O$1:$Q$13,2)-VLOOKUP(MONTH(B89),$O$1:$Q$13,3))),($F89+$G89)/2-($F89-$G89)/2*COS(PI()*(12-VLOOKUP(MONTH(B89),$O$1:$Q$13,3))/(VLOOKUP(MONTH(B89),$O$1:$Q$13,2)-VLOOKUP(MONTH(B89),$O$1:$Q$13,3))),($F89+$G89)/2-($F89-$G89)/2*COS(PI()*(13-VLOOKUP(MONTH(B89),$O$1:$Q$13,3))/(VLOOKUP(MONTH(B89),$O$1:$Q$13,2)-VLOOKUP(MONTH(B89),$O$1:$Q$13,3))),($F89+$G89)/2-($F89-$G89)/2*COS(PI()*(14-VLOOKUP(MONTH(B89),$O$1:$Q$13,3))/(VLOOKUP(MONTH(B89),$O$1:$Q$13,2)-VLOOKUP(MONTH(B89),$O$1:$Q$13,3))))</f>
        <v/>
      </c>
      <c r="M89" s="1">
        <f t="array" ref="M89">IF(AND(A89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,A89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),IF(L89&lt;_xlfn.IFNA(INDEX(_xlfn.ANCHORARRAY(Sintesi!$C$17)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,1,IF(L89&gt;=_xlfn.IFNA(INDEX(_xlfn.ANCHORARRAY(Sintesi!$C$18)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,0,1-(L89-_xlfn.IFNA(INDEX(_xlfn.ANCHORARRAY(Sintesi!$C$17)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)/(_xlfn.IFNA(INDEX(_xlfn.ANCHORARRAY(Sintesi!$C$18)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-_xlfn.IFNA(INDEX(_xlfn.ANCHORARRAY(Sintesi!$C$17)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))),0)</f>
        <v/>
      </c>
    </row>
    <row r="90">
      <c r="A90" s="1">
        <f>'Paste cell here'!A90</f>
        <v/>
      </c>
      <c r="B90" s="2">
        <f>DATE(Sintesi!$C$4-1,12,31)+A90</f>
        <v/>
      </c>
      <c r="C90" s="34">
        <f t="array" ref="C90">_xlfn.IFNA(MATCH(1,(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)*(_xlfn.ANCHORARRAY(Sintesi!$C$15)&gt;=0)+(_xlfn.ANCHORARRAY(Sintesi!$C$15)&lt;0),0),0)</f>
        <v/>
      </c>
      <c r="D90" s="1">
        <f t="array" ref="D90">IF(ISBLANK($E91),IF(ISNUMBER($E89),IF($C90&gt;0,IF(($E90=INDEX(_xlfn.ANCHORARRAY(Sintesi!$C$14),1,$C90))*(INDEX(_xlfn.ANCHORARRAY(Sintesi!$C$15),1,$C90)&gt;0),0,IF(($E90=INDEX(_xlfn.ANCHORARRAY(Sintesi!$C$14),1,$C90))*(INDEX(_xlfn.ANCHORARRAY(Sintesi!$C$15),1,$C90)&lt;0)+($E90&gt;=$E89)*($E90&lt;=INDEX($E:$E,MATCH(TRUE,INDEX((ISNUMBER($E:$E)),0),0)))*($E90&gt;INDEX(_xlfn.ANCHORARRAY(Sintesi!$C$14),1,$C90))*($E90&lt;=INDEX(_xlfn.ANCHORARRAY(Sintesi!$C$15),1,$C90))*(INDEX(_xlfn.ANCHORARRAY(Sintesi!$C$15),1,$C90)&gt;0),1,IF(($E90&gt;=$E89)*($E90&lt;=INDEX($E:$E,MATCH(TRUE,INDEX((ISNUMBER($E:$E)),0),0)))*($E90&gt;INDEX(_xlfn.ANCHORARRAY(Sintesi!$C$14),1,$C90))*($E90&lt;INDEX(_xlfn.ANCHORARRAY(Sintesi!$C$16),1,$C90))*(INDEX(_xlfn.ANCHORARRAY(Sintesi!$C$15),1,$C90)&lt;0)+($E90&gt;=$E89)*($E90&lt;=INDEX($E:$E,MATCH(TRUE,INDEX((ISNUMBER($E:$E)),0),0)))*($E90&gt;INDEX(_xlfn.ANCHORARRAY(Sintesi!$C$15),1,$C90))*($E90&lt;INDEX(_xlfn.ANCHORARRAY(Sintesi!$C$16),1,$C90))*(INDEX(_xlfn.ANCHORARRAY(Sintesi!$C$15),1,$C90)&gt;0),2,IF($E90=(INDEX(_xlfn.ANCHORARRAY(Sintesi!$C$16),1,$C90)),3,4)))),0),IF($C90&gt;0,IF(($E90=INDEX(_xlfn.ANCHORARRAY(Sintesi!$C$14),1,$C90))*(INDEX(_xlfn.ANCHORARRAY(Sintesi!$C$15),1,$C90)&gt;0),0,IF(($E90=INDEX(_xlfn.ANCHORARRAY(Sintesi!$C$14),1,$C90))*(INDEX(_xlfn.ANCHORARRAY(Sintesi!$C$15),1,$C90)&lt;0)+($E90&gt;=LOOKUP(2,1/($E:$E&lt;&gt;""),$E:$E))*($E90&lt;=INDEX($E:$E,MATCH(TRUE,INDEX((ISNUMBER($E:$E)),0),0)))*($E90&gt;INDEX(_xlfn.ANCHORARRAY(Sintesi!$C$14),1,$C90))*($E90&lt;=INDEX(_xlfn.ANCHORARRAY(Sintesi!$C$15),1,$C90))*(INDEX(_xlfn.ANCHORARRAY(Sintesi!$C$15),1,$C90)&gt;0),1,IF(($E90&gt;=LOOKUP(2,1/($E:$E&lt;&gt;""),$E:$E))*($E90&lt;=INDEX($E:$E,MATCH(TRUE,INDEX((ISNUMBER($E:$E)),0),0)))*($E90&gt;INDEX(_xlfn.ANCHORARRAY(Sintesi!$C$14),1,$C90))*($E90&lt;INDEX(_xlfn.ANCHORARRAY(Sintesi!$C$16),1,$C90))*(INDEX(_xlfn.ANCHORARRAY(Sintesi!$C$15),1,$C90)&lt;0)+($E90&gt;=LOOKUP(2,1/($E:$E&lt;&gt;""),$E:$E))*($E90&lt;=INDEX($E:$E,MATCH(TRUE,INDEX((ISNUMBER($E:$E)),0),0)))*($E90&gt;INDEX(_xlfn.ANCHORARRAY(Sintesi!$C$15),1,$C90))*($E90&lt;INDEX(_xlfn.ANCHORARRAY(Sintesi!$C$16),1,$C90))*(INDEX(_xlfn.ANCHORARRAY(Sintesi!$C$15),1,$C90)&gt;0),2,IF($E90=(INDEX(_xlfn.ANCHORARRAY(Sintesi!$C$16),1,$C90)),3,4)))),0)),IF(ISNUMBER($E89),IF($C90&gt;0,IF(($E90=INDEX(_xlfn.ANCHORARRAY(Sintesi!$C$14),1,$C90))*(INDEX(_xlfn.ANCHORARRAY(Sintesi!$C$15),1,$C90)&gt;0),0,IF(($E90=INDEX(_xlfn.ANCHORARRAY(Sintesi!$C$14),1,$C90))*(INDEX(_xlfn.ANCHORARRAY(Sintesi!$C$15),1,$C90)&lt;0)+($E90&gt;=$E89)*($E90&lt;=$E91)*($E90&gt;INDEX(_xlfn.ANCHORARRAY(Sintesi!$C$14),1,$C90))*($E90&lt;=INDEX(_xlfn.ANCHORARRAY(Sintesi!$C$15),1,$C90))*(INDEX(_xlfn.ANCHORARRAY(Sintesi!$C$15),1,$C90)&gt;0),1,IF(($E90&gt;=$E89)*($E90&lt;=$E91)*($E90&gt;INDEX(_xlfn.ANCHORARRAY(Sintesi!$C$14),1,$C90))*($E90&lt;INDEX(_xlfn.ANCHORARRAY(Sintesi!$C$16),1,$C90))*(INDEX(_xlfn.ANCHORARRAY(Sintesi!$C$15),1,$C90)&lt;0)+($E90&gt;=$E89)*($E90&lt;=$E91)*($E90&gt;INDEX(_xlfn.ANCHORARRAY(Sintesi!$C$15),1,$C90))*($E90&lt;INDEX(_xlfn.ANCHORARRAY(Sintesi!$C$16),1,$C90))*(INDEX(_xlfn.ANCHORARRAY(Sintesi!$C$15),1,$C90)&gt;0),2,IF($E90=(INDEX(_xlfn.ANCHORARRAY(Sintesi!$C$16),1,$C90)),3,4)))),0),IF($C90&gt;0,IF(($E90=INDEX(_xlfn.ANCHORARRAY(Sintesi!$C$14),1,$C90))*(INDEX(_xlfn.ANCHORARRAY(Sintesi!$C$15),1,$C90)&gt;0),0,IF(($E90=INDEX(_xlfn.ANCHORARRAY(Sintesi!$C$14),1,$C90))*(INDEX(_xlfn.ANCHORARRAY(Sintesi!$C$15),1,$C90)&lt;0)+($E90&gt;=LOOKUP(2,1/($E:$E&lt;&gt;""),$E:$E))*($E90&lt;=$E91)*($E90&gt;INDEX(_xlfn.ANCHORARRAY(Sintesi!$C$14),1,$C90))*($E90&lt;=INDEX(_xlfn.ANCHORARRAY(Sintesi!$C$15),1,$C90))*(INDEX(_xlfn.ANCHORARRAY(Sintesi!$C$15),1,$C90)&gt;0),1,IF(($E90&gt;=LOOKUP(2,1/($E:$E&lt;&gt;""),$E:$E))*($E90&lt;=$E91)*($E90&gt;INDEX(_xlfn.ANCHORARRAY(Sintesi!$C$14),1,$C90))*($E90&lt;INDEX(_xlfn.ANCHORARRAY(Sintesi!$C$16),1,$C90))*(INDEX(_xlfn.ANCHORARRAY(Sintesi!$C$15),1,$C90)&lt;0)+($E90&gt;=LOOKUP(2,1/($E:$E&lt;&gt;""),$E:$E))*($E90&lt;=$E91)*($E90&gt;INDEX(_xlfn.ANCHORARRAY(Sintesi!$C$15),1,$C90))*($E90&lt;INDEX(_xlfn.ANCHORARRAY(Sintesi!$C$16),1,$C90))*(INDEX(_xlfn.ANCHORARRAY(Sintesi!$C$15),1,$C90)&gt;0),2,IF($E90=(INDEX(_xlfn.ANCHORARRAY(Sintesi!$C$16),1,$C90)),3,4)))),0)))</f>
        <v/>
      </c>
      <c r="E90" s="1">
        <f>'Paste cell here'!F90</f>
        <v/>
      </c>
      <c r="F90" s="1">
        <f>'Paste cell here'!C90</f>
        <v/>
      </c>
      <c r="G90" s="1">
        <f>'Paste cell here'!D90</f>
        <v/>
      </c>
      <c r="H90" s="1">
        <f>'Paste cell here'!E90</f>
        <v/>
      </c>
      <c r="I90" s="1">
        <f>'Paste cell here'!X90</f>
        <v/>
      </c>
      <c r="J90" s="1">
        <f>'Paste cell here'!Y90+'Paste cell here'!S90</f>
        <v/>
      </c>
      <c r="K90" s="1">
        <f>I90/H90</f>
        <v/>
      </c>
      <c r="L90" s="1">
        <f>AVERAGE(($F90+$G90)/2-($F90-$G90)/2*COS(PI()*(8-VLOOKUP(MONTH(B90),$O$1:$Q$13,3))/(VLOOKUP(MONTH(B90),$O$1:$Q$13,2)-VLOOKUP(MONTH(B90),$O$1:$Q$13,3))),($F90+$G90)/2-($F90-$G90)/2*COS(PI()*(9-VLOOKUP(MONTH(B90),$O$1:$Q$13,3))/(VLOOKUP(MONTH(B90),$O$1:$Q$13,2)-VLOOKUP(MONTH(B90),$O$1:$Q$13,3))),($F90+$G90)/2-($F90-$G90)/2*COS(PI()*(10-VLOOKUP(MONTH(B90),$O$1:$Q$13,3))/(VLOOKUP(MONTH(B90),$O$1:$Q$13,2)-VLOOKUP(MONTH(B90),$O$1:$Q$13,3))),($F90+$G90)/2-($F90-$G90)/2*COS(PI()*(11-VLOOKUP(MONTH(B90),$O$1:$Q$13,3))/(VLOOKUP(MONTH(B90),$O$1:$Q$13,2)-VLOOKUP(MONTH(B90),$O$1:$Q$13,3))),($F90+$G90)/2-($F90-$G90)/2*COS(PI()*(12-VLOOKUP(MONTH(B90),$O$1:$Q$13,3))/(VLOOKUP(MONTH(B90),$O$1:$Q$13,2)-VLOOKUP(MONTH(B90),$O$1:$Q$13,3))),($F90+$G90)/2-($F90-$G90)/2*COS(PI()*(13-VLOOKUP(MONTH(B90),$O$1:$Q$13,3))/(VLOOKUP(MONTH(B90),$O$1:$Q$13,2)-VLOOKUP(MONTH(B90),$O$1:$Q$13,3))),($F90+$G90)/2-($F90-$G90)/2*COS(PI()*(14-VLOOKUP(MONTH(B90),$O$1:$Q$13,3))/(VLOOKUP(MONTH(B90),$O$1:$Q$13,2)-VLOOKUP(MONTH(B90),$O$1:$Q$13,3))))</f>
        <v/>
      </c>
      <c r="M90" s="1">
        <f t="array" ref="M90">IF(AND(A90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,A90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),IF(L90&lt;_xlfn.IFNA(INDEX(_xlfn.ANCHORARRAY(Sintesi!$C$17)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,1,IF(L90&gt;=_xlfn.IFNA(INDEX(_xlfn.ANCHORARRAY(Sintesi!$C$18)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,0,1-(L90-_xlfn.IFNA(INDEX(_xlfn.ANCHORARRAY(Sintesi!$C$17)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)/(_xlfn.IFNA(INDEX(_xlfn.ANCHORARRAY(Sintesi!$C$18)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-_xlfn.IFNA(INDEX(_xlfn.ANCHORARRAY(Sintesi!$C$17)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))),0)</f>
        <v/>
      </c>
    </row>
    <row r="91">
      <c r="A91" s="1">
        <f>'Paste cell here'!A91</f>
        <v/>
      </c>
      <c r="B91" s="2">
        <f>DATE(Sintesi!$C$4-1,12,31)+A91</f>
        <v/>
      </c>
      <c r="C91" s="34">
        <f t="array" ref="C91">_xlfn.IFNA(MATCH(1,(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)*(_xlfn.ANCHORARRAY(Sintesi!$C$15)&gt;=0)+(_xlfn.ANCHORARRAY(Sintesi!$C$15)&lt;0),0),0)</f>
        <v/>
      </c>
      <c r="D91" s="1">
        <f t="array" ref="D91">IF(ISBLANK($E92),IF(ISNUMBER($E90),IF($C91&gt;0,IF(($E91=INDEX(_xlfn.ANCHORARRAY(Sintesi!$C$14),1,$C91))*(INDEX(_xlfn.ANCHORARRAY(Sintesi!$C$15),1,$C91)&gt;0),0,IF(($E91=INDEX(_xlfn.ANCHORARRAY(Sintesi!$C$14),1,$C91))*(INDEX(_xlfn.ANCHORARRAY(Sintesi!$C$15),1,$C91)&lt;0)+($E91&gt;=$E90)*($E91&lt;=INDEX($E:$E,MATCH(TRUE,INDEX((ISNUMBER($E:$E)),0),0)))*($E91&gt;INDEX(_xlfn.ANCHORARRAY(Sintesi!$C$14),1,$C91))*($E91&lt;=INDEX(_xlfn.ANCHORARRAY(Sintesi!$C$15),1,$C91))*(INDEX(_xlfn.ANCHORARRAY(Sintesi!$C$15),1,$C91)&gt;0),1,IF(($E91&gt;=$E90)*($E91&lt;=INDEX($E:$E,MATCH(TRUE,INDEX((ISNUMBER($E:$E)),0),0)))*($E91&gt;INDEX(_xlfn.ANCHORARRAY(Sintesi!$C$14),1,$C91))*($E91&lt;INDEX(_xlfn.ANCHORARRAY(Sintesi!$C$16),1,$C91))*(INDEX(_xlfn.ANCHORARRAY(Sintesi!$C$15),1,$C91)&lt;0)+($E91&gt;=$E90)*($E91&lt;=INDEX($E:$E,MATCH(TRUE,INDEX((ISNUMBER($E:$E)),0),0)))*($E91&gt;INDEX(_xlfn.ANCHORARRAY(Sintesi!$C$15),1,$C91))*($E91&lt;INDEX(_xlfn.ANCHORARRAY(Sintesi!$C$16),1,$C91))*(INDEX(_xlfn.ANCHORARRAY(Sintesi!$C$15),1,$C91)&gt;0),2,IF($E91=(INDEX(_xlfn.ANCHORARRAY(Sintesi!$C$16),1,$C91)),3,4)))),0),IF($C91&gt;0,IF(($E91=INDEX(_xlfn.ANCHORARRAY(Sintesi!$C$14),1,$C91))*(INDEX(_xlfn.ANCHORARRAY(Sintesi!$C$15),1,$C91)&gt;0),0,IF(($E91=INDEX(_xlfn.ANCHORARRAY(Sintesi!$C$14),1,$C91))*(INDEX(_xlfn.ANCHORARRAY(Sintesi!$C$15),1,$C91)&lt;0)+($E91&gt;=LOOKUP(2,1/($E:$E&lt;&gt;""),$E:$E))*($E91&lt;=INDEX($E:$E,MATCH(TRUE,INDEX((ISNUMBER($E:$E)),0),0)))*($E91&gt;INDEX(_xlfn.ANCHORARRAY(Sintesi!$C$14),1,$C91))*($E91&lt;=INDEX(_xlfn.ANCHORARRAY(Sintesi!$C$15),1,$C91))*(INDEX(_xlfn.ANCHORARRAY(Sintesi!$C$15),1,$C91)&gt;0),1,IF(($E91&gt;=LOOKUP(2,1/($E:$E&lt;&gt;""),$E:$E))*($E91&lt;=INDEX($E:$E,MATCH(TRUE,INDEX((ISNUMBER($E:$E)),0),0)))*($E91&gt;INDEX(_xlfn.ANCHORARRAY(Sintesi!$C$14),1,$C91))*($E91&lt;INDEX(_xlfn.ANCHORARRAY(Sintesi!$C$16),1,$C91))*(INDEX(_xlfn.ANCHORARRAY(Sintesi!$C$15),1,$C91)&lt;0)+($E91&gt;=LOOKUP(2,1/($E:$E&lt;&gt;""),$E:$E))*($E91&lt;=INDEX($E:$E,MATCH(TRUE,INDEX((ISNUMBER($E:$E)),0),0)))*($E91&gt;INDEX(_xlfn.ANCHORARRAY(Sintesi!$C$15),1,$C91))*($E91&lt;INDEX(_xlfn.ANCHORARRAY(Sintesi!$C$16),1,$C91))*(INDEX(_xlfn.ANCHORARRAY(Sintesi!$C$15),1,$C91)&gt;0),2,IF($E91=(INDEX(_xlfn.ANCHORARRAY(Sintesi!$C$16),1,$C91)),3,4)))),0)),IF(ISNUMBER($E90),IF($C91&gt;0,IF(($E91=INDEX(_xlfn.ANCHORARRAY(Sintesi!$C$14),1,$C91))*(INDEX(_xlfn.ANCHORARRAY(Sintesi!$C$15),1,$C91)&gt;0),0,IF(($E91=INDEX(_xlfn.ANCHORARRAY(Sintesi!$C$14),1,$C91))*(INDEX(_xlfn.ANCHORARRAY(Sintesi!$C$15),1,$C91)&lt;0)+($E91&gt;=$E90)*($E91&lt;=$E92)*($E91&gt;INDEX(_xlfn.ANCHORARRAY(Sintesi!$C$14),1,$C91))*($E91&lt;=INDEX(_xlfn.ANCHORARRAY(Sintesi!$C$15),1,$C91))*(INDEX(_xlfn.ANCHORARRAY(Sintesi!$C$15),1,$C91)&gt;0),1,IF(($E91&gt;=$E90)*($E91&lt;=$E92)*($E91&gt;INDEX(_xlfn.ANCHORARRAY(Sintesi!$C$14),1,$C91))*($E91&lt;INDEX(_xlfn.ANCHORARRAY(Sintesi!$C$16),1,$C91))*(INDEX(_xlfn.ANCHORARRAY(Sintesi!$C$15),1,$C91)&lt;0)+($E91&gt;=$E90)*($E91&lt;=$E92)*($E91&gt;INDEX(_xlfn.ANCHORARRAY(Sintesi!$C$15),1,$C91))*($E91&lt;INDEX(_xlfn.ANCHORARRAY(Sintesi!$C$16),1,$C91))*(INDEX(_xlfn.ANCHORARRAY(Sintesi!$C$15),1,$C91)&gt;0),2,IF($E91=(INDEX(_xlfn.ANCHORARRAY(Sintesi!$C$16),1,$C91)),3,4)))),0),IF($C91&gt;0,IF(($E91=INDEX(_xlfn.ANCHORARRAY(Sintesi!$C$14),1,$C91))*(INDEX(_xlfn.ANCHORARRAY(Sintesi!$C$15),1,$C91)&gt;0),0,IF(($E91=INDEX(_xlfn.ANCHORARRAY(Sintesi!$C$14),1,$C91))*(INDEX(_xlfn.ANCHORARRAY(Sintesi!$C$15),1,$C91)&lt;0)+($E91&gt;=LOOKUP(2,1/($E:$E&lt;&gt;""),$E:$E))*($E91&lt;=$E92)*($E91&gt;INDEX(_xlfn.ANCHORARRAY(Sintesi!$C$14),1,$C91))*($E91&lt;=INDEX(_xlfn.ANCHORARRAY(Sintesi!$C$15),1,$C91))*(INDEX(_xlfn.ANCHORARRAY(Sintesi!$C$15),1,$C91)&gt;0),1,IF(($E91&gt;=LOOKUP(2,1/($E:$E&lt;&gt;""),$E:$E))*($E91&lt;=$E92)*($E91&gt;INDEX(_xlfn.ANCHORARRAY(Sintesi!$C$14),1,$C91))*($E91&lt;INDEX(_xlfn.ANCHORARRAY(Sintesi!$C$16),1,$C91))*(INDEX(_xlfn.ANCHORARRAY(Sintesi!$C$15),1,$C91)&lt;0)+($E91&gt;=LOOKUP(2,1/($E:$E&lt;&gt;""),$E:$E))*($E91&lt;=$E92)*($E91&gt;INDEX(_xlfn.ANCHORARRAY(Sintesi!$C$15),1,$C91))*($E91&lt;INDEX(_xlfn.ANCHORARRAY(Sintesi!$C$16),1,$C91))*(INDEX(_xlfn.ANCHORARRAY(Sintesi!$C$15),1,$C91)&gt;0),2,IF($E91=(INDEX(_xlfn.ANCHORARRAY(Sintesi!$C$16),1,$C91)),3,4)))),0)))</f>
        <v/>
      </c>
      <c r="E91" s="1">
        <f>'Paste cell here'!F91</f>
        <v/>
      </c>
      <c r="F91" s="1">
        <f>'Paste cell here'!C91</f>
        <v/>
      </c>
      <c r="G91" s="1">
        <f>'Paste cell here'!D91</f>
        <v/>
      </c>
      <c r="H91" s="1">
        <f>'Paste cell here'!E91</f>
        <v/>
      </c>
      <c r="I91" s="1">
        <f>'Paste cell here'!X91</f>
        <v/>
      </c>
      <c r="J91" s="1">
        <f>'Paste cell here'!Y91+'Paste cell here'!S91</f>
        <v/>
      </c>
      <c r="K91" s="1">
        <f>I91/H91</f>
        <v/>
      </c>
      <c r="L91" s="1">
        <f>AVERAGE(($F91+$G91)/2-($F91-$G91)/2*COS(PI()*(8-VLOOKUP(MONTH(B91),$O$1:$Q$13,3))/(VLOOKUP(MONTH(B91),$O$1:$Q$13,2)-VLOOKUP(MONTH(B91),$O$1:$Q$13,3))),($F91+$G91)/2-($F91-$G91)/2*COS(PI()*(9-VLOOKUP(MONTH(B91),$O$1:$Q$13,3))/(VLOOKUP(MONTH(B91),$O$1:$Q$13,2)-VLOOKUP(MONTH(B91),$O$1:$Q$13,3))),($F91+$G91)/2-($F91-$G91)/2*COS(PI()*(10-VLOOKUP(MONTH(B91),$O$1:$Q$13,3))/(VLOOKUP(MONTH(B91),$O$1:$Q$13,2)-VLOOKUP(MONTH(B91),$O$1:$Q$13,3))),($F91+$G91)/2-($F91-$G91)/2*COS(PI()*(11-VLOOKUP(MONTH(B91),$O$1:$Q$13,3))/(VLOOKUP(MONTH(B91),$O$1:$Q$13,2)-VLOOKUP(MONTH(B91),$O$1:$Q$13,3))),($F91+$G91)/2-($F91-$G91)/2*COS(PI()*(12-VLOOKUP(MONTH(B91),$O$1:$Q$13,3))/(VLOOKUP(MONTH(B91),$O$1:$Q$13,2)-VLOOKUP(MONTH(B91),$O$1:$Q$13,3))),($F91+$G91)/2-($F91-$G91)/2*COS(PI()*(13-VLOOKUP(MONTH(B91),$O$1:$Q$13,3))/(VLOOKUP(MONTH(B91),$O$1:$Q$13,2)-VLOOKUP(MONTH(B91),$O$1:$Q$13,3))),($F91+$G91)/2-($F91-$G91)/2*COS(PI()*(14-VLOOKUP(MONTH(B91),$O$1:$Q$13,3))/(VLOOKUP(MONTH(B91),$O$1:$Q$13,2)-VLOOKUP(MONTH(B91),$O$1:$Q$13,3))))</f>
        <v/>
      </c>
      <c r="M91" s="1">
        <f t="array" ref="M91">IF(AND(A91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,A91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),IF(L91&lt;_xlfn.IFNA(INDEX(_xlfn.ANCHORARRAY(Sintesi!$C$17)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,1,IF(L91&gt;=_xlfn.IFNA(INDEX(_xlfn.ANCHORARRAY(Sintesi!$C$18)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,0,1-(L91-_xlfn.IFNA(INDEX(_xlfn.ANCHORARRAY(Sintesi!$C$17)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)/(_xlfn.IFNA(INDEX(_xlfn.ANCHORARRAY(Sintesi!$C$18)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-_xlfn.IFNA(INDEX(_xlfn.ANCHORARRAY(Sintesi!$C$17)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))),0)</f>
        <v/>
      </c>
    </row>
    <row r="92">
      <c r="A92" s="1">
        <f>'Paste cell here'!A92</f>
        <v/>
      </c>
      <c r="B92" s="2">
        <f>DATE(Sintesi!$C$4-1,12,31)+A92</f>
        <v/>
      </c>
      <c r="C92" s="34">
        <f t="array" ref="C92">_xlfn.IFNA(MATCH(1,(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)*(_xlfn.ANCHORARRAY(Sintesi!$C$15)&gt;=0)+(_xlfn.ANCHORARRAY(Sintesi!$C$15)&lt;0),0),0)</f>
        <v/>
      </c>
      <c r="D92" s="1">
        <f t="array" ref="D92">IF(ISBLANK($E93),IF(ISNUMBER($E91),IF($C92&gt;0,IF(($E92=INDEX(_xlfn.ANCHORARRAY(Sintesi!$C$14),1,$C92))*(INDEX(_xlfn.ANCHORARRAY(Sintesi!$C$15),1,$C92)&gt;0),0,IF(($E92=INDEX(_xlfn.ANCHORARRAY(Sintesi!$C$14),1,$C92))*(INDEX(_xlfn.ANCHORARRAY(Sintesi!$C$15),1,$C92)&lt;0)+($E92&gt;=$E91)*($E92&lt;=INDEX($E:$E,MATCH(TRUE,INDEX((ISNUMBER($E:$E)),0),0)))*($E92&gt;INDEX(_xlfn.ANCHORARRAY(Sintesi!$C$14),1,$C92))*($E92&lt;=INDEX(_xlfn.ANCHORARRAY(Sintesi!$C$15),1,$C92))*(INDEX(_xlfn.ANCHORARRAY(Sintesi!$C$15),1,$C92)&gt;0),1,IF(($E92&gt;=$E91)*($E92&lt;=INDEX($E:$E,MATCH(TRUE,INDEX((ISNUMBER($E:$E)),0),0)))*($E92&gt;INDEX(_xlfn.ANCHORARRAY(Sintesi!$C$14),1,$C92))*($E92&lt;INDEX(_xlfn.ANCHORARRAY(Sintesi!$C$16),1,$C92))*(INDEX(_xlfn.ANCHORARRAY(Sintesi!$C$15),1,$C92)&lt;0)+($E92&gt;=$E91)*($E92&lt;=INDEX($E:$E,MATCH(TRUE,INDEX((ISNUMBER($E:$E)),0),0)))*($E92&gt;INDEX(_xlfn.ANCHORARRAY(Sintesi!$C$15),1,$C92))*($E92&lt;INDEX(_xlfn.ANCHORARRAY(Sintesi!$C$16),1,$C92))*(INDEX(_xlfn.ANCHORARRAY(Sintesi!$C$15),1,$C92)&gt;0),2,IF($E92=(INDEX(_xlfn.ANCHORARRAY(Sintesi!$C$16),1,$C92)),3,4)))),0),IF($C92&gt;0,IF(($E92=INDEX(_xlfn.ANCHORARRAY(Sintesi!$C$14),1,$C92))*(INDEX(_xlfn.ANCHORARRAY(Sintesi!$C$15),1,$C92)&gt;0),0,IF(($E92=INDEX(_xlfn.ANCHORARRAY(Sintesi!$C$14),1,$C92))*(INDEX(_xlfn.ANCHORARRAY(Sintesi!$C$15),1,$C92)&lt;0)+($E92&gt;=LOOKUP(2,1/($E:$E&lt;&gt;""),$E:$E))*($E92&lt;=INDEX($E:$E,MATCH(TRUE,INDEX((ISNUMBER($E:$E)),0),0)))*($E92&gt;INDEX(_xlfn.ANCHORARRAY(Sintesi!$C$14),1,$C92))*($E92&lt;=INDEX(_xlfn.ANCHORARRAY(Sintesi!$C$15),1,$C92))*(INDEX(_xlfn.ANCHORARRAY(Sintesi!$C$15),1,$C92)&gt;0),1,IF(($E92&gt;=LOOKUP(2,1/($E:$E&lt;&gt;""),$E:$E))*($E92&lt;=INDEX($E:$E,MATCH(TRUE,INDEX((ISNUMBER($E:$E)),0),0)))*($E92&gt;INDEX(_xlfn.ANCHORARRAY(Sintesi!$C$14),1,$C92))*($E92&lt;INDEX(_xlfn.ANCHORARRAY(Sintesi!$C$16),1,$C92))*(INDEX(_xlfn.ANCHORARRAY(Sintesi!$C$15),1,$C92)&lt;0)+($E92&gt;=LOOKUP(2,1/($E:$E&lt;&gt;""),$E:$E))*($E92&lt;=INDEX($E:$E,MATCH(TRUE,INDEX((ISNUMBER($E:$E)),0),0)))*($E92&gt;INDEX(_xlfn.ANCHORARRAY(Sintesi!$C$15),1,$C92))*($E92&lt;INDEX(_xlfn.ANCHORARRAY(Sintesi!$C$16),1,$C92))*(INDEX(_xlfn.ANCHORARRAY(Sintesi!$C$15),1,$C92)&gt;0),2,IF($E92=(INDEX(_xlfn.ANCHORARRAY(Sintesi!$C$16),1,$C92)),3,4)))),0)),IF(ISNUMBER($E91),IF($C92&gt;0,IF(($E92=INDEX(_xlfn.ANCHORARRAY(Sintesi!$C$14),1,$C92))*(INDEX(_xlfn.ANCHORARRAY(Sintesi!$C$15),1,$C92)&gt;0),0,IF(($E92=INDEX(_xlfn.ANCHORARRAY(Sintesi!$C$14),1,$C92))*(INDEX(_xlfn.ANCHORARRAY(Sintesi!$C$15),1,$C92)&lt;0)+($E92&gt;=$E91)*($E92&lt;=$E93)*($E92&gt;INDEX(_xlfn.ANCHORARRAY(Sintesi!$C$14),1,$C92))*($E92&lt;=INDEX(_xlfn.ANCHORARRAY(Sintesi!$C$15),1,$C92))*(INDEX(_xlfn.ANCHORARRAY(Sintesi!$C$15),1,$C92)&gt;0),1,IF(($E92&gt;=$E91)*($E92&lt;=$E93)*($E92&gt;INDEX(_xlfn.ANCHORARRAY(Sintesi!$C$14),1,$C92))*($E92&lt;INDEX(_xlfn.ANCHORARRAY(Sintesi!$C$16),1,$C92))*(INDEX(_xlfn.ANCHORARRAY(Sintesi!$C$15),1,$C92)&lt;0)+($E92&gt;=$E91)*($E92&lt;=$E93)*($E92&gt;INDEX(_xlfn.ANCHORARRAY(Sintesi!$C$15),1,$C92))*($E92&lt;INDEX(_xlfn.ANCHORARRAY(Sintesi!$C$16),1,$C92))*(INDEX(_xlfn.ANCHORARRAY(Sintesi!$C$15),1,$C92)&gt;0),2,IF($E92=(INDEX(_xlfn.ANCHORARRAY(Sintesi!$C$16),1,$C92)),3,4)))),0),IF($C92&gt;0,IF(($E92=INDEX(_xlfn.ANCHORARRAY(Sintesi!$C$14),1,$C92))*(INDEX(_xlfn.ANCHORARRAY(Sintesi!$C$15),1,$C92)&gt;0),0,IF(($E92=INDEX(_xlfn.ANCHORARRAY(Sintesi!$C$14),1,$C92))*(INDEX(_xlfn.ANCHORARRAY(Sintesi!$C$15),1,$C92)&lt;0)+($E92&gt;=LOOKUP(2,1/($E:$E&lt;&gt;""),$E:$E))*($E92&lt;=$E93)*($E92&gt;INDEX(_xlfn.ANCHORARRAY(Sintesi!$C$14),1,$C92))*($E92&lt;=INDEX(_xlfn.ANCHORARRAY(Sintesi!$C$15),1,$C92))*(INDEX(_xlfn.ANCHORARRAY(Sintesi!$C$15),1,$C92)&gt;0),1,IF(($E92&gt;=LOOKUP(2,1/($E:$E&lt;&gt;""),$E:$E))*($E92&lt;=$E93)*($E92&gt;INDEX(_xlfn.ANCHORARRAY(Sintesi!$C$14),1,$C92))*($E92&lt;INDEX(_xlfn.ANCHORARRAY(Sintesi!$C$16),1,$C92))*(INDEX(_xlfn.ANCHORARRAY(Sintesi!$C$15),1,$C92)&lt;0)+($E92&gt;=LOOKUP(2,1/($E:$E&lt;&gt;""),$E:$E))*($E92&lt;=$E93)*($E92&gt;INDEX(_xlfn.ANCHORARRAY(Sintesi!$C$15),1,$C92))*($E92&lt;INDEX(_xlfn.ANCHORARRAY(Sintesi!$C$16),1,$C92))*(INDEX(_xlfn.ANCHORARRAY(Sintesi!$C$15),1,$C92)&gt;0),2,IF($E92=(INDEX(_xlfn.ANCHORARRAY(Sintesi!$C$16),1,$C92)),3,4)))),0)))</f>
        <v/>
      </c>
      <c r="E92" s="1">
        <f>'Paste cell here'!F92</f>
        <v/>
      </c>
      <c r="F92" s="1">
        <f>'Paste cell here'!C92</f>
        <v/>
      </c>
      <c r="G92" s="1">
        <f>'Paste cell here'!D92</f>
        <v/>
      </c>
      <c r="H92" s="1">
        <f>'Paste cell here'!E92</f>
        <v/>
      </c>
      <c r="I92" s="1">
        <f>'Paste cell here'!X92</f>
        <v/>
      </c>
      <c r="J92" s="1">
        <f>'Paste cell here'!Y92+'Paste cell here'!S92</f>
        <v/>
      </c>
      <c r="K92" s="1">
        <f>I92/H92</f>
        <v/>
      </c>
      <c r="L92" s="1">
        <f>AVERAGE(($F92+$G92)/2-($F92-$G92)/2*COS(PI()*(8-VLOOKUP(MONTH(B92),$O$1:$Q$13,3))/(VLOOKUP(MONTH(B92),$O$1:$Q$13,2)-VLOOKUP(MONTH(B92),$O$1:$Q$13,3))),($F92+$G92)/2-($F92-$G92)/2*COS(PI()*(9-VLOOKUP(MONTH(B92),$O$1:$Q$13,3))/(VLOOKUP(MONTH(B92),$O$1:$Q$13,2)-VLOOKUP(MONTH(B92),$O$1:$Q$13,3))),($F92+$G92)/2-($F92-$G92)/2*COS(PI()*(10-VLOOKUP(MONTH(B92),$O$1:$Q$13,3))/(VLOOKUP(MONTH(B92),$O$1:$Q$13,2)-VLOOKUP(MONTH(B92),$O$1:$Q$13,3))),($F92+$G92)/2-($F92-$G92)/2*COS(PI()*(11-VLOOKUP(MONTH(B92),$O$1:$Q$13,3))/(VLOOKUP(MONTH(B92),$O$1:$Q$13,2)-VLOOKUP(MONTH(B92),$O$1:$Q$13,3))),($F92+$G92)/2-($F92-$G92)/2*COS(PI()*(12-VLOOKUP(MONTH(B92),$O$1:$Q$13,3))/(VLOOKUP(MONTH(B92),$O$1:$Q$13,2)-VLOOKUP(MONTH(B92),$O$1:$Q$13,3))),($F92+$G92)/2-($F92-$G92)/2*COS(PI()*(13-VLOOKUP(MONTH(B92),$O$1:$Q$13,3))/(VLOOKUP(MONTH(B92),$O$1:$Q$13,2)-VLOOKUP(MONTH(B92),$O$1:$Q$13,3))),($F92+$G92)/2-($F92-$G92)/2*COS(PI()*(14-VLOOKUP(MONTH(B92),$O$1:$Q$13,3))/(VLOOKUP(MONTH(B92),$O$1:$Q$13,2)-VLOOKUP(MONTH(B92),$O$1:$Q$13,3))))</f>
        <v/>
      </c>
      <c r="M92" s="1">
        <f t="array" ref="M92">IF(AND(A92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,A92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),IF(L92&lt;_xlfn.IFNA(INDEX(_xlfn.ANCHORARRAY(Sintesi!$C$17)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,1,IF(L92&gt;=_xlfn.IFNA(INDEX(_xlfn.ANCHORARRAY(Sintesi!$C$18)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,0,1-(L92-_xlfn.IFNA(INDEX(_xlfn.ANCHORARRAY(Sintesi!$C$17)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)/(_xlfn.IFNA(INDEX(_xlfn.ANCHORARRAY(Sintesi!$C$18)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-_xlfn.IFNA(INDEX(_xlfn.ANCHORARRAY(Sintesi!$C$17)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))),0)</f>
        <v/>
      </c>
    </row>
    <row r="93">
      <c r="A93" s="1">
        <f>'Paste cell here'!A93</f>
        <v/>
      </c>
      <c r="B93" s="2">
        <f>DATE(Sintesi!$C$4-1,12,31)+A93</f>
        <v/>
      </c>
      <c r="C93" s="34">
        <f t="array" ref="C93">_xlfn.IFNA(MATCH(1,(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)*(_xlfn.ANCHORARRAY(Sintesi!$C$15)&gt;=0)+(_xlfn.ANCHORARRAY(Sintesi!$C$15)&lt;0),0),0)</f>
        <v/>
      </c>
      <c r="D93" s="1">
        <f t="array" ref="D93">IF(ISBLANK($E94),IF(ISNUMBER($E92),IF($C93&gt;0,IF(($E93=INDEX(_xlfn.ANCHORARRAY(Sintesi!$C$14),1,$C93))*(INDEX(_xlfn.ANCHORARRAY(Sintesi!$C$15),1,$C93)&gt;0),0,IF(($E93=INDEX(_xlfn.ANCHORARRAY(Sintesi!$C$14),1,$C93))*(INDEX(_xlfn.ANCHORARRAY(Sintesi!$C$15),1,$C93)&lt;0)+($E93&gt;=$E92)*($E93&lt;=INDEX($E:$E,MATCH(TRUE,INDEX((ISNUMBER($E:$E)),0),0)))*($E93&gt;INDEX(_xlfn.ANCHORARRAY(Sintesi!$C$14),1,$C93))*($E93&lt;=INDEX(_xlfn.ANCHORARRAY(Sintesi!$C$15),1,$C93))*(INDEX(_xlfn.ANCHORARRAY(Sintesi!$C$15),1,$C93)&gt;0),1,IF(($E93&gt;=$E92)*($E93&lt;=INDEX($E:$E,MATCH(TRUE,INDEX((ISNUMBER($E:$E)),0),0)))*($E93&gt;INDEX(_xlfn.ANCHORARRAY(Sintesi!$C$14),1,$C93))*($E93&lt;INDEX(_xlfn.ANCHORARRAY(Sintesi!$C$16),1,$C93))*(INDEX(_xlfn.ANCHORARRAY(Sintesi!$C$15),1,$C93)&lt;0)+($E93&gt;=$E92)*($E93&lt;=INDEX($E:$E,MATCH(TRUE,INDEX((ISNUMBER($E:$E)),0),0)))*($E93&gt;INDEX(_xlfn.ANCHORARRAY(Sintesi!$C$15),1,$C93))*($E93&lt;INDEX(_xlfn.ANCHORARRAY(Sintesi!$C$16),1,$C93))*(INDEX(_xlfn.ANCHORARRAY(Sintesi!$C$15),1,$C93)&gt;0),2,IF($E93=(INDEX(_xlfn.ANCHORARRAY(Sintesi!$C$16),1,$C93)),3,4)))),0),IF($C93&gt;0,IF(($E93=INDEX(_xlfn.ANCHORARRAY(Sintesi!$C$14),1,$C93))*(INDEX(_xlfn.ANCHORARRAY(Sintesi!$C$15),1,$C93)&gt;0),0,IF(($E93=INDEX(_xlfn.ANCHORARRAY(Sintesi!$C$14),1,$C93))*(INDEX(_xlfn.ANCHORARRAY(Sintesi!$C$15),1,$C93)&lt;0)+($E93&gt;=LOOKUP(2,1/($E:$E&lt;&gt;""),$E:$E))*($E93&lt;=INDEX($E:$E,MATCH(TRUE,INDEX((ISNUMBER($E:$E)),0),0)))*($E93&gt;INDEX(_xlfn.ANCHORARRAY(Sintesi!$C$14),1,$C93))*($E93&lt;=INDEX(_xlfn.ANCHORARRAY(Sintesi!$C$15),1,$C93))*(INDEX(_xlfn.ANCHORARRAY(Sintesi!$C$15),1,$C93)&gt;0),1,IF(($E93&gt;=LOOKUP(2,1/($E:$E&lt;&gt;""),$E:$E))*($E93&lt;=INDEX($E:$E,MATCH(TRUE,INDEX((ISNUMBER($E:$E)),0),0)))*($E93&gt;INDEX(_xlfn.ANCHORARRAY(Sintesi!$C$14),1,$C93))*($E93&lt;INDEX(_xlfn.ANCHORARRAY(Sintesi!$C$16),1,$C93))*(INDEX(_xlfn.ANCHORARRAY(Sintesi!$C$15),1,$C93)&lt;0)+($E93&gt;=LOOKUP(2,1/($E:$E&lt;&gt;""),$E:$E))*($E93&lt;=INDEX($E:$E,MATCH(TRUE,INDEX((ISNUMBER($E:$E)),0),0)))*($E93&gt;INDEX(_xlfn.ANCHORARRAY(Sintesi!$C$15),1,$C93))*($E93&lt;INDEX(_xlfn.ANCHORARRAY(Sintesi!$C$16),1,$C93))*(INDEX(_xlfn.ANCHORARRAY(Sintesi!$C$15),1,$C93)&gt;0),2,IF($E93=(INDEX(_xlfn.ANCHORARRAY(Sintesi!$C$16),1,$C93)),3,4)))),0)),IF(ISNUMBER($E92),IF($C93&gt;0,IF(($E93=INDEX(_xlfn.ANCHORARRAY(Sintesi!$C$14),1,$C93))*(INDEX(_xlfn.ANCHORARRAY(Sintesi!$C$15),1,$C93)&gt;0),0,IF(($E93=INDEX(_xlfn.ANCHORARRAY(Sintesi!$C$14),1,$C93))*(INDEX(_xlfn.ANCHORARRAY(Sintesi!$C$15),1,$C93)&lt;0)+($E93&gt;=$E92)*($E93&lt;=$E94)*($E93&gt;INDEX(_xlfn.ANCHORARRAY(Sintesi!$C$14),1,$C93))*($E93&lt;=INDEX(_xlfn.ANCHORARRAY(Sintesi!$C$15),1,$C93))*(INDEX(_xlfn.ANCHORARRAY(Sintesi!$C$15),1,$C93)&gt;0),1,IF(($E93&gt;=$E92)*($E93&lt;=$E94)*($E93&gt;INDEX(_xlfn.ANCHORARRAY(Sintesi!$C$14),1,$C93))*($E93&lt;INDEX(_xlfn.ANCHORARRAY(Sintesi!$C$16),1,$C93))*(INDEX(_xlfn.ANCHORARRAY(Sintesi!$C$15),1,$C93)&lt;0)+($E93&gt;=$E92)*($E93&lt;=$E94)*($E93&gt;INDEX(_xlfn.ANCHORARRAY(Sintesi!$C$15),1,$C93))*($E93&lt;INDEX(_xlfn.ANCHORARRAY(Sintesi!$C$16),1,$C93))*(INDEX(_xlfn.ANCHORARRAY(Sintesi!$C$15),1,$C93)&gt;0),2,IF($E93=(INDEX(_xlfn.ANCHORARRAY(Sintesi!$C$16),1,$C93)),3,4)))),0),IF($C93&gt;0,IF(($E93=INDEX(_xlfn.ANCHORARRAY(Sintesi!$C$14),1,$C93))*(INDEX(_xlfn.ANCHORARRAY(Sintesi!$C$15),1,$C93)&gt;0),0,IF(($E93=INDEX(_xlfn.ANCHORARRAY(Sintesi!$C$14),1,$C93))*(INDEX(_xlfn.ANCHORARRAY(Sintesi!$C$15),1,$C93)&lt;0)+($E93&gt;=LOOKUP(2,1/($E:$E&lt;&gt;""),$E:$E))*($E93&lt;=$E94)*($E93&gt;INDEX(_xlfn.ANCHORARRAY(Sintesi!$C$14),1,$C93))*($E93&lt;=INDEX(_xlfn.ANCHORARRAY(Sintesi!$C$15),1,$C93))*(INDEX(_xlfn.ANCHORARRAY(Sintesi!$C$15),1,$C93)&gt;0),1,IF(($E93&gt;=LOOKUP(2,1/($E:$E&lt;&gt;""),$E:$E))*($E93&lt;=$E94)*($E93&gt;INDEX(_xlfn.ANCHORARRAY(Sintesi!$C$14),1,$C93))*($E93&lt;INDEX(_xlfn.ANCHORARRAY(Sintesi!$C$16),1,$C93))*(INDEX(_xlfn.ANCHORARRAY(Sintesi!$C$15),1,$C93)&lt;0)+($E93&gt;=LOOKUP(2,1/($E:$E&lt;&gt;""),$E:$E))*($E93&lt;=$E94)*($E93&gt;INDEX(_xlfn.ANCHORARRAY(Sintesi!$C$15),1,$C93))*($E93&lt;INDEX(_xlfn.ANCHORARRAY(Sintesi!$C$16),1,$C93))*(INDEX(_xlfn.ANCHORARRAY(Sintesi!$C$15),1,$C93)&gt;0),2,IF($E93=(INDEX(_xlfn.ANCHORARRAY(Sintesi!$C$16),1,$C93)),3,4)))),0)))</f>
        <v/>
      </c>
      <c r="E93" s="1">
        <f>'Paste cell here'!F93</f>
        <v/>
      </c>
      <c r="F93" s="1">
        <f>'Paste cell here'!C93</f>
        <v/>
      </c>
      <c r="G93" s="1">
        <f>'Paste cell here'!D93</f>
        <v/>
      </c>
      <c r="H93" s="1">
        <f>'Paste cell here'!E93</f>
        <v/>
      </c>
      <c r="I93" s="1">
        <f>'Paste cell here'!X93</f>
        <v/>
      </c>
      <c r="J93" s="1">
        <f>'Paste cell here'!Y93+'Paste cell here'!S93</f>
        <v/>
      </c>
      <c r="K93" s="1">
        <f>I93/H93</f>
        <v/>
      </c>
      <c r="L93" s="1">
        <f>AVERAGE(($F93+$G93)/2-($F93-$G93)/2*COS(PI()*(8-VLOOKUP(MONTH(B93),$O$1:$Q$13,3))/(VLOOKUP(MONTH(B93),$O$1:$Q$13,2)-VLOOKUP(MONTH(B93),$O$1:$Q$13,3))),($F93+$G93)/2-($F93-$G93)/2*COS(PI()*(9-VLOOKUP(MONTH(B93),$O$1:$Q$13,3))/(VLOOKUP(MONTH(B93),$O$1:$Q$13,2)-VLOOKUP(MONTH(B93),$O$1:$Q$13,3))),($F93+$G93)/2-($F93-$G93)/2*COS(PI()*(10-VLOOKUP(MONTH(B93),$O$1:$Q$13,3))/(VLOOKUP(MONTH(B93),$O$1:$Q$13,2)-VLOOKUP(MONTH(B93),$O$1:$Q$13,3))),($F93+$G93)/2-($F93-$G93)/2*COS(PI()*(11-VLOOKUP(MONTH(B93),$O$1:$Q$13,3))/(VLOOKUP(MONTH(B93),$O$1:$Q$13,2)-VLOOKUP(MONTH(B93),$O$1:$Q$13,3))),($F93+$G93)/2-($F93-$G93)/2*COS(PI()*(12-VLOOKUP(MONTH(B93),$O$1:$Q$13,3))/(VLOOKUP(MONTH(B93),$O$1:$Q$13,2)-VLOOKUP(MONTH(B93),$O$1:$Q$13,3))),($F93+$G93)/2-($F93-$G93)/2*COS(PI()*(13-VLOOKUP(MONTH(B93),$O$1:$Q$13,3))/(VLOOKUP(MONTH(B93),$O$1:$Q$13,2)-VLOOKUP(MONTH(B93),$O$1:$Q$13,3))),($F93+$G93)/2-($F93-$G93)/2*COS(PI()*(14-VLOOKUP(MONTH(B93),$O$1:$Q$13,3))/(VLOOKUP(MONTH(B93),$O$1:$Q$13,2)-VLOOKUP(MONTH(B93),$O$1:$Q$13,3))))</f>
        <v/>
      </c>
      <c r="M93" s="1">
        <f t="array" ref="M93">IF(AND(A93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,A93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),IF(L93&lt;_xlfn.IFNA(INDEX(_xlfn.ANCHORARRAY(Sintesi!$C$17)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,1,IF(L93&gt;=_xlfn.IFNA(INDEX(_xlfn.ANCHORARRAY(Sintesi!$C$18)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,0,1-(L93-_xlfn.IFNA(INDEX(_xlfn.ANCHORARRAY(Sintesi!$C$17)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)/(_xlfn.IFNA(INDEX(_xlfn.ANCHORARRAY(Sintesi!$C$18)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-_xlfn.IFNA(INDEX(_xlfn.ANCHORARRAY(Sintesi!$C$17)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))),0)</f>
        <v/>
      </c>
    </row>
    <row r="94">
      <c r="A94" s="1">
        <f>'Paste cell here'!A94</f>
        <v/>
      </c>
      <c r="B94" s="2">
        <f>DATE(Sintesi!$C$4-1,12,31)+A94</f>
        <v/>
      </c>
      <c r="C94" s="34">
        <f t="array" ref="C94">_xlfn.IFNA(MATCH(1,(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)*(_xlfn.ANCHORARRAY(Sintesi!$C$15)&gt;=0)+(_xlfn.ANCHORARRAY(Sintesi!$C$15)&lt;0),0),0)</f>
        <v/>
      </c>
      <c r="D94" s="1">
        <f t="array" ref="D94">IF(ISBLANK($E95),IF(ISNUMBER($E93),IF($C94&gt;0,IF(($E94=INDEX(_xlfn.ANCHORARRAY(Sintesi!$C$14),1,$C94))*(INDEX(_xlfn.ANCHORARRAY(Sintesi!$C$15),1,$C94)&gt;0),0,IF(($E94=INDEX(_xlfn.ANCHORARRAY(Sintesi!$C$14),1,$C94))*(INDEX(_xlfn.ANCHORARRAY(Sintesi!$C$15),1,$C94)&lt;0)+($E94&gt;=$E93)*($E94&lt;=INDEX($E:$E,MATCH(TRUE,INDEX((ISNUMBER($E:$E)),0),0)))*($E94&gt;INDEX(_xlfn.ANCHORARRAY(Sintesi!$C$14),1,$C94))*($E94&lt;=INDEX(_xlfn.ANCHORARRAY(Sintesi!$C$15),1,$C94))*(INDEX(_xlfn.ANCHORARRAY(Sintesi!$C$15),1,$C94)&gt;0),1,IF(($E94&gt;=$E93)*($E94&lt;=INDEX($E:$E,MATCH(TRUE,INDEX((ISNUMBER($E:$E)),0),0)))*($E94&gt;INDEX(_xlfn.ANCHORARRAY(Sintesi!$C$14),1,$C94))*($E94&lt;INDEX(_xlfn.ANCHORARRAY(Sintesi!$C$16),1,$C94))*(INDEX(_xlfn.ANCHORARRAY(Sintesi!$C$15),1,$C94)&lt;0)+($E94&gt;=$E93)*($E94&lt;=INDEX($E:$E,MATCH(TRUE,INDEX((ISNUMBER($E:$E)),0),0)))*($E94&gt;INDEX(_xlfn.ANCHORARRAY(Sintesi!$C$15),1,$C94))*($E94&lt;INDEX(_xlfn.ANCHORARRAY(Sintesi!$C$16),1,$C94))*(INDEX(_xlfn.ANCHORARRAY(Sintesi!$C$15),1,$C94)&gt;0),2,IF($E94=(INDEX(_xlfn.ANCHORARRAY(Sintesi!$C$16),1,$C94)),3,4)))),0),IF($C94&gt;0,IF(($E94=INDEX(_xlfn.ANCHORARRAY(Sintesi!$C$14),1,$C94))*(INDEX(_xlfn.ANCHORARRAY(Sintesi!$C$15),1,$C94)&gt;0),0,IF(($E94=INDEX(_xlfn.ANCHORARRAY(Sintesi!$C$14),1,$C94))*(INDEX(_xlfn.ANCHORARRAY(Sintesi!$C$15),1,$C94)&lt;0)+($E94&gt;=LOOKUP(2,1/($E:$E&lt;&gt;""),$E:$E))*($E94&lt;=INDEX($E:$E,MATCH(TRUE,INDEX((ISNUMBER($E:$E)),0),0)))*($E94&gt;INDEX(_xlfn.ANCHORARRAY(Sintesi!$C$14),1,$C94))*($E94&lt;=INDEX(_xlfn.ANCHORARRAY(Sintesi!$C$15),1,$C94))*(INDEX(_xlfn.ANCHORARRAY(Sintesi!$C$15),1,$C94)&gt;0),1,IF(($E94&gt;=LOOKUP(2,1/($E:$E&lt;&gt;""),$E:$E))*($E94&lt;=INDEX($E:$E,MATCH(TRUE,INDEX((ISNUMBER($E:$E)),0),0)))*($E94&gt;INDEX(_xlfn.ANCHORARRAY(Sintesi!$C$14),1,$C94))*($E94&lt;INDEX(_xlfn.ANCHORARRAY(Sintesi!$C$16),1,$C94))*(INDEX(_xlfn.ANCHORARRAY(Sintesi!$C$15),1,$C94)&lt;0)+($E94&gt;=LOOKUP(2,1/($E:$E&lt;&gt;""),$E:$E))*($E94&lt;=INDEX($E:$E,MATCH(TRUE,INDEX((ISNUMBER($E:$E)),0),0)))*($E94&gt;INDEX(_xlfn.ANCHORARRAY(Sintesi!$C$15),1,$C94))*($E94&lt;INDEX(_xlfn.ANCHORARRAY(Sintesi!$C$16),1,$C94))*(INDEX(_xlfn.ANCHORARRAY(Sintesi!$C$15),1,$C94)&gt;0),2,IF($E94=(INDEX(_xlfn.ANCHORARRAY(Sintesi!$C$16),1,$C94)),3,4)))),0)),IF(ISNUMBER($E93),IF($C94&gt;0,IF(($E94=INDEX(_xlfn.ANCHORARRAY(Sintesi!$C$14),1,$C94))*(INDEX(_xlfn.ANCHORARRAY(Sintesi!$C$15),1,$C94)&gt;0),0,IF(($E94=INDEX(_xlfn.ANCHORARRAY(Sintesi!$C$14),1,$C94))*(INDEX(_xlfn.ANCHORARRAY(Sintesi!$C$15),1,$C94)&lt;0)+($E94&gt;=$E93)*($E94&lt;=$E95)*($E94&gt;INDEX(_xlfn.ANCHORARRAY(Sintesi!$C$14),1,$C94))*($E94&lt;=INDEX(_xlfn.ANCHORARRAY(Sintesi!$C$15),1,$C94))*(INDEX(_xlfn.ANCHORARRAY(Sintesi!$C$15),1,$C94)&gt;0),1,IF(($E94&gt;=$E93)*($E94&lt;=$E95)*($E94&gt;INDEX(_xlfn.ANCHORARRAY(Sintesi!$C$14),1,$C94))*($E94&lt;INDEX(_xlfn.ANCHORARRAY(Sintesi!$C$16),1,$C94))*(INDEX(_xlfn.ANCHORARRAY(Sintesi!$C$15),1,$C94)&lt;0)+($E94&gt;=$E93)*($E94&lt;=$E95)*($E94&gt;INDEX(_xlfn.ANCHORARRAY(Sintesi!$C$15),1,$C94))*($E94&lt;INDEX(_xlfn.ANCHORARRAY(Sintesi!$C$16),1,$C94))*(INDEX(_xlfn.ANCHORARRAY(Sintesi!$C$15),1,$C94)&gt;0),2,IF($E94=(INDEX(_xlfn.ANCHORARRAY(Sintesi!$C$16),1,$C94)),3,4)))),0),IF($C94&gt;0,IF(($E94=INDEX(_xlfn.ANCHORARRAY(Sintesi!$C$14),1,$C94))*(INDEX(_xlfn.ANCHORARRAY(Sintesi!$C$15),1,$C94)&gt;0),0,IF(($E94=INDEX(_xlfn.ANCHORARRAY(Sintesi!$C$14),1,$C94))*(INDEX(_xlfn.ANCHORARRAY(Sintesi!$C$15),1,$C94)&lt;0)+($E94&gt;=LOOKUP(2,1/($E:$E&lt;&gt;""),$E:$E))*($E94&lt;=$E95)*($E94&gt;INDEX(_xlfn.ANCHORARRAY(Sintesi!$C$14),1,$C94))*($E94&lt;=INDEX(_xlfn.ANCHORARRAY(Sintesi!$C$15),1,$C94))*(INDEX(_xlfn.ANCHORARRAY(Sintesi!$C$15),1,$C94)&gt;0),1,IF(($E94&gt;=LOOKUP(2,1/($E:$E&lt;&gt;""),$E:$E))*($E94&lt;=$E95)*($E94&gt;INDEX(_xlfn.ANCHORARRAY(Sintesi!$C$14),1,$C94))*($E94&lt;INDEX(_xlfn.ANCHORARRAY(Sintesi!$C$16),1,$C94))*(INDEX(_xlfn.ANCHORARRAY(Sintesi!$C$15),1,$C94)&lt;0)+($E94&gt;=LOOKUP(2,1/($E:$E&lt;&gt;""),$E:$E))*($E94&lt;=$E95)*($E94&gt;INDEX(_xlfn.ANCHORARRAY(Sintesi!$C$15),1,$C94))*($E94&lt;INDEX(_xlfn.ANCHORARRAY(Sintesi!$C$16),1,$C94))*(INDEX(_xlfn.ANCHORARRAY(Sintesi!$C$15),1,$C94)&gt;0),2,IF($E94=(INDEX(_xlfn.ANCHORARRAY(Sintesi!$C$16),1,$C94)),3,4)))),0)))</f>
        <v/>
      </c>
      <c r="E94" s="1">
        <f>'Paste cell here'!F94</f>
        <v/>
      </c>
      <c r="F94" s="1">
        <f>'Paste cell here'!C94</f>
        <v/>
      </c>
      <c r="G94" s="1">
        <f>'Paste cell here'!D94</f>
        <v/>
      </c>
      <c r="H94" s="1">
        <f>'Paste cell here'!E94</f>
        <v/>
      </c>
      <c r="I94" s="1">
        <f>'Paste cell here'!X94</f>
        <v/>
      </c>
      <c r="J94" s="1">
        <f>'Paste cell here'!Y94+'Paste cell here'!S94</f>
        <v/>
      </c>
      <c r="K94" s="1">
        <f>I94/H94</f>
        <v/>
      </c>
      <c r="L94" s="1">
        <f>AVERAGE(($F94+$G94)/2-($F94-$G94)/2*COS(PI()*(8-VLOOKUP(MONTH(B94),$O$1:$Q$13,3))/(VLOOKUP(MONTH(B94),$O$1:$Q$13,2)-VLOOKUP(MONTH(B94),$O$1:$Q$13,3))),($F94+$G94)/2-($F94-$G94)/2*COS(PI()*(9-VLOOKUP(MONTH(B94),$O$1:$Q$13,3))/(VLOOKUP(MONTH(B94),$O$1:$Q$13,2)-VLOOKUP(MONTH(B94),$O$1:$Q$13,3))),($F94+$G94)/2-($F94-$G94)/2*COS(PI()*(10-VLOOKUP(MONTH(B94),$O$1:$Q$13,3))/(VLOOKUP(MONTH(B94),$O$1:$Q$13,2)-VLOOKUP(MONTH(B94),$O$1:$Q$13,3))),($F94+$G94)/2-($F94-$G94)/2*COS(PI()*(11-VLOOKUP(MONTH(B94),$O$1:$Q$13,3))/(VLOOKUP(MONTH(B94),$O$1:$Q$13,2)-VLOOKUP(MONTH(B94),$O$1:$Q$13,3))),($F94+$G94)/2-($F94-$G94)/2*COS(PI()*(12-VLOOKUP(MONTH(B94),$O$1:$Q$13,3))/(VLOOKUP(MONTH(B94),$O$1:$Q$13,2)-VLOOKUP(MONTH(B94),$O$1:$Q$13,3))),($F94+$G94)/2-($F94-$G94)/2*COS(PI()*(13-VLOOKUP(MONTH(B94),$O$1:$Q$13,3))/(VLOOKUP(MONTH(B94),$O$1:$Q$13,2)-VLOOKUP(MONTH(B94),$O$1:$Q$13,3))),($F94+$G94)/2-($F94-$G94)/2*COS(PI()*(14-VLOOKUP(MONTH(B94),$O$1:$Q$13,3))/(VLOOKUP(MONTH(B94),$O$1:$Q$13,2)-VLOOKUP(MONTH(B94),$O$1:$Q$13,3))))</f>
        <v/>
      </c>
      <c r="M94" s="1">
        <f t="array" ref="M94">IF(AND(A94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,A94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),IF(L94&lt;_xlfn.IFNA(INDEX(_xlfn.ANCHORARRAY(Sintesi!$C$17)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,1,IF(L94&gt;=_xlfn.IFNA(INDEX(_xlfn.ANCHORARRAY(Sintesi!$C$18)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,0,1-(L94-_xlfn.IFNA(INDEX(_xlfn.ANCHORARRAY(Sintesi!$C$17)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)/(_xlfn.IFNA(INDEX(_xlfn.ANCHORARRAY(Sintesi!$C$18)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-_xlfn.IFNA(INDEX(_xlfn.ANCHORARRAY(Sintesi!$C$17)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))),0)</f>
        <v/>
      </c>
    </row>
    <row r="95">
      <c r="A95" s="1">
        <f>'Paste cell here'!A95</f>
        <v/>
      </c>
      <c r="B95" s="2">
        <f>DATE(Sintesi!$C$4-1,12,31)+A95</f>
        <v/>
      </c>
      <c r="C95" s="34">
        <f t="array" ref="C95">_xlfn.IFNA(MATCH(1,(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)*(_xlfn.ANCHORARRAY(Sintesi!$C$15)&gt;=0)+(_xlfn.ANCHORARRAY(Sintesi!$C$15)&lt;0),0),0)</f>
        <v/>
      </c>
      <c r="D95" s="1">
        <f t="array" ref="D95">IF(ISBLANK($E96),IF(ISNUMBER($E94),IF($C95&gt;0,IF(($E95=INDEX(_xlfn.ANCHORARRAY(Sintesi!$C$14),1,$C95))*(INDEX(_xlfn.ANCHORARRAY(Sintesi!$C$15),1,$C95)&gt;0),0,IF(($E95=INDEX(_xlfn.ANCHORARRAY(Sintesi!$C$14),1,$C95))*(INDEX(_xlfn.ANCHORARRAY(Sintesi!$C$15),1,$C95)&lt;0)+($E95&gt;=$E94)*($E95&lt;=INDEX($E:$E,MATCH(TRUE,INDEX((ISNUMBER($E:$E)),0),0)))*($E95&gt;INDEX(_xlfn.ANCHORARRAY(Sintesi!$C$14),1,$C95))*($E95&lt;=INDEX(_xlfn.ANCHORARRAY(Sintesi!$C$15),1,$C95))*(INDEX(_xlfn.ANCHORARRAY(Sintesi!$C$15),1,$C95)&gt;0),1,IF(($E95&gt;=$E94)*($E95&lt;=INDEX($E:$E,MATCH(TRUE,INDEX((ISNUMBER($E:$E)),0),0)))*($E95&gt;INDEX(_xlfn.ANCHORARRAY(Sintesi!$C$14),1,$C95))*($E95&lt;INDEX(_xlfn.ANCHORARRAY(Sintesi!$C$16),1,$C95))*(INDEX(_xlfn.ANCHORARRAY(Sintesi!$C$15),1,$C95)&lt;0)+($E95&gt;=$E94)*($E95&lt;=INDEX($E:$E,MATCH(TRUE,INDEX((ISNUMBER($E:$E)),0),0)))*($E95&gt;INDEX(_xlfn.ANCHORARRAY(Sintesi!$C$15),1,$C95))*($E95&lt;INDEX(_xlfn.ANCHORARRAY(Sintesi!$C$16),1,$C95))*(INDEX(_xlfn.ANCHORARRAY(Sintesi!$C$15),1,$C95)&gt;0),2,IF($E95=(INDEX(_xlfn.ANCHORARRAY(Sintesi!$C$16),1,$C95)),3,4)))),0),IF($C95&gt;0,IF(($E95=INDEX(_xlfn.ANCHORARRAY(Sintesi!$C$14),1,$C95))*(INDEX(_xlfn.ANCHORARRAY(Sintesi!$C$15),1,$C95)&gt;0),0,IF(($E95=INDEX(_xlfn.ANCHORARRAY(Sintesi!$C$14),1,$C95))*(INDEX(_xlfn.ANCHORARRAY(Sintesi!$C$15),1,$C95)&lt;0)+($E95&gt;=LOOKUP(2,1/($E:$E&lt;&gt;""),$E:$E))*($E95&lt;=INDEX($E:$E,MATCH(TRUE,INDEX((ISNUMBER($E:$E)),0),0)))*($E95&gt;INDEX(_xlfn.ANCHORARRAY(Sintesi!$C$14),1,$C95))*($E95&lt;=INDEX(_xlfn.ANCHORARRAY(Sintesi!$C$15),1,$C95))*(INDEX(_xlfn.ANCHORARRAY(Sintesi!$C$15),1,$C95)&gt;0),1,IF(($E95&gt;=LOOKUP(2,1/($E:$E&lt;&gt;""),$E:$E))*($E95&lt;=INDEX($E:$E,MATCH(TRUE,INDEX((ISNUMBER($E:$E)),0),0)))*($E95&gt;INDEX(_xlfn.ANCHORARRAY(Sintesi!$C$14),1,$C95))*($E95&lt;INDEX(_xlfn.ANCHORARRAY(Sintesi!$C$16),1,$C95))*(INDEX(_xlfn.ANCHORARRAY(Sintesi!$C$15),1,$C95)&lt;0)+($E95&gt;=LOOKUP(2,1/($E:$E&lt;&gt;""),$E:$E))*($E95&lt;=INDEX($E:$E,MATCH(TRUE,INDEX((ISNUMBER($E:$E)),0),0)))*($E95&gt;INDEX(_xlfn.ANCHORARRAY(Sintesi!$C$15),1,$C95))*($E95&lt;INDEX(_xlfn.ANCHORARRAY(Sintesi!$C$16),1,$C95))*(INDEX(_xlfn.ANCHORARRAY(Sintesi!$C$15),1,$C95)&gt;0),2,IF($E95=(INDEX(_xlfn.ANCHORARRAY(Sintesi!$C$16),1,$C95)),3,4)))),0)),IF(ISNUMBER($E94),IF($C95&gt;0,IF(($E95=INDEX(_xlfn.ANCHORARRAY(Sintesi!$C$14),1,$C95))*(INDEX(_xlfn.ANCHORARRAY(Sintesi!$C$15),1,$C95)&gt;0),0,IF(($E95=INDEX(_xlfn.ANCHORARRAY(Sintesi!$C$14),1,$C95))*(INDEX(_xlfn.ANCHORARRAY(Sintesi!$C$15),1,$C95)&lt;0)+($E95&gt;=$E94)*($E95&lt;=$E96)*($E95&gt;INDEX(_xlfn.ANCHORARRAY(Sintesi!$C$14),1,$C95))*($E95&lt;=INDEX(_xlfn.ANCHORARRAY(Sintesi!$C$15),1,$C95))*(INDEX(_xlfn.ANCHORARRAY(Sintesi!$C$15),1,$C95)&gt;0),1,IF(($E95&gt;=$E94)*($E95&lt;=$E96)*($E95&gt;INDEX(_xlfn.ANCHORARRAY(Sintesi!$C$14),1,$C95))*($E95&lt;INDEX(_xlfn.ANCHORARRAY(Sintesi!$C$16),1,$C95))*(INDEX(_xlfn.ANCHORARRAY(Sintesi!$C$15),1,$C95)&lt;0)+($E95&gt;=$E94)*($E95&lt;=$E96)*($E95&gt;INDEX(_xlfn.ANCHORARRAY(Sintesi!$C$15),1,$C95))*($E95&lt;INDEX(_xlfn.ANCHORARRAY(Sintesi!$C$16),1,$C95))*(INDEX(_xlfn.ANCHORARRAY(Sintesi!$C$15),1,$C95)&gt;0),2,IF($E95=(INDEX(_xlfn.ANCHORARRAY(Sintesi!$C$16),1,$C95)),3,4)))),0),IF($C95&gt;0,IF(($E95=INDEX(_xlfn.ANCHORARRAY(Sintesi!$C$14),1,$C95))*(INDEX(_xlfn.ANCHORARRAY(Sintesi!$C$15),1,$C95)&gt;0),0,IF(($E95=INDEX(_xlfn.ANCHORARRAY(Sintesi!$C$14),1,$C95))*(INDEX(_xlfn.ANCHORARRAY(Sintesi!$C$15),1,$C95)&lt;0)+($E95&gt;=LOOKUP(2,1/($E:$E&lt;&gt;""),$E:$E))*($E95&lt;=$E96)*($E95&gt;INDEX(_xlfn.ANCHORARRAY(Sintesi!$C$14),1,$C95))*($E95&lt;=INDEX(_xlfn.ANCHORARRAY(Sintesi!$C$15),1,$C95))*(INDEX(_xlfn.ANCHORARRAY(Sintesi!$C$15),1,$C95)&gt;0),1,IF(($E95&gt;=LOOKUP(2,1/($E:$E&lt;&gt;""),$E:$E))*($E95&lt;=$E96)*($E95&gt;INDEX(_xlfn.ANCHORARRAY(Sintesi!$C$14),1,$C95))*($E95&lt;INDEX(_xlfn.ANCHORARRAY(Sintesi!$C$16),1,$C95))*(INDEX(_xlfn.ANCHORARRAY(Sintesi!$C$15),1,$C95)&lt;0)+($E95&gt;=LOOKUP(2,1/($E:$E&lt;&gt;""),$E:$E))*($E95&lt;=$E96)*($E95&gt;INDEX(_xlfn.ANCHORARRAY(Sintesi!$C$15),1,$C95))*($E95&lt;INDEX(_xlfn.ANCHORARRAY(Sintesi!$C$16),1,$C95))*(INDEX(_xlfn.ANCHORARRAY(Sintesi!$C$15),1,$C95)&gt;0),2,IF($E95=(INDEX(_xlfn.ANCHORARRAY(Sintesi!$C$16),1,$C95)),3,4)))),0)))</f>
        <v/>
      </c>
      <c r="E95" s="1">
        <f>'Paste cell here'!F95</f>
        <v/>
      </c>
      <c r="F95" s="1">
        <f>'Paste cell here'!C95</f>
        <v/>
      </c>
      <c r="G95" s="1">
        <f>'Paste cell here'!D95</f>
        <v/>
      </c>
      <c r="H95" s="1">
        <f>'Paste cell here'!E95</f>
        <v/>
      </c>
      <c r="I95" s="1">
        <f>'Paste cell here'!X95</f>
        <v/>
      </c>
      <c r="J95" s="1">
        <f>'Paste cell here'!Y95+'Paste cell here'!S95</f>
        <v/>
      </c>
      <c r="K95" s="1">
        <f>I95/H95</f>
        <v/>
      </c>
      <c r="L95" s="1">
        <f>AVERAGE(($F95+$G95)/2-($F95-$G95)/2*COS(PI()*(8-VLOOKUP(MONTH(B95),$O$1:$Q$13,3))/(VLOOKUP(MONTH(B95),$O$1:$Q$13,2)-VLOOKUP(MONTH(B95),$O$1:$Q$13,3))),($F95+$G95)/2-($F95-$G95)/2*COS(PI()*(9-VLOOKUP(MONTH(B95),$O$1:$Q$13,3))/(VLOOKUP(MONTH(B95),$O$1:$Q$13,2)-VLOOKUP(MONTH(B95),$O$1:$Q$13,3))),($F95+$G95)/2-($F95-$G95)/2*COS(PI()*(10-VLOOKUP(MONTH(B95),$O$1:$Q$13,3))/(VLOOKUP(MONTH(B95),$O$1:$Q$13,2)-VLOOKUP(MONTH(B95),$O$1:$Q$13,3))),($F95+$G95)/2-($F95-$G95)/2*COS(PI()*(11-VLOOKUP(MONTH(B95),$O$1:$Q$13,3))/(VLOOKUP(MONTH(B95),$O$1:$Q$13,2)-VLOOKUP(MONTH(B95),$O$1:$Q$13,3))),($F95+$G95)/2-($F95-$G95)/2*COS(PI()*(12-VLOOKUP(MONTH(B95),$O$1:$Q$13,3))/(VLOOKUP(MONTH(B95),$O$1:$Q$13,2)-VLOOKUP(MONTH(B95),$O$1:$Q$13,3))),($F95+$G95)/2-($F95-$G95)/2*COS(PI()*(13-VLOOKUP(MONTH(B95),$O$1:$Q$13,3))/(VLOOKUP(MONTH(B95),$O$1:$Q$13,2)-VLOOKUP(MONTH(B95),$O$1:$Q$13,3))),($F95+$G95)/2-($F95-$G95)/2*COS(PI()*(14-VLOOKUP(MONTH(B95),$O$1:$Q$13,3))/(VLOOKUP(MONTH(B95),$O$1:$Q$13,2)-VLOOKUP(MONTH(B95),$O$1:$Q$13,3))))</f>
        <v/>
      </c>
      <c r="M95" s="1">
        <f t="array" ref="M95">IF(AND(A95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,A95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),IF(L95&lt;_xlfn.IFNA(INDEX(_xlfn.ANCHORARRAY(Sintesi!$C$17)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,1,IF(L95&gt;=_xlfn.IFNA(INDEX(_xlfn.ANCHORARRAY(Sintesi!$C$18)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,0,1-(L95-_xlfn.IFNA(INDEX(_xlfn.ANCHORARRAY(Sintesi!$C$17)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)/(_xlfn.IFNA(INDEX(_xlfn.ANCHORARRAY(Sintesi!$C$18)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-_xlfn.IFNA(INDEX(_xlfn.ANCHORARRAY(Sintesi!$C$17)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))),0)</f>
        <v/>
      </c>
    </row>
    <row r="96">
      <c r="A96" s="1">
        <f>'Paste cell here'!A96</f>
        <v/>
      </c>
      <c r="B96" s="2">
        <f>DATE(Sintesi!$C$4-1,12,31)+A96</f>
        <v/>
      </c>
      <c r="C96" s="34">
        <f t="array" ref="C96">_xlfn.IFNA(MATCH(1,(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)*(_xlfn.ANCHORARRAY(Sintesi!$C$15)&gt;=0)+(_xlfn.ANCHORARRAY(Sintesi!$C$15)&lt;0),0),0)</f>
        <v/>
      </c>
      <c r="D96" s="1">
        <f t="array" ref="D96">IF(ISBLANK($E97),IF(ISNUMBER($E95),IF($C96&gt;0,IF(($E96=INDEX(_xlfn.ANCHORARRAY(Sintesi!$C$14),1,$C96))*(INDEX(_xlfn.ANCHORARRAY(Sintesi!$C$15),1,$C96)&gt;0),0,IF(($E96=INDEX(_xlfn.ANCHORARRAY(Sintesi!$C$14),1,$C96))*(INDEX(_xlfn.ANCHORARRAY(Sintesi!$C$15),1,$C96)&lt;0)+($E96&gt;=$E95)*($E96&lt;=INDEX($E:$E,MATCH(TRUE,INDEX((ISNUMBER($E:$E)),0),0)))*($E96&gt;INDEX(_xlfn.ANCHORARRAY(Sintesi!$C$14),1,$C96))*($E96&lt;=INDEX(_xlfn.ANCHORARRAY(Sintesi!$C$15),1,$C96))*(INDEX(_xlfn.ANCHORARRAY(Sintesi!$C$15),1,$C96)&gt;0),1,IF(($E96&gt;=$E95)*($E96&lt;=INDEX($E:$E,MATCH(TRUE,INDEX((ISNUMBER($E:$E)),0),0)))*($E96&gt;INDEX(_xlfn.ANCHORARRAY(Sintesi!$C$14),1,$C96))*($E96&lt;INDEX(_xlfn.ANCHORARRAY(Sintesi!$C$16),1,$C96))*(INDEX(_xlfn.ANCHORARRAY(Sintesi!$C$15),1,$C96)&lt;0)+($E96&gt;=$E95)*($E96&lt;=INDEX($E:$E,MATCH(TRUE,INDEX((ISNUMBER($E:$E)),0),0)))*($E96&gt;INDEX(_xlfn.ANCHORARRAY(Sintesi!$C$15),1,$C96))*($E96&lt;INDEX(_xlfn.ANCHORARRAY(Sintesi!$C$16),1,$C96))*(INDEX(_xlfn.ANCHORARRAY(Sintesi!$C$15),1,$C96)&gt;0),2,IF($E96=(INDEX(_xlfn.ANCHORARRAY(Sintesi!$C$16),1,$C96)),3,4)))),0),IF($C96&gt;0,IF(($E96=INDEX(_xlfn.ANCHORARRAY(Sintesi!$C$14),1,$C96))*(INDEX(_xlfn.ANCHORARRAY(Sintesi!$C$15),1,$C96)&gt;0),0,IF(($E96=INDEX(_xlfn.ANCHORARRAY(Sintesi!$C$14),1,$C96))*(INDEX(_xlfn.ANCHORARRAY(Sintesi!$C$15),1,$C96)&lt;0)+($E96&gt;=LOOKUP(2,1/($E:$E&lt;&gt;""),$E:$E))*($E96&lt;=INDEX($E:$E,MATCH(TRUE,INDEX((ISNUMBER($E:$E)),0),0)))*($E96&gt;INDEX(_xlfn.ANCHORARRAY(Sintesi!$C$14),1,$C96))*($E96&lt;=INDEX(_xlfn.ANCHORARRAY(Sintesi!$C$15),1,$C96))*(INDEX(_xlfn.ANCHORARRAY(Sintesi!$C$15),1,$C96)&gt;0),1,IF(($E96&gt;=LOOKUP(2,1/($E:$E&lt;&gt;""),$E:$E))*($E96&lt;=INDEX($E:$E,MATCH(TRUE,INDEX((ISNUMBER($E:$E)),0),0)))*($E96&gt;INDEX(_xlfn.ANCHORARRAY(Sintesi!$C$14),1,$C96))*($E96&lt;INDEX(_xlfn.ANCHORARRAY(Sintesi!$C$16),1,$C96))*(INDEX(_xlfn.ANCHORARRAY(Sintesi!$C$15),1,$C96)&lt;0)+($E96&gt;=LOOKUP(2,1/($E:$E&lt;&gt;""),$E:$E))*($E96&lt;=INDEX($E:$E,MATCH(TRUE,INDEX((ISNUMBER($E:$E)),0),0)))*($E96&gt;INDEX(_xlfn.ANCHORARRAY(Sintesi!$C$15),1,$C96))*($E96&lt;INDEX(_xlfn.ANCHORARRAY(Sintesi!$C$16),1,$C96))*(INDEX(_xlfn.ANCHORARRAY(Sintesi!$C$15),1,$C96)&gt;0),2,IF($E96=(INDEX(_xlfn.ANCHORARRAY(Sintesi!$C$16),1,$C96)),3,4)))),0)),IF(ISNUMBER($E95),IF($C96&gt;0,IF(($E96=INDEX(_xlfn.ANCHORARRAY(Sintesi!$C$14),1,$C96))*(INDEX(_xlfn.ANCHORARRAY(Sintesi!$C$15),1,$C96)&gt;0),0,IF(($E96=INDEX(_xlfn.ANCHORARRAY(Sintesi!$C$14),1,$C96))*(INDEX(_xlfn.ANCHORARRAY(Sintesi!$C$15),1,$C96)&lt;0)+($E96&gt;=$E95)*($E96&lt;=$E97)*($E96&gt;INDEX(_xlfn.ANCHORARRAY(Sintesi!$C$14),1,$C96))*($E96&lt;=INDEX(_xlfn.ANCHORARRAY(Sintesi!$C$15),1,$C96))*(INDEX(_xlfn.ANCHORARRAY(Sintesi!$C$15),1,$C96)&gt;0),1,IF(($E96&gt;=$E95)*($E96&lt;=$E97)*($E96&gt;INDEX(_xlfn.ANCHORARRAY(Sintesi!$C$14),1,$C96))*($E96&lt;INDEX(_xlfn.ANCHORARRAY(Sintesi!$C$16),1,$C96))*(INDEX(_xlfn.ANCHORARRAY(Sintesi!$C$15),1,$C96)&lt;0)+($E96&gt;=$E95)*($E96&lt;=$E97)*($E96&gt;INDEX(_xlfn.ANCHORARRAY(Sintesi!$C$15),1,$C96))*($E96&lt;INDEX(_xlfn.ANCHORARRAY(Sintesi!$C$16),1,$C96))*(INDEX(_xlfn.ANCHORARRAY(Sintesi!$C$15),1,$C96)&gt;0),2,IF($E96=(INDEX(_xlfn.ANCHORARRAY(Sintesi!$C$16),1,$C96)),3,4)))),0),IF($C96&gt;0,IF(($E96=INDEX(_xlfn.ANCHORARRAY(Sintesi!$C$14),1,$C96))*(INDEX(_xlfn.ANCHORARRAY(Sintesi!$C$15),1,$C96)&gt;0),0,IF(($E96=INDEX(_xlfn.ANCHORARRAY(Sintesi!$C$14),1,$C96))*(INDEX(_xlfn.ANCHORARRAY(Sintesi!$C$15),1,$C96)&lt;0)+($E96&gt;=LOOKUP(2,1/($E:$E&lt;&gt;""),$E:$E))*($E96&lt;=$E97)*($E96&gt;INDEX(_xlfn.ANCHORARRAY(Sintesi!$C$14),1,$C96))*($E96&lt;=INDEX(_xlfn.ANCHORARRAY(Sintesi!$C$15),1,$C96))*(INDEX(_xlfn.ANCHORARRAY(Sintesi!$C$15),1,$C96)&gt;0),1,IF(($E96&gt;=LOOKUP(2,1/($E:$E&lt;&gt;""),$E:$E))*($E96&lt;=$E97)*($E96&gt;INDEX(_xlfn.ANCHORARRAY(Sintesi!$C$14),1,$C96))*($E96&lt;INDEX(_xlfn.ANCHORARRAY(Sintesi!$C$16),1,$C96))*(INDEX(_xlfn.ANCHORARRAY(Sintesi!$C$15),1,$C96)&lt;0)+($E96&gt;=LOOKUP(2,1/($E:$E&lt;&gt;""),$E:$E))*($E96&lt;=$E97)*($E96&gt;INDEX(_xlfn.ANCHORARRAY(Sintesi!$C$15),1,$C96))*($E96&lt;INDEX(_xlfn.ANCHORARRAY(Sintesi!$C$16),1,$C96))*(INDEX(_xlfn.ANCHORARRAY(Sintesi!$C$15),1,$C96)&gt;0),2,IF($E96=(INDEX(_xlfn.ANCHORARRAY(Sintesi!$C$16),1,$C96)),3,4)))),0)))</f>
        <v/>
      </c>
      <c r="E96" s="1">
        <f>'Paste cell here'!F96</f>
        <v/>
      </c>
      <c r="F96" s="1">
        <f>'Paste cell here'!C96</f>
        <v/>
      </c>
      <c r="G96" s="1">
        <f>'Paste cell here'!D96</f>
        <v/>
      </c>
      <c r="H96" s="1">
        <f>'Paste cell here'!E96</f>
        <v/>
      </c>
      <c r="I96" s="1">
        <f>'Paste cell here'!X96</f>
        <v/>
      </c>
      <c r="J96" s="1">
        <f>'Paste cell here'!Y96+'Paste cell here'!S96</f>
        <v/>
      </c>
      <c r="K96" s="1">
        <f>I96/H96</f>
        <v/>
      </c>
      <c r="L96" s="1">
        <f>AVERAGE(($F96+$G96)/2-($F96-$G96)/2*COS(PI()*(8-VLOOKUP(MONTH(B96),$O$1:$Q$13,3))/(VLOOKUP(MONTH(B96),$O$1:$Q$13,2)-VLOOKUP(MONTH(B96),$O$1:$Q$13,3))),($F96+$G96)/2-($F96-$G96)/2*COS(PI()*(9-VLOOKUP(MONTH(B96),$O$1:$Q$13,3))/(VLOOKUP(MONTH(B96),$O$1:$Q$13,2)-VLOOKUP(MONTH(B96),$O$1:$Q$13,3))),($F96+$G96)/2-($F96-$G96)/2*COS(PI()*(10-VLOOKUP(MONTH(B96),$O$1:$Q$13,3))/(VLOOKUP(MONTH(B96),$O$1:$Q$13,2)-VLOOKUP(MONTH(B96),$O$1:$Q$13,3))),($F96+$G96)/2-($F96-$G96)/2*COS(PI()*(11-VLOOKUP(MONTH(B96),$O$1:$Q$13,3))/(VLOOKUP(MONTH(B96),$O$1:$Q$13,2)-VLOOKUP(MONTH(B96),$O$1:$Q$13,3))),($F96+$G96)/2-($F96-$G96)/2*COS(PI()*(12-VLOOKUP(MONTH(B96),$O$1:$Q$13,3))/(VLOOKUP(MONTH(B96),$O$1:$Q$13,2)-VLOOKUP(MONTH(B96),$O$1:$Q$13,3))),($F96+$G96)/2-($F96-$G96)/2*COS(PI()*(13-VLOOKUP(MONTH(B96),$O$1:$Q$13,3))/(VLOOKUP(MONTH(B96),$O$1:$Q$13,2)-VLOOKUP(MONTH(B96),$O$1:$Q$13,3))),($F96+$G96)/2-($F96-$G96)/2*COS(PI()*(14-VLOOKUP(MONTH(B96),$O$1:$Q$13,3))/(VLOOKUP(MONTH(B96),$O$1:$Q$13,2)-VLOOKUP(MONTH(B96),$O$1:$Q$13,3))))</f>
        <v/>
      </c>
      <c r="M96" s="1">
        <f t="array" ref="M96">IF(AND(A96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,A96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),IF(L96&lt;_xlfn.IFNA(INDEX(_xlfn.ANCHORARRAY(Sintesi!$C$17)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,1,IF(L96&gt;=_xlfn.IFNA(INDEX(_xlfn.ANCHORARRAY(Sintesi!$C$18)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,0,1-(L96-_xlfn.IFNA(INDEX(_xlfn.ANCHORARRAY(Sintesi!$C$17)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)/(_xlfn.IFNA(INDEX(_xlfn.ANCHORARRAY(Sintesi!$C$18)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-_xlfn.IFNA(INDEX(_xlfn.ANCHORARRAY(Sintesi!$C$17)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))),0)</f>
        <v/>
      </c>
    </row>
    <row r="97">
      <c r="A97" s="1">
        <f>'Paste cell here'!A97</f>
        <v/>
      </c>
      <c r="B97" s="2">
        <f>DATE(Sintesi!$C$4-1,12,31)+A97</f>
        <v/>
      </c>
      <c r="C97" s="34">
        <f t="array" ref="C97">_xlfn.IFNA(MATCH(1,(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)*(_xlfn.ANCHORARRAY(Sintesi!$C$15)&gt;=0)+(_xlfn.ANCHORARRAY(Sintesi!$C$15)&lt;0),0),0)</f>
        <v/>
      </c>
      <c r="D97" s="1">
        <f t="array" ref="D97">IF(ISBLANK($E98),IF(ISNUMBER($E96),IF($C97&gt;0,IF(($E97=INDEX(_xlfn.ANCHORARRAY(Sintesi!$C$14),1,$C97))*(INDEX(_xlfn.ANCHORARRAY(Sintesi!$C$15),1,$C97)&gt;0),0,IF(($E97=INDEX(_xlfn.ANCHORARRAY(Sintesi!$C$14),1,$C97))*(INDEX(_xlfn.ANCHORARRAY(Sintesi!$C$15),1,$C97)&lt;0)+($E97&gt;=$E96)*($E97&lt;=INDEX($E:$E,MATCH(TRUE,INDEX((ISNUMBER($E:$E)),0),0)))*($E97&gt;INDEX(_xlfn.ANCHORARRAY(Sintesi!$C$14),1,$C97))*($E97&lt;=INDEX(_xlfn.ANCHORARRAY(Sintesi!$C$15),1,$C97))*(INDEX(_xlfn.ANCHORARRAY(Sintesi!$C$15),1,$C97)&gt;0),1,IF(($E97&gt;=$E96)*($E97&lt;=INDEX($E:$E,MATCH(TRUE,INDEX((ISNUMBER($E:$E)),0),0)))*($E97&gt;INDEX(_xlfn.ANCHORARRAY(Sintesi!$C$14),1,$C97))*($E97&lt;INDEX(_xlfn.ANCHORARRAY(Sintesi!$C$16),1,$C97))*(INDEX(_xlfn.ANCHORARRAY(Sintesi!$C$15),1,$C97)&lt;0)+($E97&gt;=$E96)*($E97&lt;=INDEX($E:$E,MATCH(TRUE,INDEX((ISNUMBER($E:$E)),0),0)))*($E97&gt;INDEX(_xlfn.ANCHORARRAY(Sintesi!$C$15),1,$C97))*($E97&lt;INDEX(_xlfn.ANCHORARRAY(Sintesi!$C$16),1,$C97))*(INDEX(_xlfn.ANCHORARRAY(Sintesi!$C$15),1,$C97)&gt;0),2,IF($E97=(INDEX(_xlfn.ANCHORARRAY(Sintesi!$C$16),1,$C97)),3,4)))),0),IF($C97&gt;0,IF(($E97=INDEX(_xlfn.ANCHORARRAY(Sintesi!$C$14),1,$C97))*(INDEX(_xlfn.ANCHORARRAY(Sintesi!$C$15),1,$C97)&gt;0),0,IF(($E97=INDEX(_xlfn.ANCHORARRAY(Sintesi!$C$14),1,$C97))*(INDEX(_xlfn.ANCHORARRAY(Sintesi!$C$15),1,$C97)&lt;0)+($E97&gt;=LOOKUP(2,1/($E:$E&lt;&gt;""),$E:$E))*($E97&lt;=INDEX($E:$E,MATCH(TRUE,INDEX((ISNUMBER($E:$E)),0),0)))*($E97&gt;INDEX(_xlfn.ANCHORARRAY(Sintesi!$C$14),1,$C97))*($E97&lt;=INDEX(_xlfn.ANCHORARRAY(Sintesi!$C$15),1,$C97))*(INDEX(_xlfn.ANCHORARRAY(Sintesi!$C$15),1,$C97)&gt;0),1,IF(($E97&gt;=LOOKUP(2,1/($E:$E&lt;&gt;""),$E:$E))*($E97&lt;=INDEX($E:$E,MATCH(TRUE,INDEX((ISNUMBER($E:$E)),0),0)))*($E97&gt;INDEX(_xlfn.ANCHORARRAY(Sintesi!$C$14),1,$C97))*($E97&lt;INDEX(_xlfn.ANCHORARRAY(Sintesi!$C$16),1,$C97))*(INDEX(_xlfn.ANCHORARRAY(Sintesi!$C$15),1,$C97)&lt;0)+($E97&gt;=LOOKUP(2,1/($E:$E&lt;&gt;""),$E:$E))*($E97&lt;=INDEX($E:$E,MATCH(TRUE,INDEX((ISNUMBER($E:$E)),0),0)))*($E97&gt;INDEX(_xlfn.ANCHORARRAY(Sintesi!$C$15),1,$C97))*($E97&lt;INDEX(_xlfn.ANCHORARRAY(Sintesi!$C$16),1,$C97))*(INDEX(_xlfn.ANCHORARRAY(Sintesi!$C$15),1,$C97)&gt;0),2,IF($E97=(INDEX(_xlfn.ANCHORARRAY(Sintesi!$C$16),1,$C97)),3,4)))),0)),IF(ISNUMBER($E96),IF($C97&gt;0,IF(($E97=INDEX(_xlfn.ANCHORARRAY(Sintesi!$C$14),1,$C97))*(INDEX(_xlfn.ANCHORARRAY(Sintesi!$C$15),1,$C97)&gt;0),0,IF(($E97=INDEX(_xlfn.ANCHORARRAY(Sintesi!$C$14),1,$C97))*(INDEX(_xlfn.ANCHORARRAY(Sintesi!$C$15),1,$C97)&lt;0)+($E97&gt;=$E96)*($E97&lt;=$E98)*($E97&gt;INDEX(_xlfn.ANCHORARRAY(Sintesi!$C$14),1,$C97))*($E97&lt;=INDEX(_xlfn.ANCHORARRAY(Sintesi!$C$15),1,$C97))*(INDEX(_xlfn.ANCHORARRAY(Sintesi!$C$15),1,$C97)&gt;0),1,IF(($E97&gt;=$E96)*($E97&lt;=$E98)*($E97&gt;INDEX(_xlfn.ANCHORARRAY(Sintesi!$C$14),1,$C97))*($E97&lt;INDEX(_xlfn.ANCHORARRAY(Sintesi!$C$16),1,$C97))*(INDEX(_xlfn.ANCHORARRAY(Sintesi!$C$15),1,$C97)&lt;0)+($E97&gt;=$E96)*($E97&lt;=$E98)*($E97&gt;INDEX(_xlfn.ANCHORARRAY(Sintesi!$C$15),1,$C97))*($E97&lt;INDEX(_xlfn.ANCHORARRAY(Sintesi!$C$16),1,$C97))*(INDEX(_xlfn.ANCHORARRAY(Sintesi!$C$15),1,$C97)&gt;0),2,IF($E97=(INDEX(_xlfn.ANCHORARRAY(Sintesi!$C$16),1,$C97)),3,4)))),0),IF($C97&gt;0,IF(($E97=INDEX(_xlfn.ANCHORARRAY(Sintesi!$C$14),1,$C97))*(INDEX(_xlfn.ANCHORARRAY(Sintesi!$C$15),1,$C97)&gt;0),0,IF(($E97=INDEX(_xlfn.ANCHORARRAY(Sintesi!$C$14),1,$C97))*(INDEX(_xlfn.ANCHORARRAY(Sintesi!$C$15),1,$C97)&lt;0)+($E97&gt;=LOOKUP(2,1/($E:$E&lt;&gt;""),$E:$E))*($E97&lt;=$E98)*($E97&gt;INDEX(_xlfn.ANCHORARRAY(Sintesi!$C$14),1,$C97))*($E97&lt;=INDEX(_xlfn.ANCHORARRAY(Sintesi!$C$15),1,$C97))*(INDEX(_xlfn.ANCHORARRAY(Sintesi!$C$15),1,$C97)&gt;0),1,IF(($E97&gt;=LOOKUP(2,1/($E:$E&lt;&gt;""),$E:$E))*($E97&lt;=$E98)*($E97&gt;INDEX(_xlfn.ANCHORARRAY(Sintesi!$C$14),1,$C97))*($E97&lt;INDEX(_xlfn.ANCHORARRAY(Sintesi!$C$16),1,$C97))*(INDEX(_xlfn.ANCHORARRAY(Sintesi!$C$15),1,$C97)&lt;0)+($E97&gt;=LOOKUP(2,1/($E:$E&lt;&gt;""),$E:$E))*($E97&lt;=$E98)*($E97&gt;INDEX(_xlfn.ANCHORARRAY(Sintesi!$C$15),1,$C97))*($E97&lt;INDEX(_xlfn.ANCHORARRAY(Sintesi!$C$16),1,$C97))*(INDEX(_xlfn.ANCHORARRAY(Sintesi!$C$15),1,$C97)&gt;0),2,IF($E97=(INDEX(_xlfn.ANCHORARRAY(Sintesi!$C$16),1,$C97)),3,4)))),0)))</f>
        <v/>
      </c>
      <c r="E97" s="1">
        <f>'Paste cell here'!F97</f>
        <v/>
      </c>
      <c r="F97" s="1">
        <f>'Paste cell here'!C97</f>
        <v/>
      </c>
      <c r="G97" s="1">
        <f>'Paste cell here'!D97</f>
        <v/>
      </c>
      <c r="H97" s="1">
        <f>'Paste cell here'!E97</f>
        <v/>
      </c>
      <c r="I97" s="1">
        <f>'Paste cell here'!X97</f>
        <v/>
      </c>
      <c r="J97" s="1">
        <f>'Paste cell here'!Y97+'Paste cell here'!S97</f>
        <v/>
      </c>
      <c r="K97" s="1">
        <f>I97/H97</f>
        <v/>
      </c>
      <c r="L97" s="1">
        <f>AVERAGE(($F97+$G97)/2-($F97-$G97)/2*COS(PI()*(8-VLOOKUP(MONTH(B97),$O$1:$Q$13,3))/(VLOOKUP(MONTH(B97),$O$1:$Q$13,2)-VLOOKUP(MONTH(B97),$O$1:$Q$13,3))),($F97+$G97)/2-($F97-$G97)/2*COS(PI()*(9-VLOOKUP(MONTH(B97),$O$1:$Q$13,3))/(VLOOKUP(MONTH(B97),$O$1:$Q$13,2)-VLOOKUP(MONTH(B97),$O$1:$Q$13,3))),($F97+$G97)/2-($F97-$G97)/2*COS(PI()*(10-VLOOKUP(MONTH(B97),$O$1:$Q$13,3))/(VLOOKUP(MONTH(B97),$O$1:$Q$13,2)-VLOOKUP(MONTH(B97),$O$1:$Q$13,3))),($F97+$G97)/2-($F97-$G97)/2*COS(PI()*(11-VLOOKUP(MONTH(B97),$O$1:$Q$13,3))/(VLOOKUP(MONTH(B97),$O$1:$Q$13,2)-VLOOKUP(MONTH(B97),$O$1:$Q$13,3))),($F97+$G97)/2-($F97-$G97)/2*COS(PI()*(12-VLOOKUP(MONTH(B97),$O$1:$Q$13,3))/(VLOOKUP(MONTH(B97),$O$1:$Q$13,2)-VLOOKUP(MONTH(B97),$O$1:$Q$13,3))),($F97+$G97)/2-($F97-$G97)/2*COS(PI()*(13-VLOOKUP(MONTH(B97),$O$1:$Q$13,3))/(VLOOKUP(MONTH(B97),$O$1:$Q$13,2)-VLOOKUP(MONTH(B97),$O$1:$Q$13,3))),($F97+$G97)/2-($F97-$G97)/2*COS(PI()*(14-VLOOKUP(MONTH(B97),$O$1:$Q$13,3))/(VLOOKUP(MONTH(B97),$O$1:$Q$13,2)-VLOOKUP(MONTH(B97),$O$1:$Q$13,3))))</f>
        <v/>
      </c>
      <c r="M97" s="1">
        <f t="array" ref="M97">IF(AND(A97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,A97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),IF(L97&lt;_xlfn.IFNA(INDEX(_xlfn.ANCHORARRAY(Sintesi!$C$17)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,1,IF(L97&gt;=_xlfn.IFNA(INDEX(_xlfn.ANCHORARRAY(Sintesi!$C$18)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,0,1-(L97-_xlfn.IFNA(INDEX(_xlfn.ANCHORARRAY(Sintesi!$C$17)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)/(_xlfn.IFNA(INDEX(_xlfn.ANCHORARRAY(Sintesi!$C$18)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-_xlfn.IFNA(INDEX(_xlfn.ANCHORARRAY(Sintesi!$C$17)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))),0)</f>
        <v/>
      </c>
    </row>
    <row r="98">
      <c r="A98" s="1">
        <f>'Paste cell here'!A98</f>
        <v/>
      </c>
      <c r="B98" s="2">
        <f>DATE(Sintesi!$C$4-1,12,31)+A98</f>
        <v/>
      </c>
      <c r="C98" s="34">
        <f t="array" ref="C98">_xlfn.IFNA(MATCH(1,(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)*(_xlfn.ANCHORARRAY(Sintesi!$C$15)&gt;=0)+(_xlfn.ANCHORARRAY(Sintesi!$C$15)&lt;0),0),0)</f>
        <v/>
      </c>
      <c r="D98" s="1">
        <f t="array" ref="D98">IF(ISBLANK($E99),IF(ISNUMBER($E97),IF($C98&gt;0,IF(($E98=INDEX(_xlfn.ANCHORARRAY(Sintesi!$C$14),1,$C98))*(INDEX(_xlfn.ANCHORARRAY(Sintesi!$C$15),1,$C98)&gt;0),0,IF(($E98=INDEX(_xlfn.ANCHORARRAY(Sintesi!$C$14),1,$C98))*(INDEX(_xlfn.ANCHORARRAY(Sintesi!$C$15),1,$C98)&lt;0)+($E98&gt;=$E97)*($E98&lt;=INDEX($E:$E,MATCH(TRUE,INDEX((ISNUMBER($E:$E)),0),0)))*($E98&gt;INDEX(_xlfn.ANCHORARRAY(Sintesi!$C$14),1,$C98))*($E98&lt;=INDEX(_xlfn.ANCHORARRAY(Sintesi!$C$15),1,$C98))*(INDEX(_xlfn.ANCHORARRAY(Sintesi!$C$15),1,$C98)&gt;0),1,IF(($E98&gt;=$E97)*($E98&lt;=INDEX($E:$E,MATCH(TRUE,INDEX((ISNUMBER($E:$E)),0),0)))*($E98&gt;INDEX(_xlfn.ANCHORARRAY(Sintesi!$C$14),1,$C98))*($E98&lt;INDEX(_xlfn.ANCHORARRAY(Sintesi!$C$16),1,$C98))*(INDEX(_xlfn.ANCHORARRAY(Sintesi!$C$15),1,$C98)&lt;0)+($E98&gt;=$E97)*($E98&lt;=INDEX($E:$E,MATCH(TRUE,INDEX((ISNUMBER($E:$E)),0),0)))*($E98&gt;INDEX(_xlfn.ANCHORARRAY(Sintesi!$C$15),1,$C98))*($E98&lt;INDEX(_xlfn.ANCHORARRAY(Sintesi!$C$16),1,$C98))*(INDEX(_xlfn.ANCHORARRAY(Sintesi!$C$15),1,$C98)&gt;0),2,IF($E98=(INDEX(_xlfn.ANCHORARRAY(Sintesi!$C$16),1,$C98)),3,4)))),0),IF($C98&gt;0,IF(($E98=INDEX(_xlfn.ANCHORARRAY(Sintesi!$C$14),1,$C98))*(INDEX(_xlfn.ANCHORARRAY(Sintesi!$C$15),1,$C98)&gt;0),0,IF(($E98=INDEX(_xlfn.ANCHORARRAY(Sintesi!$C$14),1,$C98))*(INDEX(_xlfn.ANCHORARRAY(Sintesi!$C$15),1,$C98)&lt;0)+($E98&gt;=LOOKUP(2,1/($E:$E&lt;&gt;""),$E:$E))*($E98&lt;=INDEX($E:$E,MATCH(TRUE,INDEX((ISNUMBER($E:$E)),0),0)))*($E98&gt;INDEX(_xlfn.ANCHORARRAY(Sintesi!$C$14),1,$C98))*($E98&lt;=INDEX(_xlfn.ANCHORARRAY(Sintesi!$C$15),1,$C98))*(INDEX(_xlfn.ANCHORARRAY(Sintesi!$C$15),1,$C98)&gt;0),1,IF(($E98&gt;=LOOKUP(2,1/($E:$E&lt;&gt;""),$E:$E))*($E98&lt;=INDEX($E:$E,MATCH(TRUE,INDEX((ISNUMBER($E:$E)),0),0)))*($E98&gt;INDEX(_xlfn.ANCHORARRAY(Sintesi!$C$14),1,$C98))*($E98&lt;INDEX(_xlfn.ANCHORARRAY(Sintesi!$C$16),1,$C98))*(INDEX(_xlfn.ANCHORARRAY(Sintesi!$C$15),1,$C98)&lt;0)+($E98&gt;=LOOKUP(2,1/($E:$E&lt;&gt;""),$E:$E))*($E98&lt;=INDEX($E:$E,MATCH(TRUE,INDEX((ISNUMBER($E:$E)),0),0)))*($E98&gt;INDEX(_xlfn.ANCHORARRAY(Sintesi!$C$15),1,$C98))*($E98&lt;INDEX(_xlfn.ANCHORARRAY(Sintesi!$C$16),1,$C98))*(INDEX(_xlfn.ANCHORARRAY(Sintesi!$C$15),1,$C98)&gt;0),2,IF($E98=(INDEX(_xlfn.ANCHORARRAY(Sintesi!$C$16),1,$C98)),3,4)))),0)),IF(ISNUMBER($E97),IF($C98&gt;0,IF(($E98=INDEX(_xlfn.ANCHORARRAY(Sintesi!$C$14),1,$C98))*(INDEX(_xlfn.ANCHORARRAY(Sintesi!$C$15),1,$C98)&gt;0),0,IF(($E98=INDEX(_xlfn.ANCHORARRAY(Sintesi!$C$14),1,$C98))*(INDEX(_xlfn.ANCHORARRAY(Sintesi!$C$15),1,$C98)&lt;0)+($E98&gt;=$E97)*($E98&lt;=$E99)*($E98&gt;INDEX(_xlfn.ANCHORARRAY(Sintesi!$C$14),1,$C98))*($E98&lt;=INDEX(_xlfn.ANCHORARRAY(Sintesi!$C$15),1,$C98))*(INDEX(_xlfn.ANCHORARRAY(Sintesi!$C$15),1,$C98)&gt;0),1,IF(($E98&gt;=$E97)*($E98&lt;=$E99)*($E98&gt;INDEX(_xlfn.ANCHORARRAY(Sintesi!$C$14),1,$C98))*($E98&lt;INDEX(_xlfn.ANCHORARRAY(Sintesi!$C$16),1,$C98))*(INDEX(_xlfn.ANCHORARRAY(Sintesi!$C$15),1,$C98)&lt;0)+($E98&gt;=$E97)*($E98&lt;=$E99)*($E98&gt;INDEX(_xlfn.ANCHORARRAY(Sintesi!$C$15),1,$C98))*($E98&lt;INDEX(_xlfn.ANCHORARRAY(Sintesi!$C$16),1,$C98))*(INDEX(_xlfn.ANCHORARRAY(Sintesi!$C$15),1,$C98)&gt;0),2,IF($E98=(INDEX(_xlfn.ANCHORARRAY(Sintesi!$C$16),1,$C98)),3,4)))),0),IF($C98&gt;0,IF(($E98=INDEX(_xlfn.ANCHORARRAY(Sintesi!$C$14),1,$C98))*(INDEX(_xlfn.ANCHORARRAY(Sintesi!$C$15),1,$C98)&gt;0),0,IF(($E98=INDEX(_xlfn.ANCHORARRAY(Sintesi!$C$14),1,$C98))*(INDEX(_xlfn.ANCHORARRAY(Sintesi!$C$15),1,$C98)&lt;0)+($E98&gt;=LOOKUP(2,1/($E:$E&lt;&gt;""),$E:$E))*($E98&lt;=$E99)*($E98&gt;INDEX(_xlfn.ANCHORARRAY(Sintesi!$C$14),1,$C98))*($E98&lt;=INDEX(_xlfn.ANCHORARRAY(Sintesi!$C$15),1,$C98))*(INDEX(_xlfn.ANCHORARRAY(Sintesi!$C$15),1,$C98)&gt;0),1,IF(($E98&gt;=LOOKUP(2,1/($E:$E&lt;&gt;""),$E:$E))*($E98&lt;=$E99)*($E98&gt;INDEX(_xlfn.ANCHORARRAY(Sintesi!$C$14),1,$C98))*($E98&lt;INDEX(_xlfn.ANCHORARRAY(Sintesi!$C$16),1,$C98))*(INDEX(_xlfn.ANCHORARRAY(Sintesi!$C$15),1,$C98)&lt;0)+($E98&gt;=LOOKUP(2,1/($E:$E&lt;&gt;""),$E:$E))*($E98&lt;=$E99)*($E98&gt;INDEX(_xlfn.ANCHORARRAY(Sintesi!$C$15),1,$C98))*($E98&lt;INDEX(_xlfn.ANCHORARRAY(Sintesi!$C$16),1,$C98))*(INDEX(_xlfn.ANCHORARRAY(Sintesi!$C$15),1,$C98)&gt;0),2,IF($E98=(INDEX(_xlfn.ANCHORARRAY(Sintesi!$C$16),1,$C98)),3,4)))),0)))</f>
        <v/>
      </c>
      <c r="E98" s="1">
        <f>'Paste cell here'!F98</f>
        <v/>
      </c>
      <c r="F98" s="1">
        <f>'Paste cell here'!C98</f>
        <v/>
      </c>
      <c r="G98" s="1">
        <f>'Paste cell here'!D98</f>
        <v/>
      </c>
      <c r="H98" s="1">
        <f>'Paste cell here'!E98</f>
        <v/>
      </c>
      <c r="I98" s="1">
        <f>'Paste cell here'!X98</f>
        <v/>
      </c>
      <c r="J98" s="1">
        <f>'Paste cell here'!Y98+'Paste cell here'!S98</f>
        <v/>
      </c>
      <c r="K98" s="1">
        <f>I98/H98</f>
        <v/>
      </c>
      <c r="L98" s="1">
        <f>AVERAGE(($F98+$G98)/2-($F98-$G98)/2*COS(PI()*(8-VLOOKUP(MONTH(B98),$O$1:$Q$13,3))/(VLOOKUP(MONTH(B98),$O$1:$Q$13,2)-VLOOKUP(MONTH(B98),$O$1:$Q$13,3))),($F98+$G98)/2-($F98-$G98)/2*COS(PI()*(9-VLOOKUP(MONTH(B98),$O$1:$Q$13,3))/(VLOOKUP(MONTH(B98),$O$1:$Q$13,2)-VLOOKUP(MONTH(B98),$O$1:$Q$13,3))),($F98+$G98)/2-($F98-$G98)/2*COS(PI()*(10-VLOOKUP(MONTH(B98),$O$1:$Q$13,3))/(VLOOKUP(MONTH(B98),$O$1:$Q$13,2)-VLOOKUP(MONTH(B98),$O$1:$Q$13,3))),($F98+$G98)/2-($F98-$G98)/2*COS(PI()*(11-VLOOKUP(MONTH(B98),$O$1:$Q$13,3))/(VLOOKUP(MONTH(B98),$O$1:$Q$13,2)-VLOOKUP(MONTH(B98),$O$1:$Q$13,3))),($F98+$G98)/2-($F98-$G98)/2*COS(PI()*(12-VLOOKUP(MONTH(B98),$O$1:$Q$13,3))/(VLOOKUP(MONTH(B98),$O$1:$Q$13,2)-VLOOKUP(MONTH(B98),$O$1:$Q$13,3))),($F98+$G98)/2-($F98-$G98)/2*COS(PI()*(13-VLOOKUP(MONTH(B98),$O$1:$Q$13,3))/(VLOOKUP(MONTH(B98),$O$1:$Q$13,2)-VLOOKUP(MONTH(B98),$O$1:$Q$13,3))),($F98+$G98)/2-($F98-$G98)/2*COS(PI()*(14-VLOOKUP(MONTH(B98),$O$1:$Q$13,3))/(VLOOKUP(MONTH(B98),$O$1:$Q$13,2)-VLOOKUP(MONTH(B98),$O$1:$Q$13,3))))</f>
        <v/>
      </c>
      <c r="M98" s="1">
        <f t="array" ref="M98">IF(AND(A98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,A98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),IF(L98&lt;_xlfn.IFNA(INDEX(_xlfn.ANCHORARRAY(Sintesi!$C$17)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,1,IF(L98&gt;=_xlfn.IFNA(INDEX(_xlfn.ANCHORARRAY(Sintesi!$C$18)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,0,1-(L98-_xlfn.IFNA(INDEX(_xlfn.ANCHORARRAY(Sintesi!$C$17)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)/(_xlfn.IFNA(INDEX(_xlfn.ANCHORARRAY(Sintesi!$C$18)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-_xlfn.IFNA(INDEX(_xlfn.ANCHORARRAY(Sintesi!$C$17)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))),0)</f>
        <v/>
      </c>
    </row>
    <row r="99">
      <c r="A99" s="1">
        <f>'Paste cell here'!A99</f>
        <v/>
      </c>
      <c r="B99" s="2">
        <f>DATE(Sintesi!$C$4-1,12,31)+A99</f>
        <v/>
      </c>
      <c r="C99" s="34">
        <f t="array" ref="C99">_xlfn.IFNA(MATCH(1,(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)*(_xlfn.ANCHORARRAY(Sintesi!$C$15)&gt;=0)+(_xlfn.ANCHORARRAY(Sintesi!$C$15)&lt;0),0),0)</f>
        <v/>
      </c>
      <c r="D99" s="1">
        <f t="array" ref="D99">IF(ISBLANK($E100),IF(ISNUMBER($E98),IF($C99&gt;0,IF(($E99=INDEX(_xlfn.ANCHORARRAY(Sintesi!$C$14),1,$C99))*(INDEX(_xlfn.ANCHORARRAY(Sintesi!$C$15),1,$C99)&gt;0),0,IF(($E99=INDEX(_xlfn.ANCHORARRAY(Sintesi!$C$14),1,$C99))*(INDEX(_xlfn.ANCHORARRAY(Sintesi!$C$15),1,$C99)&lt;0)+($E99&gt;=$E98)*($E99&lt;=INDEX($E:$E,MATCH(TRUE,INDEX((ISNUMBER($E:$E)),0),0)))*($E99&gt;INDEX(_xlfn.ANCHORARRAY(Sintesi!$C$14),1,$C99))*($E99&lt;=INDEX(_xlfn.ANCHORARRAY(Sintesi!$C$15),1,$C99))*(INDEX(_xlfn.ANCHORARRAY(Sintesi!$C$15),1,$C99)&gt;0),1,IF(($E99&gt;=$E98)*($E99&lt;=INDEX($E:$E,MATCH(TRUE,INDEX((ISNUMBER($E:$E)),0),0)))*($E99&gt;INDEX(_xlfn.ANCHORARRAY(Sintesi!$C$14),1,$C99))*($E99&lt;INDEX(_xlfn.ANCHORARRAY(Sintesi!$C$16),1,$C99))*(INDEX(_xlfn.ANCHORARRAY(Sintesi!$C$15),1,$C99)&lt;0)+($E99&gt;=$E98)*($E99&lt;=INDEX($E:$E,MATCH(TRUE,INDEX((ISNUMBER($E:$E)),0),0)))*($E99&gt;INDEX(_xlfn.ANCHORARRAY(Sintesi!$C$15),1,$C99))*($E99&lt;INDEX(_xlfn.ANCHORARRAY(Sintesi!$C$16),1,$C99))*(INDEX(_xlfn.ANCHORARRAY(Sintesi!$C$15),1,$C99)&gt;0),2,IF($E99=(INDEX(_xlfn.ANCHORARRAY(Sintesi!$C$16),1,$C99)),3,4)))),0),IF($C99&gt;0,IF(($E99=INDEX(_xlfn.ANCHORARRAY(Sintesi!$C$14),1,$C99))*(INDEX(_xlfn.ANCHORARRAY(Sintesi!$C$15),1,$C99)&gt;0),0,IF(($E99=INDEX(_xlfn.ANCHORARRAY(Sintesi!$C$14),1,$C99))*(INDEX(_xlfn.ANCHORARRAY(Sintesi!$C$15),1,$C99)&lt;0)+($E99&gt;=LOOKUP(2,1/($E:$E&lt;&gt;""),$E:$E))*($E99&lt;=INDEX($E:$E,MATCH(TRUE,INDEX((ISNUMBER($E:$E)),0),0)))*($E99&gt;INDEX(_xlfn.ANCHORARRAY(Sintesi!$C$14),1,$C99))*($E99&lt;=INDEX(_xlfn.ANCHORARRAY(Sintesi!$C$15),1,$C99))*(INDEX(_xlfn.ANCHORARRAY(Sintesi!$C$15),1,$C99)&gt;0),1,IF(($E99&gt;=LOOKUP(2,1/($E:$E&lt;&gt;""),$E:$E))*($E99&lt;=INDEX($E:$E,MATCH(TRUE,INDEX((ISNUMBER($E:$E)),0),0)))*($E99&gt;INDEX(_xlfn.ANCHORARRAY(Sintesi!$C$14),1,$C99))*($E99&lt;INDEX(_xlfn.ANCHORARRAY(Sintesi!$C$16),1,$C99))*(INDEX(_xlfn.ANCHORARRAY(Sintesi!$C$15),1,$C99)&lt;0)+($E99&gt;=LOOKUP(2,1/($E:$E&lt;&gt;""),$E:$E))*($E99&lt;=INDEX($E:$E,MATCH(TRUE,INDEX((ISNUMBER($E:$E)),0),0)))*($E99&gt;INDEX(_xlfn.ANCHORARRAY(Sintesi!$C$15),1,$C99))*($E99&lt;INDEX(_xlfn.ANCHORARRAY(Sintesi!$C$16),1,$C99))*(INDEX(_xlfn.ANCHORARRAY(Sintesi!$C$15),1,$C99)&gt;0),2,IF($E99=(INDEX(_xlfn.ANCHORARRAY(Sintesi!$C$16),1,$C99)),3,4)))),0)),IF(ISNUMBER($E98),IF($C99&gt;0,IF(($E99=INDEX(_xlfn.ANCHORARRAY(Sintesi!$C$14),1,$C99))*(INDEX(_xlfn.ANCHORARRAY(Sintesi!$C$15),1,$C99)&gt;0),0,IF(($E99=INDEX(_xlfn.ANCHORARRAY(Sintesi!$C$14),1,$C99))*(INDEX(_xlfn.ANCHORARRAY(Sintesi!$C$15),1,$C99)&lt;0)+($E99&gt;=$E98)*($E99&lt;=$E100)*($E99&gt;INDEX(_xlfn.ANCHORARRAY(Sintesi!$C$14),1,$C99))*($E99&lt;=INDEX(_xlfn.ANCHORARRAY(Sintesi!$C$15),1,$C99))*(INDEX(_xlfn.ANCHORARRAY(Sintesi!$C$15),1,$C99)&gt;0),1,IF(($E99&gt;=$E98)*($E99&lt;=$E100)*($E99&gt;INDEX(_xlfn.ANCHORARRAY(Sintesi!$C$14),1,$C99))*($E99&lt;INDEX(_xlfn.ANCHORARRAY(Sintesi!$C$16),1,$C99))*(INDEX(_xlfn.ANCHORARRAY(Sintesi!$C$15),1,$C99)&lt;0)+($E99&gt;=$E98)*($E99&lt;=$E100)*($E99&gt;INDEX(_xlfn.ANCHORARRAY(Sintesi!$C$15),1,$C99))*($E99&lt;INDEX(_xlfn.ANCHORARRAY(Sintesi!$C$16),1,$C99))*(INDEX(_xlfn.ANCHORARRAY(Sintesi!$C$15),1,$C99)&gt;0),2,IF($E99=(INDEX(_xlfn.ANCHORARRAY(Sintesi!$C$16),1,$C99)),3,4)))),0),IF($C99&gt;0,IF(($E99=INDEX(_xlfn.ANCHORARRAY(Sintesi!$C$14),1,$C99))*(INDEX(_xlfn.ANCHORARRAY(Sintesi!$C$15),1,$C99)&gt;0),0,IF(($E99=INDEX(_xlfn.ANCHORARRAY(Sintesi!$C$14),1,$C99))*(INDEX(_xlfn.ANCHORARRAY(Sintesi!$C$15),1,$C99)&lt;0)+($E99&gt;=LOOKUP(2,1/($E:$E&lt;&gt;""),$E:$E))*($E99&lt;=$E100)*($E99&gt;INDEX(_xlfn.ANCHORARRAY(Sintesi!$C$14),1,$C99))*($E99&lt;=INDEX(_xlfn.ANCHORARRAY(Sintesi!$C$15),1,$C99))*(INDEX(_xlfn.ANCHORARRAY(Sintesi!$C$15),1,$C99)&gt;0),1,IF(($E99&gt;=LOOKUP(2,1/($E:$E&lt;&gt;""),$E:$E))*($E99&lt;=$E100)*($E99&gt;INDEX(_xlfn.ANCHORARRAY(Sintesi!$C$14),1,$C99))*($E99&lt;INDEX(_xlfn.ANCHORARRAY(Sintesi!$C$16),1,$C99))*(INDEX(_xlfn.ANCHORARRAY(Sintesi!$C$15),1,$C99)&lt;0)+($E99&gt;=LOOKUP(2,1/($E:$E&lt;&gt;""),$E:$E))*($E99&lt;=$E100)*($E99&gt;INDEX(_xlfn.ANCHORARRAY(Sintesi!$C$15),1,$C99))*($E99&lt;INDEX(_xlfn.ANCHORARRAY(Sintesi!$C$16),1,$C99))*(INDEX(_xlfn.ANCHORARRAY(Sintesi!$C$15),1,$C99)&gt;0),2,IF($E99=(INDEX(_xlfn.ANCHORARRAY(Sintesi!$C$16),1,$C99)),3,4)))),0)))</f>
        <v/>
      </c>
      <c r="E99" s="1">
        <f>'Paste cell here'!F99</f>
        <v/>
      </c>
      <c r="F99" s="1">
        <f>'Paste cell here'!C99</f>
        <v/>
      </c>
      <c r="G99" s="1">
        <f>'Paste cell here'!D99</f>
        <v/>
      </c>
      <c r="H99" s="1">
        <f>'Paste cell here'!E99</f>
        <v/>
      </c>
      <c r="I99" s="1">
        <f>'Paste cell here'!X99</f>
        <v/>
      </c>
      <c r="J99" s="1">
        <f>'Paste cell here'!Y99+'Paste cell here'!S99</f>
        <v/>
      </c>
      <c r="K99" s="1">
        <f>I99/H99</f>
        <v/>
      </c>
      <c r="L99" s="1">
        <f>AVERAGE(($F99+$G99)/2-($F99-$G99)/2*COS(PI()*(8-VLOOKUP(MONTH(B99),$O$1:$Q$13,3))/(VLOOKUP(MONTH(B99),$O$1:$Q$13,2)-VLOOKUP(MONTH(B99),$O$1:$Q$13,3))),($F99+$G99)/2-($F99-$G99)/2*COS(PI()*(9-VLOOKUP(MONTH(B99),$O$1:$Q$13,3))/(VLOOKUP(MONTH(B99),$O$1:$Q$13,2)-VLOOKUP(MONTH(B99),$O$1:$Q$13,3))),($F99+$G99)/2-($F99-$G99)/2*COS(PI()*(10-VLOOKUP(MONTH(B99),$O$1:$Q$13,3))/(VLOOKUP(MONTH(B99),$O$1:$Q$13,2)-VLOOKUP(MONTH(B99),$O$1:$Q$13,3))),($F99+$G99)/2-($F99-$G99)/2*COS(PI()*(11-VLOOKUP(MONTH(B99),$O$1:$Q$13,3))/(VLOOKUP(MONTH(B99),$O$1:$Q$13,2)-VLOOKUP(MONTH(B99),$O$1:$Q$13,3))),($F99+$G99)/2-($F99-$G99)/2*COS(PI()*(12-VLOOKUP(MONTH(B99),$O$1:$Q$13,3))/(VLOOKUP(MONTH(B99),$O$1:$Q$13,2)-VLOOKUP(MONTH(B99),$O$1:$Q$13,3))),($F99+$G99)/2-($F99-$G99)/2*COS(PI()*(13-VLOOKUP(MONTH(B99),$O$1:$Q$13,3))/(VLOOKUP(MONTH(B99),$O$1:$Q$13,2)-VLOOKUP(MONTH(B99),$O$1:$Q$13,3))),($F99+$G99)/2-($F99-$G99)/2*COS(PI()*(14-VLOOKUP(MONTH(B99),$O$1:$Q$13,3))/(VLOOKUP(MONTH(B99),$O$1:$Q$13,2)-VLOOKUP(MONTH(B99),$O$1:$Q$13,3))))</f>
        <v/>
      </c>
      <c r="M99" s="1">
        <f t="array" ref="M99">IF(AND(A99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,A99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),IF(L99&lt;_xlfn.IFNA(INDEX(_xlfn.ANCHORARRAY(Sintesi!$C$17)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,1,IF(L99&gt;=_xlfn.IFNA(INDEX(_xlfn.ANCHORARRAY(Sintesi!$C$18)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,0,1-(L99-_xlfn.IFNA(INDEX(_xlfn.ANCHORARRAY(Sintesi!$C$17)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)/(_xlfn.IFNA(INDEX(_xlfn.ANCHORARRAY(Sintesi!$C$18)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-_xlfn.IFNA(INDEX(_xlfn.ANCHORARRAY(Sintesi!$C$17)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))),0)</f>
        <v/>
      </c>
    </row>
    <row r="100">
      <c r="A100" s="1">
        <f>'Paste cell here'!A100</f>
        <v/>
      </c>
      <c r="B100" s="2">
        <f>DATE(Sintesi!$C$4-1,12,31)+A100</f>
        <v/>
      </c>
      <c r="C100" s="34">
        <f t="array" ref="C100">_xlfn.IFNA(MATCH(1,(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)*(_xlfn.ANCHORARRAY(Sintesi!$C$15)&gt;=0)+(_xlfn.ANCHORARRAY(Sintesi!$C$15)&lt;0),0),0)</f>
        <v/>
      </c>
      <c r="D100" s="1">
        <f t="array" ref="D100">IF(ISBLANK($E101),IF(ISNUMBER($E99),IF($C100&gt;0,IF(($E100=INDEX(_xlfn.ANCHORARRAY(Sintesi!$C$14),1,$C100))*(INDEX(_xlfn.ANCHORARRAY(Sintesi!$C$15),1,$C100)&gt;0),0,IF(($E100=INDEX(_xlfn.ANCHORARRAY(Sintesi!$C$14),1,$C100))*(INDEX(_xlfn.ANCHORARRAY(Sintesi!$C$15),1,$C100)&lt;0)+($E100&gt;=$E99)*($E100&lt;=INDEX($E:$E,MATCH(TRUE,INDEX((ISNUMBER($E:$E)),0),0)))*($E100&gt;INDEX(_xlfn.ANCHORARRAY(Sintesi!$C$14),1,$C100))*($E100&lt;=INDEX(_xlfn.ANCHORARRAY(Sintesi!$C$15),1,$C100))*(INDEX(_xlfn.ANCHORARRAY(Sintesi!$C$15),1,$C100)&gt;0),1,IF(($E100&gt;=$E99)*($E100&lt;=INDEX($E:$E,MATCH(TRUE,INDEX((ISNUMBER($E:$E)),0),0)))*($E100&gt;INDEX(_xlfn.ANCHORARRAY(Sintesi!$C$14),1,$C100))*($E100&lt;INDEX(_xlfn.ANCHORARRAY(Sintesi!$C$16),1,$C100))*(INDEX(_xlfn.ANCHORARRAY(Sintesi!$C$15),1,$C100)&lt;0)+($E100&gt;=$E99)*($E100&lt;=INDEX($E:$E,MATCH(TRUE,INDEX((ISNUMBER($E:$E)),0),0)))*($E100&gt;INDEX(_xlfn.ANCHORARRAY(Sintesi!$C$15),1,$C100))*($E100&lt;INDEX(_xlfn.ANCHORARRAY(Sintesi!$C$16),1,$C100))*(INDEX(_xlfn.ANCHORARRAY(Sintesi!$C$15),1,$C100)&gt;0),2,IF($E100=(INDEX(_xlfn.ANCHORARRAY(Sintesi!$C$16),1,$C100)),3,4)))),0),IF($C100&gt;0,IF(($E100=INDEX(_xlfn.ANCHORARRAY(Sintesi!$C$14),1,$C100))*(INDEX(_xlfn.ANCHORARRAY(Sintesi!$C$15),1,$C100)&gt;0),0,IF(($E100=INDEX(_xlfn.ANCHORARRAY(Sintesi!$C$14),1,$C100))*(INDEX(_xlfn.ANCHORARRAY(Sintesi!$C$15),1,$C100)&lt;0)+($E100&gt;=LOOKUP(2,1/($E:$E&lt;&gt;""),$E:$E))*($E100&lt;=INDEX($E:$E,MATCH(TRUE,INDEX((ISNUMBER($E:$E)),0),0)))*($E100&gt;INDEX(_xlfn.ANCHORARRAY(Sintesi!$C$14),1,$C100))*($E100&lt;=INDEX(_xlfn.ANCHORARRAY(Sintesi!$C$15),1,$C100))*(INDEX(_xlfn.ANCHORARRAY(Sintesi!$C$15),1,$C100)&gt;0),1,IF(($E100&gt;=LOOKUP(2,1/($E:$E&lt;&gt;""),$E:$E))*($E100&lt;=INDEX($E:$E,MATCH(TRUE,INDEX((ISNUMBER($E:$E)),0),0)))*($E100&gt;INDEX(_xlfn.ANCHORARRAY(Sintesi!$C$14),1,$C100))*($E100&lt;INDEX(_xlfn.ANCHORARRAY(Sintesi!$C$16),1,$C100))*(INDEX(_xlfn.ANCHORARRAY(Sintesi!$C$15),1,$C100)&lt;0)+($E100&gt;=LOOKUP(2,1/($E:$E&lt;&gt;""),$E:$E))*($E100&lt;=INDEX($E:$E,MATCH(TRUE,INDEX((ISNUMBER($E:$E)),0),0)))*($E100&gt;INDEX(_xlfn.ANCHORARRAY(Sintesi!$C$15),1,$C100))*($E100&lt;INDEX(_xlfn.ANCHORARRAY(Sintesi!$C$16),1,$C100))*(INDEX(_xlfn.ANCHORARRAY(Sintesi!$C$15),1,$C100)&gt;0),2,IF($E100=(INDEX(_xlfn.ANCHORARRAY(Sintesi!$C$16),1,$C100)),3,4)))),0)),IF(ISNUMBER($E99),IF($C100&gt;0,IF(($E100=INDEX(_xlfn.ANCHORARRAY(Sintesi!$C$14),1,$C100))*(INDEX(_xlfn.ANCHORARRAY(Sintesi!$C$15),1,$C100)&gt;0),0,IF(($E100=INDEX(_xlfn.ANCHORARRAY(Sintesi!$C$14),1,$C100))*(INDEX(_xlfn.ANCHORARRAY(Sintesi!$C$15),1,$C100)&lt;0)+($E100&gt;=$E99)*($E100&lt;=$E101)*($E100&gt;INDEX(_xlfn.ANCHORARRAY(Sintesi!$C$14),1,$C100))*($E100&lt;=INDEX(_xlfn.ANCHORARRAY(Sintesi!$C$15),1,$C100))*(INDEX(_xlfn.ANCHORARRAY(Sintesi!$C$15),1,$C100)&gt;0),1,IF(($E100&gt;=$E99)*($E100&lt;=$E101)*($E100&gt;INDEX(_xlfn.ANCHORARRAY(Sintesi!$C$14),1,$C100))*($E100&lt;INDEX(_xlfn.ANCHORARRAY(Sintesi!$C$16),1,$C100))*(INDEX(_xlfn.ANCHORARRAY(Sintesi!$C$15),1,$C100)&lt;0)+($E100&gt;=$E99)*($E100&lt;=$E101)*($E100&gt;INDEX(_xlfn.ANCHORARRAY(Sintesi!$C$15),1,$C100))*($E100&lt;INDEX(_xlfn.ANCHORARRAY(Sintesi!$C$16),1,$C100))*(INDEX(_xlfn.ANCHORARRAY(Sintesi!$C$15),1,$C100)&gt;0),2,IF($E100=(INDEX(_xlfn.ANCHORARRAY(Sintesi!$C$16),1,$C100)),3,4)))),0),IF($C100&gt;0,IF(($E100=INDEX(_xlfn.ANCHORARRAY(Sintesi!$C$14),1,$C100))*(INDEX(_xlfn.ANCHORARRAY(Sintesi!$C$15),1,$C100)&gt;0),0,IF(($E100=INDEX(_xlfn.ANCHORARRAY(Sintesi!$C$14),1,$C100))*(INDEX(_xlfn.ANCHORARRAY(Sintesi!$C$15),1,$C100)&lt;0)+($E100&gt;=LOOKUP(2,1/($E:$E&lt;&gt;""),$E:$E))*($E100&lt;=$E101)*($E100&gt;INDEX(_xlfn.ANCHORARRAY(Sintesi!$C$14),1,$C100))*($E100&lt;=INDEX(_xlfn.ANCHORARRAY(Sintesi!$C$15),1,$C100))*(INDEX(_xlfn.ANCHORARRAY(Sintesi!$C$15),1,$C100)&gt;0),1,IF(($E100&gt;=LOOKUP(2,1/($E:$E&lt;&gt;""),$E:$E))*($E100&lt;=$E101)*($E100&gt;INDEX(_xlfn.ANCHORARRAY(Sintesi!$C$14),1,$C100))*($E100&lt;INDEX(_xlfn.ANCHORARRAY(Sintesi!$C$16),1,$C100))*(INDEX(_xlfn.ANCHORARRAY(Sintesi!$C$15),1,$C100)&lt;0)+($E100&gt;=LOOKUP(2,1/($E:$E&lt;&gt;""),$E:$E))*($E100&lt;=$E101)*($E100&gt;INDEX(_xlfn.ANCHORARRAY(Sintesi!$C$15),1,$C100))*($E100&lt;INDEX(_xlfn.ANCHORARRAY(Sintesi!$C$16),1,$C100))*(INDEX(_xlfn.ANCHORARRAY(Sintesi!$C$15),1,$C100)&gt;0),2,IF($E100=(INDEX(_xlfn.ANCHORARRAY(Sintesi!$C$16),1,$C100)),3,4)))),0)))</f>
        <v/>
      </c>
      <c r="E100" s="1">
        <f>'Paste cell here'!F100</f>
        <v/>
      </c>
      <c r="F100" s="1">
        <f>'Paste cell here'!C100</f>
        <v/>
      </c>
      <c r="G100" s="1">
        <f>'Paste cell here'!D100</f>
        <v/>
      </c>
      <c r="H100" s="1">
        <f>'Paste cell here'!E100</f>
        <v/>
      </c>
      <c r="I100" s="1">
        <f>'Paste cell here'!X100</f>
        <v/>
      </c>
      <c r="J100" s="1">
        <f>'Paste cell here'!Y100+'Paste cell here'!S100</f>
        <v/>
      </c>
      <c r="K100" s="1">
        <f>I100/H100</f>
        <v/>
      </c>
      <c r="L100" s="1">
        <f>AVERAGE(($F100+$G100)/2-($F100-$G100)/2*COS(PI()*(8-VLOOKUP(MONTH(B100),$O$1:$Q$13,3))/(VLOOKUP(MONTH(B100),$O$1:$Q$13,2)-VLOOKUP(MONTH(B100),$O$1:$Q$13,3))),($F100+$G100)/2-($F100-$G100)/2*COS(PI()*(9-VLOOKUP(MONTH(B100),$O$1:$Q$13,3))/(VLOOKUP(MONTH(B100),$O$1:$Q$13,2)-VLOOKUP(MONTH(B100),$O$1:$Q$13,3))),($F100+$G100)/2-($F100-$G100)/2*COS(PI()*(10-VLOOKUP(MONTH(B100),$O$1:$Q$13,3))/(VLOOKUP(MONTH(B100),$O$1:$Q$13,2)-VLOOKUP(MONTH(B100),$O$1:$Q$13,3))),($F100+$G100)/2-($F100-$G100)/2*COS(PI()*(11-VLOOKUP(MONTH(B100),$O$1:$Q$13,3))/(VLOOKUP(MONTH(B100),$O$1:$Q$13,2)-VLOOKUP(MONTH(B100),$O$1:$Q$13,3))),($F100+$G100)/2-($F100-$G100)/2*COS(PI()*(12-VLOOKUP(MONTH(B100),$O$1:$Q$13,3))/(VLOOKUP(MONTH(B100),$O$1:$Q$13,2)-VLOOKUP(MONTH(B100),$O$1:$Q$13,3))),($F100+$G100)/2-($F100-$G100)/2*COS(PI()*(13-VLOOKUP(MONTH(B100),$O$1:$Q$13,3))/(VLOOKUP(MONTH(B100),$O$1:$Q$13,2)-VLOOKUP(MONTH(B100),$O$1:$Q$13,3))),($F100+$G100)/2-($F100-$G100)/2*COS(PI()*(14-VLOOKUP(MONTH(B100),$O$1:$Q$13,3))/(VLOOKUP(MONTH(B100),$O$1:$Q$13,2)-VLOOKUP(MONTH(B100),$O$1:$Q$13,3))))</f>
        <v/>
      </c>
      <c r="M100" s="1">
        <f t="array" ref="M100">IF(AND(A100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,A100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),IF(L100&lt;_xlfn.IFNA(INDEX(_xlfn.ANCHORARRAY(Sintesi!$C$17)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,1,IF(L100&gt;=_xlfn.IFNA(INDEX(_xlfn.ANCHORARRAY(Sintesi!$C$18)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,0,1-(L100-_xlfn.IFNA(INDEX(_xlfn.ANCHORARRAY(Sintesi!$C$17)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)/(_xlfn.IFNA(INDEX(_xlfn.ANCHORARRAY(Sintesi!$C$18)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-_xlfn.IFNA(INDEX(_xlfn.ANCHORARRAY(Sintesi!$C$17)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))),0)</f>
        <v/>
      </c>
    </row>
    <row r="101">
      <c r="A101" s="1">
        <f>'Paste cell here'!A101</f>
        <v/>
      </c>
      <c r="B101" s="2">
        <f>DATE(Sintesi!$C$4-1,12,31)+A101</f>
        <v/>
      </c>
      <c r="C101" s="34">
        <f t="array" ref="C101">_xlfn.IFNA(MATCH(1,(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)*(_xlfn.ANCHORARRAY(Sintesi!$C$15)&gt;=0)+(_xlfn.ANCHORARRAY(Sintesi!$C$15)&lt;0),0),0)</f>
        <v/>
      </c>
      <c r="D101" s="1">
        <f t="array" ref="D101">IF(ISBLANK($E102),IF(ISNUMBER($E100),IF($C101&gt;0,IF(($E101=INDEX(_xlfn.ANCHORARRAY(Sintesi!$C$14),1,$C101))*(INDEX(_xlfn.ANCHORARRAY(Sintesi!$C$15),1,$C101)&gt;0),0,IF(($E101=INDEX(_xlfn.ANCHORARRAY(Sintesi!$C$14),1,$C101))*(INDEX(_xlfn.ANCHORARRAY(Sintesi!$C$15),1,$C101)&lt;0)+($E101&gt;=$E100)*($E101&lt;=INDEX($E:$E,MATCH(TRUE,INDEX((ISNUMBER($E:$E)),0),0)))*($E101&gt;INDEX(_xlfn.ANCHORARRAY(Sintesi!$C$14),1,$C101))*($E101&lt;=INDEX(_xlfn.ANCHORARRAY(Sintesi!$C$15),1,$C101))*(INDEX(_xlfn.ANCHORARRAY(Sintesi!$C$15),1,$C101)&gt;0),1,IF(($E101&gt;=$E100)*($E101&lt;=INDEX($E:$E,MATCH(TRUE,INDEX((ISNUMBER($E:$E)),0),0)))*($E101&gt;INDEX(_xlfn.ANCHORARRAY(Sintesi!$C$14),1,$C101))*($E101&lt;INDEX(_xlfn.ANCHORARRAY(Sintesi!$C$16),1,$C101))*(INDEX(_xlfn.ANCHORARRAY(Sintesi!$C$15),1,$C101)&lt;0)+($E101&gt;=$E100)*($E101&lt;=INDEX($E:$E,MATCH(TRUE,INDEX((ISNUMBER($E:$E)),0),0)))*($E101&gt;INDEX(_xlfn.ANCHORARRAY(Sintesi!$C$15),1,$C101))*($E101&lt;INDEX(_xlfn.ANCHORARRAY(Sintesi!$C$16),1,$C101))*(INDEX(_xlfn.ANCHORARRAY(Sintesi!$C$15),1,$C101)&gt;0),2,IF($E101=(INDEX(_xlfn.ANCHORARRAY(Sintesi!$C$16),1,$C101)),3,4)))),0),IF($C101&gt;0,IF(($E101=INDEX(_xlfn.ANCHORARRAY(Sintesi!$C$14),1,$C101))*(INDEX(_xlfn.ANCHORARRAY(Sintesi!$C$15),1,$C101)&gt;0),0,IF(($E101=INDEX(_xlfn.ANCHORARRAY(Sintesi!$C$14),1,$C101))*(INDEX(_xlfn.ANCHORARRAY(Sintesi!$C$15),1,$C101)&lt;0)+($E101&gt;=LOOKUP(2,1/($E:$E&lt;&gt;""),$E:$E))*($E101&lt;=INDEX($E:$E,MATCH(TRUE,INDEX((ISNUMBER($E:$E)),0),0)))*($E101&gt;INDEX(_xlfn.ANCHORARRAY(Sintesi!$C$14),1,$C101))*($E101&lt;=INDEX(_xlfn.ANCHORARRAY(Sintesi!$C$15),1,$C101))*(INDEX(_xlfn.ANCHORARRAY(Sintesi!$C$15),1,$C101)&gt;0),1,IF(($E101&gt;=LOOKUP(2,1/($E:$E&lt;&gt;""),$E:$E))*($E101&lt;=INDEX($E:$E,MATCH(TRUE,INDEX((ISNUMBER($E:$E)),0),0)))*($E101&gt;INDEX(_xlfn.ANCHORARRAY(Sintesi!$C$14),1,$C101))*($E101&lt;INDEX(_xlfn.ANCHORARRAY(Sintesi!$C$16),1,$C101))*(INDEX(_xlfn.ANCHORARRAY(Sintesi!$C$15),1,$C101)&lt;0)+($E101&gt;=LOOKUP(2,1/($E:$E&lt;&gt;""),$E:$E))*($E101&lt;=INDEX($E:$E,MATCH(TRUE,INDEX((ISNUMBER($E:$E)),0),0)))*($E101&gt;INDEX(_xlfn.ANCHORARRAY(Sintesi!$C$15),1,$C101))*($E101&lt;INDEX(_xlfn.ANCHORARRAY(Sintesi!$C$16),1,$C101))*(INDEX(_xlfn.ANCHORARRAY(Sintesi!$C$15),1,$C101)&gt;0),2,IF($E101=(INDEX(_xlfn.ANCHORARRAY(Sintesi!$C$16),1,$C101)),3,4)))),0)),IF(ISNUMBER($E100),IF($C101&gt;0,IF(($E101=INDEX(_xlfn.ANCHORARRAY(Sintesi!$C$14),1,$C101))*(INDEX(_xlfn.ANCHORARRAY(Sintesi!$C$15),1,$C101)&gt;0),0,IF(($E101=INDEX(_xlfn.ANCHORARRAY(Sintesi!$C$14),1,$C101))*(INDEX(_xlfn.ANCHORARRAY(Sintesi!$C$15),1,$C101)&lt;0)+($E101&gt;=$E100)*($E101&lt;=$E102)*($E101&gt;INDEX(_xlfn.ANCHORARRAY(Sintesi!$C$14),1,$C101))*($E101&lt;=INDEX(_xlfn.ANCHORARRAY(Sintesi!$C$15),1,$C101))*(INDEX(_xlfn.ANCHORARRAY(Sintesi!$C$15),1,$C101)&gt;0),1,IF(($E101&gt;=$E100)*($E101&lt;=$E102)*($E101&gt;INDEX(_xlfn.ANCHORARRAY(Sintesi!$C$14),1,$C101))*($E101&lt;INDEX(_xlfn.ANCHORARRAY(Sintesi!$C$16),1,$C101))*(INDEX(_xlfn.ANCHORARRAY(Sintesi!$C$15),1,$C101)&lt;0)+($E101&gt;=$E100)*($E101&lt;=$E102)*($E101&gt;INDEX(_xlfn.ANCHORARRAY(Sintesi!$C$15),1,$C101))*($E101&lt;INDEX(_xlfn.ANCHORARRAY(Sintesi!$C$16),1,$C101))*(INDEX(_xlfn.ANCHORARRAY(Sintesi!$C$15),1,$C101)&gt;0),2,IF($E101=(INDEX(_xlfn.ANCHORARRAY(Sintesi!$C$16),1,$C101)),3,4)))),0),IF($C101&gt;0,IF(($E101=INDEX(_xlfn.ANCHORARRAY(Sintesi!$C$14),1,$C101))*(INDEX(_xlfn.ANCHORARRAY(Sintesi!$C$15),1,$C101)&gt;0),0,IF(($E101=INDEX(_xlfn.ANCHORARRAY(Sintesi!$C$14),1,$C101))*(INDEX(_xlfn.ANCHORARRAY(Sintesi!$C$15),1,$C101)&lt;0)+($E101&gt;=LOOKUP(2,1/($E:$E&lt;&gt;""),$E:$E))*($E101&lt;=$E102)*($E101&gt;INDEX(_xlfn.ANCHORARRAY(Sintesi!$C$14),1,$C101))*($E101&lt;=INDEX(_xlfn.ANCHORARRAY(Sintesi!$C$15),1,$C101))*(INDEX(_xlfn.ANCHORARRAY(Sintesi!$C$15),1,$C101)&gt;0),1,IF(($E101&gt;=LOOKUP(2,1/($E:$E&lt;&gt;""),$E:$E))*($E101&lt;=$E102)*($E101&gt;INDEX(_xlfn.ANCHORARRAY(Sintesi!$C$14),1,$C101))*($E101&lt;INDEX(_xlfn.ANCHORARRAY(Sintesi!$C$16),1,$C101))*(INDEX(_xlfn.ANCHORARRAY(Sintesi!$C$15),1,$C101)&lt;0)+($E101&gt;=LOOKUP(2,1/($E:$E&lt;&gt;""),$E:$E))*($E101&lt;=$E102)*($E101&gt;INDEX(_xlfn.ANCHORARRAY(Sintesi!$C$15),1,$C101))*($E101&lt;INDEX(_xlfn.ANCHORARRAY(Sintesi!$C$16),1,$C101))*(INDEX(_xlfn.ANCHORARRAY(Sintesi!$C$15),1,$C101)&gt;0),2,IF($E101=(INDEX(_xlfn.ANCHORARRAY(Sintesi!$C$16),1,$C101)),3,4)))),0)))</f>
        <v/>
      </c>
      <c r="E101" s="1">
        <f>'Paste cell here'!F101</f>
        <v/>
      </c>
      <c r="F101" s="1">
        <f>'Paste cell here'!C101</f>
        <v/>
      </c>
      <c r="G101" s="1">
        <f>'Paste cell here'!D101</f>
        <v/>
      </c>
      <c r="H101" s="1">
        <f>'Paste cell here'!E101</f>
        <v/>
      </c>
      <c r="I101" s="1">
        <f>'Paste cell here'!X101</f>
        <v/>
      </c>
      <c r="J101" s="1">
        <f>'Paste cell here'!Y101+'Paste cell here'!S101</f>
        <v/>
      </c>
      <c r="K101" s="1">
        <f>I101/H101</f>
        <v/>
      </c>
      <c r="L101" s="1">
        <f>AVERAGE(($F101+$G101)/2-($F101-$G101)/2*COS(PI()*(8-VLOOKUP(MONTH(B101),$O$1:$Q$13,3))/(VLOOKUP(MONTH(B101),$O$1:$Q$13,2)-VLOOKUP(MONTH(B101),$O$1:$Q$13,3))),($F101+$G101)/2-($F101-$G101)/2*COS(PI()*(9-VLOOKUP(MONTH(B101),$O$1:$Q$13,3))/(VLOOKUP(MONTH(B101),$O$1:$Q$13,2)-VLOOKUP(MONTH(B101),$O$1:$Q$13,3))),($F101+$G101)/2-($F101-$G101)/2*COS(PI()*(10-VLOOKUP(MONTH(B101),$O$1:$Q$13,3))/(VLOOKUP(MONTH(B101),$O$1:$Q$13,2)-VLOOKUP(MONTH(B101),$O$1:$Q$13,3))),($F101+$G101)/2-($F101-$G101)/2*COS(PI()*(11-VLOOKUP(MONTH(B101),$O$1:$Q$13,3))/(VLOOKUP(MONTH(B101),$O$1:$Q$13,2)-VLOOKUP(MONTH(B101),$O$1:$Q$13,3))),($F101+$G101)/2-($F101-$G101)/2*COS(PI()*(12-VLOOKUP(MONTH(B101),$O$1:$Q$13,3))/(VLOOKUP(MONTH(B101),$O$1:$Q$13,2)-VLOOKUP(MONTH(B101),$O$1:$Q$13,3))),($F101+$G101)/2-($F101-$G101)/2*COS(PI()*(13-VLOOKUP(MONTH(B101),$O$1:$Q$13,3))/(VLOOKUP(MONTH(B101),$O$1:$Q$13,2)-VLOOKUP(MONTH(B101),$O$1:$Q$13,3))),($F101+$G101)/2-($F101-$G101)/2*COS(PI()*(14-VLOOKUP(MONTH(B101),$O$1:$Q$13,3))/(VLOOKUP(MONTH(B101),$O$1:$Q$13,2)-VLOOKUP(MONTH(B101),$O$1:$Q$13,3))))</f>
        <v/>
      </c>
      <c r="M101" s="1">
        <f t="array" ref="M101">IF(AND(A101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,A101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),IF(L101&lt;_xlfn.IFNA(INDEX(_xlfn.ANCHORARRAY(Sintesi!$C$17)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,1,IF(L101&gt;=_xlfn.IFNA(INDEX(_xlfn.ANCHORARRAY(Sintesi!$C$18)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,0,1-(L101-_xlfn.IFNA(INDEX(_xlfn.ANCHORARRAY(Sintesi!$C$17)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)/(_xlfn.IFNA(INDEX(_xlfn.ANCHORARRAY(Sintesi!$C$18)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-_xlfn.IFNA(INDEX(_xlfn.ANCHORARRAY(Sintesi!$C$17)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))),0)</f>
        <v/>
      </c>
    </row>
    <row r="102">
      <c r="A102" s="1">
        <f>'Paste cell here'!A102</f>
        <v/>
      </c>
      <c r="B102" s="2">
        <f>DATE(Sintesi!$C$4-1,12,31)+A102</f>
        <v/>
      </c>
      <c r="C102" s="34">
        <f t="array" ref="C102">_xlfn.IFNA(MATCH(1,(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)*(_xlfn.ANCHORARRAY(Sintesi!$C$15)&gt;=0)+(_xlfn.ANCHORARRAY(Sintesi!$C$15)&lt;0),0),0)</f>
        <v/>
      </c>
      <c r="D102" s="1">
        <f t="array" ref="D102">IF(ISBLANK($E103),IF(ISNUMBER($E101),IF($C102&gt;0,IF(($E102=INDEX(_xlfn.ANCHORARRAY(Sintesi!$C$14),1,$C102))*(INDEX(_xlfn.ANCHORARRAY(Sintesi!$C$15),1,$C102)&gt;0),0,IF(($E102=INDEX(_xlfn.ANCHORARRAY(Sintesi!$C$14),1,$C102))*(INDEX(_xlfn.ANCHORARRAY(Sintesi!$C$15),1,$C102)&lt;0)+($E102&gt;=$E101)*($E102&lt;=INDEX($E:$E,MATCH(TRUE,INDEX((ISNUMBER($E:$E)),0),0)))*($E102&gt;INDEX(_xlfn.ANCHORARRAY(Sintesi!$C$14),1,$C102))*($E102&lt;=INDEX(_xlfn.ANCHORARRAY(Sintesi!$C$15),1,$C102))*(INDEX(_xlfn.ANCHORARRAY(Sintesi!$C$15),1,$C102)&gt;0),1,IF(($E102&gt;=$E101)*($E102&lt;=INDEX($E:$E,MATCH(TRUE,INDEX((ISNUMBER($E:$E)),0),0)))*($E102&gt;INDEX(_xlfn.ANCHORARRAY(Sintesi!$C$14),1,$C102))*($E102&lt;INDEX(_xlfn.ANCHORARRAY(Sintesi!$C$16),1,$C102))*(INDEX(_xlfn.ANCHORARRAY(Sintesi!$C$15),1,$C102)&lt;0)+($E102&gt;=$E101)*($E102&lt;=INDEX($E:$E,MATCH(TRUE,INDEX((ISNUMBER($E:$E)),0),0)))*($E102&gt;INDEX(_xlfn.ANCHORARRAY(Sintesi!$C$15),1,$C102))*($E102&lt;INDEX(_xlfn.ANCHORARRAY(Sintesi!$C$16),1,$C102))*(INDEX(_xlfn.ANCHORARRAY(Sintesi!$C$15),1,$C102)&gt;0),2,IF($E102=(INDEX(_xlfn.ANCHORARRAY(Sintesi!$C$16),1,$C102)),3,4)))),0),IF($C102&gt;0,IF(($E102=INDEX(_xlfn.ANCHORARRAY(Sintesi!$C$14),1,$C102))*(INDEX(_xlfn.ANCHORARRAY(Sintesi!$C$15),1,$C102)&gt;0),0,IF(($E102=INDEX(_xlfn.ANCHORARRAY(Sintesi!$C$14),1,$C102))*(INDEX(_xlfn.ANCHORARRAY(Sintesi!$C$15),1,$C102)&lt;0)+($E102&gt;=LOOKUP(2,1/($E:$E&lt;&gt;""),$E:$E))*($E102&lt;=INDEX($E:$E,MATCH(TRUE,INDEX((ISNUMBER($E:$E)),0),0)))*($E102&gt;INDEX(_xlfn.ANCHORARRAY(Sintesi!$C$14),1,$C102))*($E102&lt;=INDEX(_xlfn.ANCHORARRAY(Sintesi!$C$15),1,$C102))*(INDEX(_xlfn.ANCHORARRAY(Sintesi!$C$15),1,$C102)&gt;0),1,IF(($E102&gt;=LOOKUP(2,1/($E:$E&lt;&gt;""),$E:$E))*($E102&lt;=INDEX($E:$E,MATCH(TRUE,INDEX((ISNUMBER($E:$E)),0),0)))*($E102&gt;INDEX(_xlfn.ANCHORARRAY(Sintesi!$C$14),1,$C102))*($E102&lt;INDEX(_xlfn.ANCHORARRAY(Sintesi!$C$16),1,$C102))*(INDEX(_xlfn.ANCHORARRAY(Sintesi!$C$15),1,$C102)&lt;0)+($E102&gt;=LOOKUP(2,1/($E:$E&lt;&gt;""),$E:$E))*($E102&lt;=INDEX($E:$E,MATCH(TRUE,INDEX((ISNUMBER($E:$E)),0),0)))*($E102&gt;INDEX(_xlfn.ANCHORARRAY(Sintesi!$C$15),1,$C102))*($E102&lt;INDEX(_xlfn.ANCHORARRAY(Sintesi!$C$16),1,$C102))*(INDEX(_xlfn.ANCHORARRAY(Sintesi!$C$15),1,$C102)&gt;0),2,IF($E102=(INDEX(_xlfn.ANCHORARRAY(Sintesi!$C$16),1,$C102)),3,4)))),0)),IF(ISNUMBER($E101),IF($C102&gt;0,IF(($E102=INDEX(_xlfn.ANCHORARRAY(Sintesi!$C$14),1,$C102))*(INDEX(_xlfn.ANCHORARRAY(Sintesi!$C$15),1,$C102)&gt;0),0,IF(($E102=INDEX(_xlfn.ANCHORARRAY(Sintesi!$C$14),1,$C102))*(INDEX(_xlfn.ANCHORARRAY(Sintesi!$C$15),1,$C102)&lt;0)+($E102&gt;=$E101)*($E102&lt;=$E103)*($E102&gt;INDEX(_xlfn.ANCHORARRAY(Sintesi!$C$14),1,$C102))*($E102&lt;=INDEX(_xlfn.ANCHORARRAY(Sintesi!$C$15),1,$C102))*(INDEX(_xlfn.ANCHORARRAY(Sintesi!$C$15),1,$C102)&gt;0),1,IF(($E102&gt;=$E101)*($E102&lt;=$E103)*($E102&gt;INDEX(_xlfn.ANCHORARRAY(Sintesi!$C$14),1,$C102))*($E102&lt;INDEX(_xlfn.ANCHORARRAY(Sintesi!$C$16),1,$C102))*(INDEX(_xlfn.ANCHORARRAY(Sintesi!$C$15),1,$C102)&lt;0)+($E102&gt;=$E101)*($E102&lt;=$E103)*($E102&gt;INDEX(_xlfn.ANCHORARRAY(Sintesi!$C$15),1,$C102))*($E102&lt;INDEX(_xlfn.ANCHORARRAY(Sintesi!$C$16),1,$C102))*(INDEX(_xlfn.ANCHORARRAY(Sintesi!$C$15),1,$C102)&gt;0),2,IF($E102=(INDEX(_xlfn.ANCHORARRAY(Sintesi!$C$16),1,$C102)),3,4)))),0),IF($C102&gt;0,IF(($E102=INDEX(_xlfn.ANCHORARRAY(Sintesi!$C$14),1,$C102))*(INDEX(_xlfn.ANCHORARRAY(Sintesi!$C$15),1,$C102)&gt;0),0,IF(($E102=INDEX(_xlfn.ANCHORARRAY(Sintesi!$C$14),1,$C102))*(INDEX(_xlfn.ANCHORARRAY(Sintesi!$C$15),1,$C102)&lt;0)+($E102&gt;=LOOKUP(2,1/($E:$E&lt;&gt;""),$E:$E))*($E102&lt;=$E103)*($E102&gt;INDEX(_xlfn.ANCHORARRAY(Sintesi!$C$14),1,$C102))*($E102&lt;=INDEX(_xlfn.ANCHORARRAY(Sintesi!$C$15),1,$C102))*(INDEX(_xlfn.ANCHORARRAY(Sintesi!$C$15),1,$C102)&gt;0),1,IF(($E102&gt;=LOOKUP(2,1/($E:$E&lt;&gt;""),$E:$E))*($E102&lt;=$E103)*($E102&gt;INDEX(_xlfn.ANCHORARRAY(Sintesi!$C$14),1,$C102))*($E102&lt;INDEX(_xlfn.ANCHORARRAY(Sintesi!$C$16),1,$C102))*(INDEX(_xlfn.ANCHORARRAY(Sintesi!$C$15),1,$C102)&lt;0)+($E102&gt;=LOOKUP(2,1/($E:$E&lt;&gt;""),$E:$E))*($E102&lt;=$E103)*($E102&gt;INDEX(_xlfn.ANCHORARRAY(Sintesi!$C$15),1,$C102))*($E102&lt;INDEX(_xlfn.ANCHORARRAY(Sintesi!$C$16),1,$C102))*(INDEX(_xlfn.ANCHORARRAY(Sintesi!$C$15),1,$C102)&gt;0),2,IF($E102=(INDEX(_xlfn.ANCHORARRAY(Sintesi!$C$16),1,$C102)),3,4)))),0)))</f>
        <v/>
      </c>
      <c r="E102" s="1">
        <f>'Paste cell here'!F102</f>
        <v/>
      </c>
      <c r="F102" s="1">
        <f>'Paste cell here'!C102</f>
        <v/>
      </c>
      <c r="G102" s="1">
        <f>'Paste cell here'!D102</f>
        <v/>
      </c>
      <c r="H102" s="1">
        <f>'Paste cell here'!E102</f>
        <v/>
      </c>
      <c r="I102" s="1">
        <f>'Paste cell here'!X102</f>
        <v/>
      </c>
      <c r="J102" s="1">
        <f>'Paste cell here'!Y102+'Paste cell here'!S102</f>
        <v/>
      </c>
      <c r="K102" s="1">
        <f>I102/H102</f>
        <v/>
      </c>
      <c r="L102" s="1">
        <f>AVERAGE(($F102+$G102)/2-($F102-$G102)/2*COS(PI()*(8-VLOOKUP(MONTH(B102),$O$1:$Q$13,3))/(VLOOKUP(MONTH(B102),$O$1:$Q$13,2)-VLOOKUP(MONTH(B102),$O$1:$Q$13,3))),($F102+$G102)/2-($F102-$G102)/2*COS(PI()*(9-VLOOKUP(MONTH(B102),$O$1:$Q$13,3))/(VLOOKUP(MONTH(B102),$O$1:$Q$13,2)-VLOOKUP(MONTH(B102),$O$1:$Q$13,3))),($F102+$G102)/2-($F102-$G102)/2*COS(PI()*(10-VLOOKUP(MONTH(B102),$O$1:$Q$13,3))/(VLOOKUP(MONTH(B102),$O$1:$Q$13,2)-VLOOKUP(MONTH(B102),$O$1:$Q$13,3))),($F102+$G102)/2-($F102-$G102)/2*COS(PI()*(11-VLOOKUP(MONTH(B102),$O$1:$Q$13,3))/(VLOOKUP(MONTH(B102),$O$1:$Q$13,2)-VLOOKUP(MONTH(B102),$O$1:$Q$13,3))),($F102+$G102)/2-($F102-$G102)/2*COS(PI()*(12-VLOOKUP(MONTH(B102),$O$1:$Q$13,3))/(VLOOKUP(MONTH(B102),$O$1:$Q$13,2)-VLOOKUP(MONTH(B102),$O$1:$Q$13,3))),($F102+$G102)/2-($F102-$G102)/2*COS(PI()*(13-VLOOKUP(MONTH(B102),$O$1:$Q$13,3))/(VLOOKUP(MONTH(B102),$O$1:$Q$13,2)-VLOOKUP(MONTH(B102),$O$1:$Q$13,3))),($F102+$G102)/2-($F102-$G102)/2*COS(PI()*(14-VLOOKUP(MONTH(B102),$O$1:$Q$13,3))/(VLOOKUP(MONTH(B102),$O$1:$Q$13,2)-VLOOKUP(MONTH(B102),$O$1:$Q$13,3))))</f>
        <v/>
      </c>
      <c r="M102" s="1">
        <f t="array" ref="M102">IF(AND(A102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,A102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),IF(L102&lt;_xlfn.IFNA(INDEX(_xlfn.ANCHORARRAY(Sintesi!$C$17)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,1,IF(L102&gt;=_xlfn.IFNA(INDEX(_xlfn.ANCHORARRAY(Sintesi!$C$18)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,0,1-(L102-_xlfn.IFNA(INDEX(_xlfn.ANCHORARRAY(Sintesi!$C$17)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)/(_xlfn.IFNA(INDEX(_xlfn.ANCHORARRAY(Sintesi!$C$18)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-_xlfn.IFNA(INDEX(_xlfn.ANCHORARRAY(Sintesi!$C$17)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))),0)</f>
        <v/>
      </c>
    </row>
    <row r="103">
      <c r="A103" s="1">
        <f>'Paste cell here'!A103</f>
        <v/>
      </c>
      <c r="B103" s="2">
        <f>DATE(Sintesi!$C$4-1,12,31)+A103</f>
        <v/>
      </c>
      <c r="C103" s="34">
        <f t="array" ref="C103">_xlfn.IFNA(MATCH(1,(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)*(_xlfn.ANCHORARRAY(Sintesi!$C$15)&gt;=0)+(_xlfn.ANCHORARRAY(Sintesi!$C$15)&lt;0),0),0)</f>
        <v/>
      </c>
      <c r="D103" s="1">
        <f t="array" ref="D103">IF(ISBLANK($E104),IF(ISNUMBER($E102),IF($C103&gt;0,IF(($E103=INDEX(_xlfn.ANCHORARRAY(Sintesi!$C$14),1,$C103))*(INDEX(_xlfn.ANCHORARRAY(Sintesi!$C$15),1,$C103)&gt;0),0,IF(($E103=INDEX(_xlfn.ANCHORARRAY(Sintesi!$C$14),1,$C103))*(INDEX(_xlfn.ANCHORARRAY(Sintesi!$C$15),1,$C103)&lt;0)+($E103&gt;=$E102)*($E103&lt;=INDEX($E:$E,MATCH(TRUE,INDEX((ISNUMBER($E:$E)),0),0)))*($E103&gt;INDEX(_xlfn.ANCHORARRAY(Sintesi!$C$14),1,$C103))*($E103&lt;=INDEX(_xlfn.ANCHORARRAY(Sintesi!$C$15),1,$C103))*(INDEX(_xlfn.ANCHORARRAY(Sintesi!$C$15),1,$C103)&gt;0),1,IF(($E103&gt;=$E102)*($E103&lt;=INDEX($E:$E,MATCH(TRUE,INDEX((ISNUMBER($E:$E)),0),0)))*($E103&gt;INDEX(_xlfn.ANCHORARRAY(Sintesi!$C$14),1,$C103))*($E103&lt;INDEX(_xlfn.ANCHORARRAY(Sintesi!$C$16),1,$C103))*(INDEX(_xlfn.ANCHORARRAY(Sintesi!$C$15),1,$C103)&lt;0)+($E103&gt;=$E102)*($E103&lt;=INDEX($E:$E,MATCH(TRUE,INDEX((ISNUMBER($E:$E)),0),0)))*($E103&gt;INDEX(_xlfn.ANCHORARRAY(Sintesi!$C$15),1,$C103))*($E103&lt;INDEX(_xlfn.ANCHORARRAY(Sintesi!$C$16),1,$C103))*(INDEX(_xlfn.ANCHORARRAY(Sintesi!$C$15),1,$C103)&gt;0),2,IF($E103=(INDEX(_xlfn.ANCHORARRAY(Sintesi!$C$16),1,$C103)),3,4)))),0),IF($C103&gt;0,IF(($E103=INDEX(_xlfn.ANCHORARRAY(Sintesi!$C$14),1,$C103))*(INDEX(_xlfn.ANCHORARRAY(Sintesi!$C$15),1,$C103)&gt;0),0,IF(($E103=INDEX(_xlfn.ANCHORARRAY(Sintesi!$C$14),1,$C103))*(INDEX(_xlfn.ANCHORARRAY(Sintesi!$C$15),1,$C103)&lt;0)+($E103&gt;=LOOKUP(2,1/($E:$E&lt;&gt;""),$E:$E))*($E103&lt;=INDEX($E:$E,MATCH(TRUE,INDEX((ISNUMBER($E:$E)),0),0)))*($E103&gt;INDEX(_xlfn.ANCHORARRAY(Sintesi!$C$14),1,$C103))*($E103&lt;=INDEX(_xlfn.ANCHORARRAY(Sintesi!$C$15),1,$C103))*(INDEX(_xlfn.ANCHORARRAY(Sintesi!$C$15),1,$C103)&gt;0),1,IF(($E103&gt;=LOOKUP(2,1/($E:$E&lt;&gt;""),$E:$E))*($E103&lt;=INDEX($E:$E,MATCH(TRUE,INDEX((ISNUMBER($E:$E)),0),0)))*($E103&gt;INDEX(_xlfn.ANCHORARRAY(Sintesi!$C$14),1,$C103))*($E103&lt;INDEX(_xlfn.ANCHORARRAY(Sintesi!$C$16),1,$C103))*(INDEX(_xlfn.ANCHORARRAY(Sintesi!$C$15),1,$C103)&lt;0)+($E103&gt;=LOOKUP(2,1/($E:$E&lt;&gt;""),$E:$E))*($E103&lt;=INDEX($E:$E,MATCH(TRUE,INDEX((ISNUMBER($E:$E)),0),0)))*($E103&gt;INDEX(_xlfn.ANCHORARRAY(Sintesi!$C$15),1,$C103))*($E103&lt;INDEX(_xlfn.ANCHORARRAY(Sintesi!$C$16),1,$C103))*(INDEX(_xlfn.ANCHORARRAY(Sintesi!$C$15),1,$C103)&gt;0),2,IF($E103=(INDEX(_xlfn.ANCHORARRAY(Sintesi!$C$16),1,$C103)),3,4)))),0)),IF(ISNUMBER($E102),IF($C103&gt;0,IF(($E103=INDEX(_xlfn.ANCHORARRAY(Sintesi!$C$14),1,$C103))*(INDEX(_xlfn.ANCHORARRAY(Sintesi!$C$15),1,$C103)&gt;0),0,IF(($E103=INDEX(_xlfn.ANCHORARRAY(Sintesi!$C$14),1,$C103))*(INDEX(_xlfn.ANCHORARRAY(Sintesi!$C$15),1,$C103)&lt;0)+($E103&gt;=$E102)*($E103&lt;=$E104)*($E103&gt;INDEX(_xlfn.ANCHORARRAY(Sintesi!$C$14),1,$C103))*($E103&lt;=INDEX(_xlfn.ANCHORARRAY(Sintesi!$C$15),1,$C103))*(INDEX(_xlfn.ANCHORARRAY(Sintesi!$C$15),1,$C103)&gt;0),1,IF(($E103&gt;=$E102)*($E103&lt;=$E104)*($E103&gt;INDEX(_xlfn.ANCHORARRAY(Sintesi!$C$14),1,$C103))*($E103&lt;INDEX(_xlfn.ANCHORARRAY(Sintesi!$C$16),1,$C103))*(INDEX(_xlfn.ANCHORARRAY(Sintesi!$C$15),1,$C103)&lt;0)+($E103&gt;=$E102)*($E103&lt;=$E104)*($E103&gt;INDEX(_xlfn.ANCHORARRAY(Sintesi!$C$15),1,$C103))*($E103&lt;INDEX(_xlfn.ANCHORARRAY(Sintesi!$C$16),1,$C103))*(INDEX(_xlfn.ANCHORARRAY(Sintesi!$C$15),1,$C103)&gt;0),2,IF($E103=(INDEX(_xlfn.ANCHORARRAY(Sintesi!$C$16),1,$C103)),3,4)))),0),IF($C103&gt;0,IF(($E103=INDEX(_xlfn.ANCHORARRAY(Sintesi!$C$14),1,$C103))*(INDEX(_xlfn.ANCHORARRAY(Sintesi!$C$15),1,$C103)&gt;0),0,IF(($E103=INDEX(_xlfn.ANCHORARRAY(Sintesi!$C$14),1,$C103))*(INDEX(_xlfn.ANCHORARRAY(Sintesi!$C$15),1,$C103)&lt;0)+($E103&gt;=LOOKUP(2,1/($E:$E&lt;&gt;""),$E:$E))*($E103&lt;=$E104)*($E103&gt;INDEX(_xlfn.ANCHORARRAY(Sintesi!$C$14),1,$C103))*($E103&lt;=INDEX(_xlfn.ANCHORARRAY(Sintesi!$C$15),1,$C103))*(INDEX(_xlfn.ANCHORARRAY(Sintesi!$C$15),1,$C103)&gt;0),1,IF(($E103&gt;=LOOKUP(2,1/($E:$E&lt;&gt;""),$E:$E))*($E103&lt;=$E104)*($E103&gt;INDEX(_xlfn.ANCHORARRAY(Sintesi!$C$14),1,$C103))*($E103&lt;INDEX(_xlfn.ANCHORARRAY(Sintesi!$C$16),1,$C103))*(INDEX(_xlfn.ANCHORARRAY(Sintesi!$C$15),1,$C103)&lt;0)+($E103&gt;=LOOKUP(2,1/($E:$E&lt;&gt;""),$E:$E))*($E103&lt;=$E104)*($E103&gt;INDEX(_xlfn.ANCHORARRAY(Sintesi!$C$15),1,$C103))*($E103&lt;INDEX(_xlfn.ANCHORARRAY(Sintesi!$C$16),1,$C103))*(INDEX(_xlfn.ANCHORARRAY(Sintesi!$C$15),1,$C103)&gt;0),2,IF($E103=(INDEX(_xlfn.ANCHORARRAY(Sintesi!$C$16),1,$C103)),3,4)))),0)))</f>
        <v/>
      </c>
      <c r="E103" s="1">
        <f>'Paste cell here'!F103</f>
        <v/>
      </c>
      <c r="F103" s="1">
        <f>'Paste cell here'!C103</f>
        <v/>
      </c>
      <c r="G103" s="1">
        <f>'Paste cell here'!D103</f>
        <v/>
      </c>
      <c r="H103" s="1">
        <f>'Paste cell here'!E103</f>
        <v/>
      </c>
      <c r="I103" s="1">
        <f>'Paste cell here'!X103</f>
        <v/>
      </c>
      <c r="J103" s="1">
        <f>'Paste cell here'!Y103+'Paste cell here'!S103</f>
        <v/>
      </c>
      <c r="K103" s="1">
        <f>I103/H103</f>
        <v/>
      </c>
      <c r="L103" s="1">
        <f>AVERAGE(($F103+$G103)/2-($F103-$G103)/2*COS(PI()*(8-VLOOKUP(MONTH(B103),$O$1:$Q$13,3))/(VLOOKUP(MONTH(B103),$O$1:$Q$13,2)-VLOOKUP(MONTH(B103),$O$1:$Q$13,3))),($F103+$G103)/2-($F103-$G103)/2*COS(PI()*(9-VLOOKUP(MONTH(B103),$O$1:$Q$13,3))/(VLOOKUP(MONTH(B103),$O$1:$Q$13,2)-VLOOKUP(MONTH(B103),$O$1:$Q$13,3))),($F103+$G103)/2-($F103-$G103)/2*COS(PI()*(10-VLOOKUP(MONTH(B103),$O$1:$Q$13,3))/(VLOOKUP(MONTH(B103),$O$1:$Q$13,2)-VLOOKUP(MONTH(B103),$O$1:$Q$13,3))),($F103+$G103)/2-($F103-$G103)/2*COS(PI()*(11-VLOOKUP(MONTH(B103),$O$1:$Q$13,3))/(VLOOKUP(MONTH(B103),$O$1:$Q$13,2)-VLOOKUP(MONTH(B103),$O$1:$Q$13,3))),($F103+$G103)/2-($F103-$G103)/2*COS(PI()*(12-VLOOKUP(MONTH(B103),$O$1:$Q$13,3))/(VLOOKUP(MONTH(B103),$O$1:$Q$13,2)-VLOOKUP(MONTH(B103),$O$1:$Q$13,3))),($F103+$G103)/2-($F103-$G103)/2*COS(PI()*(13-VLOOKUP(MONTH(B103),$O$1:$Q$13,3))/(VLOOKUP(MONTH(B103),$O$1:$Q$13,2)-VLOOKUP(MONTH(B103),$O$1:$Q$13,3))),($F103+$G103)/2-($F103-$G103)/2*COS(PI()*(14-VLOOKUP(MONTH(B103),$O$1:$Q$13,3))/(VLOOKUP(MONTH(B103),$O$1:$Q$13,2)-VLOOKUP(MONTH(B103),$O$1:$Q$13,3))))</f>
        <v/>
      </c>
      <c r="M103" s="1">
        <f t="array" ref="M103">IF(AND(A103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,A103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),IF(L103&lt;_xlfn.IFNA(INDEX(_xlfn.ANCHORARRAY(Sintesi!$C$17)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,1,IF(L103&gt;=_xlfn.IFNA(INDEX(_xlfn.ANCHORARRAY(Sintesi!$C$18)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,0,1-(L103-_xlfn.IFNA(INDEX(_xlfn.ANCHORARRAY(Sintesi!$C$17)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)/(_xlfn.IFNA(INDEX(_xlfn.ANCHORARRAY(Sintesi!$C$18)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-_xlfn.IFNA(INDEX(_xlfn.ANCHORARRAY(Sintesi!$C$17)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))),0)</f>
        <v/>
      </c>
    </row>
    <row r="104">
      <c r="A104" s="1">
        <f>'Paste cell here'!A104</f>
        <v/>
      </c>
      <c r="B104" s="2">
        <f>DATE(Sintesi!$C$4-1,12,31)+A104</f>
        <v/>
      </c>
      <c r="C104" s="34">
        <f t="array" ref="C104">_xlfn.IFNA(MATCH(1,(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)*(_xlfn.ANCHORARRAY(Sintesi!$C$15)&gt;=0)+(_xlfn.ANCHORARRAY(Sintesi!$C$15)&lt;0),0),0)</f>
        <v/>
      </c>
      <c r="D104" s="1">
        <f t="array" ref="D104">IF(ISBLANK($E105),IF(ISNUMBER($E103),IF($C104&gt;0,IF(($E104=INDEX(_xlfn.ANCHORARRAY(Sintesi!$C$14),1,$C104))*(INDEX(_xlfn.ANCHORARRAY(Sintesi!$C$15),1,$C104)&gt;0),0,IF(($E104=INDEX(_xlfn.ANCHORARRAY(Sintesi!$C$14),1,$C104))*(INDEX(_xlfn.ANCHORARRAY(Sintesi!$C$15),1,$C104)&lt;0)+($E104&gt;=$E103)*($E104&lt;=INDEX($E:$E,MATCH(TRUE,INDEX((ISNUMBER($E:$E)),0),0)))*($E104&gt;INDEX(_xlfn.ANCHORARRAY(Sintesi!$C$14),1,$C104))*($E104&lt;=INDEX(_xlfn.ANCHORARRAY(Sintesi!$C$15),1,$C104))*(INDEX(_xlfn.ANCHORARRAY(Sintesi!$C$15),1,$C104)&gt;0),1,IF(($E104&gt;=$E103)*($E104&lt;=INDEX($E:$E,MATCH(TRUE,INDEX((ISNUMBER($E:$E)),0),0)))*($E104&gt;INDEX(_xlfn.ANCHORARRAY(Sintesi!$C$14),1,$C104))*($E104&lt;INDEX(_xlfn.ANCHORARRAY(Sintesi!$C$16),1,$C104))*(INDEX(_xlfn.ANCHORARRAY(Sintesi!$C$15),1,$C104)&lt;0)+($E104&gt;=$E103)*($E104&lt;=INDEX($E:$E,MATCH(TRUE,INDEX((ISNUMBER($E:$E)),0),0)))*($E104&gt;INDEX(_xlfn.ANCHORARRAY(Sintesi!$C$15),1,$C104))*($E104&lt;INDEX(_xlfn.ANCHORARRAY(Sintesi!$C$16),1,$C104))*(INDEX(_xlfn.ANCHORARRAY(Sintesi!$C$15),1,$C104)&gt;0),2,IF($E104=(INDEX(_xlfn.ANCHORARRAY(Sintesi!$C$16),1,$C104)),3,4)))),0),IF($C104&gt;0,IF(($E104=INDEX(_xlfn.ANCHORARRAY(Sintesi!$C$14),1,$C104))*(INDEX(_xlfn.ANCHORARRAY(Sintesi!$C$15),1,$C104)&gt;0),0,IF(($E104=INDEX(_xlfn.ANCHORARRAY(Sintesi!$C$14),1,$C104))*(INDEX(_xlfn.ANCHORARRAY(Sintesi!$C$15),1,$C104)&lt;0)+($E104&gt;=LOOKUP(2,1/($E:$E&lt;&gt;""),$E:$E))*($E104&lt;=INDEX($E:$E,MATCH(TRUE,INDEX((ISNUMBER($E:$E)),0),0)))*($E104&gt;INDEX(_xlfn.ANCHORARRAY(Sintesi!$C$14),1,$C104))*($E104&lt;=INDEX(_xlfn.ANCHORARRAY(Sintesi!$C$15),1,$C104))*(INDEX(_xlfn.ANCHORARRAY(Sintesi!$C$15),1,$C104)&gt;0),1,IF(($E104&gt;=LOOKUP(2,1/($E:$E&lt;&gt;""),$E:$E))*($E104&lt;=INDEX($E:$E,MATCH(TRUE,INDEX((ISNUMBER($E:$E)),0),0)))*($E104&gt;INDEX(_xlfn.ANCHORARRAY(Sintesi!$C$14),1,$C104))*($E104&lt;INDEX(_xlfn.ANCHORARRAY(Sintesi!$C$16),1,$C104))*(INDEX(_xlfn.ANCHORARRAY(Sintesi!$C$15),1,$C104)&lt;0)+($E104&gt;=LOOKUP(2,1/($E:$E&lt;&gt;""),$E:$E))*($E104&lt;=INDEX($E:$E,MATCH(TRUE,INDEX((ISNUMBER($E:$E)),0),0)))*($E104&gt;INDEX(_xlfn.ANCHORARRAY(Sintesi!$C$15),1,$C104))*($E104&lt;INDEX(_xlfn.ANCHORARRAY(Sintesi!$C$16),1,$C104))*(INDEX(_xlfn.ANCHORARRAY(Sintesi!$C$15),1,$C104)&gt;0),2,IF($E104=(INDEX(_xlfn.ANCHORARRAY(Sintesi!$C$16),1,$C104)),3,4)))),0)),IF(ISNUMBER($E103),IF($C104&gt;0,IF(($E104=INDEX(_xlfn.ANCHORARRAY(Sintesi!$C$14),1,$C104))*(INDEX(_xlfn.ANCHORARRAY(Sintesi!$C$15),1,$C104)&gt;0),0,IF(($E104=INDEX(_xlfn.ANCHORARRAY(Sintesi!$C$14),1,$C104))*(INDEX(_xlfn.ANCHORARRAY(Sintesi!$C$15),1,$C104)&lt;0)+($E104&gt;=$E103)*($E104&lt;=$E105)*($E104&gt;INDEX(_xlfn.ANCHORARRAY(Sintesi!$C$14),1,$C104))*($E104&lt;=INDEX(_xlfn.ANCHORARRAY(Sintesi!$C$15),1,$C104))*(INDEX(_xlfn.ANCHORARRAY(Sintesi!$C$15),1,$C104)&gt;0),1,IF(($E104&gt;=$E103)*($E104&lt;=$E105)*($E104&gt;INDEX(_xlfn.ANCHORARRAY(Sintesi!$C$14),1,$C104))*($E104&lt;INDEX(_xlfn.ANCHORARRAY(Sintesi!$C$16),1,$C104))*(INDEX(_xlfn.ANCHORARRAY(Sintesi!$C$15),1,$C104)&lt;0)+($E104&gt;=$E103)*($E104&lt;=$E105)*($E104&gt;INDEX(_xlfn.ANCHORARRAY(Sintesi!$C$15),1,$C104))*($E104&lt;INDEX(_xlfn.ANCHORARRAY(Sintesi!$C$16),1,$C104))*(INDEX(_xlfn.ANCHORARRAY(Sintesi!$C$15),1,$C104)&gt;0),2,IF($E104=(INDEX(_xlfn.ANCHORARRAY(Sintesi!$C$16),1,$C104)),3,4)))),0),IF($C104&gt;0,IF(($E104=INDEX(_xlfn.ANCHORARRAY(Sintesi!$C$14),1,$C104))*(INDEX(_xlfn.ANCHORARRAY(Sintesi!$C$15),1,$C104)&gt;0),0,IF(($E104=INDEX(_xlfn.ANCHORARRAY(Sintesi!$C$14),1,$C104))*(INDEX(_xlfn.ANCHORARRAY(Sintesi!$C$15),1,$C104)&lt;0)+($E104&gt;=LOOKUP(2,1/($E:$E&lt;&gt;""),$E:$E))*($E104&lt;=$E105)*($E104&gt;INDEX(_xlfn.ANCHORARRAY(Sintesi!$C$14),1,$C104))*($E104&lt;=INDEX(_xlfn.ANCHORARRAY(Sintesi!$C$15),1,$C104))*(INDEX(_xlfn.ANCHORARRAY(Sintesi!$C$15),1,$C104)&gt;0),1,IF(($E104&gt;=LOOKUP(2,1/($E:$E&lt;&gt;""),$E:$E))*($E104&lt;=$E105)*($E104&gt;INDEX(_xlfn.ANCHORARRAY(Sintesi!$C$14),1,$C104))*($E104&lt;INDEX(_xlfn.ANCHORARRAY(Sintesi!$C$16),1,$C104))*(INDEX(_xlfn.ANCHORARRAY(Sintesi!$C$15),1,$C104)&lt;0)+($E104&gt;=LOOKUP(2,1/($E:$E&lt;&gt;""),$E:$E))*($E104&lt;=$E105)*($E104&gt;INDEX(_xlfn.ANCHORARRAY(Sintesi!$C$15),1,$C104))*($E104&lt;INDEX(_xlfn.ANCHORARRAY(Sintesi!$C$16),1,$C104))*(INDEX(_xlfn.ANCHORARRAY(Sintesi!$C$15),1,$C104)&gt;0),2,IF($E104=(INDEX(_xlfn.ANCHORARRAY(Sintesi!$C$16),1,$C104)),3,4)))),0)))</f>
        <v/>
      </c>
      <c r="E104" s="1">
        <f>'Paste cell here'!F104</f>
        <v/>
      </c>
      <c r="F104" s="1">
        <f>'Paste cell here'!C104</f>
        <v/>
      </c>
      <c r="G104" s="1">
        <f>'Paste cell here'!D104</f>
        <v/>
      </c>
      <c r="H104" s="1">
        <f>'Paste cell here'!E104</f>
        <v/>
      </c>
      <c r="I104" s="1">
        <f>'Paste cell here'!X104</f>
        <v/>
      </c>
      <c r="J104" s="1">
        <f>'Paste cell here'!Y104+'Paste cell here'!S104</f>
        <v/>
      </c>
      <c r="K104" s="1">
        <f>I104/H104</f>
        <v/>
      </c>
      <c r="L104" s="1">
        <f>AVERAGE(($F104+$G104)/2-($F104-$G104)/2*COS(PI()*(8-VLOOKUP(MONTH(B104),$O$1:$Q$13,3))/(VLOOKUP(MONTH(B104),$O$1:$Q$13,2)-VLOOKUP(MONTH(B104),$O$1:$Q$13,3))),($F104+$G104)/2-($F104-$G104)/2*COS(PI()*(9-VLOOKUP(MONTH(B104),$O$1:$Q$13,3))/(VLOOKUP(MONTH(B104),$O$1:$Q$13,2)-VLOOKUP(MONTH(B104),$O$1:$Q$13,3))),($F104+$G104)/2-($F104-$G104)/2*COS(PI()*(10-VLOOKUP(MONTH(B104),$O$1:$Q$13,3))/(VLOOKUP(MONTH(B104),$O$1:$Q$13,2)-VLOOKUP(MONTH(B104),$O$1:$Q$13,3))),($F104+$G104)/2-($F104-$G104)/2*COS(PI()*(11-VLOOKUP(MONTH(B104),$O$1:$Q$13,3))/(VLOOKUP(MONTH(B104),$O$1:$Q$13,2)-VLOOKUP(MONTH(B104),$O$1:$Q$13,3))),($F104+$G104)/2-($F104-$G104)/2*COS(PI()*(12-VLOOKUP(MONTH(B104),$O$1:$Q$13,3))/(VLOOKUP(MONTH(B104),$O$1:$Q$13,2)-VLOOKUP(MONTH(B104),$O$1:$Q$13,3))),($F104+$G104)/2-($F104-$G104)/2*COS(PI()*(13-VLOOKUP(MONTH(B104),$O$1:$Q$13,3))/(VLOOKUP(MONTH(B104),$O$1:$Q$13,2)-VLOOKUP(MONTH(B104),$O$1:$Q$13,3))),($F104+$G104)/2-($F104-$G104)/2*COS(PI()*(14-VLOOKUP(MONTH(B104),$O$1:$Q$13,3))/(VLOOKUP(MONTH(B104),$O$1:$Q$13,2)-VLOOKUP(MONTH(B104),$O$1:$Q$13,3))))</f>
        <v/>
      </c>
      <c r="M104" s="1">
        <f t="array" ref="M104">IF(AND(A104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,A104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),IF(L104&lt;_xlfn.IFNA(INDEX(_xlfn.ANCHORARRAY(Sintesi!$C$17)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,1,IF(L104&gt;=_xlfn.IFNA(INDEX(_xlfn.ANCHORARRAY(Sintesi!$C$18)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,0,1-(L104-_xlfn.IFNA(INDEX(_xlfn.ANCHORARRAY(Sintesi!$C$17)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)/(_xlfn.IFNA(INDEX(_xlfn.ANCHORARRAY(Sintesi!$C$18)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-_xlfn.IFNA(INDEX(_xlfn.ANCHORARRAY(Sintesi!$C$17)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))),0)</f>
        <v/>
      </c>
    </row>
    <row r="105">
      <c r="A105" s="1">
        <f>'Paste cell here'!A105</f>
        <v/>
      </c>
      <c r="B105" s="2">
        <f>DATE(Sintesi!$C$4-1,12,31)+A105</f>
        <v/>
      </c>
      <c r="C105" s="34">
        <f t="array" ref="C105">_xlfn.IFNA(MATCH(1,(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)*(_xlfn.ANCHORARRAY(Sintesi!$C$15)&gt;=0)+(_xlfn.ANCHORARRAY(Sintesi!$C$15)&lt;0),0),0)</f>
        <v/>
      </c>
      <c r="D105" s="1">
        <f t="array" ref="D105">IF(ISBLANK($E106),IF(ISNUMBER($E104),IF($C105&gt;0,IF(($E105=INDEX(_xlfn.ANCHORARRAY(Sintesi!$C$14),1,$C105))*(INDEX(_xlfn.ANCHORARRAY(Sintesi!$C$15),1,$C105)&gt;0),0,IF(($E105=INDEX(_xlfn.ANCHORARRAY(Sintesi!$C$14),1,$C105))*(INDEX(_xlfn.ANCHORARRAY(Sintesi!$C$15),1,$C105)&lt;0)+($E105&gt;=$E104)*($E105&lt;=INDEX($E:$E,MATCH(TRUE,INDEX((ISNUMBER($E:$E)),0),0)))*($E105&gt;INDEX(_xlfn.ANCHORARRAY(Sintesi!$C$14),1,$C105))*($E105&lt;=INDEX(_xlfn.ANCHORARRAY(Sintesi!$C$15),1,$C105))*(INDEX(_xlfn.ANCHORARRAY(Sintesi!$C$15),1,$C105)&gt;0),1,IF(($E105&gt;=$E104)*($E105&lt;=INDEX($E:$E,MATCH(TRUE,INDEX((ISNUMBER($E:$E)),0),0)))*($E105&gt;INDEX(_xlfn.ANCHORARRAY(Sintesi!$C$14),1,$C105))*($E105&lt;INDEX(_xlfn.ANCHORARRAY(Sintesi!$C$16),1,$C105))*(INDEX(_xlfn.ANCHORARRAY(Sintesi!$C$15),1,$C105)&lt;0)+($E105&gt;=$E104)*($E105&lt;=INDEX($E:$E,MATCH(TRUE,INDEX((ISNUMBER($E:$E)),0),0)))*($E105&gt;INDEX(_xlfn.ANCHORARRAY(Sintesi!$C$15),1,$C105))*($E105&lt;INDEX(_xlfn.ANCHORARRAY(Sintesi!$C$16),1,$C105))*(INDEX(_xlfn.ANCHORARRAY(Sintesi!$C$15),1,$C105)&gt;0),2,IF($E105=(INDEX(_xlfn.ANCHORARRAY(Sintesi!$C$16),1,$C105)),3,4)))),0),IF($C105&gt;0,IF(($E105=INDEX(_xlfn.ANCHORARRAY(Sintesi!$C$14),1,$C105))*(INDEX(_xlfn.ANCHORARRAY(Sintesi!$C$15),1,$C105)&gt;0),0,IF(($E105=INDEX(_xlfn.ANCHORARRAY(Sintesi!$C$14),1,$C105))*(INDEX(_xlfn.ANCHORARRAY(Sintesi!$C$15),1,$C105)&lt;0)+($E105&gt;=LOOKUP(2,1/($E:$E&lt;&gt;""),$E:$E))*($E105&lt;=INDEX($E:$E,MATCH(TRUE,INDEX((ISNUMBER($E:$E)),0),0)))*($E105&gt;INDEX(_xlfn.ANCHORARRAY(Sintesi!$C$14),1,$C105))*($E105&lt;=INDEX(_xlfn.ANCHORARRAY(Sintesi!$C$15),1,$C105))*(INDEX(_xlfn.ANCHORARRAY(Sintesi!$C$15),1,$C105)&gt;0),1,IF(($E105&gt;=LOOKUP(2,1/($E:$E&lt;&gt;""),$E:$E))*($E105&lt;=INDEX($E:$E,MATCH(TRUE,INDEX((ISNUMBER($E:$E)),0),0)))*($E105&gt;INDEX(_xlfn.ANCHORARRAY(Sintesi!$C$14),1,$C105))*($E105&lt;INDEX(_xlfn.ANCHORARRAY(Sintesi!$C$16),1,$C105))*(INDEX(_xlfn.ANCHORARRAY(Sintesi!$C$15),1,$C105)&lt;0)+($E105&gt;=LOOKUP(2,1/($E:$E&lt;&gt;""),$E:$E))*($E105&lt;=INDEX($E:$E,MATCH(TRUE,INDEX((ISNUMBER($E:$E)),0),0)))*($E105&gt;INDEX(_xlfn.ANCHORARRAY(Sintesi!$C$15),1,$C105))*($E105&lt;INDEX(_xlfn.ANCHORARRAY(Sintesi!$C$16),1,$C105))*(INDEX(_xlfn.ANCHORARRAY(Sintesi!$C$15),1,$C105)&gt;0),2,IF($E105=(INDEX(_xlfn.ANCHORARRAY(Sintesi!$C$16),1,$C105)),3,4)))),0)),IF(ISNUMBER($E104),IF($C105&gt;0,IF(($E105=INDEX(_xlfn.ANCHORARRAY(Sintesi!$C$14),1,$C105))*(INDEX(_xlfn.ANCHORARRAY(Sintesi!$C$15),1,$C105)&gt;0),0,IF(($E105=INDEX(_xlfn.ANCHORARRAY(Sintesi!$C$14),1,$C105))*(INDEX(_xlfn.ANCHORARRAY(Sintesi!$C$15),1,$C105)&lt;0)+($E105&gt;=$E104)*($E105&lt;=$E106)*($E105&gt;INDEX(_xlfn.ANCHORARRAY(Sintesi!$C$14),1,$C105))*($E105&lt;=INDEX(_xlfn.ANCHORARRAY(Sintesi!$C$15),1,$C105))*(INDEX(_xlfn.ANCHORARRAY(Sintesi!$C$15),1,$C105)&gt;0),1,IF(($E105&gt;=$E104)*($E105&lt;=$E106)*($E105&gt;INDEX(_xlfn.ANCHORARRAY(Sintesi!$C$14),1,$C105))*($E105&lt;INDEX(_xlfn.ANCHORARRAY(Sintesi!$C$16),1,$C105))*(INDEX(_xlfn.ANCHORARRAY(Sintesi!$C$15),1,$C105)&lt;0)+($E105&gt;=$E104)*($E105&lt;=$E106)*($E105&gt;INDEX(_xlfn.ANCHORARRAY(Sintesi!$C$15),1,$C105))*($E105&lt;INDEX(_xlfn.ANCHORARRAY(Sintesi!$C$16),1,$C105))*(INDEX(_xlfn.ANCHORARRAY(Sintesi!$C$15),1,$C105)&gt;0),2,IF($E105=(INDEX(_xlfn.ANCHORARRAY(Sintesi!$C$16),1,$C105)),3,4)))),0),IF($C105&gt;0,IF(($E105=INDEX(_xlfn.ANCHORARRAY(Sintesi!$C$14),1,$C105))*(INDEX(_xlfn.ANCHORARRAY(Sintesi!$C$15),1,$C105)&gt;0),0,IF(($E105=INDEX(_xlfn.ANCHORARRAY(Sintesi!$C$14),1,$C105))*(INDEX(_xlfn.ANCHORARRAY(Sintesi!$C$15),1,$C105)&lt;0)+($E105&gt;=LOOKUP(2,1/($E:$E&lt;&gt;""),$E:$E))*($E105&lt;=$E106)*($E105&gt;INDEX(_xlfn.ANCHORARRAY(Sintesi!$C$14),1,$C105))*($E105&lt;=INDEX(_xlfn.ANCHORARRAY(Sintesi!$C$15),1,$C105))*(INDEX(_xlfn.ANCHORARRAY(Sintesi!$C$15),1,$C105)&gt;0),1,IF(($E105&gt;=LOOKUP(2,1/($E:$E&lt;&gt;""),$E:$E))*($E105&lt;=$E106)*($E105&gt;INDEX(_xlfn.ANCHORARRAY(Sintesi!$C$14),1,$C105))*($E105&lt;INDEX(_xlfn.ANCHORARRAY(Sintesi!$C$16),1,$C105))*(INDEX(_xlfn.ANCHORARRAY(Sintesi!$C$15),1,$C105)&lt;0)+($E105&gt;=LOOKUP(2,1/($E:$E&lt;&gt;""),$E:$E))*($E105&lt;=$E106)*($E105&gt;INDEX(_xlfn.ANCHORARRAY(Sintesi!$C$15),1,$C105))*($E105&lt;INDEX(_xlfn.ANCHORARRAY(Sintesi!$C$16),1,$C105))*(INDEX(_xlfn.ANCHORARRAY(Sintesi!$C$15),1,$C105)&gt;0),2,IF($E105=(INDEX(_xlfn.ANCHORARRAY(Sintesi!$C$16),1,$C105)),3,4)))),0)))</f>
        <v/>
      </c>
      <c r="E105" s="1">
        <f>'Paste cell here'!F105</f>
        <v/>
      </c>
      <c r="F105" s="1">
        <f>'Paste cell here'!C105</f>
        <v/>
      </c>
      <c r="G105" s="1">
        <f>'Paste cell here'!D105</f>
        <v/>
      </c>
      <c r="H105" s="1">
        <f>'Paste cell here'!E105</f>
        <v/>
      </c>
      <c r="I105" s="1">
        <f>'Paste cell here'!X105</f>
        <v/>
      </c>
      <c r="J105" s="1">
        <f>'Paste cell here'!Y105+'Paste cell here'!S105</f>
        <v/>
      </c>
      <c r="K105" s="1">
        <f>I105/H105</f>
        <v/>
      </c>
      <c r="L105" s="1">
        <f>AVERAGE(($F105+$G105)/2-($F105-$G105)/2*COS(PI()*(8-VLOOKUP(MONTH(B105),$O$1:$Q$13,3))/(VLOOKUP(MONTH(B105),$O$1:$Q$13,2)-VLOOKUP(MONTH(B105),$O$1:$Q$13,3))),($F105+$G105)/2-($F105-$G105)/2*COS(PI()*(9-VLOOKUP(MONTH(B105),$O$1:$Q$13,3))/(VLOOKUP(MONTH(B105),$O$1:$Q$13,2)-VLOOKUP(MONTH(B105),$O$1:$Q$13,3))),($F105+$G105)/2-($F105-$G105)/2*COS(PI()*(10-VLOOKUP(MONTH(B105),$O$1:$Q$13,3))/(VLOOKUP(MONTH(B105),$O$1:$Q$13,2)-VLOOKUP(MONTH(B105),$O$1:$Q$13,3))),($F105+$G105)/2-($F105-$G105)/2*COS(PI()*(11-VLOOKUP(MONTH(B105),$O$1:$Q$13,3))/(VLOOKUP(MONTH(B105),$O$1:$Q$13,2)-VLOOKUP(MONTH(B105),$O$1:$Q$13,3))),($F105+$G105)/2-($F105-$G105)/2*COS(PI()*(12-VLOOKUP(MONTH(B105),$O$1:$Q$13,3))/(VLOOKUP(MONTH(B105),$O$1:$Q$13,2)-VLOOKUP(MONTH(B105),$O$1:$Q$13,3))),($F105+$G105)/2-($F105-$G105)/2*COS(PI()*(13-VLOOKUP(MONTH(B105),$O$1:$Q$13,3))/(VLOOKUP(MONTH(B105),$O$1:$Q$13,2)-VLOOKUP(MONTH(B105),$O$1:$Q$13,3))),($F105+$G105)/2-($F105-$G105)/2*COS(PI()*(14-VLOOKUP(MONTH(B105),$O$1:$Q$13,3))/(VLOOKUP(MONTH(B105),$O$1:$Q$13,2)-VLOOKUP(MONTH(B105),$O$1:$Q$13,3))))</f>
        <v/>
      </c>
      <c r="M105" s="1">
        <f t="array" ref="M105">IF(AND(A105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,A105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),IF(L105&lt;_xlfn.IFNA(INDEX(_xlfn.ANCHORARRAY(Sintesi!$C$17)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,1,IF(L105&gt;=_xlfn.IFNA(INDEX(_xlfn.ANCHORARRAY(Sintesi!$C$18)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,0,1-(L105-_xlfn.IFNA(INDEX(_xlfn.ANCHORARRAY(Sintesi!$C$17)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)/(_xlfn.IFNA(INDEX(_xlfn.ANCHORARRAY(Sintesi!$C$18)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-_xlfn.IFNA(INDEX(_xlfn.ANCHORARRAY(Sintesi!$C$17)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))),0)</f>
        <v/>
      </c>
    </row>
    <row r="106">
      <c r="A106" s="1">
        <f>'Paste cell here'!A106</f>
        <v/>
      </c>
      <c r="B106" s="2">
        <f>DATE(Sintesi!$C$4-1,12,31)+A106</f>
        <v/>
      </c>
      <c r="C106" s="34">
        <f t="array" ref="C106">_xlfn.IFNA(MATCH(1,(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)*(_xlfn.ANCHORARRAY(Sintesi!$C$15)&gt;=0)+(_xlfn.ANCHORARRAY(Sintesi!$C$15)&lt;0),0),0)</f>
        <v/>
      </c>
      <c r="D106" s="1">
        <f t="array" ref="D106">IF(ISBLANK($E107),IF(ISNUMBER($E105),IF($C106&gt;0,IF(($E106=INDEX(_xlfn.ANCHORARRAY(Sintesi!$C$14),1,$C106))*(INDEX(_xlfn.ANCHORARRAY(Sintesi!$C$15),1,$C106)&gt;0),0,IF(($E106=INDEX(_xlfn.ANCHORARRAY(Sintesi!$C$14),1,$C106))*(INDEX(_xlfn.ANCHORARRAY(Sintesi!$C$15),1,$C106)&lt;0)+($E106&gt;=$E105)*($E106&lt;=INDEX($E:$E,MATCH(TRUE,INDEX((ISNUMBER($E:$E)),0),0)))*($E106&gt;INDEX(_xlfn.ANCHORARRAY(Sintesi!$C$14),1,$C106))*($E106&lt;=INDEX(_xlfn.ANCHORARRAY(Sintesi!$C$15),1,$C106))*(INDEX(_xlfn.ANCHORARRAY(Sintesi!$C$15),1,$C106)&gt;0),1,IF(($E106&gt;=$E105)*($E106&lt;=INDEX($E:$E,MATCH(TRUE,INDEX((ISNUMBER($E:$E)),0),0)))*($E106&gt;INDEX(_xlfn.ANCHORARRAY(Sintesi!$C$14),1,$C106))*($E106&lt;INDEX(_xlfn.ANCHORARRAY(Sintesi!$C$16),1,$C106))*(INDEX(_xlfn.ANCHORARRAY(Sintesi!$C$15),1,$C106)&lt;0)+($E106&gt;=$E105)*($E106&lt;=INDEX($E:$E,MATCH(TRUE,INDEX((ISNUMBER($E:$E)),0),0)))*($E106&gt;INDEX(_xlfn.ANCHORARRAY(Sintesi!$C$15),1,$C106))*($E106&lt;INDEX(_xlfn.ANCHORARRAY(Sintesi!$C$16),1,$C106))*(INDEX(_xlfn.ANCHORARRAY(Sintesi!$C$15),1,$C106)&gt;0),2,IF($E106=(INDEX(_xlfn.ANCHORARRAY(Sintesi!$C$16),1,$C106)),3,4)))),0),IF($C106&gt;0,IF(($E106=INDEX(_xlfn.ANCHORARRAY(Sintesi!$C$14),1,$C106))*(INDEX(_xlfn.ANCHORARRAY(Sintesi!$C$15),1,$C106)&gt;0),0,IF(($E106=INDEX(_xlfn.ANCHORARRAY(Sintesi!$C$14),1,$C106))*(INDEX(_xlfn.ANCHORARRAY(Sintesi!$C$15),1,$C106)&lt;0)+($E106&gt;=LOOKUP(2,1/($E:$E&lt;&gt;""),$E:$E))*($E106&lt;=INDEX($E:$E,MATCH(TRUE,INDEX((ISNUMBER($E:$E)),0),0)))*($E106&gt;INDEX(_xlfn.ANCHORARRAY(Sintesi!$C$14),1,$C106))*($E106&lt;=INDEX(_xlfn.ANCHORARRAY(Sintesi!$C$15),1,$C106))*(INDEX(_xlfn.ANCHORARRAY(Sintesi!$C$15),1,$C106)&gt;0),1,IF(($E106&gt;=LOOKUP(2,1/($E:$E&lt;&gt;""),$E:$E))*($E106&lt;=INDEX($E:$E,MATCH(TRUE,INDEX((ISNUMBER($E:$E)),0),0)))*($E106&gt;INDEX(_xlfn.ANCHORARRAY(Sintesi!$C$14),1,$C106))*($E106&lt;INDEX(_xlfn.ANCHORARRAY(Sintesi!$C$16),1,$C106))*(INDEX(_xlfn.ANCHORARRAY(Sintesi!$C$15),1,$C106)&lt;0)+($E106&gt;=LOOKUP(2,1/($E:$E&lt;&gt;""),$E:$E))*($E106&lt;=INDEX($E:$E,MATCH(TRUE,INDEX((ISNUMBER($E:$E)),0),0)))*($E106&gt;INDEX(_xlfn.ANCHORARRAY(Sintesi!$C$15),1,$C106))*($E106&lt;INDEX(_xlfn.ANCHORARRAY(Sintesi!$C$16),1,$C106))*(INDEX(_xlfn.ANCHORARRAY(Sintesi!$C$15),1,$C106)&gt;0),2,IF($E106=(INDEX(_xlfn.ANCHORARRAY(Sintesi!$C$16),1,$C106)),3,4)))),0)),IF(ISNUMBER($E105),IF($C106&gt;0,IF(($E106=INDEX(_xlfn.ANCHORARRAY(Sintesi!$C$14),1,$C106))*(INDEX(_xlfn.ANCHORARRAY(Sintesi!$C$15),1,$C106)&gt;0),0,IF(($E106=INDEX(_xlfn.ANCHORARRAY(Sintesi!$C$14),1,$C106))*(INDEX(_xlfn.ANCHORARRAY(Sintesi!$C$15),1,$C106)&lt;0)+($E106&gt;=$E105)*($E106&lt;=$E107)*($E106&gt;INDEX(_xlfn.ANCHORARRAY(Sintesi!$C$14),1,$C106))*($E106&lt;=INDEX(_xlfn.ANCHORARRAY(Sintesi!$C$15),1,$C106))*(INDEX(_xlfn.ANCHORARRAY(Sintesi!$C$15),1,$C106)&gt;0),1,IF(($E106&gt;=$E105)*($E106&lt;=$E107)*($E106&gt;INDEX(_xlfn.ANCHORARRAY(Sintesi!$C$14),1,$C106))*($E106&lt;INDEX(_xlfn.ANCHORARRAY(Sintesi!$C$16),1,$C106))*(INDEX(_xlfn.ANCHORARRAY(Sintesi!$C$15),1,$C106)&lt;0)+($E106&gt;=$E105)*($E106&lt;=$E107)*($E106&gt;INDEX(_xlfn.ANCHORARRAY(Sintesi!$C$15),1,$C106))*($E106&lt;INDEX(_xlfn.ANCHORARRAY(Sintesi!$C$16),1,$C106))*(INDEX(_xlfn.ANCHORARRAY(Sintesi!$C$15),1,$C106)&gt;0),2,IF($E106=(INDEX(_xlfn.ANCHORARRAY(Sintesi!$C$16),1,$C106)),3,4)))),0),IF($C106&gt;0,IF(($E106=INDEX(_xlfn.ANCHORARRAY(Sintesi!$C$14),1,$C106))*(INDEX(_xlfn.ANCHORARRAY(Sintesi!$C$15),1,$C106)&gt;0),0,IF(($E106=INDEX(_xlfn.ANCHORARRAY(Sintesi!$C$14),1,$C106))*(INDEX(_xlfn.ANCHORARRAY(Sintesi!$C$15),1,$C106)&lt;0)+($E106&gt;=LOOKUP(2,1/($E:$E&lt;&gt;""),$E:$E))*($E106&lt;=$E107)*($E106&gt;INDEX(_xlfn.ANCHORARRAY(Sintesi!$C$14),1,$C106))*($E106&lt;=INDEX(_xlfn.ANCHORARRAY(Sintesi!$C$15),1,$C106))*(INDEX(_xlfn.ANCHORARRAY(Sintesi!$C$15),1,$C106)&gt;0),1,IF(($E106&gt;=LOOKUP(2,1/($E:$E&lt;&gt;""),$E:$E))*($E106&lt;=$E107)*($E106&gt;INDEX(_xlfn.ANCHORARRAY(Sintesi!$C$14),1,$C106))*($E106&lt;INDEX(_xlfn.ANCHORARRAY(Sintesi!$C$16),1,$C106))*(INDEX(_xlfn.ANCHORARRAY(Sintesi!$C$15),1,$C106)&lt;0)+($E106&gt;=LOOKUP(2,1/($E:$E&lt;&gt;""),$E:$E))*($E106&lt;=$E107)*($E106&gt;INDEX(_xlfn.ANCHORARRAY(Sintesi!$C$15),1,$C106))*($E106&lt;INDEX(_xlfn.ANCHORARRAY(Sintesi!$C$16),1,$C106))*(INDEX(_xlfn.ANCHORARRAY(Sintesi!$C$15),1,$C106)&gt;0),2,IF($E106=(INDEX(_xlfn.ANCHORARRAY(Sintesi!$C$16),1,$C106)),3,4)))),0)))</f>
        <v/>
      </c>
      <c r="E106" s="1">
        <f>'Paste cell here'!F106</f>
        <v/>
      </c>
      <c r="F106" s="1">
        <f>'Paste cell here'!C106</f>
        <v/>
      </c>
      <c r="G106" s="1">
        <f>'Paste cell here'!D106</f>
        <v/>
      </c>
      <c r="H106" s="1">
        <f>'Paste cell here'!E106</f>
        <v/>
      </c>
      <c r="I106" s="1">
        <f>'Paste cell here'!X106</f>
        <v/>
      </c>
      <c r="J106" s="1">
        <f>'Paste cell here'!Y106+'Paste cell here'!S106</f>
        <v/>
      </c>
      <c r="K106" s="1">
        <f>I106/H106</f>
        <v/>
      </c>
      <c r="L106" s="1">
        <f>AVERAGE(($F106+$G106)/2-($F106-$G106)/2*COS(PI()*(8-VLOOKUP(MONTH(B106),$O$1:$Q$13,3))/(VLOOKUP(MONTH(B106),$O$1:$Q$13,2)-VLOOKUP(MONTH(B106),$O$1:$Q$13,3))),($F106+$G106)/2-($F106-$G106)/2*COS(PI()*(9-VLOOKUP(MONTH(B106),$O$1:$Q$13,3))/(VLOOKUP(MONTH(B106),$O$1:$Q$13,2)-VLOOKUP(MONTH(B106),$O$1:$Q$13,3))),($F106+$G106)/2-($F106-$G106)/2*COS(PI()*(10-VLOOKUP(MONTH(B106),$O$1:$Q$13,3))/(VLOOKUP(MONTH(B106),$O$1:$Q$13,2)-VLOOKUP(MONTH(B106),$O$1:$Q$13,3))),($F106+$G106)/2-($F106-$G106)/2*COS(PI()*(11-VLOOKUP(MONTH(B106),$O$1:$Q$13,3))/(VLOOKUP(MONTH(B106),$O$1:$Q$13,2)-VLOOKUP(MONTH(B106),$O$1:$Q$13,3))),($F106+$G106)/2-($F106-$G106)/2*COS(PI()*(12-VLOOKUP(MONTH(B106),$O$1:$Q$13,3))/(VLOOKUP(MONTH(B106),$O$1:$Q$13,2)-VLOOKUP(MONTH(B106),$O$1:$Q$13,3))),($F106+$G106)/2-($F106-$G106)/2*COS(PI()*(13-VLOOKUP(MONTH(B106),$O$1:$Q$13,3))/(VLOOKUP(MONTH(B106),$O$1:$Q$13,2)-VLOOKUP(MONTH(B106),$O$1:$Q$13,3))),($F106+$G106)/2-($F106-$G106)/2*COS(PI()*(14-VLOOKUP(MONTH(B106),$O$1:$Q$13,3))/(VLOOKUP(MONTH(B106),$O$1:$Q$13,2)-VLOOKUP(MONTH(B106),$O$1:$Q$13,3))))</f>
        <v/>
      </c>
      <c r="M106" s="1">
        <f t="array" ref="M106">IF(AND(A106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,A106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),IF(L106&lt;_xlfn.IFNA(INDEX(_xlfn.ANCHORARRAY(Sintesi!$C$17)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,1,IF(L106&gt;=_xlfn.IFNA(INDEX(_xlfn.ANCHORARRAY(Sintesi!$C$18)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,0,1-(L106-_xlfn.IFNA(INDEX(_xlfn.ANCHORARRAY(Sintesi!$C$17)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)/(_xlfn.IFNA(INDEX(_xlfn.ANCHORARRAY(Sintesi!$C$18)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-_xlfn.IFNA(INDEX(_xlfn.ANCHORARRAY(Sintesi!$C$17)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))),0)</f>
        <v/>
      </c>
    </row>
    <row r="107">
      <c r="A107" s="1">
        <f>'Paste cell here'!A107</f>
        <v/>
      </c>
      <c r="B107" s="2">
        <f>DATE(Sintesi!$C$4-1,12,31)+A107</f>
        <v/>
      </c>
      <c r="C107" s="34">
        <f t="array" ref="C107">_xlfn.IFNA(MATCH(1,(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)*(_xlfn.ANCHORARRAY(Sintesi!$C$15)&gt;=0)+(_xlfn.ANCHORARRAY(Sintesi!$C$15)&lt;0),0),0)</f>
        <v/>
      </c>
      <c r="D107" s="1">
        <f t="array" ref="D107">IF(ISBLANK($E108),IF(ISNUMBER($E106),IF($C107&gt;0,IF(($E107=INDEX(_xlfn.ANCHORARRAY(Sintesi!$C$14),1,$C107))*(INDEX(_xlfn.ANCHORARRAY(Sintesi!$C$15),1,$C107)&gt;0),0,IF(($E107=INDEX(_xlfn.ANCHORARRAY(Sintesi!$C$14),1,$C107))*(INDEX(_xlfn.ANCHORARRAY(Sintesi!$C$15),1,$C107)&lt;0)+($E107&gt;=$E106)*($E107&lt;=INDEX($E:$E,MATCH(TRUE,INDEX((ISNUMBER($E:$E)),0),0)))*($E107&gt;INDEX(_xlfn.ANCHORARRAY(Sintesi!$C$14),1,$C107))*($E107&lt;=INDEX(_xlfn.ANCHORARRAY(Sintesi!$C$15),1,$C107))*(INDEX(_xlfn.ANCHORARRAY(Sintesi!$C$15),1,$C107)&gt;0),1,IF(($E107&gt;=$E106)*($E107&lt;=INDEX($E:$E,MATCH(TRUE,INDEX((ISNUMBER($E:$E)),0),0)))*($E107&gt;INDEX(_xlfn.ANCHORARRAY(Sintesi!$C$14),1,$C107))*($E107&lt;INDEX(_xlfn.ANCHORARRAY(Sintesi!$C$16),1,$C107))*(INDEX(_xlfn.ANCHORARRAY(Sintesi!$C$15),1,$C107)&lt;0)+($E107&gt;=$E106)*($E107&lt;=INDEX($E:$E,MATCH(TRUE,INDEX((ISNUMBER($E:$E)),0),0)))*($E107&gt;INDEX(_xlfn.ANCHORARRAY(Sintesi!$C$15),1,$C107))*($E107&lt;INDEX(_xlfn.ANCHORARRAY(Sintesi!$C$16),1,$C107))*(INDEX(_xlfn.ANCHORARRAY(Sintesi!$C$15),1,$C107)&gt;0),2,IF($E107=(INDEX(_xlfn.ANCHORARRAY(Sintesi!$C$16),1,$C107)),3,4)))),0),IF($C107&gt;0,IF(($E107=INDEX(_xlfn.ANCHORARRAY(Sintesi!$C$14),1,$C107))*(INDEX(_xlfn.ANCHORARRAY(Sintesi!$C$15),1,$C107)&gt;0),0,IF(($E107=INDEX(_xlfn.ANCHORARRAY(Sintesi!$C$14),1,$C107))*(INDEX(_xlfn.ANCHORARRAY(Sintesi!$C$15),1,$C107)&lt;0)+($E107&gt;=LOOKUP(2,1/($E:$E&lt;&gt;""),$E:$E))*($E107&lt;=INDEX($E:$E,MATCH(TRUE,INDEX((ISNUMBER($E:$E)),0),0)))*($E107&gt;INDEX(_xlfn.ANCHORARRAY(Sintesi!$C$14),1,$C107))*($E107&lt;=INDEX(_xlfn.ANCHORARRAY(Sintesi!$C$15),1,$C107))*(INDEX(_xlfn.ANCHORARRAY(Sintesi!$C$15),1,$C107)&gt;0),1,IF(($E107&gt;=LOOKUP(2,1/($E:$E&lt;&gt;""),$E:$E))*($E107&lt;=INDEX($E:$E,MATCH(TRUE,INDEX((ISNUMBER($E:$E)),0),0)))*($E107&gt;INDEX(_xlfn.ANCHORARRAY(Sintesi!$C$14),1,$C107))*($E107&lt;INDEX(_xlfn.ANCHORARRAY(Sintesi!$C$16),1,$C107))*(INDEX(_xlfn.ANCHORARRAY(Sintesi!$C$15),1,$C107)&lt;0)+($E107&gt;=LOOKUP(2,1/($E:$E&lt;&gt;""),$E:$E))*($E107&lt;=INDEX($E:$E,MATCH(TRUE,INDEX((ISNUMBER($E:$E)),0),0)))*($E107&gt;INDEX(_xlfn.ANCHORARRAY(Sintesi!$C$15),1,$C107))*($E107&lt;INDEX(_xlfn.ANCHORARRAY(Sintesi!$C$16),1,$C107))*(INDEX(_xlfn.ANCHORARRAY(Sintesi!$C$15),1,$C107)&gt;0),2,IF($E107=(INDEX(_xlfn.ANCHORARRAY(Sintesi!$C$16),1,$C107)),3,4)))),0)),IF(ISNUMBER($E106),IF($C107&gt;0,IF(($E107=INDEX(_xlfn.ANCHORARRAY(Sintesi!$C$14),1,$C107))*(INDEX(_xlfn.ANCHORARRAY(Sintesi!$C$15),1,$C107)&gt;0),0,IF(($E107=INDEX(_xlfn.ANCHORARRAY(Sintesi!$C$14),1,$C107))*(INDEX(_xlfn.ANCHORARRAY(Sintesi!$C$15),1,$C107)&lt;0)+($E107&gt;=$E106)*($E107&lt;=$E108)*($E107&gt;INDEX(_xlfn.ANCHORARRAY(Sintesi!$C$14),1,$C107))*($E107&lt;=INDEX(_xlfn.ANCHORARRAY(Sintesi!$C$15),1,$C107))*(INDEX(_xlfn.ANCHORARRAY(Sintesi!$C$15),1,$C107)&gt;0),1,IF(($E107&gt;=$E106)*($E107&lt;=$E108)*($E107&gt;INDEX(_xlfn.ANCHORARRAY(Sintesi!$C$14),1,$C107))*($E107&lt;INDEX(_xlfn.ANCHORARRAY(Sintesi!$C$16),1,$C107))*(INDEX(_xlfn.ANCHORARRAY(Sintesi!$C$15),1,$C107)&lt;0)+($E107&gt;=$E106)*($E107&lt;=$E108)*($E107&gt;INDEX(_xlfn.ANCHORARRAY(Sintesi!$C$15),1,$C107))*($E107&lt;INDEX(_xlfn.ANCHORARRAY(Sintesi!$C$16),1,$C107))*(INDEX(_xlfn.ANCHORARRAY(Sintesi!$C$15),1,$C107)&gt;0),2,IF($E107=(INDEX(_xlfn.ANCHORARRAY(Sintesi!$C$16),1,$C107)),3,4)))),0),IF($C107&gt;0,IF(($E107=INDEX(_xlfn.ANCHORARRAY(Sintesi!$C$14),1,$C107))*(INDEX(_xlfn.ANCHORARRAY(Sintesi!$C$15),1,$C107)&gt;0),0,IF(($E107=INDEX(_xlfn.ANCHORARRAY(Sintesi!$C$14),1,$C107))*(INDEX(_xlfn.ANCHORARRAY(Sintesi!$C$15),1,$C107)&lt;0)+($E107&gt;=LOOKUP(2,1/($E:$E&lt;&gt;""),$E:$E))*($E107&lt;=$E108)*($E107&gt;INDEX(_xlfn.ANCHORARRAY(Sintesi!$C$14),1,$C107))*($E107&lt;=INDEX(_xlfn.ANCHORARRAY(Sintesi!$C$15),1,$C107))*(INDEX(_xlfn.ANCHORARRAY(Sintesi!$C$15),1,$C107)&gt;0),1,IF(($E107&gt;=LOOKUP(2,1/($E:$E&lt;&gt;""),$E:$E))*($E107&lt;=$E108)*($E107&gt;INDEX(_xlfn.ANCHORARRAY(Sintesi!$C$14),1,$C107))*($E107&lt;INDEX(_xlfn.ANCHORARRAY(Sintesi!$C$16),1,$C107))*(INDEX(_xlfn.ANCHORARRAY(Sintesi!$C$15),1,$C107)&lt;0)+($E107&gt;=LOOKUP(2,1/($E:$E&lt;&gt;""),$E:$E))*($E107&lt;=$E108)*($E107&gt;INDEX(_xlfn.ANCHORARRAY(Sintesi!$C$15),1,$C107))*($E107&lt;INDEX(_xlfn.ANCHORARRAY(Sintesi!$C$16),1,$C107))*(INDEX(_xlfn.ANCHORARRAY(Sintesi!$C$15),1,$C107)&gt;0),2,IF($E107=(INDEX(_xlfn.ANCHORARRAY(Sintesi!$C$16),1,$C107)),3,4)))),0)))</f>
        <v/>
      </c>
      <c r="E107" s="1">
        <f>'Paste cell here'!F107</f>
        <v/>
      </c>
      <c r="F107" s="1">
        <f>'Paste cell here'!C107</f>
        <v/>
      </c>
      <c r="G107" s="1">
        <f>'Paste cell here'!D107</f>
        <v/>
      </c>
      <c r="H107" s="1">
        <f>'Paste cell here'!E107</f>
        <v/>
      </c>
      <c r="I107" s="1">
        <f>'Paste cell here'!X107</f>
        <v/>
      </c>
      <c r="J107" s="1">
        <f>'Paste cell here'!Y107+'Paste cell here'!S107</f>
        <v/>
      </c>
      <c r="K107" s="1">
        <f>I107/H107</f>
        <v/>
      </c>
      <c r="L107" s="1">
        <f>AVERAGE(($F107+$G107)/2-($F107-$G107)/2*COS(PI()*(8-VLOOKUP(MONTH(B107),$O$1:$Q$13,3))/(VLOOKUP(MONTH(B107),$O$1:$Q$13,2)-VLOOKUP(MONTH(B107),$O$1:$Q$13,3))),($F107+$G107)/2-($F107-$G107)/2*COS(PI()*(9-VLOOKUP(MONTH(B107),$O$1:$Q$13,3))/(VLOOKUP(MONTH(B107),$O$1:$Q$13,2)-VLOOKUP(MONTH(B107),$O$1:$Q$13,3))),($F107+$G107)/2-($F107-$G107)/2*COS(PI()*(10-VLOOKUP(MONTH(B107),$O$1:$Q$13,3))/(VLOOKUP(MONTH(B107),$O$1:$Q$13,2)-VLOOKUP(MONTH(B107),$O$1:$Q$13,3))),($F107+$G107)/2-($F107-$G107)/2*COS(PI()*(11-VLOOKUP(MONTH(B107),$O$1:$Q$13,3))/(VLOOKUP(MONTH(B107),$O$1:$Q$13,2)-VLOOKUP(MONTH(B107),$O$1:$Q$13,3))),($F107+$G107)/2-($F107-$G107)/2*COS(PI()*(12-VLOOKUP(MONTH(B107),$O$1:$Q$13,3))/(VLOOKUP(MONTH(B107),$O$1:$Q$13,2)-VLOOKUP(MONTH(B107),$O$1:$Q$13,3))),($F107+$G107)/2-($F107-$G107)/2*COS(PI()*(13-VLOOKUP(MONTH(B107),$O$1:$Q$13,3))/(VLOOKUP(MONTH(B107),$O$1:$Q$13,2)-VLOOKUP(MONTH(B107),$O$1:$Q$13,3))),($F107+$G107)/2-($F107-$G107)/2*COS(PI()*(14-VLOOKUP(MONTH(B107),$O$1:$Q$13,3))/(VLOOKUP(MONTH(B107),$O$1:$Q$13,2)-VLOOKUP(MONTH(B107),$O$1:$Q$13,3))))</f>
        <v/>
      </c>
      <c r="M107" s="1">
        <f t="array" ref="M107">IF(AND(A107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,A107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),IF(L107&lt;_xlfn.IFNA(INDEX(_xlfn.ANCHORARRAY(Sintesi!$C$17)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,1,IF(L107&gt;=_xlfn.IFNA(INDEX(_xlfn.ANCHORARRAY(Sintesi!$C$18)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,0,1-(L107-_xlfn.IFNA(INDEX(_xlfn.ANCHORARRAY(Sintesi!$C$17)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)/(_xlfn.IFNA(INDEX(_xlfn.ANCHORARRAY(Sintesi!$C$18)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-_xlfn.IFNA(INDEX(_xlfn.ANCHORARRAY(Sintesi!$C$17)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))),0)</f>
        <v/>
      </c>
    </row>
    <row r="108">
      <c r="A108" s="1">
        <f>'Paste cell here'!A108</f>
        <v/>
      </c>
      <c r="B108" s="2">
        <f>DATE(Sintesi!$C$4-1,12,31)+A108</f>
        <v/>
      </c>
      <c r="C108" s="34">
        <f t="array" ref="C108">_xlfn.IFNA(MATCH(1,(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)*(_xlfn.ANCHORARRAY(Sintesi!$C$15)&gt;=0)+(_xlfn.ANCHORARRAY(Sintesi!$C$15)&lt;0),0),0)</f>
        <v/>
      </c>
      <c r="D108" s="1">
        <f t="array" ref="D108">IF(ISBLANK($E109),IF(ISNUMBER($E107),IF($C108&gt;0,IF(($E108=INDEX(_xlfn.ANCHORARRAY(Sintesi!$C$14),1,$C108))*(INDEX(_xlfn.ANCHORARRAY(Sintesi!$C$15),1,$C108)&gt;0),0,IF(($E108=INDEX(_xlfn.ANCHORARRAY(Sintesi!$C$14),1,$C108))*(INDEX(_xlfn.ANCHORARRAY(Sintesi!$C$15),1,$C108)&lt;0)+($E108&gt;=$E107)*($E108&lt;=INDEX($E:$E,MATCH(TRUE,INDEX((ISNUMBER($E:$E)),0),0)))*($E108&gt;INDEX(_xlfn.ANCHORARRAY(Sintesi!$C$14),1,$C108))*($E108&lt;=INDEX(_xlfn.ANCHORARRAY(Sintesi!$C$15),1,$C108))*(INDEX(_xlfn.ANCHORARRAY(Sintesi!$C$15),1,$C108)&gt;0),1,IF(($E108&gt;=$E107)*($E108&lt;=INDEX($E:$E,MATCH(TRUE,INDEX((ISNUMBER($E:$E)),0),0)))*($E108&gt;INDEX(_xlfn.ANCHORARRAY(Sintesi!$C$14),1,$C108))*($E108&lt;INDEX(_xlfn.ANCHORARRAY(Sintesi!$C$16),1,$C108))*(INDEX(_xlfn.ANCHORARRAY(Sintesi!$C$15),1,$C108)&lt;0)+($E108&gt;=$E107)*($E108&lt;=INDEX($E:$E,MATCH(TRUE,INDEX((ISNUMBER($E:$E)),0),0)))*($E108&gt;INDEX(_xlfn.ANCHORARRAY(Sintesi!$C$15),1,$C108))*($E108&lt;INDEX(_xlfn.ANCHORARRAY(Sintesi!$C$16),1,$C108))*(INDEX(_xlfn.ANCHORARRAY(Sintesi!$C$15),1,$C108)&gt;0),2,IF($E108=(INDEX(_xlfn.ANCHORARRAY(Sintesi!$C$16),1,$C108)),3,4)))),0),IF($C108&gt;0,IF(($E108=INDEX(_xlfn.ANCHORARRAY(Sintesi!$C$14),1,$C108))*(INDEX(_xlfn.ANCHORARRAY(Sintesi!$C$15),1,$C108)&gt;0),0,IF(($E108=INDEX(_xlfn.ANCHORARRAY(Sintesi!$C$14),1,$C108))*(INDEX(_xlfn.ANCHORARRAY(Sintesi!$C$15),1,$C108)&lt;0)+($E108&gt;=LOOKUP(2,1/($E:$E&lt;&gt;""),$E:$E))*($E108&lt;=INDEX($E:$E,MATCH(TRUE,INDEX((ISNUMBER($E:$E)),0),0)))*($E108&gt;INDEX(_xlfn.ANCHORARRAY(Sintesi!$C$14),1,$C108))*($E108&lt;=INDEX(_xlfn.ANCHORARRAY(Sintesi!$C$15),1,$C108))*(INDEX(_xlfn.ANCHORARRAY(Sintesi!$C$15),1,$C108)&gt;0),1,IF(($E108&gt;=LOOKUP(2,1/($E:$E&lt;&gt;""),$E:$E))*($E108&lt;=INDEX($E:$E,MATCH(TRUE,INDEX((ISNUMBER($E:$E)),0),0)))*($E108&gt;INDEX(_xlfn.ANCHORARRAY(Sintesi!$C$14),1,$C108))*($E108&lt;INDEX(_xlfn.ANCHORARRAY(Sintesi!$C$16),1,$C108))*(INDEX(_xlfn.ANCHORARRAY(Sintesi!$C$15),1,$C108)&lt;0)+($E108&gt;=LOOKUP(2,1/($E:$E&lt;&gt;""),$E:$E))*($E108&lt;=INDEX($E:$E,MATCH(TRUE,INDEX((ISNUMBER($E:$E)),0),0)))*($E108&gt;INDEX(_xlfn.ANCHORARRAY(Sintesi!$C$15),1,$C108))*($E108&lt;INDEX(_xlfn.ANCHORARRAY(Sintesi!$C$16),1,$C108))*(INDEX(_xlfn.ANCHORARRAY(Sintesi!$C$15),1,$C108)&gt;0),2,IF($E108=(INDEX(_xlfn.ANCHORARRAY(Sintesi!$C$16),1,$C108)),3,4)))),0)),IF(ISNUMBER($E107),IF($C108&gt;0,IF(($E108=INDEX(_xlfn.ANCHORARRAY(Sintesi!$C$14),1,$C108))*(INDEX(_xlfn.ANCHORARRAY(Sintesi!$C$15),1,$C108)&gt;0),0,IF(($E108=INDEX(_xlfn.ANCHORARRAY(Sintesi!$C$14),1,$C108))*(INDEX(_xlfn.ANCHORARRAY(Sintesi!$C$15),1,$C108)&lt;0)+($E108&gt;=$E107)*($E108&lt;=$E109)*($E108&gt;INDEX(_xlfn.ANCHORARRAY(Sintesi!$C$14),1,$C108))*($E108&lt;=INDEX(_xlfn.ANCHORARRAY(Sintesi!$C$15),1,$C108))*(INDEX(_xlfn.ANCHORARRAY(Sintesi!$C$15),1,$C108)&gt;0),1,IF(($E108&gt;=$E107)*($E108&lt;=$E109)*($E108&gt;INDEX(_xlfn.ANCHORARRAY(Sintesi!$C$14),1,$C108))*($E108&lt;INDEX(_xlfn.ANCHORARRAY(Sintesi!$C$16),1,$C108))*(INDEX(_xlfn.ANCHORARRAY(Sintesi!$C$15),1,$C108)&lt;0)+($E108&gt;=$E107)*($E108&lt;=$E109)*($E108&gt;INDEX(_xlfn.ANCHORARRAY(Sintesi!$C$15),1,$C108))*($E108&lt;INDEX(_xlfn.ANCHORARRAY(Sintesi!$C$16),1,$C108))*(INDEX(_xlfn.ANCHORARRAY(Sintesi!$C$15),1,$C108)&gt;0),2,IF($E108=(INDEX(_xlfn.ANCHORARRAY(Sintesi!$C$16),1,$C108)),3,4)))),0),IF($C108&gt;0,IF(($E108=INDEX(_xlfn.ANCHORARRAY(Sintesi!$C$14),1,$C108))*(INDEX(_xlfn.ANCHORARRAY(Sintesi!$C$15),1,$C108)&gt;0),0,IF(($E108=INDEX(_xlfn.ANCHORARRAY(Sintesi!$C$14),1,$C108))*(INDEX(_xlfn.ANCHORARRAY(Sintesi!$C$15),1,$C108)&lt;0)+($E108&gt;=LOOKUP(2,1/($E:$E&lt;&gt;""),$E:$E))*($E108&lt;=$E109)*($E108&gt;INDEX(_xlfn.ANCHORARRAY(Sintesi!$C$14),1,$C108))*($E108&lt;=INDEX(_xlfn.ANCHORARRAY(Sintesi!$C$15),1,$C108))*(INDEX(_xlfn.ANCHORARRAY(Sintesi!$C$15),1,$C108)&gt;0),1,IF(($E108&gt;=LOOKUP(2,1/($E:$E&lt;&gt;""),$E:$E))*($E108&lt;=$E109)*($E108&gt;INDEX(_xlfn.ANCHORARRAY(Sintesi!$C$14),1,$C108))*($E108&lt;INDEX(_xlfn.ANCHORARRAY(Sintesi!$C$16),1,$C108))*(INDEX(_xlfn.ANCHORARRAY(Sintesi!$C$15),1,$C108)&lt;0)+($E108&gt;=LOOKUP(2,1/($E:$E&lt;&gt;""),$E:$E))*($E108&lt;=$E109)*($E108&gt;INDEX(_xlfn.ANCHORARRAY(Sintesi!$C$15),1,$C108))*($E108&lt;INDEX(_xlfn.ANCHORARRAY(Sintesi!$C$16),1,$C108))*(INDEX(_xlfn.ANCHORARRAY(Sintesi!$C$15),1,$C108)&gt;0),2,IF($E108=(INDEX(_xlfn.ANCHORARRAY(Sintesi!$C$16),1,$C108)),3,4)))),0)))</f>
        <v/>
      </c>
      <c r="E108" s="1">
        <f>'Paste cell here'!F108</f>
        <v/>
      </c>
      <c r="F108" s="1">
        <f>'Paste cell here'!C108</f>
        <v/>
      </c>
      <c r="G108" s="1">
        <f>'Paste cell here'!D108</f>
        <v/>
      </c>
      <c r="H108" s="1">
        <f>'Paste cell here'!E108</f>
        <v/>
      </c>
      <c r="I108" s="1">
        <f>'Paste cell here'!X108</f>
        <v/>
      </c>
      <c r="J108" s="1">
        <f>'Paste cell here'!Y108+'Paste cell here'!S108</f>
        <v/>
      </c>
      <c r="K108" s="1">
        <f>I108/H108</f>
        <v/>
      </c>
      <c r="L108" s="1">
        <f>AVERAGE(($F108+$G108)/2-($F108-$G108)/2*COS(PI()*(8-VLOOKUP(MONTH(B108),$O$1:$Q$13,3))/(VLOOKUP(MONTH(B108),$O$1:$Q$13,2)-VLOOKUP(MONTH(B108),$O$1:$Q$13,3))),($F108+$G108)/2-($F108-$G108)/2*COS(PI()*(9-VLOOKUP(MONTH(B108),$O$1:$Q$13,3))/(VLOOKUP(MONTH(B108),$O$1:$Q$13,2)-VLOOKUP(MONTH(B108),$O$1:$Q$13,3))),($F108+$G108)/2-($F108-$G108)/2*COS(PI()*(10-VLOOKUP(MONTH(B108),$O$1:$Q$13,3))/(VLOOKUP(MONTH(B108),$O$1:$Q$13,2)-VLOOKUP(MONTH(B108),$O$1:$Q$13,3))),($F108+$G108)/2-($F108-$G108)/2*COS(PI()*(11-VLOOKUP(MONTH(B108),$O$1:$Q$13,3))/(VLOOKUP(MONTH(B108),$O$1:$Q$13,2)-VLOOKUP(MONTH(B108),$O$1:$Q$13,3))),($F108+$G108)/2-($F108-$G108)/2*COS(PI()*(12-VLOOKUP(MONTH(B108),$O$1:$Q$13,3))/(VLOOKUP(MONTH(B108),$O$1:$Q$13,2)-VLOOKUP(MONTH(B108),$O$1:$Q$13,3))),($F108+$G108)/2-($F108-$G108)/2*COS(PI()*(13-VLOOKUP(MONTH(B108),$O$1:$Q$13,3))/(VLOOKUP(MONTH(B108),$O$1:$Q$13,2)-VLOOKUP(MONTH(B108),$O$1:$Q$13,3))),($F108+$G108)/2-($F108-$G108)/2*COS(PI()*(14-VLOOKUP(MONTH(B108),$O$1:$Q$13,3))/(VLOOKUP(MONTH(B108),$O$1:$Q$13,2)-VLOOKUP(MONTH(B108),$O$1:$Q$13,3))))</f>
        <v/>
      </c>
      <c r="M108" s="1">
        <f t="array" ref="M108">IF(AND(A108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,A108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),IF(L108&lt;_xlfn.IFNA(INDEX(_xlfn.ANCHORARRAY(Sintesi!$C$17)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,1,IF(L108&gt;=_xlfn.IFNA(INDEX(_xlfn.ANCHORARRAY(Sintesi!$C$18)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,0,1-(L108-_xlfn.IFNA(INDEX(_xlfn.ANCHORARRAY(Sintesi!$C$17)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)/(_xlfn.IFNA(INDEX(_xlfn.ANCHORARRAY(Sintesi!$C$18)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-_xlfn.IFNA(INDEX(_xlfn.ANCHORARRAY(Sintesi!$C$17)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))),0)</f>
        <v/>
      </c>
    </row>
    <row r="109">
      <c r="A109" s="1">
        <f>'Paste cell here'!A109</f>
        <v/>
      </c>
      <c r="B109" s="2">
        <f>DATE(Sintesi!$C$4-1,12,31)+A109</f>
        <v/>
      </c>
      <c r="C109" s="34">
        <f t="array" ref="C109">_xlfn.IFNA(MATCH(1,(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)*(_xlfn.ANCHORARRAY(Sintesi!$C$15)&gt;=0)+(_xlfn.ANCHORARRAY(Sintesi!$C$15)&lt;0),0),0)</f>
        <v/>
      </c>
      <c r="D109" s="1">
        <f t="array" ref="D109">IF(ISBLANK($E110),IF(ISNUMBER($E108),IF($C109&gt;0,IF(($E109=INDEX(_xlfn.ANCHORARRAY(Sintesi!$C$14),1,$C109))*(INDEX(_xlfn.ANCHORARRAY(Sintesi!$C$15),1,$C109)&gt;0),0,IF(($E109=INDEX(_xlfn.ANCHORARRAY(Sintesi!$C$14),1,$C109))*(INDEX(_xlfn.ANCHORARRAY(Sintesi!$C$15),1,$C109)&lt;0)+($E109&gt;=$E108)*($E109&lt;=INDEX($E:$E,MATCH(TRUE,INDEX((ISNUMBER($E:$E)),0),0)))*($E109&gt;INDEX(_xlfn.ANCHORARRAY(Sintesi!$C$14),1,$C109))*($E109&lt;=INDEX(_xlfn.ANCHORARRAY(Sintesi!$C$15),1,$C109))*(INDEX(_xlfn.ANCHORARRAY(Sintesi!$C$15),1,$C109)&gt;0),1,IF(($E109&gt;=$E108)*($E109&lt;=INDEX($E:$E,MATCH(TRUE,INDEX((ISNUMBER($E:$E)),0),0)))*($E109&gt;INDEX(_xlfn.ANCHORARRAY(Sintesi!$C$14),1,$C109))*($E109&lt;INDEX(_xlfn.ANCHORARRAY(Sintesi!$C$16),1,$C109))*(INDEX(_xlfn.ANCHORARRAY(Sintesi!$C$15),1,$C109)&lt;0)+($E109&gt;=$E108)*($E109&lt;=INDEX($E:$E,MATCH(TRUE,INDEX((ISNUMBER($E:$E)),0),0)))*($E109&gt;INDEX(_xlfn.ANCHORARRAY(Sintesi!$C$15),1,$C109))*($E109&lt;INDEX(_xlfn.ANCHORARRAY(Sintesi!$C$16),1,$C109))*(INDEX(_xlfn.ANCHORARRAY(Sintesi!$C$15),1,$C109)&gt;0),2,IF($E109=(INDEX(_xlfn.ANCHORARRAY(Sintesi!$C$16),1,$C109)),3,4)))),0),IF($C109&gt;0,IF(($E109=INDEX(_xlfn.ANCHORARRAY(Sintesi!$C$14),1,$C109))*(INDEX(_xlfn.ANCHORARRAY(Sintesi!$C$15),1,$C109)&gt;0),0,IF(($E109=INDEX(_xlfn.ANCHORARRAY(Sintesi!$C$14),1,$C109))*(INDEX(_xlfn.ANCHORARRAY(Sintesi!$C$15),1,$C109)&lt;0)+($E109&gt;=LOOKUP(2,1/($E:$E&lt;&gt;""),$E:$E))*($E109&lt;=INDEX($E:$E,MATCH(TRUE,INDEX((ISNUMBER($E:$E)),0),0)))*($E109&gt;INDEX(_xlfn.ANCHORARRAY(Sintesi!$C$14),1,$C109))*($E109&lt;=INDEX(_xlfn.ANCHORARRAY(Sintesi!$C$15),1,$C109))*(INDEX(_xlfn.ANCHORARRAY(Sintesi!$C$15),1,$C109)&gt;0),1,IF(($E109&gt;=LOOKUP(2,1/($E:$E&lt;&gt;""),$E:$E))*($E109&lt;=INDEX($E:$E,MATCH(TRUE,INDEX((ISNUMBER($E:$E)),0),0)))*($E109&gt;INDEX(_xlfn.ANCHORARRAY(Sintesi!$C$14),1,$C109))*($E109&lt;INDEX(_xlfn.ANCHORARRAY(Sintesi!$C$16),1,$C109))*(INDEX(_xlfn.ANCHORARRAY(Sintesi!$C$15),1,$C109)&lt;0)+($E109&gt;=LOOKUP(2,1/($E:$E&lt;&gt;""),$E:$E))*($E109&lt;=INDEX($E:$E,MATCH(TRUE,INDEX((ISNUMBER($E:$E)),0),0)))*($E109&gt;INDEX(_xlfn.ANCHORARRAY(Sintesi!$C$15),1,$C109))*($E109&lt;INDEX(_xlfn.ANCHORARRAY(Sintesi!$C$16),1,$C109))*(INDEX(_xlfn.ANCHORARRAY(Sintesi!$C$15),1,$C109)&gt;0),2,IF($E109=(INDEX(_xlfn.ANCHORARRAY(Sintesi!$C$16),1,$C109)),3,4)))),0)),IF(ISNUMBER($E108),IF($C109&gt;0,IF(($E109=INDEX(_xlfn.ANCHORARRAY(Sintesi!$C$14),1,$C109))*(INDEX(_xlfn.ANCHORARRAY(Sintesi!$C$15),1,$C109)&gt;0),0,IF(($E109=INDEX(_xlfn.ANCHORARRAY(Sintesi!$C$14),1,$C109))*(INDEX(_xlfn.ANCHORARRAY(Sintesi!$C$15),1,$C109)&lt;0)+($E109&gt;=$E108)*($E109&lt;=$E110)*($E109&gt;INDEX(_xlfn.ANCHORARRAY(Sintesi!$C$14),1,$C109))*($E109&lt;=INDEX(_xlfn.ANCHORARRAY(Sintesi!$C$15),1,$C109))*(INDEX(_xlfn.ANCHORARRAY(Sintesi!$C$15),1,$C109)&gt;0),1,IF(($E109&gt;=$E108)*($E109&lt;=$E110)*($E109&gt;INDEX(_xlfn.ANCHORARRAY(Sintesi!$C$14),1,$C109))*($E109&lt;INDEX(_xlfn.ANCHORARRAY(Sintesi!$C$16),1,$C109))*(INDEX(_xlfn.ANCHORARRAY(Sintesi!$C$15),1,$C109)&lt;0)+($E109&gt;=$E108)*($E109&lt;=$E110)*($E109&gt;INDEX(_xlfn.ANCHORARRAY(Sintesi!$C$15),1,$C109))*($E109&lt;INDEX(_xlfn.ANCHORARRAY(Sintesi!$C$16),1,$C109))*(INDEX(_xlfn.ANCHORARRAY(Sintesi!$C$15),1,$C109)&gt;0),2,IF($E109=(INDEX(_xlfn.ANCHORARRAY(Sintesi!$C$16),1,$C109)),3,4)))),0),IF($C109&gt;0,IF(($E109=INDEX(_xlfn.ANCHORARRAY(Sintesi!$C$14),1,$C109))*(INDEX(_xlfn.ANCHORARRAY(Sintesi!$C$15),1,$C109)&gt;0),0,IF(($E109=INDEX(_xlfn.ANCHORARRAY(Sintesi!$C$14),1,$C109))*(INDEX(_xlfn.ANCHORARRAY(Sintesi!$C$15),1,$C109)&lt;0)+($E109&gt;=LOOKUP(2,1/($E:$E&lt;&gt;""),$E:$E))*($E109&lt;=$E110)*($E109&gt;INDEX(_xlfn.ANCHORARRAY(Sintesi!$C$14),1,$C109))*($E109&lt;=INDEX(_xlfn.ANCHORARRAY(Sintesi!$C$15),1,$C109))*(INDEX(_xlfn.ANCHORARRAY(Sintesi!$C$15),1,$C109)&gt;0),1,IF(($E109&gt;=LOOKUP(2,1/($E:$E&lt;&gt;""),$E:$E))*($E109&lt;=$E110)*($E109&gt;INDEX(_xlfn.ANCHORARRAY(Sintesi!$C$14),1,$C109))*($E109&lt;INDEX(_xlfn.ANCHORARRAY(Sintesi!$C$16),1,$C109))*(INDEX(_xlfn.ANCHORARRAY(Sintesi!$C$15),1,$C109)&lt;0)+($E109&gt;=LOOKUP(2,1/($E:$E&lt;&gt;""),$E:$E))*($E109&lt;=$E110)*($E109&gt;INDEX(_xlfn.ANCHORARRAY(Sintesi!$C$15),1,$C109))*($E109&lt;INDEX(_xlfn.ANCHORARRAY(Sintesi!$C$16),1,$C109))*(INDEX(_xlfn.ANCHORARRAY(Sintesi!$C$15),1,$C109)&gt;0),2,IF($E109=(INDEX(_xlfn.ANCHORARRAY(Sintesi!$C$16),1,$C109)),3,4)))),0)))</f>
        <v/>
      </c>
      <c r="E109" s="1">
        <f>'Paste cell here'!F109</f>
        <v/>
      </c>
      <c r="F109" s="1">
        <f>'Paste cell here'!C109</f>
        <v/>
      </c>
      <c r="G109" s="1">
        <f>'Paste cell here'!D109</f>
        <v/>
      </c>
      <c r="H109" s="1">
        <f>'Paste cell here'!E109</f>
        <v/>
      </c>
      <c r="I109" s="1">
        <f>'Paste cell here'!X109</f>
        <v/>
      </c>
      <c r="J109" s="1">
        <f>'Paste cell here'!Y109+'Paste cell here'!S109</f>
        <v/>
      </c>
      <c r="K109" s="1">
        <f>I109/H109</f>
        <v/>
      </c>
      <c r="L109" s="1">
        <f>AVERAGE(($F109+$G109)/2-($F109-$G109)/2*COS(PI()*(8-VLOOKUP(MONTH(B109),$O$1:$Q$13,3))/(VLOOKUP(MONTH(B109),$O$1:$Q$13,2)-VLOOKUP(MONTH(B109),$O$1:$Q$13,3))),($F109+$G109)/2-($F109-$G109)/2*COS(PI()*(9-VLOOKUP(MONTH(B109),$O$1:$Q$13,3))/(VLOOKUP(MONTH(B109),$O$1:$Q$13,2)-VLOOKUP(MONTH(B109),$O$1:$Q$13,3))),($F109+$G109)/2-($F109-$G109)/2*COS(PI()*(10-VLOOKUP(MONTH(B109),$O$1:$Q$13,3))/(VLOOKUP(MONTH(B109),$O$1:$Q$13,2)-VLOOKUP(MONTH(B109),$O$1:$Q$13,3))),($F109+$G109)/2-($F109-$G109)/2*COS(PI()*(11-VLOOKUP(MONTH(B109),$O$1:$Q$13,3))/(VLOOKUP(MONTH(B109),$O$1:$Q$13,2)-VLOOKUP(MONTH(B109),$O$1:$Q$13,3))),($F109+$G109)/2-($F109-$G109)/2*COS(PI()*(12-VLOOKUP(MONTH(B109),$O$1:$Q$13,3))/(VLOOKUP(MONTH(B109),$O$1:$Q$13,2)-VLOOKUP(MONTH(B109),$O$1:$Q$13,3))),($F109+$G109)/2-($F109-$G109)/2*COS(PI()*(13-VLOOKUP(MONTH(B109),$O$1:$Q$13,3))/(VLOOKUP(MONTH(B109),$O$1:$Q$13,2)-VLOOKUP(MONTH(B109),$O$1:$Q$13,3))),($F109+$G109)/2-($F109-$G109)/2*COS(PI()*(14-VLOOKUP(MONTH(B109),$O$1:$Q$13,3))/(VLOOKUP(MONTH(B109),$O$1:$Q$13,2)-VLOOKUP(MONTH(B109),$O$1:$Q$13,3))))</f>
        <v/>
      </c>
      <c r="M109" s="1">
        <f t="array" ref="M109">IF(AND(A109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,A109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),IF(L109&lt;_xlfn.IFNA(INDEX(_xlfn.ANCHORARRAY(Sintesi!$C$17)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,1,IF(L109&gt;=_xlfn.IFNA(INDEX(_xlfn.ANCHORARRAY(Sintesi!$C$18)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,0,1-(L109-_xlfn.IFNA(INDEX(_xlfn.ANCHORARRAY(Sintesi!$C$17)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)/(_xlfn.IFNA(INDEX(_xlfn.ANCHORARRAY(Sintesi!$C$18)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-_xlfn.IFNA(INDEX(_xlfn.ANCHORARRAY(Sintesi!$C$17)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))),0)</f>
        <v/>
      </c>
    </row>
    <row r="110">
      <c r="A110" s="1">
        <f>'Paste cell here'!A110</f>
        <v/>
      </c>
      <c r="B110" s="2">
        <f>DATE(Sintesi!$C$4-1,12,31)+A110</f>
        <v/>
      </c>
      <c r="C110" s="34">
        <f t="array" ref="C110">_xlfn.IFNA(MATCH(1,(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)*(_xlfn.ANCHORARRAY(Sintesi!$C$15)&gt;=0)+(_xlfn.ANCHORARRAY(Sintesi!$C$15)&lt;0),0),0)</f>
        <v/>
      </c>
      <c r="D110" s="1">
        <f t="array" ref="D110">IF(ISBLANK($E111),IF(ISNUMBER($E109),IF($C110&gt;0,IF(($E110=INDEX(_xlfn.ANCHORARRAY(Sintesi!$C$14),1,$C110))*(INDEX(_xlfn.ANCHORARRAY(Sintesi!$C$15),1,$C110)&gt;0),0,IF(($E110=INDEX(_xlfn.ANCHORARRAY(Sintesi!$C$14),1,$C110))*(INDEX(_xlfn.ANCHORARRAY(Sintesi!$C$15),1,$C110)&lt;0)+($E110&gt;=$E109)*($E110&lt;=INDEX($E:$E,MATCH(TRUE,INDEX((ISNUMBER($E:$E)),0),0)))*($E110&gt;INDEX(_xlfn.ANCHORARRAY(Sintesi!$C$14),1,$C110))*($E110&lt;=INDEX(_xlfn.ANCHORARRAY(Sintesi!$C$15),1,$C110))*(INDEX(_xlfn.ANCHORARRAY(Sintesi!$C$15),1,$C110)&gt;0),1,IF(($E110&gt;=$E109)*($E110&lt;=INDEX($E:$E,MATCH(TRUE,INDEX((ISNUMBER($E:$E)),0),0)))*($E110&gt;INDEX(_xlfn.ANCHORARRAY(Sintesi!$C$14),1,$C110))*($E110&lt;INDEX(_xlfn.ANCHORARRAY(Sintesi!$C$16),1,$C110))*(INDEX(_xlfn.ANCHORARRAY(Sintesi!$C$15),1,$C110)&lt;0)+($E110&gt;=$E109)*($E110&lt;=INDEX($E:$E,MATCH(TRUE,INDEX((ISNUMBER($E:$E)),0),0)))*($E110&gt;INDEX(_xlfn.ANCHORARRAY(Sintesi!$C$15),1,$C110))*($E110&lt;INDEX(_xlfn.ANCHORARRAY(Sintesi!$C$16),1,$C110))*(INDEX(_xlfn.ANCHORARRAY(Sintesi!$C$15),1,$C110)&gt;0),2,IF($E110=(INDEX(_xlfn.ANCHORARRAY(Sintesi!$C$16),1,$C110)),3,4)))),0),IF($C110&gt;0,IF(($E110=INDEX(_xlfn.ANCHORARRAY(Sintesi!$C$14),1,$C110))*(INDEX(_xlfn.ANCHORARRAY(Sintesi!$C$15),1,$C110)&gt;0),0,IF(($E110=INDEX(_xlfn.ANCHORARRAY(Sintesi!$C$14),1,$C110))*(INDEX(_xlfn.ANCHORARRAY(Sintesi!$C$15),1,$C110)&lt;0)+($E110&gt;=LOOKUP(2,1/($E:$E&lt;&gt;""),$E:$E))*($E110&lt;=INDEX($E:$E,MATCH(TRUE,INDEX((ISNUMBER($E:$E)),0),0)))*($E110&gt;INDEX(_xlfn.ANCHORARRAY(Sintesi!$C$14),1,$C110))*($E110&lt;=INDEX(_xlfn.ANCHORARRAY(Sintesi!$C$15),1,$C110))*(INDEX(_xlfn.ANCHORARRAY(Sintesi!$C$15),1,$C110)&gt;0),1,IF(($E110&gt;=LOOKUP(2,1/($E:$E&lt;&gt;""),$E:$E))*($E110&lt;=INDEX($E:$E,MATCH(TRUE,INDEX((ISNUMBER($E:$E)),0),0)))*($E110&gt;INDEX(_xlfn.ANCHORARRAY(Sintesi!$C$14),1,$C110))*($E110&lt;INDEX(_xlfn.ANCHORARRAY(Sintesi!$C$16),1,$C110))*(INDEX(_xlfn.ANCHORARRAY(Sintesi!$C$15),1,$C110)&lt;0)+($E110&gt;=LOOKUP(2,1/($E:$E&lt;&gt;""),$E:$E))*($E110&lt;=INDEX($E:$E,MATCH(TRUE,INDEX((ISNUMBER($E:$E)),0),0)))*($E110&gt;INDEX(_xlfn.ANCHORARRAY(Sintesi!$C$15),1,$C110))*($E110&lt;INDEX(_xlfn.ANCHORARRAY(Sintesi!$C$16),1,$C110))*(INDEX(_xlfn.ANCHORARRAY(Sintesi!$C$15),1,$C110)&gt;0),2,IF($E110=(INDEX(_xlfn.ANCHORARRAY(Sintesi!$C$16),1,$C110)),3,4)))),0)),IF(ISNUMBER($E109),IF($C110&gt;0,IF(($E110=INDEX(_xlfn.ANCHORARRAY(Sintesi!$C$14),1,$C110))*(INDEX(_xlfn.ANCHORARRAY(Sintesi!$C$15),1,$C110)&gt;0),0,IF(($E110=INDEX(_xlfn.ANCHORARRAY(Sintesi!$C$14),1,$C110))*(INDEX(_xlfn.ANCHORARRAY(Sintesi!$C$15),1,$C110)&lt;0)+($E110&gt;=$E109)*($E110&lt;=$E111)*($E110&gt;INDEX(_xlfn.ANCHORARRAY(Sintesi!$C$14),1,$C110))*($E110&lt;=INDEX(_xlfn.ANCHORARRAY(Sintesi!$C$15),1,$C110))*(INDEX(_xlfn.ANCHORARRAY(Sintesi!$C$15),1,$C110)&gt;0),1,IF(($E110&gt;=$E109)*($E110&lt;=$E111)*($E110&gt;INDEX(_xlfn.ANCHORARRAY(Sintesi!$C$14),1,$C110))*($E110&lt;INDEX(_xlfn.ANCHORARRAY(Sintesi!$C$16),1,$C110))*(INDEX(_xlfn.ANCHORARRAY(Sintesi!$C$15),1,$C110)&lt;0)+($E110&gt;=$E109)*($E110&lt;=$E111)*($E110&gt;INDEX(_xlfn.ANCHORARRAY(Sintesi!$C$15),1,$C110))*($E110&lt;INDEX(_xlfn.ANCHORARRAY(Sintesi!$C$16),1,$C110))*(INDEX(_xlfn.ANCHORARRAY(Sintesi!$C$15),1,$C110)&gt;0),2,IF($E110=(INDEX(_xlfn.ANCHORARRAY(Sintesi!$C$16),1,$C110)),3,4)))),0),IF($C110&gt;0,IF(($E110=INDEX(_xlfn.ANCHORARRAY(Sintesi!$C$14),1,$C110))*(INDEX(_xlfn.ANCHORARRAY(Sintesi!$C$15),1,$C110)&gt;0),0,IF(($E110=INDEX(_xlfn.ANCHORARRAY(Sintesi!$C$14),1,$C110))*(INDEX(_xlfn.ANCHORARRAY(Sintesi!$C$15),1,$C110)&lt;0)+($E110&gt;=LOOKUP(2,1/($E:$E&lt;&gt;""),$E:$E))*($E110&lt;=$E111)*($E110&gt;INDEX(_xlfn.ANCHORARRAY(Sintesi!$C$14),1,$C110))*($E110&lt;=INDEX(_xlfn.ANCHORARRAY(Sintesi!$C$15),1,$C110))*(INDEX(_xlfn.ANCHORARRAY(Sintesi!$C$15),1,$C110)&gt;0),1,IF(($E110&gt;=LOOKUP(2,1/($E:$E&lt;&gt;""),$E:$E))*($E110&lt;=$E111)*($E110&gt;INDEX(_xlfn.ANCHORARRAY(Sintesi!$C$14),1,$C110))*($E110&lt;INDEX(_xlfn.ANCHORARRAY(Sintesi!$C$16),1,$C110))*(INDEX(_xlfn.ANCHORARRAY(Sintesi!$C$15),1,$C110)&lt;0)+($E110&gt;=LOOKUP(2,1/($E:$E&lt;&gt;""),$E:$E))*($E110&lt;=$E111)*($E110&gt;INDEX(_xlfn.ANCHORARRAY(Sintesi!$C$15),1,$C110))*($E110&lt;INDEX(_xlfn.ANCHORARRAY(Sintesi!$C$16),1,$C110))*(INDEX(_xlfn.ANCHORARRAY(Sintesi!$C$15),1,$C110)&gt;0),2,IF($E110=(INDEX(_xlfn.ANCHORARRAY(Sintesi!$C$16),1,$C110)),3,4)))),0)))</f>
        <v/>
      </c>
      <c r="E110" s="1">
        <f>'Paste cell here'!F110</f>
        <v/>
      </c>
      <c r="F110" s="1">
        <f>'Paste cell here'!C110</f>
        <v/>
      </c>
      <c r="G110" s="1">
        <f>'Paste cell here'!D110</f>
        <v/>
      </c>
      <c r="H110" s="1">
        <f>'Paste cell here'!E110</f>
        <v/>
      </c>
      <c r="I110" s="1">
        <f>'Paste cell here'!X110</f>
        <v/>
      </c>
      <c r="J110" s="1">
        <f>'Paste cell here'!Y110+'Paste cell here'!S110</f>
        <v/>
      </c>
      <c r="K110" s="1">
        <f>I110/H110</f>
        <v/>
      </c>
      <c r="L110" s="1">
        <f>AVERAGE(($F110+$G110)/2-($F110-$G110)/2*COS(PI()*(8-VLOOKUP(MONTH(B110),$O$1:$Q$13,3))/(VLOOKUP(MONTH(B110),$O$1:$Q$13,2)-VLOOKUP(MONTH(B110),$O$1:$Q$13,3))),($F110+$G110)/2-($F110-$G110)/2*COS(PI()*(9-VLOOKUP(MONTH(B110),$O$1:$Q$13,3))/(VLOOKUP(MONTH(B110),$O$1:$Q$13,2)-VLOOKUP(MONTH(B110),$O$1:$Q$13,3))),($F110+$G110)/2-($F110-$G110)/2*COS(PI()*(10-VLOOKUP(MONTH(B110),$O$1:$Q$13,3))/(VLOOKUP(MONTH(B110),$O$1:$Q$13,2)-VLOOKUP(MONTH(B110),$O$1:$Q$13,3))),($F110+$G110)/2-($F110-$G110)/2*COS(PI()*(11-VLOOKUP(MONTH(B110),$O$1:$Q$13,3))/(VLOOKUP(MONTH(B110),$O$1:$Q$13,2)-VLOOKUP(MONTH(B110),$O$1:$Q$13,3))),($F110+$G110)/2-($F110-$G110)/2*COS(PI()*(12-VLOOKUP(MONTH(B110),$O$1:$Q$13,3))/(VLOOKUP(MONTH(B110),$O$1:$Q$13,2)-VLOOKUP(MONTH(B110),$O$1:$Q$13,3))),($F110+$G110)/2-($F110-$G110)/2*COS(PI()*(13-VLOOKUP(MONTH(B110),$O$1:$Q$13,3))/(VLOOKUP(MONTH(B110),$O$1:$Q$13,2)-VLOOKUP(MONTH(B110),$O$1:$Q$13,3))),($F110+$G110)/2-($F110-$G110)/2*COS(PI()*(14-VLOOKUP(MONTH(B110),$O$1:$Q$13,3))/(VLOOKUP(MONTH(B110),$O$1:$Q$13,2)-VLOOKUP(MONTH(B110),$O$1:$Q$13,3))))</f>
        <v/>
      </c>
      <c r="M110" s="1">
        <f t="array" ref="M110">IF(AND(A110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,A110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),IF(L110&lt;_xlfn.IFNA(INDEX(_xlfn.ANCHORARRAY(Sintesi!$C$17)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,1,IF(L110&gt;=_xlfn.IFNA(INDEX(_xlfn.ANCHORARRAY(Sintesi!$C$18)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,0,1-(L110-_xlfn.IFNA(INDEX(_xlfn.ANCHORARRAY(Sintesi!$C$17)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)/(_xlfn.IFNA(INDEX(_xlfn.ANCHORARRAY(Sintesi!$C$18)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-_xlfn.IFNA(INDEX(_xlfn.ANCHORARRAY(Sintesi!$C$17)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))),0)</f>
        <v/>
      </c>
    </row>
    <row r="111">
      <c r="A111" s="1">
        <f>'Paste cell here'!A111</f>
        <v/>
      </c>
      <c r="B111" s="2">
        <f>DATE(Sintesi!$C$4-1,12,31)+A111</f>
        <v/>
      </c>
      <c r="C111" s="34">
        <f t="array" ref="C111">_xlfn.IFNA(MATCH(1,(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)*(_xlfn.ANCHORARRAY(Sintesi!$C$15)&gt;=0)+(_xlfn.ANCHORARRAY(Sintesi!$C$15)&lt;0),0),0)</f>
        <v/>
      </c>
      <c r="D111" s="1">
        <f t="array" ref="D111">IF(ISBLANK($E112),IF(ISNUMBER($E110),IF($C111&gt;0,IF(($E111=INDEX(_xlfn.ANCHORARRAY(Sintesi!$C$14),1,$C111))*(INDEX(_xlfn.ANCHORARRAY(Sintesi!$C$15),1,$C111)&gt;0),0,IF(($E111=INDEX(_xlfn.ANCHORARRAY(Sintesi!$C$14),1,$C111))*(INDEX(_xlfn.ANCHORARRAY(Sintesi!$C$15),1,$C111)&lt;0)+($E111&gt;=$E110)*($E111&lt;=INDEX($E:$E,MATCH(TRUE,INDEX((ISNUMBER($E:$E)),0),0)))*($E111&gt;INDEX(_xlfn.ANCHORARRAY(Sintesi!$C$14),1,$C111))*($E111&lt;=INDEX(_xlfn.ANCHORARRAY(Sintesi!$C$15),1,$C111))*(INDEX(_xlfn.ANCHORARRAY(Sintesi!$C$15),1,$C111)&gt;0),1,IF(($E111&gt;=$E110)*($E111&lt;=INDEX($E:$E,MATCH(TRUE,INDEX((ISNUMBER($E:$E)),0),0)))*($E111&gt;INDEX(_xlfn.ANCHORARRAY(Sintesi!$C$14),1,$C111))*($E111&lt;INDEX(_xlfn.ANCHORARRAY(Sintesi!$C$16),1,$C111))*(INDEX(_xlfn.ANCHORARRAY(Sintesi!$C$15),1,$C111)&lt;0)+($E111&gt;=$E110)*($E111&lt;=INDEX($E:$E,MATCH(TRUE,INDEX((ISNUMBER($E:$E)),0),0)))*($E111&gt;INDEX(_xlfn.ANCHORARRAY(Sintesi!$C$15),1,$C111))*($E111&lt;INDEX(_xlfn.ANCHORARRAY(Sintesi!$C$16),1,$C111))*(INDEX(_xlfn.ANCHORARRAY(Sintesi!$C$15),1,$C111)&gt;0),2,IF($E111=(INDEX(_xlfn.ANCHORARRAY(Sintesi!$C$16),1,$C111)),3,4)))),0),IF($C111&gt;0,IF(($E111=INDEX(_xlfn.ANCHORARRAY(Sintesi!$C$14),1,$C111))*(INDEX(_xlfn.ANCHORARRAY(Sintesi!$C$15),1,$C111)&gt;0),0,IF(($E111=INDEX(_xlfn.ANCHORARRAY(Sintesi!$C$14),1,$C111))*(INDEX(_xlfn.ANCHORARRAY(Sintesi!$C$15),1,$C111)&lt;0)+($E111&gt;=LOOKUP(2,1/($E:$E&lt;&gt;""),$E:$E))*($E111&lt;=INDEX($E:$E,MATCH(TRUE,INDEX((ISNUMBER($E:$E)),0),0)))*($E111&gt;INDEX(_xlfn.ANCHORARRAY(Sintesi!$C$14),1,$C111))*($E111&lt;=INDEX(_xlfn.ANCHORARRAY(Sintesi!$C$15),1,$C111))*(INDEX(_xlfn.ANCHORARRAY(Sintesi!$C$15),1,$C111)&gt;0),1,IF(($E111&gt;=LOOKUP(2,1/($E:$E&lt;&gt;""),$E:$E))*($E111&lt;=INDEX($E:$E,MATCH(TRUE,INDEX((ISNUMBER($E:$E)),0),0)))*($E111&gt;INDEX(_xlfn.ANCHORARRAY(Sintesi!$C$14),1,$C111))*($E111&lt;INDEX(_xlfn.ANCHORARRAY(Sintesi!$C$16),1,$C111))*(INDEX(_xlfn.ANCHORARRAY(Sintesi!$C$15),1,$C111)&lt;0)+($E111&gt;=LOOKUP(2,1/($E:$E&lt;&gt;""),$E:$E))*($E111&lt;=INDEX($E:$E,MATCH(TRUE,INDEX((ISNUMBER($E:$E)),0),0)))*($E111&gt;INDEX(_xlfn.ANCHORARRAY(Sintesi!$C$15),1,$C111))*($E111&lt;INDEX(_xlfn.ANCHORARRAY(Sintesi!$C$16),1,$C111))*(INDEX(_xlfn.ANCHORARRAY(Sintesi!$C$15),1,$C111)&gt;0),2,IF($E111=(INDEX(_xlfn.ANCHORARRAY(Sintesi!$C$16),1,$C111)),3,4)))),0)),IF(ISNUMBER($E110),IF($C111&gt;0,IF(($E111=INDEX(_xlfn.ANCHORARRAY(Sintesi!$C$14),1,$C111))*(INDEX(_xlfn.ANCHORARRAY(Sintesi!$C$15),1,$C111)&gt;0),0,IF(($E111=INDEX(_xlfn.ANCHORARRAY(Sintesi!$C$14),1,$C111))*(INDEX(_xlfn.ANCHORARRAY(Sintesi!$C$15),1,$C111)&lt;0)+($E111&gt;=$E110)*($E111&lt;=$E112)*($E111&gt;INDEX(_xlfn.ANCHORARRAY(Sintesi!$C$14),1,$C111))*($E111&lt;=INDEX(_xlfn.ANCHORARRAY(Sintesi!$C$15),1,$C111))*(INDEX(_xlfn.ANCHORARRAY(Sintesi!$C$15),1,$C111)&gt;0),1,IF(($E111&gt;=$E110)*($E111&lt;=$E112)*($E111&gt;INDEX(_xlfn.ANCHORARRAY(Sintesi!$C$14),1,$C111))*($E111&lt;INDEX(_xlfn.ANCHORARRAY(Sintesi!$C$16),1,$C111))*(INDEX(_xlfn.ANCHORARRAY(Sintesi!$C$15),1,$C111)&lt;0)+($E111&gt;=$E110)*($E111&lt;=$E112)*($E111&gt;INDEX(_xlfn.ANCHORARRAY(Sintesi!$C$15),1,$C111))*($E111&lt;INDEX(_xlfn.ANCHORARRAY(Sintesi!$C$16),1,$C111))*(INDEX(_xlfn.ANCHORARRAY(Sintesi!$C$15),1,$C111)&gt;0),2,IF($E111=(INDEX(_xlfn.ANCHORARRAY(Sintesi!$C$16),1,$C111)),3,4)))),0),IF($C111&gt;0,IF(($E111=INDEX(_xlfn.ANCHORARRAY(Sintesi!$C$14),1,$C111))*(INDEX(_xlfn.ANCHORARRAY(Sintesi!$C$15),1,$C111)&gt;0),0,IF(($E111=INDEX(_xlfn.ANCHORARRAY(Sintesi!$C$14),1,$C111))*(INDEX(_xlfn.ANCHORARRAY(Sintesi!$C$15),1,$C111)&lt;0)+($E111&gt;=LOOKUP(2,1/($E:$E&lt;&gt;""),$E:$E))*($E111&lt;=$E112)*($E111&gt;INDEX(_xlfn.ANCHORARRAY(Sintesi!$C$14),1,$C111))*($E111&lt;=INDEX(_xlfn.ANCHORARRAY(Sintesi!$C$15),1,$C111))*(INDEX(_xlfn.ANCHORARRAY(Sintesi!$C$15),1,$C111)&gt;0),1,IF(($E111&gt;=LOOKUP(2,1/($E:$E&lt;&gt;""),$E:$E))*($E111&lt;=$E112)*($E111&gt;INDEX(_xlfn.ANCHORARRAY(Sintesi!$C$14),1,$C111))*($E111&lt;INDEX(_xlfn.ANCHORARRAY(Sintesi!$C$16),1,$C111))*(INDEX(_xlfn.ANCHORARRAY(Sintesi!$C$15),1,$C111)&lt;0)+($E111&gt;=LOOKUP(2,1/($E:$E&lt;&gt;""),$E:$E))*($E111&lt;=$E112)*($E111&gt;INDEX(_xlfn.ANCHORARRAY(Sintesi!$C$15),1,$C111))*($E111&lt;INDEX(_xlfn.ANCHORARRAY(Sintesi!$C$16),1,$C111))*(INDEX(_xlfn.ANCHORARRAY(Sintesi!$C$15),1,$C111)&gt;0),2,IF($E111=(INDEX(_xlfn.ANCHORARRAY(Sintesi!$C$16),1,$C111)),3,4)))),0)))</f>
        <v/>
      </c>
      <c r="E111" s="1">
        <f>'Paste cell here'!F111</f>
        <v/>
      </c>
      <c r="F111" s="1">
        <f>'Paste cell here'!C111</f>
        <v/>
      </c>
      <c r="G111" s="1">
        <f>'Paste cell here'!D111</f>
        <v/>
      </c>
      <c r="H111" s="1">
        <f>'Paste cell here'!E111</f>
        <v/>
      </c>
      <c r="I111" s="1">
        <f>'Paste cell here'!X111</f>
        <v/>
      </c>
      <c r="J111" s="1">
        <f>'Paste cell here'!Y111+'Paste cell here'!S111</f>
        <v/>
      </c>
      <c r="K111" s="1">
        <f>I111/H111</f>
        <v/>
      </c>
      <c r="L111" s="1">
        <f>AVERAGE(($F111+$G111)/2-($F111-$G111)/2*COS(PI()*(8-VLOOKUP(MONTH(B111),$O$1:$Q$13,3))/(VLOOKUP(MONTH(B111),$O$1:$Q$13,2)-VLOOKUP(MONTH(B111),$O$1:$Q$13,3))),($F111+$G111)/2-($F111-$G111)/2*COS(PI()*(9-VLOOKUP(MONTH(B111),$O$1:$Q$13,3))/(VLOOKUP(MONTH(B111),$O$1:$Q$13,2)-VLOOKUP(MONTH(B111),$O$1:$Q$13,3))),($F111+$G111)/2-($F111-$G111)/2*COS(PI()*(10-VLOOKUP(MONTH(B111),$O$1:$Q$13,3))/(VLOOKUP(MONTH(B111),$O$1:$Q$13,2)-VLOOKUP(MONTH(B111),$O$1:$Q$13,3))),($F111+$G111)/2-($F111-$G111)/2*COS(PI()*(11-VLOOKUP(MONTH(B111),$O$1:$Q$13,3))/(VLOOKUP(MONTH(B111),$O$1:$Q$13,2)-VLOOKUP(MONTH(B111),$O$1:$Q$13,3))),($F111+$G111)/2-($F111-$G111)/2*COS(PI()*(12-VLOOKUP(MONTH(B111),$O$1:$Q$13,3))/(VLOOKUP(MONTH(B111),$O$1:$Q$13,2)-VLOOKUP(MONTH(B111),$O$1:$Q$13,3))),($F111+$G111)/2-($F111-$G111)/2*COS(PI()*(13-VLOOKUP(MONTH(B111),$O$1:$Q$13,3))/(VLOOKUP(MONTH(B111),$O$1:$Q$13,2)-VLOOKUP(MONTH(B111),$O$1:$Q$13,3))),($F111+$G111)/2-($F111-$G111)/2*COS(PI()*(14-VLOOKUP(MONTH(B111),$O$1:$Q$13,3))/(VLOOKUP(MONTH(B111),$O$1:$Q$13,2)-VLOOKUP(MONTH(B111),$O$1:$Q$13,3))))</f>
        <v/>
      </c>
      <c r="M111" s="1">
        <f t="array" ref="M111">IF(AND(A111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,A111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),IF(L111&lt;_xlfn.IFNA(INDEX(_xlfn.ANCHORARRAY(Sintesi!$C$17)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,1,IF(L111&gt;=_xlfn.IFNA(INDEX(_xlfn.ANCHORARRAY(Sintesi!$C$18)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,0,1-(L111-_xlfn.IFNA(INDEX(_xlfn.ANCHORARRAY(Sintesi!$C$17)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)/(_xlfn.IFNA(INDEX(_xlfn.ANCHORARRAY(Sintesi!$C$18)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-_xlfn.IFNA(INDEX(_xlfn.ANCHORARRAY(Sintesi!$C$17)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))),0)</f>
        <v/>
      </c>
    </row>
    <row r="112">
      <c r="A112" s="1">
        <f>'Paste cell here'!A112</f>
        <v/>
      </c>
      <c r="B112" s="2">
        <f>DATE(Sintesi!$C$4-1,12,31)+A112</f>
        <v/>
      </c>
      <c r="C112" s="34">
        <f t="array" ref="C112">_xlfn.IFNA(MATCH(1,(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)*(_xlfn.ANCHORARRAY(Sintesi!$C$15)&gt;=0)+(_xlfn.ANCHORARRAY(Sintesi!$C$15)&lt;0),0),0)</f>
        <v/>
      </c>
      <c r="D112" s="1">
        <f t="array" ref="D112">IF(ISBLANK($E113),IF(ISNUMBER($E111),IF($C112&gt;0,IF(($E112=INDEX(_xlfn.ANCHORARRAY(Sintesi!$C$14),1,$C112))*(INDEX(_xlfn.ANCHORARRAY(Sintesi!$C$15),1,$C112)&gt;0),0,IF(($E112=INDEX(_xlfn.ANCHORARRAY(Sintesi!$C$14),1,$C112))*(INDEX(_xlfn.ANCHORARRAY(Sintesi!$C$15),1,$C112)&lt;0)+($E112&gt;=$E111)*($E112&lt;=INDEX($E:$E,MATCH(TRUE,INDEX((ISNUMBER($E:$E)),0),0)))*($E112&gt;INDEX(_xlfn.ANCHORARRAY(Sintesi!$C$14),1,$C112))*($E112&lt;=INDEX(_xlfn.ANCHORARRAY(Sintesi!$C$15),1,$C112))*(INDEX(_xlfn.ANCHORARRAY(Sintesi!$C$15),1,$C112)&gt;0),1,IF(($E112&gt;=$E111)*($E112&lt;=INDEX($E:$E,MATCH(TRUE,INDEX((ISNUMBER($E:$E)),0),0)))*($E112&gt;INDEX(_xlfn.ANCHORARRAY(Sintesi!$C$14),1,$C112))*($E112&lt;INDEX(_xlfn.ANCHORARRAY(Sintesi!$C$16),1,$C112))*(INDEX(_xlfn.ANCHORARRAY(Sintesi!$C$15),1,$C112)&lt;0)+($E112&gt;=$E111)*($E112&lt;=INDEX($E:$E,MATCH(TRUE,INDEX((ISNUMBER($E:$E)),0),0)))*($E112&gt;INDEX(_xlfn.ANCHORARRAY(Sintesi!$C$15),1,$C112))*($E112&lt;INDEX(_xlfn.ANCHORARRAY(Sintesi!$C$16),1,$C112))*(INDEX(_xlfn.ANCHORARRAY(Sintesi!$C$15),1,$C112)&gt;0),2,IF($E112=(INDEX(_xlfn.ANCHORARRAY(Sintesi!$C$16),1,$C112)),3,4)))),0),IF($C112&gt;0,IF(($E112=INDEX(_xlfn.ANCHORARRAY(Sintesi!$C$14),1,$C112))*(INDEX(_xlfn.ANCHORARRAY(Sintesi!$C$15),1,$C112)&gt;0),0,IF(($E112=INDEX(_xlfn.ANCHORARRAY(Sintesi!$C$14),1,$C112))*(INDEX(_xlfn.ANCHORARRAY(Sintesi!$C$15),1,$C112)&lt;0)+($E112&gt;=LOOKUP(2,1/($E:$E&lt;&gt;""),$E:$E))*($E112&lt;=INDEX($E:$E,MATCH(TRUE,INDEX((ISNUMBER($E:$E)),0),0)))*($E112&gt;INDEX(_xlfn.ANCHORARRAY(Sintesi!$C$14),1,$C112))*($E112&lt;=INDEX(_xlfn.ANCHORARRAY(Sintesi!$C$15),1,$C112))*(INDEX(_xlfn.ANCHORARRAY(Sintesi!$C$15),1,$C112)&gt;0),1,IF(($E112&gt;=LOOKUP(2,1/($E:$E&lt;&gt;""),$E:$E))*($E112&lt;=INDEX($E:$E,MATCH(TRUE,INDEX((ISNUMBER($E:$E)),0),0)))*($E112&gt;INDEX(_xlfn.ANCHORARRAY(Sintesi!$C$14),1,$C112))*($E112&lt;INDEX(_xlfn.ANCHORARRAY(Sintesi!$C$16),1,$C112))*(INDEX(_xlfn.ANCHORARRAY(Sintesi!$C$15),1,$C112)&lt;0)+($E112&gt;=LOOKUP(2,1/($E:$E&lt;&gt;""),$E:$E))*($E112&lt;=INDEX($E:$E,MATCH(TRUE,INDEX((ISNUMBER($E:$E)),0),0)))*($E112&gt;INDEX(_xlfn.ANCHORARRAY(Sintesi!$C$15),1,$C112))*($E112&lt;INDEX(_xlfn.ANCHORARRAY(Sintesi!$C$16),1,$C112))*(INDEX(_xlfn.ANCHORARRAY(Sintesi!$C$15),1,$C112)&gt;0),2,IF($E112=(INDEX(_xlfn.ANCHORARRAY(Sintesi!$C$16),1,$C112)),3,4)))),0)),IF(ISNUMBER($E111),IF($C112&gt;0,IF(($E112=INDEX(_xlfn.ANCHORARRAY(Sintesi!$C$14),1,$C112))*(INDEX(_xlfn.ANCHORARRAY(Sintesi!$C$15),1,$C112)&gt;0),0,IF(($E112=INDEX(_xlfn.ANCHORARRAY(Sintesi!$C$14),1,$C112))*(INDEX(_xlfn.ANCHORARRAY(Sintesi!$C$15),1,$C112)&lt;0)+($E112&gt;=$E111)*($E112&lt;=$E113)*($E112&gt;INDEX(_xlfn.ANCHORARRAY(Sintesi!$C$14),1,$C112))*($E112&lt;=INDEX(_xlfn.ANCHORARRAY(Sintesi!$C$15),1,$C112))*(INDEX(_xlfn.ANCHORARRAY(Sintesi!$C$15),1,$C112)&gt;0),1,IF(($E112&gt;=$E111)*($E112&lt;=$E113)*($E112&gt;INDEX(_xlfn.ANCHORARRAY(Sintesi!$C$14),1,$C112))*($E112&lt;INDEX(_xlfn.ANCHORARRAY(Sintesi!$C$16),1,$C112))*(INDEX(_xlfn.ANCHORARRAY(Sintesi!$C$15),1,$C112)&lt;0)+($E112&gt;=$E111)*($E112&lt;=$E113)*($E112&gt;INDEX(_xlfn.ANCHORARRAY(Sintesi!$C$15),1,$C112))*($E112&lt;INDEX(_xlfn.ANCHORARRAY(Sintesi!$C$16),1,$C112))*(INDEX(_xlfn.ANCHORARRAY(Sintesi!$C$15),1,$C112)&gt;0),2,IF($E112=(INDEX(_xlfn.ANCHORARRAY(Sintesi!$C$16),1,$C112)),3,4)))),0),IF($C112&gt;0,IF(($E112=INDEX(_xlfn.ANCHORARRAY(Sintesi!$C$14),1,$C112))*(INDEX(_xlfn.ANCHORARRAY(Sintesi!$C$15),1,$C112)&gt;0),0,IF(($E112=INDEX(_xlfn.ANCHORARRAY(Sintesi!$C$14),1,$C112))*(INDEX(_xlfn.ANCHORARRAY(Sintesi!$C$15),1,$C112)&lt;0)+($E112&gt;=LOOKUP(2,1/($E:$E&lt;&gt;""),$E:$E))*($E112&lt;=$E113)*($E112&gt;INDEX(_xlfn.ANCHORARRAY(Sintesi!$C$14),1,$C112))*($E112&lt;=INDEX(_xlfn.ANCHORARRAY(Sintesi!$C$15),1,$C112))*(INDEX(_xlfn.ANCHORARRAY(Sintesi!$C$15),1,$C112)&gt;0),1,IF(($E112&gt;=LOOKUP(2,1/($E:$E&lt;&gt;""),$E:$E))*($E112&lt;=$E113)*($E112&gt;INDEX(_xlfn.ANCHORARRAY(Sintesi!$C$14),1,$C112))*($E112&lt;INDEX(_xlfn.ANCHORARRAY(Sintesi!$C$16),1,$C112))*(INDEX(_xlfn.ANCHORARRAY(Sintesi!$C$15),1,$C112)&lt;0)+($E112&gt;=LOOKUP(2,1/($E:$E&lt;&gt;""),$E:$E))*($E112&lt;=$E113)*($E112&gt;INDEX(_xlfn.ANCHORARRAY(Sintesi!$C$15),1,$C112))*($E112&lt;INDEX(_xlfn.ANCHORARRAY(Sintesi!$C$16),1,$C112))*(INDEX(_xlfn.ANCHORARRAY(Sintesi!$C$15),1,$C112)&gt;0),2,IF($E112=(INDEX(_xlfn.ANCHORARRAY(Sintesi!$C$16),1,$C112)),3,4)))),0)))</f>
        <v/>
      </c>
      <c r="E112" s="1">
        <f>'Paste cell here'!F112</f>
        <v/>
      </c>
      <c r="F112" s="1">
        <f>'Paste cell here'!C112</f>
        <v/>
      </c>
      <c r="G112" s="1">
        <f>'Paste cell here'!D112</f>
        <v/>
      </c>
      <c r="H112" s="1">
        <f>'Paste cell here'!E112</f>
        <v/>
      </c>
      <c r="I112" s="1">
        <f>'Paste cell here'!X112</f>
        <v/>
      </c>
      <c r="J112" s="1">
        <f>'Paste cell here'!Y112+'Paste cell here'!S112</f>
        <v/>
      </c>
      <c r="K112" s="1">
        <f>I112/H112</f>
        <v/>
      </c>
      <c r="L112" s="1">
        <f>AVERAGE(($F112+$G112)/2-($F112-$G112)/2*COS(PI()*(8-VLOOKUP(MONTH(B112),$O$1:$Q$13,3))/(VLOOKUP(MONTH(B112),$O$1:$Q$13,2)-VLOOKUP(MONTH(B112),$O$1:$Q$13,3))),($F112+$G112)/2-($F112-$G112)/2*COS(PI()*(9-VLOOKUP(MONTH(B112),$O$1:$Q$13,3))/(VLOOKUP(MONTH(B112),$O$1:$Q$13,2)-VLOOKUP(MONTH(B112),$O$1:$Q$13,3))),($F112+$G112)/2-($F112-$G112)/2*COS(PI()*(10-VLOOKUP(MONTH(B112),$O$1:$Q$13,3))/(VLOOKUP(MONTH(B112),$O$1:$Q$13,2)-VLOOKUP(MONTH(B112),$O$1:$Q$13,3))),($F112+$G112)/2-($F112-$G112)/2*COS(PI()*(11-VLOOKUP(MONTH(B112),$O$1:$Q$13,3))/(VLOOKUP(MONTH(B112),$O$1:$Q$13,2)-VLOOKUP(MONTH(B112),$O$1:$Q$13,3))),($F112+$G112)/2-($F112-$G112)/2*COS(PI()*(12-VLOOKUP(MONTH(B112),$O$1:$Q$13,3))/(VLOOKUP(MONTH(B112),$O$1:$Q$13,2)-VLOOKUP(MONTH(B112),$O$1:$Q$13,3))),($F112+$G112)/2-($F112-$G112)/2*COS(PI()*(13-VLOOKUP(MONTH(B112),$O$1:$Q$13,3))/(VLOOKUP(MONTH(B112),$O$1:$Q$13,2)-VLOOKUP(MONTH(B112),$O$1:$Q$13,3))),($F112+$G112)/2-($F112-$G112)/2*COS(PI()*(14-VLOOKUP(MONTH(B112),$O$1:$Q$13,3))/(VLOOKUP(MONTH(B112),$O$1:$Q$13,2)-VLOOKUP(MONTH(B112),$O$1:$Q$13,3))))</f>
        <v/>
      </c>
      <c r="M112" s="1">
        <f t="array" ref="M112">IF(AND(A112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,A112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),IF(L112&lt;_xlfn.IFNA(INDEX(_xlfn.ANCHORARRAY(Sintesi!$C$17)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,1,IF(L112&gt;=_xlfn.IFNA(INDEX(_xlfn.ANCHORARRAY(Sintesi!$C$18)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,0,1-(L112-_xlfn.IFNA(INDEX(_xlfn.ANCHORARRAY(Sintesi!$C$17)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)/(_xlfn.IFNA(INDEX(_xlfn.ANCHORARRAY(Sintesi!$C$18)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-_xlfn.IFNA(INDEX(_xlfn.ANCHORARRAY(Sintesi!$C$17)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))),0)</f>
        <v/>
      </c>
    </row>
    <row r="113">
      <c r="A113" s="1">
        <f>'Paste cell here'!A113</f>
        <v/>
      </c>
      <c r="B113" s="2">
        <f>DATE(Sintesi!$C$4-1,12,31)+A113</f>
        <v/>
      </c>
      <c r="C113" s="34">
        <f t="array" ref="C113">_xlfn.IFNA(MATCH(1,(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)*(_xlfn.ANCHORARRAY(Sintesi!$C$15)&gt;=0)+(_xlfn.ANCHORARRAY(Sintesi!$C$15)&lt;0),0),0)</f>
        <v/>
      </c>
      <c r="D113" s="1">
        <f t="array" ref="D113">IF(ISBLANK($E114),IF(ISNUMBER($E112),IF($C113&gt;0,IF(($E113=INDEX(_xlfn.ANCHORARRAY(Sintesi!$C$14),1,$C113))*(INDEX(_xlfn.ANCHORARRAY(Sintesi!$C$15),1,$C113)&gt;0),0,IF(($E113=INDEX(_xlfn.ANCHORARRAY(Sintesi!$C$14),1,$C113))*(INDEX(_xlfn.ANCHORARRAY(Sintesi!$C$15),1,$C113)&lt;0)+($E113&gt;=$E112)*($E113&lt;=INDEX($E:$E,MATCH(TRUE,INDEX((ISNUMBER($E:$E)),0),0)))*($E113&gt;INDEX(_xlfn.ANCHORARRAY(Sintesi!$C$14),1,$C113))*($E113&lt;=INDEX(_xlfn.ANCHORARRAY(Sintesi!$C$15),1,$C113))*(INDEX(_xlfn.ANCHORARRAY(Sintesi!$C$15),1,$C113)&gt;0),1,IF(($E113&gt;=$E112)*($E113&lt;=INDEX($E:$E,MATCH(TRUE,INDEX((ISNUMBER($E:$E)),0),0)))*($E113&gt;INDEX(_xlfn.ANCHORARRAY(Sintesi!$C$14),1,$C113))*($E113&lt;INDEX(_xlfn.ANCHORARRAY(Sintesi!$C$16),1,$C113))*(INDEX(_xlfn.ANCHORARRAY(Sintesi!$C$15),1,$C113)&lt;0)+($E113&gt;=$E112)*($E113&lt;=INDEX($E:$E,MATCH(TRUE,INDEX((ISNUMBER($E:$E)),0),0)))*($E113&gt;INDEX(_xlfn.ANCHORARRAY(Sintesi!$C$15),1,$C113))*($E113&lt;INDEX(_xlfn.ANCHORARRAY(Sintesi!$C$16),1,$C113))*(INDEX(_xlfn.ANCHORARRAY(Sintesi!$C$15),1,$C113)&gt;0),2,IF($E113=(INDEX(_xlfn.ANCHORARRAY(Sintesi!$C$16),1,$C113)),3,4)))),0),IF($C113&gt;0,IF(($E113=INDEX(_xlfn.ANCHORARRAY(Sintesi!$C$14),1,$C113))*(INDEX(_xlfn.ANCHORARRAY(Sintesi!$C$15),1,$C113)&gt;0),0,IF(($E113=INDEX(_xlfn.ANCHORARRAY(Sintesi!$C$14),1,$C113))*(INDEX(_xlfn.ANCHORARRAY(Sintesi!$C$15),1,$C113)&lt;0)+($E113&gt;=LOOKUP(2,1/($E:$E&lt;&gt;""),$E:$E))*($E113&lt;=INDEX($E:$E,MATCH(TRUE,INDEX((ISNUMBER($E:$E)),0),0)))*($E113&gt;INDEX(_xlfn.ANCHORARRAY(Sintesi!$C$14),1,$C113))*($E113&lt;=INDEX(_xlfn.ANCHORARRAY(Sintesi!$C$15),1,$C113))*(INDEX(_xlfn.ANCHORARRAY(Sintesi!$C$15),1,$C113)&gt;0),1,IF(($E113&gt;=LOOKUP(2,1/($E:$E&lt;&gt;""),$E:$E))*($E113&lt;=INDEX($E:$E,MATCH(TRUE,INDEX((ISNUMBER($E:$E)),0),0)))*($E113&gt;INDEX(_xlfn.ANCHORARRAY(Sintesi!$C$14),1,$C113))*($E113&lt;INDEX(_xlfn.ANCHORARRAY(Sintesi!$C$16),1,$C113))*(INDEX(_xlfn.ANCHORARRAY(Sintesi!$C$15),1,$C113)&lt;0)+($E113&gt;=LOOKUP(2,1/($E:$E&lt;&gt;""),$E:$E))*($E113&lt;=INDEX($E:$E,MATCH(TRUE,INDEX((ISNUMBER($E:$E)),0),0)))*($E113&gt;INDEX(_xlfn.ANCHORARRAY(Sintesi!$C$15),1,$C113))*($E113&lt;INDEX(_xlfn.ANCHORARRAY(Sintesi!$C$16),1,$C113))*(INDEX(_xlfn.ANCHORARRAY(Sintesi!$C$15),1,$C113)&gt;0),2,IF($E113=(INDEX(_xlfn.ANCHORARRAY(Sintesi!$C$16),1,$C113)),3,4)))),0)),IF(ISNUMBER($E112),IF($C113&gt;0,IF(($E113=INDEX(_xlfn.ANCHORARRAY(Sintesi!$C$14),1,$C113))*(INDEX(_xlfn.ANCHORARRAY(Sintesi!$C$15),1,$C113)&gt;0),0,IF(($E113=INDEX(_xlfn.ANCHORARRAY(Sintesi!$C$14),1,$C113))*(INDEX(_xlfn.ANCHORARRAY(Sintesi!$C$15),1,$C113)&lt;0)+($E113&gt;=$E112)*($E113&lt;=$E114)*($E113&gt;INDEX(_xlfn.ANCHORARRAY(Sintesi!$C$14),1,$C113))*($E113&lt;=INDEX(_xlfn.ANCHORARRAY(Sintesi!$C$15),1,$C113))*(INDEX(_xlfn.ANCHORARRAY(Sintesi!$C$15),1,$C113)&gt;0),1,IF(($E113&gt;=$E112)*($E113&lt;=$E114)*($E113&gt;INDEX(_xlfn.ANCHORARRAY(Sintesi!$C$14),1,$C113))*($E113&lt;INDEX(_xlfn.ANCHORARRAY(Sintesi!$C$16),1,$C113))*(INDEX(_xlfn.ANCHORARRAY(Sintesi!$C$15),1,$C113)&lt;0)+($E113&gt;=$E112)*($E113&lt;=$E114)*($E113&gt;INDEX(_xlfn.ANCHORARRAY(Sintesi!$C$15),1,$C113))*($E113&lt;INDEX(_xlfn.ANCHORARRAY(Sintesi!$C$16),1,$C113))*(INDEX(_xlfn.ANCHORARRAY(Sintesi!$C$15),1,$C113)&gt;0),2,IF($E113=(INDEX(_xlfn.ANCHORARRAY(Sintesi!$C$16),1,$C113)),3,4)))),0),IF($C113&gt;0,IF(($E113=INDEX(_xlfn.ANCHORARRAY(Sintesi!$C$14),1,$C113))*(INDEX(_xlfn.ANCHORARRAY(Sintesi!$C$15),1,$C113)&gt;0),0,IF(($E113=INDEX(_xlfn.ANCHORARRAY(Sintesi!$C$14),1,$C113))*(INDEX(_xlfn.ANCHORARRAY(Sintesi!$C$15),1,$C113)&lt;0)+($E113&gt;=LOOKUP(2,1/($E:$E&lt;&gt;""),$E:$E))*($E113&lt;=$E114)*($E113&gt;INDEX(_xlfn.ANCHORARRAY(Sintesi!$C$14),1,$C113))*($E113&lt;=INDEX(_xlfn.ANCHORARRAY(Sintesi!$C$15),1,$C113))*(INDEX(_xlfn.ANCHORARRAY(Sintesi!$C$15),1,$C113)&gt;0),1,IF(($E113&gt;=LOOKUP(2,1/($E:$E&lt;&gt;""),$E:$E))*($E113&lt;=$E114)*($E113&gt;INDEX(_xlfn.ANCHORARRAY(Sintesi!$C$14),1,$C113))*($E113&lt;INDEX(_xlfn.ANCHORARRAY(Sintesi!$C$16),1,$C113))*(INDEX(_xlfn.ANCHORARRAY(Sintesi!$C$15),1,$C113)&lt;0)+($E113&gt;=LOOKUP(2,1/($E:$E&lt;&gt;""),$E:$E))*($E113&lt;=$E114)*($E113&gt;INDEX(_xlfn.ANCHORARRAY(Sintesi!$C$15),1,$C113))*($E113&lt;INDEX(_xlfn.ANCHORARRAY(Sintesi!$C$16),1,$C113))*(INDEX(_xlfn.ANCHORARRAY(Sintesi!$C$15),1,$C113)&gt;0),2,IF($E113=(INDEX(_xlfn.ANCHORARRAY(Sintesi!$C$16),1,$C113)),3,4)))),0)))</f>
        <v/>
      </c>
      <c r="E113" s="1">
        <f>'Paste cell here'!F113</f>
        <v/>
      </c>
      <c r="F113" s="1">
        <f>'Paste cell here'!C113</f>
        <v/>
      </c>
      <c r="G113" s="1">
        <f>'Paste cell here'!D113</f>
        <v/>
      </c>
      <c r="H113" s="1">
        <f>'Paste cell here'!E113</f>
        <v/>
      </c>
      <c r="I113" s="1">
        <f>'Paste cell here'!X113</f>
        <v/>
      </c>
      <c r="J113" s="1">
        <f>'Paste cell here'!Y113+'Paste cell here'!S113</f>
        <v/>
      </c>
      <c r="K113" s="1">
        <f>I113/H113</f>
        <v/>
      </c>
      <c r="L113" s="1">
        <f>AVERAGE(($F113+$G113)/2-($F113-$G113)/2*COS(PI()*(8-VLOOKUP(MONTH(B113),$O$1:$Q$13,3))/(VLOOKUP(MONTH(B113),$O$1:$Q$13,2)-VLOOKUP(MONTH(B113),$O$1:$Q$13,3))),($F113+$G113)/2-($F113-$G113)/2*COS(PI()*(9-VLOOKUP(MONTH(B113),$O$1:$Q$13,3))/(VLOOKUP(MONTH(B113),$O$1:$Q$13,2)-VLOOKUP(MONTH(B113),$O$1:$Q$13,3))),($F113+$G113)/2-($F113-$G113)/2*COS(PI()*(10-VLOOKUP(MONTH(B113),$O$1:$Q$13,3))/(VLOOKUP(MONTH(B113),$O$1:$Q$13,2)-VLOOKUP(MONTH(B113),$O$1:$Q$13,3))),($F113+$G113)/2-($F113-$G113)/2*COS(PI()*(11-VLOOKUP(MONTH(B113),$O$1:$Q$13,3))/(VLOOKUP(MONTH(B113),$O$1:$Q$13,2)-VLOOKUP(MONTH(B113),$O$1:$Q$13,3))),($F113+$G113)/2-($F113-$G113)/2*COS(PI()*(12-VLOOKUP(MONTH(B113),$O$1:$Q$13,3))/(VLOOKUP(MONTH(B113),$O$1:$Q$13,2)-VLOOKUP(MONTH(B113),$O$1:$Q$13,3))),($F113+$G113)/2-($F113-$G113)/2*COS(PI()*(13-VLOOKUP(MONTH(B113),$O$1:$Q$13,3))/(VLOOKUP(MONTH(B113),$O$1:$Q$13,2)-VLOOKUP(MONTH(B113),$O$1:$Q$13,3))),($F113+$G113)/2-($F113-$G113)/2*COS(PI()*(14-VLOOKUP(MONTH(B113),$O$1:$Q$13,3))/(VLOOKUP(MONTH(B113),$O$1:$Q$13,2)-VLOOKUP(MONTH(B113),$O$1:$Q$13,3))))</f>
        <v/>
      </c>
      <c r="M113" s="1">
        <f t="array" ref="M113">IF(AND(A113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,A113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),IF(L113&lt;_xlfn.IFNA(INDEX(_xlfn.ANCHORARRAY(Sintesi!$C$17)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,1,IF(L113&gt;=_xlfn.IFNA(INDEX(_xlfn.ANCHORARRAY(Sintesi!$C$18)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,0,1-(L113-_xlfn.IFNA(INDEX(_xlfn.ANCHORARRAY(Sintesi!$C$17)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)/(_xlfn.IFNA(INDEX(_xlfn.ANCHORARRAY(Sintesi!$C$18)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-_xlfn.IFNA(INDEX(_xlfn.ANCHORARRAY(Sintesi!$C$17)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))),0)</f>
        <v/>
      </c>
    </row>
    <row r="114">
      <c r="A114" s="1">
        <f>'Paste cell here'!A114</f>
        <v/>
      </c>
      <c r="B114" s="2">
        <f>DATE(Sintesi!$C$4-1,12,31)+A114</f>
        <v/>
      </c>
      <c r="C114" s="34">
        <f t="array" ref="C114">_xlfn.IFNA(MATCH(1,(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)*(_xlfn.ANCHORARRAY(Sintesi!$C$15)&gt;=0)+(_xlfn.ANCHORARRAY(Sintesi!$C$15)&lt;0),0),0)</f>
        <v/>
      </c>
      <c r="D114" s="1">
        <f t="array" ref="D114">IF(ISBLANK($E115),IF(ISNUMBER($E113),IF($C114&gt;0,IF(($E114=INDEX(_xlfn.ANCHORARRAY(Sintesi!$C$14),1,$C114))*(INDEX(_xlfn.ANCHORARRAY(Sintesi!$C$15),1,$C114)&gt;0),0,IF(($E114=INDEX(_xlfn.ANCHORARRAY(Sintesi!$C$14),1,$C114))*(INDEX(_xlfn.ANCHORARRAY(Sintesi!$C$15),1,$C114)&lt;0)+($E114&gt;=$E113)*($E114&lt;=INDEX($E:$E,MATCH(TRUE,INDEX((ISNUMBER($E:$E)),0),0)))*($E114&gt;INDEX(_xlfn.ANCHORARRAY(Sintesi!$C$14),1,$C114))*($E114&lt;=INDEX(_xlfn.ANCHORARRAY(Sintesi!$C$15),1,$C114))*(INDEX(_xlfn.ANCHORARRAY(Sintesi!$C$15),1,$C114)&gt;0),1,IF(($E114&gt;=$E113)*($E114&lt;=INDEX($E:$E,MATCH(TRUE,INDEX((ISNUMBER($E:$E)),0),0)))*($E114&gt;INDEX(_xlfn.ANCHORARRAY(Sintesi!$C$14),1,$C114))*($E114&lt;INDEX(_xlfn.ANCHORARRAY(Sintesi!$C$16),1,$C114))*(INDEX(_xlfn.ANCHORARRAY(Sintesi!$C$15),1,$C114)&lt;0)+($E114&gt;=$E113)*($E114&lt;=INDEX($E:$E,MATCH(TRUE,INDEX((ISNUMBER($E:$E)),0),0)))*($E114&gt;INDEX(_xlfn.ANCHORARRAY(Sintesi!$C$15),1,$C114))*($E114&lt;INDEX(_xlfn.ANCHORARRAY(Sintesi!$C$16),1,$C114))*(INDEX(_xlfn.ANCHORARRAY(Sintesi!$C$15),1,$C114)&gt;0),2,IF($E114=(INDEX(_xlfn.ANCHORARRAY(Sintesi!$C$16),1,$C114)),3,4)))),0),IF($C114&gt;0,IF(($E114=INDEX(_xlfn.ANCHORARRAY(Sintesi!$C$14),1,$C114))*(INDEX(_xlfn.ANCHORARRAY(Sintesi!$C$15),1,$C114)&gt;0),0,IF(($E114=INDEX(_xlfn.ANCHORARRAY(Sintesi!$C$14),1,$C114))*(INDEX(_xlfn.ANCHORARRAY(Sintesi!$C$15),1,$C114)&lt;0)+($E114&gt;=LOOKUP(2,1/($E:$E&lt;&gt;""),$E:$E))*($E114&lt;=INDEX($E:$E,MATCH(TRUE,INDEX((ISNUMBER($E:$E)),0),0)))*($E114&gt;INDEX(_xlfn.ANCHORARRAY(Sintesi!$C$14),1,$C114))*($E114&lt;=INDEX(_xlfn.ANCHORARRAY(Sintesi!$C$15),1,$C114))*(INDEX(_xlfn.ANCHORARRAY(Sintesi!$C$15),1,$C114)&gt;0),1,IF(($E114&gt;=LOOKUP(2,1/($E:$E&lt;&gt;""),$E:$E))*($E114&lt;=INDEX($E:$E,MATCH(TRUE,INDEX((ISNUMBER($E:$E)),0),0)))*($E114&gt;INDEX(_xlfn.ANCHORARRAY(Sintesi!$C$14),1,$C114))*($E114&lt;INDEX(_xlfn.ANCHORARRAY(Sintesi!$C$16),1,$C114))*(INDEX(_xlfn.ANCHORARRAY(Sintesi!$C$15),1,$C114)&lt;0)+($E114&gt;=LOOKUP(2,1/($E:$E&lt;&gt;""),$E:$E))*($E114&lt;=INDEX($E:$E,MATCH(TRUE,INDEX((ISNUMBER($E:$E)),0),0)))*($E114&gt;INDEX(_xlfn.ANCHORARRAY(Sintesi!$C$15),1,$C114))*($E114&lt;INDEX(_xlfn.ANCHORARRAY(Sintesi!$C$16),1,$C114))*(INDEX(_xlfn.ANCHORARRAY(Sintesi!$C$15),1,$C114)&gt;0),2,IF($E114=(INDEX(_xlfn.ANCHORARRAY(Sintesi!$C$16),1,$C114)),3,4)))),0)),IF(ISNUMBER($E113),IF($C114&gt;0,IF(($E114=INDEX(_xlfn.ANCHORARRAY(Sintesi!$C$14),1,$C114))*(INDEX(_xlfn.ANCHORARRAY(Sintesi!$C$15),1,$C114)&gt;0),0,IF(($E114=INDEX(_xlfn.ANCHORARRAY(Sintesi!$C$14),1,$C114))*(INDEX(_xlfn.ANCHORARRAY(Sintesi!$C$15),1,$C114)&lt;0)+($E114&gt;=$E113)*($E114&lt;=$E115)*($E114&gt;INDEX(_xlfn.ANCHORARRAY(Sintesi!$C$14),1,$C114))*($E114&lt;=INDEX(_xlfn.ANCHORARRAY(Sintesi!$C$15),1,$C114))*(INDEX(_xlfn.ANCHORARRAY(Sintesi!$C$15),1,$C114)&gt;0),1,IF(($E114&gt;=$E113)*($E114&lt;=$E115)*($E114&gt;INDEX(_xlfn.ANCHORARRAY(Sintesi!$C$14),1,$C114))*($E114&lt;INDEX(_xlfn.ANCHORARRAY(Sintesi!$C$16),1,$C114))*(INDEX(_xlfn.ANCHORARRAY(Sintesi!$C$15),1,$C114)&lt;0)+($E114&gt;=$E113)*($E114&lt;=$E115)*($E114&gt;INDEX(_xlfn.ANCHORARRAY(Sintesi!$C$15),1,$C114))*($E114&lt;INDEX(_xlfn.ANCHORARRAY(Sintesi!$C$16),1,$C114))*(INDEX(_xlfn.ANCHORARRAY(Sintesi!$C$15),1,$C114)&gt;0),2,IF($E114=(INDEX(_xlfn.ANCHORARRAY(Sintesi!$C$16),1,$C114)),3,4)))),0),IF($C114&gt;0,IF(($E114=INDEX(_xlfn.ANCHORARRAY(Sintesi!$C$14),1,$C114))*(INDEX(_xlfn.ANCHORARRAY(Sintesi!$C$15),1,$C114)&gt;0),0,IF(($E114=INDEX(_xlfn.ANCHORARRAY(Sintesi!$C$14),1,$C114))*(INDEX(_xlfn.ANCHORARRAY(Sintesi!$C$15),1,$C114)&lt;0)+($E114&gt;=LOOKUP(2,1/($E:$E&lt;&gt;""),$E:$E))*($E114&lt;=$E115)*($E114&gt;INDEX(_xlfn.ANCHORARRAY(Sintesi!$C$14),1,$C114))*($E114&lt;=INDEX(_xlfn.ANCHORARRAY(Sintesi!$C$15),1,$C114))*(INDEX(_xlfn.ANCHORARRAY(Sintesi!$C$15),1,$C114)&gt;0),1,IF(($E114&gt;=LOOKUP(2,1/($E:$E&lt;&gt;""),$E:$E))*($E114&lt;=$E115)*($E114&gt;INDEX(_xlfn.ANCHORARRAY(Sintesi!$C$14),1,$C114))*($E114&lt;INDEX(_xlfn.ANCHORARRAY(Sintesi!$C$16),1,$C114))*(INDEX(_xlfn.ANCHORARRAY(Sintesi!$C$15),1,$C114)&lt;0)+($E114&gt;=LOOKUP(2,1/($E:$E&lt;&gt;""),$E:$E))*($E114&lt;=$E115)*($E114&gt;INDEX(_xlfn.ANCHORARRAY(Sintesi!$C$15),1,$C114))*($E114&lt;INDEX(_xlfn.ANCHORARRAY(Sintesi!$C$16),1,$C114))*(INDEX(_xlfn.ANCHORARRAY(Sintesi!$C$15),1,$C114)&gt;0),2,IF($E114=(INDEX(_xlfn.ANCHORARRAY(Sintesi!$C$16),1,$C114)),3,4)))),0)))</f>
        <v/>
      </c>
      <c r="E114" s="1">
        <f>'Paste cell here'!F114</f>
        <v/>
      </c>
      <c r="F114" s="1">
        <f>'Paste cell here'!C114</f>
        <v/>
      </c>
      <c r="G114" s="1">
        <f>'Paste cell here'!D114</f>
        <v/>
      </c>
      <c r="H114" s="1">
        <f>'Paste cell here'!E114</f>
        <v/>
      </c>
      <c r="I114" s="1">
        <f>'Paste cell here'!X114</f>
        <v/>
      </c>
      <c r="J114" s="1">
        <f>'Paste cell here'!Y114+'Paste cell here'!S114</f>
        <v/>
      </c>
      <c r="K114" s="1">
        <f>I114/H114</f>
        <v/>
      </c>
      <c r="L114" s="1">
        <f>AVERAGE(($F114+$G114)/2-($F114-$G114)/2*COS(PI()*(8-VLOOKUP(MONTH(B114),$O$1:$Q$13,3))/(VLOOKUP(MONTH(B114),$O$1:$Q$13,2)-VLOOKUP(MONTH(B114),$O$1:$Q$13,3))),($F114+$G114)/2-($F114-$G114)/2*COS(PI()*(9-VLOOKUP(MONTH(B114),$O$1:$Q$13,3))/(VLOOKUP(MONTH(B114),$O$1:$Q$13,2)-VLOOKUP(MONTH(B114),$O$1:$Q$13,3))),($F114+$G114)/2-($F114-$G114)/2*COS(PI()*(10-VLOOKUP(MONTH(B114),$O$1:$Q$13,3))/(VLOOKUP(MONTH(B114),$O$1:$Q$13,2)-VLOOKUP(MONTH(B114),$O$1:$Q$13,3))),($F114+$G114)/2-($F114-$G114)/2*COS(PI()*(11-VLOOKUP(MONTH(B114),$O$1:$Q$13,3))/(VLOOKUP(MONTH(B114),$O$1:$Q$13,2)-VLOOKUP(MONTH(B114),$O$1:$Q$13,3))),($F114+$G114)/2-($F114-$G114)/2*COS(PI()*(12-VLOOKUP(MONTH(B114),$O$1:$Q$13,3))/(VLOOKUP(MONTH(B114),$O$1:$Q$13,2)-VLOOKUP(MONTH(B114),$O$1:$Q$13,3))),($F114+$G114)/2-($F114-$G114)/2*COS(PI()*(13-VLOOKUP(MONTH(B114),$O$1:$Q$13,3))/(VLOOKUP(MONTH(B114),$O$1:$Q$13,2)-VLOOKUP(MONTH(B114),$O$1:$Q$13,3))),($F114+$G114)/2-($F114-$G114)/2*COS(PI()*(14-VLOOKUP(MONTH(B114),$O$1:$Q$13,3))/(VLOOKUP(MONTH(B114),$O$1:$Q$13,2)-VLOOKUP(MONTH(B114),$O$1:$Q$13,3))))</f>
        <v/>
      </c>
      <c r="M114" s="1">
        <f t="array" ref="M114">IF(AND(A114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,A114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),IF(L114&lt;_xlfn.IFNA(INDEX(_xlfn.ANCHORARRAY(Sintesi!$C$17)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,1,IF(L114&gt;=_xlfn.IFNA(INDEX(_xlfn.ANCHORARRAY(Sintesi!$C$18)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,0,1-(L114-_xlfn.IFNA(INDEX(_xlfn.ANCHORARRAY(Sintesi!$C$17)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)/(_xlfn.IFNA(INDEX(_xlfn.ANCHORARRAY(Sintesi!$C$18)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-_xlfn.IFNA(INDEX(_xlfn.ANCHORARRAY(Sintesi!$C$17)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))),0)</f>
        <v/>
      </c>
    </row>
    <row r="115">
      <c r="A115" s="1">
        <f>'Paste cell here'!A115</f>
        <v/>
      </c>
      <c r="B115" s="2">
        <f>DATE(Sintesi!$C$4-1,12,31)+A115</f>
        <v/>
      </c>
      <c r="C115" s="34">
        <f t="array" ref="C115">_xlfn.IFNA(MATCH(1,(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)*(_xlfn.ANCHORARRAY(Sintesi!$C$15)&gt;=0)+(_xlfn.ANCHORARRAY(Sintesi!$C$15)&lt;0),0),0)</f>
        <v/>
      </c>
      <c r="D115" s="1">
        <f t="array" ref="D115">IF(ISBLANK($E116),IF(ISNUMBER($E114),IF($C115&gt;0,IF(($E115=INDEX(_xlfn.ANCHORARRAY(Sintesi!$C$14),1,$C115))*(INDEX(_xlfn.ANCHORARRAY(Sintesi!$C$15),1,$C115)&gt;0),0,IF(($E115=INDEX(_xlfn.ANCHORARRAY(Sintesi!$C$14),1,$C115))*(INDEX(_xlfn.ANCHORARRAY(Sintesi!$C$15),1,$C115)&lt;0)+($E115&gt;=$E114)*($E115&lt;=INDEX($E:$E,MATCH(TRUE,INDEX((ISNUMBER($E:$E)),0),0)))*($E115&gt;INDEX(_xlfn.ANCHORARRAY(Sintesi!$C$14),1,$C115))*($E115&lt;=INDEX(_xlfn.ANCHORARRAY(Sintesi!$C$15),1,$C115))*(INDEX(_xlfn.ANCHORARRAY(Sintesi!$C$15),1,$C115)&gt;0),1,IF(($E115&gt;=$E114)*($E115&lt;=INDEX($E:$E,MATCH(TRUE,INDEX((ISNUMBER($E:$E)),0),0)))*($E115&gt;INDEX(_xlfn.ANCHORARRAY(Sintesi!$C$14),1,$C115))*($E115&lt;INDEX(_xlfn.ANCHORARRAY(Sintesi!$C$16),1,$C115))*(INDEX(_xlfn.ANCHORARRAY(Sintesi!$C$15),1,$C115)&lt;0)+($E115&gt;=$E114)*($E115&lt;=INDEX($E:$E,MATCH(TRUE,INDEX((ISNUMBER($E:$E)),0),0)))*($E115&gt;INDEX(_xlfn.ANCHORARRAY(Sintesi!$C$15),1,$C115))*($E115&lt;INDEX(_xlfn.ANCHORARRAY(Sintesi!$C$16),1,$C115))*(INDEX(_xlfn.ANCHORARRAY(Sintesi!$C$15),1,$C115)&gt;0),2,IF($E115=(INDEX(_xlfn.ANCHORARRAY(Sintesi!$C$16),1,$C115)),3,4)))),0),IF($C115&gt;0,IF(($E115=INDEX(_xlfn.ANCHORARRAY(Sintesi!$C$14),1,$C115))*(INDEX(_xlfn.ANCHORARRAY(Sintesi!$C$15),1,$C115)&gt;0),0,IF(($E115=INDEX(_xlfn.ANCHORARRAY(Sintesi!$C$14),1,$C115))*(INDEX(_xlfn.ANCHORARRAY(Sintesi!$C$15),1,$C115)&lt;0)+($E115&gt;=LOOKUP(2,1/($E:$E&lt;&gt;""),$E:$E))*($E115&lt;=INDEX($E:$E,MATCH(TRUE,INDEX((ISNUMBER($E:$E)),0),0)))*($E115&gt;INDEX(_xlfn.ANCHORARRAY(Sintesi!$C$14),1,$C115))*($E115&lt;=INDEX(_xlfn.ANCHORARRAY(Sintesi!$C$15),1,$C115))*(INDEX(_xlfn.ANCHORARRAY(Sintesi!$C$15),1,$C115)&gt;0),1,IF(($E115&gt;=LOOKUP(2,1/($E:$E&lt;&gt;""),$E:$E))*($E115&lt;=INDEX($E:$E,MATCH(TRUE,INDEX((ISNUMBER($E:$E)),0),0)))*($E115&gt;INDEX(_xlfn.ANCHORARRAY(Sintesi!$C$14),1,$C115))*($E115&lt;INDEX(_xlfn.ANCHORARRAY(Sintesi!$C$16),1,$C115))*(INDEX(_xlfn.ANCHORARRAY(Sintesi!$C$15),1,$C115)&lt;0)+($E115&gt;=LOOKUP(2,1/($E:$E&lt;&gt;""),$E:$E))*($E115&lt;=INDEX($E:$E,MATCH(TRUE,INDEX((ISNUMBER($E:$E)),0),0)))*($E115&gt;INDEX(_xlfn.ANCHORARRAY(Sintesi!$C$15),1,$C115))*($E115&lt;INDEX(_xlfn.ANCHORARRAY(Sintesi!$C$16),1,$C115))*(INDEX(_xlfn.ANCHORARRAY(Sintesi!$C$15),1,$C115)&gt;0),2,IF($E115=(INDEX(_xlfn.ANCHORARRAY(Sintesi!$C$16),1,$C115)),3,4)))),0)),IF(ISNUMBER($E114),IF($C115&gt;0,IF(($E115=INDEX(_xlfn.ANCHORARRAY(Sintesi!$C$14),1,$C115))*(INDEX(_xlfn.ANCHORARRAY(Sintesi!$C$15),1,$C115)&gt;0),0,IF(($E115=INDEX(_xlfn.ANCHORARRAY(Sintesi!$C$14),1,$C115))*(INDEX(_xlfn.ANCHORARRAY(Sintesi!$C$15),1,$C115)&lt;0)+($E115&gt;=$E114)*($E115&lt;=$E116)*($E115&gt;INDEX(_xlfn.ANCHORARRAY(Sintesi!$C$14),1,$C115))*($E115&lt;=INDEX(_xlfn.ANCHORARRAY(Sintesi!$C$15),1,$C115))*(INDEX(_xlfn.ANCHORARRAY(Sintesi!$C$15),1,$C115)&gt;0),1,IF(($E115&gt;=$E114)*($E115&lt;=$E116)*($E115&gt;INDEX(_xlfn.ANCHORARRAY(Sintesi!$C$14),1,$C115))*($E115&lt;INDEX(_xlfn.ANCHORARRAY(Sintesi!$C$16),1,$C115))*(INDEX(_xlfn.ANCHORARRAY(Sintesi!$C$15),1,$C115)&lt;0)+($E115&gt;=$E114)*($E115&lt;=$E116)*($E115&gt;INDEX(_xlfn.ANCHORARRAY(Sintesi!$C$15),1,$C115))*($E115&lt;INDEX(_xlfn.ANCHORARRAY(Sintesi!$C$16),1,$C115))*(INDEX(_xlfn.ANCHORARRAY(Sintesi!$C$15),1,$C115)&gt;0),2,IF($E115=(INDEX(_xlfn.ANCHORARRAY(Sintesi!$C$16),1,$C115)),3,4)))),0),IF($C115&gt;0,IF(($E115=INDEX(_xlfn.ANCHORARRAY(Sintesi!$C$14),1,$C115))*(INDEX(_xlfn.ANCHORARRAY(Sintesi!$C$15),1,$C115)&gt;0),0,IF(($E115=INDEX(_xlfn.ANCHORARRAY(Sintesi!$C$14),1,$C115))*(INDEX(_xlfn.ANCHORARRAY(Sintesi!$C$15),1,$C115)&lt;0)+($E115&gt;=LOOKUP(2,1/($E:$E&lt;&gt;""),$E:$E))*($E115&lt;=$E116)*($E115&gt;INDEX(_xlfn.ANCHORARRAY(Sintesi!$C$14),1,$C115))*($E115&lt;=INDEX(_xlfn.ANCHORARRAY(Sintesi!$C$15),1,$C115))*(INDEX(_xlfn.ANCHORARRAY(Sintesi!$C$15),1,$C115)&gt;0),1,IF(($E115&gt;=LOOKUP(2,1/($E:$E&lt;&gt;""),$E:$E))*($E115&lt;=$E116)*($E115&gt;INDEX(_xlfn.ANCHORARRAY(Sintesi!$C$14),1,$C115))*($E115&lt;INDEX(_xlfn.ANCHORARRAY(Sintesi!$C$16),1,$C115))*(INDEX(_xlfn.ANCHORARRAY(Sintesi!$C$15),1,$C115)&lt;0)+($E115&gt;=LOOKUP(2,1/($E:$E&lt;&gt;""),$E:$E))*($E115&lt;=$E116)*($E115&gt;INDEX(_xlfn.ANCHORARRAY(Sintesi!$C$15),1,$C115))*($E115&lt;INDEX(_xlfn.ANCHORARRAY(Sintesi!$C$16),1,$C115))*(INDEX(_xlfn.ANCHORARRAY(Sintesi!$C$15),1,$C115)&gt;0),2,IF($E115=(INDEX(_xlfn.ANCHORARRAY(Sintesi!$C$16),1,$C115)),3,4)))),0)))</f>
        <v/>
      </c>
      <c r="E115" s="1">
        <f>'Paste cell here'!F115</f>
        <v/>
      </c>
      <c r="F115" s="1">
        <f>'Paste cell here'!C115</f>
        <v/>
      </c>
      <c r="G115" s="1">
        <f>'Paste cell here'!D115</f>
        <v/>
      </c>
      <c r="H115" s="1">
        <f>'Paste cell here'!E115</f>
        <v/>
      </c>
      <c r="I115" s="1">
        <f>'Paste cell here'!X115</f>
        <v/>
      </c>
      <c r="J115" s="1">
        <f>'Paste cell here'!Y115+'Paste cell here'!S115</f>
        <v/>
      </c>
      <c r="K115" s="1">
        <f>I115/H115</f>
        <v/>
      </c>
      <c r="L115" s="1">
        <f>AVERAGE(($F115+$G115)/2-($F115-$G115)/2*COS(PI()*(8-VLOOKUP(MONTH(B115),$O$1:$Q$13,3))/(VLOOKUP(MONTH(B115),$O$1:$Q$13,2)-VLOOKUP(MONTH(B115),$O$1:$Q$13,3))),($F115+$G115)/2-($F115-$G115)/2*COS(PI()*(9-VLOOKUP(MONTH(B115),$O$1:$Q$13,3))/(VLOOKUP(MONTH(B115),$O$1:$Q$13,2)-VLOOKUP(MONTH(B115),$O$1:$Q$13,3))),($F115+$G115)/2-($F115-$G115)/2*COS(PI()*(10-VLOOKUP(MONTH(B115),$O$1:$Q$13,3))/(VLOOKUP(MONTH(B115),$O$1:$Q$13,2)-VLOOKUP(MONTH(B115),$O$1:$Q$13,3))),($F115+$G115)/2-($F115-$G115)/2*COS(PI()*(11-VLOOKUP(MONTH(B115),$O$1:$Q$13,3))/(VLOOKUP(MONTH(B115),$O$1:$Q$13,2)-VLOOKUP(MONTH(B115),$O$1:$Q$13,3))),($F115+$G115)/2-($F115-$G115)/2*COS(PI()*(12-VLOOKUP(MONTH(B115),$O$1:$Q$13,3))/(VLOOKUP(MONTH(B115),$O$1:$Q$13,2)-VLOOKUP(MONTH(B115),$O$1:$Q$13,3))),($F115+$G115)/2-($F115-$G115)/2*COS(PI()*(13-VLOOKUP(MONTH(B115),$O$1:$Q$13,3))/(VLOOKUP(MONTH(B115),$O$1:$Q$13,2)-VLOOKUP(MONTH(B115),$O$1:$Q$13,3))),($F115+$G115)/2-($F115-$G115)/2*COS(PI()*(14-VLOOKUP(MONTH(B115),$O$1:$Q$13,3))/(VLOOKUP(MONTH(B115),$O$1:$Q$13,2)-VLOOKUP(MONTH(B115),$O$1:$Q$13,3))))</f>
        <v/>
      </c>
      <c r="M115" s="1">
        <f t="array" ref="M115">IF(AND(A115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,A115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),IF(L115&lt;_xlfn.IFNA(INDEX(_xlfn.ANCHORARRAY(Sintesi!$C$17)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,1,IF(L115&gt;=_xlfn.IFNA(INDEX(_xlfn.ANCHORARRAY(Sintesi!$C$18)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,0,1-(L115-_xlfn.IFNA(INDEX(_xlfn.ANCHORARRAY(Sintesi!$C$17)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)/(_xlfn.IFNA(INDEX(_xlfn.ANCHORARRAY(Sintesi!$C$18)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-_xlfn.IFNA(INDEX(_xlfn.ANCHORARRAY(Sintesi!$C$17)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))),0)</f>
        <v/>
      </c>
    </row>
    <row r="116">
      <c r="A116" s="1">
        <f>'Paste cell here'!A116</f>
        <v/>
      </c>
      <c r="B116" s="2">
        <f>DATE(Sintesi!$C$4-1,12,31)+A116</f>
        <v/>
      </c>
      <c r="C116" s="34">
        <f t="array" ref="C116">_xlfn.IFNA(MATCH(1,(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)*(_xlfn.ANCHORARRAY(Sintesi!$C$15)&gt;=0)+(_xlfn.ANCHORARRAY(Sintesi!$C$15)&lt;0),0),0)</f>
        <v/>
      </c>
      <c r="D116" s="1">
        <f t="array" ref="D116">IF(ISBLANK($E117),IF(ISNUMBER($E115),IF($C116&gt;0,IF(($E116=INDEX(_xlfn.ANCHORARRAY(Sintesi!$C$14),1,$C116))*(INDEX(_xlfn.ANCHORARRAY(Sintesi!$C$15),1,$C116)&gt;0),0,IF(($E116=INDEX(_xlfn.ANCHORARRAY(Sintesi!$C$14),1,$C116))*(INDEX(_xlfn.ANCHORARRAY(Sintesi!$C$15),1,$C116)&lt;0)+($E116&gt;=$E115)*($E116&lt;=INDEX($E:$E,MATCH(TRUE,INDEX((ISNUMBER($E:$E)),0),0)))*($E116&gt;INDEX(_xlfn.ANCHORARRAY(Sintesi!$C$14),1,$C116))*($E116&lt;=INDEX(_xlfn.ANCHORARRAY(Sintesi!$C$15),1,$C116))*(INDEX(_xlfn.ANCHORARRAY(Sintesi!$C$15),1,$C116)&gt;0),1,IF(($E116&gt;=$E115)*($E116&lt;=INDEX($E:$E,MATCH(TRUE,INDEX((ISNUMBER($E:$E)),0),0)))*($E116&gt;INDEX(_xlfn.ANCHORARRAY(Sintesi!$C$14),1,$C116))*($E116&lt;INDEX(_xlfn.ANCHORARRAY(Sintesi!$C$16),1,$C116))*(INDEX(_xlfn.ANCHORARRAY(Sintesi!$C$15),1,$C116)&lt;0)+($E116&gt;=$E115)*($E116&lt;=INDEX($E:$E,MATCH(TRUE,INDEX((ISNUMBER($E:$E)),0),0)))*($E116&gt;INDEX(_xlfn.ANCHORARRAY(Sintesi!$C$15),1,$C116))*($E116&lt;INDEX(_xlfn.ANCHORARRAY(Sintesi!$C$16),1,$C116))*(INDEX(_xlfn.ANCHORARRAY(Sintesi!$C$15),1,$C116)&gt;0),2,IF($E116=(INDEX(_xlfn.ANCHORARRAY(Sintesi!$C$16),1,$C116)),3,4)))),0),IF($C116&gt;0,IF(($E116=INDEX(_xlfn.ANCHORARRAY(Sintesi!$C$14),1,$C116))*(INDEX(_xlfn.ANCHORARRAY(Sintesi!$C$15),1,$C116)&gt;0),0,IF(($E116=INDEX(_xlfn.ANCHORARRAY(Sintesi!$C$14),1,$C116))*(INDEX(_xlfn.ANCHORARRAY(Sintesi!$C$15),1,$C116)&lt;0)+($E116&gt;=LOOKUP(2,1/($E:$E&lt;&gt;""),$E:$E))*($E116&lt;=INDEX($E:$E,MATCH(TRUE,INDEX((ISNUMBER($E:$E)),0),0)))*($E116&gt;INDEX(_xlfn.ANCHORARRAY(Sintesi!$C$14),1,$C116))*($E116&lt;=INDEX(_xlfn.ANCHORARRAY(Sintesi!$C$15),1,$C116))*(INDEX(_xlfn.ANCHORARRAY(Sintesi!$C$15),1,$C116)&gt;0),1,IF(($E116&gt;=LOOKUP(2,1/($E:$E&lt;&gt;""),$E:$E))*($E116&lt;=INDEX($E:$E,MATCH(TRUE,INDEX((ISNUMBER($E:$E)),0),0)))*($E116&gt;INDEX(_xlfn.ANCHORARRAY(Sintesi!$C$14),1,$C116))*($E116&lt;INDEX(_xlfn.ANCHORARRAY(Sintesi!$C$16),1,$C116))*(INDEX(_xlfn.ANCHORARRAY(Sintesi!$C$15),1,$C116)&lt;0)+($E116&gt;=LOOKUP(2,1/($E:$E&lt;&gt;""),$E:$E))*($E116&lt;=INDEX($E:$E,MATCH(TRUE,INDEX((ISNUMBER($E:$E)),0),0)))*($E116&gt;INDEX(_xlfn.ANCHORARRAY(Sintesi!$C$15),1,$C116))*($E116&lt;INDEX(_xlfn.ANCHORARRAY(Sintesi!$C$16),1,$C116))*(INDEX(_xlfn.ANCHORARRAY(Sintesi!$C$15),1,$C116)&gt;0),2,IF($E116=(INDEX(_xlfn.ANCHORARRAY(Sintesi!$C$16),1,$C116)),3,4)))),0)),IF(ISNUMBER($E115),IF($C116&gt;0,IF(($E116=INDEX(_xlfn.ANCHORARRAY(Sintesi!$C$14),1,$C116))*(INDEX(_xlfn.ANCHORARRAY(Sintesi!$C$15),1,$C116)&gt;0),0,IF(($E116=INDEX(_xlfn.ANCHORARRAY(Sintesi!$C$14),1,$C116))*(INDEX(_xlfn.ANCHORARRAY(Sintesi!$C$15),1,$C116)&lt;0)+($E116&gt;=$E115)*($E116&lt;=$E117)*($E116&gt;INDEX(_xlfn.ANCHORARRAY(Sintesi!$C$14),1,$C116))*($E116&lt;=INDEX(_xlfn.ANCHORARRAY(Sintesi!$C$15),1,$C116))*(INDEX(_xlfn.ANCHORARRAY(Sintesi!$C$15),1,$C116)&gt;0),1,IF(($E116&gt;=$E115)*($E116&lt;=$E117)*($E116&gt;INDEX(_xlfn.ANCHORARRAY(Sintesi!$C$14),1,$C116))*($E116&lt;INDEX(_xlfn.ANCHORARRAY(Sintesi!$C$16),1,$C116))*(INDEX(_xlfn.ANCHORARRAY(Sintesi!$C$15),1,$C116)&lt;0)+($E116&gt;=$E115)*($E116&lt;=$E117)*($E116&gt;INDEX(_xlfn.ANCHORARRAY(Sintesi!$C$15),1,$C116))*($E116&lt;INDEX(_xlfn.ANCHORARRAY(Sintesi!$C$16),1,$C116))*(INDEX(_xlfn.ANCHORARRAY(Sintesi!$C$15),1,$C116)&gt;0),2,IF($E116=(INDEX(_xlfn.ANCHORARRAY(Sintesi!$C$16),1,$C116)),3,4)))),0),IF($C116&gt;0,IF(($E116=INDEX(_xlfn.ANCHORARRAY(Sintesi!$C$14),1,$C116))*(INDEX(_xlfn.ANCHORARRAY(Sintesi!$C$15),1,$C116)&gt;0),0,IF(($E116=INDEX(_xlfn.ANCHORARRAY(Sintesi!$C$14),1,$C116))*(INDEX(_xlfn.ANCHORARRAY(Sintesi!$C$15),1,$C116)&lt;0)+($E116&gt;=LOOKUP(2,1/($E:$E&lt;&gt;""),$E:$E))*($E116&lt;=$E117)*($E116&gt;INDEX(_xlfn.ANCHORARRAY(Sintesi!$C$14),1,$C116))*($E116&lt;=INDEX(_xlfn.ANCHORARRAY(Sintesi!$C$15),1,$C116))*(INDEX(_xlfn.ANCHORARRAY(Sintesi!$C$15),1,$C116)&gt;0),1,IF(($E116&gt;=LOOKUP(2,1/($E:$E&lt;&gt;""),$E:$E))*($E116&lt;=$E117)*($E116&gt;INDEX(_xlfn.ANCHORARRAY(Sintesi!$C$14),1,$C116))*($E116&lt;INDEX(_xlfn.ANCHORARRAY(Sintesi!$C$16),1,$C116))*(INDEX(_xlfn.ANCHORARRAY(Sintesi!$C$15),1,$C116)&lt;0)+($E116&gt;=LOOKUP(2,1/($E:$E&lt;&gt;""),$E:$E))*($E116&lt;=$E117)*($E116&gt;INDEX(_xlfn.ANCHORARRAY(Sintesi!$C$15),1,$C116))*($E116&lt;INDEX(_xlfn.ANCHORARRAY(Sintesi!$C$16),1,$C116))*(INDEX(_xlfn.ANCHORARRAY(Sintesi!$C$15),1,$C116)&gt;0),2,IF($E116=(INDEX(_xlfn.ANCHORARRAY(Sintesi!$C$16),1,$C116)),3,4)))),0)))</f>
        <v/>
      </c>
      <c r="E116" s="1">
        <f>'Paste cell here'!F116</f>
        <v/>
      </c>
      <c r="F116" s="1">
        <f>'Paste cell here'!C116</f>
        <v/>
      </c>
      <c r="G116" s="1">
        <f>'Paste cell here'!D116</f>
        <v/>
      </c>
      <c r="H116" s="1">
        <f>'Paste cell here'!E116</f>
        <v/>
      </c>
      <c r="I116" s="1">
        <f>'Paste cell here'!X116</f>
        <v/>
      </c>
      <c r="J116" s="1">
        <f>'Paste cell here'!Y116+'Paste cell here'!S116</f>
        <v/>
      </c>
      <c r="K116" s="1">
        <f>I116/H116</f>
        <v/>
      </c>
      <c r="L116" s="1">
        <f>AVERAGE(($F116+$G116)/2-($F116-$G116)/2*COS(PI()*(8-VLOOKUP(MONTH(B116),$O$1:$Q$13,3))/(VLOOKUP(MONTH(B116),$O$1:$Q$13,2)-VLOOKUP(MONTH(B116),$O$1:$Q$13,3))),($F116+$G116)/2-($F116-$G116)/2*COS(PI()*(9-VLOOKUP(MONTH(B116),$O$1:$Q$13,3))/(VLOOKUP(MONTH(B116),$O$1:$Q$13,2)-VLOOKUP(MONTH(B116),$O$1:$Q$13,3))),($F116+$G116)/2-($F116-$G116)/2*COS(PI()*(10-VLOOKUP(MONTH(B116),$O$1:$Q$13,3))/(VLOOKUP(MONTH(B116),$O$1:$Q$13,2)-VLOOKUP(MONTH(B116),$O$1:$Q$13,3))),($F116+$G116)/2-($F116-$G116)/2*COS(PI()*(11-VLOOKUP(MONTH(B116),$O$1:$Q$13,3))/(VLOOKUP(MONTH(B116),$O$1:$Q$13,2)-VLOOKUP(MONTH(B116),$O$1:$Q$13,3))),($F116+$G116)/2-($F116-$G116)/2*COS(PI()*(12-VLOOKUP(MONTH(B116),$O$1:$Q$13,3))/(VLOOKUP(MONTH(B116),$O$1:$Q$13,2)-VLOOKUP(MONTH(B116),$O$1:$Q$13,3))),($F116+$G116)/2-($F116-$G116)/2*COS(PI()*(13-VLOOKUP(MONTH(B116),$O$1:$Q$13,3))/(VLOOKUP(MONTH(B116),$O$1:$Q$13,2)-VLOOKUP(MONTH(B116),$O$1:$Q$13,3))),($F116+$G116)/2-($F116-$G116)/2*COS(PI()*(14-VLOOKUP(MONTH(B116),$O$1:$Q$13,3))/(VLOOKUP(MONTH(B116),$O$1:$Q$13,2)-VLOOKUP(MONTH(B116),$O$1:$Q$13,3))))</f>
        <v/>
      </c>
      <c r="M116" s="1">
        <f t="array" ref="M116">IF(AND(A116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,A116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),IF(L116&lt;_xlfn.IFNA(INDEX(_xlfn.ANCHORARRAY(Sintesi!$C$17)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,1,IF(L116&gt;=_xlfn.IFNA(INDEX(_xlfn.ANCHORARRAY(Sintesi!$C$18)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,0,1-(L116-_xlfn.IFNA(INDEX(_xlfn.ANCHORARRAY(Sintesi!$C$17)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)/(_xlfn.IFNA(INDEX(_xlfn.ANCHORARRAY(Sintesi!$C$18)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-_xlfn.IFNA(INDEX(_xlfn.ANCHORARRAY(Sintesi!$C$17)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))),0)</f>
        <v/>
      </c>
    </row>
    <row r="117">
      <c r="A117" s="1">
        <f>'Paste cell here'!A117</f>
        <v/>
      </c>
      <c r="B117" s="2">
        <f>DATE(Sintesi!$C$4-1,12,31)+A117</f>
        <v/>
      </c>
      <c r="C117" s="34">
        <f t="array" ref="C117">_xlfn.IFNA(MATCH(1,(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)*(_xlfn.ANCHORARRAY(Sintesi!$C$15)&gt;=0)+(_xlfn.ANCHORARRAY(Sintesi!$C$15)&lt;0),0),0)</f>
        <v/>
      </c>
      <c r="D117" s="1">
        <f t="array" ref="D117">IF(ISBLANK($E118),IF(ISNUMBER($E116),IF($C117&gt;0,IF(($E117=INDEX(_xlfn.ANCHORARRAY(Sintesi!$C$14),1,$C117))*(INDEX(_xlfn.ANCHORARRAY(Sintesi!$C$15),1,$C117)&gt;0),0,IF(($E117=INDEX(_xlfn.ANCHORARRAY(Sintesi!$C$14),1,$C117))*(INDEX(_xlfn.ANCHORARRAY(Sintesi!$C$15),1,$C117)&lt;0)+($E117&gt;=$E116)*($E117&lt;=INDEX($E:$E,MATCH(TRUE,INDEX((ISNUMBER($E:$E)),0),0)))*($E117&gt;INDEX(_xlfn.ANCHORARRAY(Sintesi!$C$14),1,$C117))*($E117&lt;=INDEX(_xlfn.ANCHORARRAY(Sintesi!$C$15),1,$C117))*(INDEX(_xlfn.ANCHORARRAY(Sintesi!$C$15),1,$C117)&gt;0),1,IF(($E117&gt;=$E116)*($E117&lt;=INDEX($E:$E,MATCH(TRUE,INDEX((ISNUMBER($E:$E)),0),0)))*($E117&gt;INDEX(_xlfn.ANCHORARRAY(Sintesi!$C$14),1,$C117))*($E117&lt;INDEX(_xlfn.ANCHORARRAY(Sintesi!$C$16),1,$C117))*(INDEX(_xlfn.ANCHORARRAY(Sintesi!$C$15),1,$C117)&lt;0)+($E117&gt;=$E116)*($E117&lt;=INDEX($E:$E,MATCH(TRUE,INDEX((ISNUMBER($E:$E)),0),0)))*($E117&gt;INDEX(_xlfn.ANCHORARRAY(Sintesi!$C$15),1,$C117))*($E117&lt;INDEX(_xlfn.ANCHORARRAY(Sintesi!$C$16),1,$C117))*(INDEX(_xlfn.ANCHORARRAY(Sintesi!$C$15),1,$C117)&gt;0),2,IF($E117=(INDEX(_xlfn.ANCHORARRAY(Sintesi!$C$16),1,$C117)),3,4)))),0),IF($C117&gt;0,IF(($E117=INDEX(_xlfn.ANCHORARRAY(Sintesi!$C$14),1,$C117))*(INDEX(_xlfn.ANCHORARRAY(Sintesi!$C$15),1,$C117)&gt;0),0,IF(($E117=INDEX(_xlfn.ANCHORARRAY(Sintesi!$C$14),1,$C117))*(INDEX(_xlfn.ANCHORARRAY(Sintesi!$C$15),1,$C117)&lt;0)+($E117&gt;=LOOKUP(2,1/($E:$E&lt;&gt;""),$E:$E))*($E117&lt;=INDEX($E:$E,MATCH(TRUE,INDEX((ISNUMBER($E:$E)),0),0)))*($E117&gt;INDEX(_xlfn.ANCHORARRAY(Sintesi!$C$14),1,$C117))*($E117&lt;=INDEX(_xlfn.ANCHORARRAY(Sintesi!$C$15),1,$C117))*(INDEX(_xlfn.ANCHORARRAY(Sintesi!$C$15),1,$C117)&gt;0),1,IF(($E117&gt;=LOOKUP(2,1/($E:$E&lt;&gt;""),$E:$E))*($E117&lt;=INDEX($E:$E,MATCH(TRUE,INDEX((ISNUMBER($E:$E)),0),0)))*($E117&gt;INDEX(_xlfn.ANCHORARRAY(Sintesi!$C$14),1,$C117))*($E117&lt;INDEX(_xlfn.ANCHORARRAY(Sintesi!$C$16),1,$C117))*(INDEX(_xlfn.ANCHORARRAY(Sintesi!$C$15),1,$C117)&lt;0)+($E117&gt;=LOOKUP(2,1/($E:$E&lt;&gt;""),$E:$E))*($E117&lt;=INDEX($E:$E,MATCH(TRUE,INDEX((ISNUMBER($E:$E)),0),0)))*($E117&gt;INDEX(_xlfn.ANCHORARRAY(Sintesi!$C$15),1,$C117))*($E117&lt;INDEX(_xlfn.ANCHORARRAY(Sintesi!$C$16),1,$C117))*(INDEX(_xlfn.ANCHORARRAY(Sintesi!$C$15),1,$C117)&gt;0),2,IF($E117=(INDEX(_xlfn.ANCHORARRAY(Sintesi!$C$16),1,$C117)),3,4)))),0)),IF(ISNUMBER($E116),IF($C117&gt;0,IF(($E117=INDEX(_xlfn.ANCHORARRAY(Sintesi!$C$14),1,$C117))*(INDEX(_xlfn.ANCHORARRAY(Sintesi!$C$15),1,$C117)&gt;0),0,IF(($E117=INDEX(_xlfn.ANCHORARRAY(Sintesi!$C$14),1,$C117))*(INDEX(_xlfn.ANCHORARRAY(Sintesi!$C$15),1,$C117)&lt;0)+($E117&gt;=$E116)*($E117&lt;=$E118)*($E117&gt;INDEX(_xlfn.ANCHORARRAY(Sintesi!$C$14),1,$C117))*($E117&lt;=INDEX(_xlfn.ANCHORARRAY(Sintesi!$C$15),1,$C117))*(INDEX(_xlfn.ANCHORARRAY(Sintesi!$C$15),1,$C117)&gt;0),1,IF(($E117&gt;=$E116)*($E117&lt;=$E118)*($E117&gt;INDEX(_xlfn.ANCHORARRAY(Sintesi!$C$14),1,$C117))*($E117&lt;INDEX(_xlfn.ANCHORARRAY(Sintesi!$C$16),1,$C117))*(INDEX(_xlfn.ANCHORARRAY(Sintesi!$C$15),1,$C117)&lt;0)+($E117&gt;=$E116)*($E117&lt;=$E118)*($E117&gt;INDEX(_xlfn.ANCHORARRAY(Sintesi!$C$15),1,$C117))*($E117&lt;INDEX(_xlfn.ANCHORARRAY(Sintesi!$C$16),1,$C117))*(INDEX(_xlfn.ANCHORARRAY(Sintesi!$C$15),1,$C117)&gt;0),2,IF($E117=(INDEX(_xlfn.ANCHORARRAY(Sintesi!$C$16),1,$C117)),3,4)))),0),IF($C117&gt;0,IF(($E117=INDEX(_xlfn.ANCHORARRAY(Sintesi!$C$14),1,$C117))*(INDEX(_xlfn.ANCHORARRAY(Sintesi!$C$15),1,$C117)&gt;0),0,IF(($E117=INDEX(_xlfn.ANCHORARRAY(Sintesi!$C$14),1,$C117))*(INDEX(_xlfn.ANCHORARRAY(Sintesi!$C$15),1,$C117)&lt;0)+($E117&gt;=LOOKUP(2,1/($E:$E&lt;&gt;""),$E:$E))*($E117&lt;=$E118)*($E117&gt;INDEX(_xlfn.ANCHORARRAY(Sintesi!$C$14),1,$C117))*($E117&lt;=INDEX(_xlfn.ANCHORARRAY(Sintesi!$C$15),1,$C117))*(INDEX(_xlfn.ANCHORARRAY(Sintesi!$C$15),1,$C117)&gt;0),1,IF(($E117&gt;=LOOKUP(2,1/($E:$E&lt;&gt;""),$E:$E))*($E117&lt;=$E118)*($E117&gt;INDEX(_xlfn.ANCHORARRAY(Sintesi!$C$14),1,$C117))*($E117&lt;INDEX(_xlfn.ANCHORARRAY(Sintesi!$C$16),1,$C117))*(INDEX(_xlfn.ANCHORARRAY(Sintesi!$C$15),1,$C117)&lt;0)+($E117&gt;=LOOKUP(2,1/($E:$E&lt;&gt;""),$E:$E))*($E117&lt;=$E118)*($E117&gt;INDEX(_xlfn.ANCHORARRAY(Sintesi!$C$15),1,$C117))*($E117&lt;INDEX(_xlfn.ANCHORARRAY(Sintesi!$C$16),1,$C117))*(INDEX(_xlfn.ANCHORARRAY(Sintesi!$C$15),1,$C117)&gt;0),2,IF($E117=(INDEX(_xlfn.ANCHORARRAY(Sintesi!$C$16),1,$C117)),3,4)))),0)))</f>
        <v/>
      </c>
      <c r="E117" s="1">
        <f>'Paste cell here'!F117</f>
        <v/>
      </c>
      <c r="F117" s="1">
        <f>'Paste cell here'!C117</f>
        <v/>
      </c>
      <c r="G117" s="1">
        <f>'Paste cell here'!D117</f>
        <v/>
      </c>
      <c r="H117" s="1">
        <f>'Paste cell here'!E117</f>
        <v/>
      </c>
      <c r="I117" s="1">
        <f>'Paste cell here'!X117</f>
        <v/>
      </c>
      <c r="J117" s="1">
        <f>'Paste cell here'!Y117+'Paste cell here'!S117</f>
        <v/>
      </c>
      <c r="K117" s="1">
        <f>I117/H117</f>
        <v/>
      </c>
      <c r="L117" s="1">
        <f>AVERAGE(($F117+$G117)/2-($F117-$G117)/2*COS(PI()*(8-VLOOKUP(MONTH(B117),$O$1:$Q$13,3))/(VLOOKUP(MONTH(B117),$O$1:$Q$13,2)-VLOOKUP(MONTH(B117),$O$1:$Q$13,3))),($F117+$G117)/2-($F117-$G117)/2*COS(PI()*(9-VLOOKUP(MONTH(B117),$O$1:$Q$13,3))/(VLOOKUP(MONTH(B117),$O$1:$Q$13,2)-VLOOKUP(MONTH(B117),$O$1:$Q$13,3))),($F117+$G117)/2-($F117-$G117)/2*COS(PI()*(10-VLOOKUP(MONTH(B117),$O$1:$Q$13,3))/(VLOOKUP(MONTH(B117),$O$1:$Q$13,2)-VLOOKUP(MONTH(B117),$O$1:$Q$13,3))),($F117+$G117)/2-($F117-$G117)/2*COS(PI()*(11-VLOOKUP(MONTH(B117),$O$1:$Q$13,3))/(VLOOKUP(MONTH(B117),$O$1:$Q$13,2)-VLOOKUP(MONTH(B117),$O$1:$Q$13,3))),($F117+$G117)/2-($F117-$G117)/2*COS(PI()*(12-VLOOKUP(MONTH(B117),$O$1:$Q$13,3))/(VLOOKUP(MONTH(B117),$O$1:$Q$13,2)-VLOOKUP(MONTH(B117),$O$1:$Q$13,3))),($F117+$G117)/2-($F117-$G117)/2*COS(PI()*(13-VLOOKUP(MONTH(B117),$O$1:$Q$13,3))/(VLOOKUP(MONTH(B117),$O$1:$Q$13,2)-VLOOKUP(MONTH(B117),$O$1:$Q$13,3))),($F117+$G117)/2-($F117-$G117)/2*COS(PI()*(14-VLOOKUP(MONTH(B117),$O$1:$Q$13,3))/(VLOOKUP(MONTH(B117),$O$1:$Q$13,2)-VLOOKUP(MONTH(B117),$O$1:$Q$13,3))))</f>
        <v/>
      </c>
      <c r="M117" s="1">
        <f t="array" ref="M117">IF(AND(A117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,A117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),IF(L117&lt;_xlfn.IFNA(INDEX(_xlfn.ANCHORARRAY(Sintesi!$C$17)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,1,IF(L117&gt;=_xlfn.IFNA(INDEX(_xlfn.ANCHORARRAY(Sintesi!$C$18)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,0,1-(L117-_xlfn.IFNA(INDEX(_xlfn.ANCHORARRAY(Sintesi!$C$17)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)/(_xlfn.IFNA(INDEX(_xlfn.ANCHORARRAY(Sintesi!$C$18)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-_xlfn.IFNA(INDEX(_xlfn.ANCHORARRAY(Sintesi!$C$17)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))),0)</f>
        <v/>
      </c>
    </row>
    <row r="118">
      <c r="A118" s="1">
        <f>'Paste cell here'!A118</f>
        <v/>
      </c>
      <c r="B118" s="2">
        <f>DATE(Sintesi!$C$4-1,12,31)+A118</f>
        <v/>
      </c>
      <c r="C118" s="34">
        <f t="array" ref="C118">_xlfn.IFNA(MATCH(1,(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)*(_xlfn.ANCHORARRAY(Sintesi!$C$15)&gt;=0)+(_xlfn.ANCHORARRAY(Sintesi!$C$15)&lt;0),0),0)</f>
        <v/>
      </c>
      <c r="D118" s="1">
        <f t="array" ref="D118">IF(ISBLANK($E119),IF(ISNUMBER($E117),IF($C118&gt;0,IF(($E118=INDEX(_xlfn.ANCHORARRAY(Sintesi!$C$14),1,$C118))*(INDEX(_xlfn.ANCHORARRAY(Sintesi!$C$15),1,$C118)&gt;0),0,IF(($E118=INDEX(_xlfn.ANCHORARRAY(Sintesi!$C$14),1,$C118))*(INDEX(_xlfn.ANCHORARRAY(Sintesi!$C$15),1,$C118)&lt;0)+($E118&gt;=$E117)*($E118&lt;=INDEX($E:$E,MATCH(TRUE,INDEX((ISNUMBER($E:$E)),0),0)))*($E118&gt;INDEX(_xlfn.ANCHORARRAY(Sintesi!$C$14),1,$C118))*($E118&lt;=INDEX(_xlfn.ANCHORARRAY(Sintesi!$C$15),1,$C118))*(INDEX(_xlfn.ANCHORARRAY(Sintesi!$C$15),1,$C118)&gt;0),1,IF(($E118&gt;=$E117)*($E118&lt;=INDEX($E:$E,MATCH(TRUE,INDEX((ISNUMBER($E:$E)),0),0)))*($E118&gt;INDEX(_xlfn.ANCHORARRAY(Sintesi!$C$14),1,$C118))*($E118&lt;INDEX(_xlfn.ANCHORARRAY(Sintesi!$C$16),1,$C118))*(INDEX(_xlfn.ANCHORARRAY(Sintesi!$C$15),1,$C118)&lt;0)+($E118&gt;=$E117)*($E118&lt;=INDEX($E:$E,MATCH(TRUE,INDEX((ISNUMBER($E:$E)),0),0)))*($E118&gt;INDEX(_xlfn.ANCHORARRAY(Sintesi!$C$15),1,$C118))*($E118&lt;INDEX(_xlfn.ANCHORARRAY(Sintesi!$C$16),1,$C118))*(INDEX(_xlfn.ANCHORARRAY(Sintesi!$C$15),1,$C118)&gt;0),2,IF($E118=(INDEX(_xlfn.ANCHORARRAY(Sintesi!$C$16),1,$C118)),3,4)))),0),IF($C118&gt;0,IF(($E118=INDEX(_xlfn.ANCHORARRAY(Sintesi!$C$14),1,$C118))*(INDEX(_xlfn.ANCHORARRAY(Sintesi!$C$15),1,$C118)&gt;0),0,IF(($E118=INDEX(_xlfn.ANCHORARRAY(Sintesi!$C$14),1,$C118))*(INDEX(_xlfn.ANCHORARRAY(Sintesi!$C$15),1,$C118)&lt;0)+($E118&gt;=LOOKUP(2,1/($E:$E&lt;&gt;""),$E:$E))*($E118&lt;=INDEX($E:$E,MATCH(TRUE,INDEX((ISNUMBER($E:$E)),0),0)))*($E118&gt;INDEX(_xlfn.ANCHORARRAY(Sintesi!$C$14),1,$C118))*($E118&lt;=INDEX(_xlfn.ANCHORARRAY(Sintesi!$C$15),1,$C118))*(INDEX(_xlfn.ANCHORARRAY(Sintesi!$C$15),1,$C118)&gt;0),1,IF(($E118&gt;=LOOKUP(2,1/($E:$E&lt;&gt;""),$E:$E))*($E118&lt;=INDEX($E:$E,MATCH(TRUE,INDEX((ISNUMBER($E:$E)),0),0)))*($E118&gt;INDEX(_xlfn.ANCHORARRAY(Sintesi!$C$14),1,$C118))*($E118&lt;INDEX(_xlfn.ANCHORARRAY(Sintesi!$C$16),1,$C118))*(INDEX(_xlfn.ANCHORARRAY(Sintesi!$C$15),1,$C118)&lt;0)+($E118&gt;=LOOKUP(2,1/($E:$E&lt;&gt;""),$E:$E))*($E118&lt;=INDEX($E:$E,MATCH(TRUE,INDEX((ISNUMBER($E:$E)),0),0)))*($E118&gt;INDEX(_xlfn.ANCHORARRAY(Sintesi!$C$15),1,$C118))*($E118&lt;INDEX(_xlfn.ANCHORARRAY(Sintesi!$C$16),1,$C118))*(INDEX(_xlfn.ANCHORARRAY(Sintesi!$C$15),1,$C118)&gt;0),2,IF($E118=(INDEX(_xlfn.ANCHORARRAY(Sintesi!$C$16),1,$C118)),3,4)))),0)),IF(ISNUMBER($E117),IF($C118&gt;0,IF(($E118=INDEX(_xlfn.ANCHORARRAY(Sintesi!$C$14),1,$C118))*(INDEX(_xlfn.ANCHORARRAY(Sintesi!$C$15),1,$C118)&gt;0),0,IF(($E118=INDEX(_xlfn.ANCHORARRAY(Sintesi!$C$14),1,$C118))*(INDEX(_xlfn.ANCHORARRAY(Sintesi!$C$15),1,$C118)&lt;0)+($E118&gt;=$E117)*($E118&lt;=$E119)*($E118&gt;INDEX(_xlfn.ANCHORARRAY(Sintesi!$C$14),1,$C118))*($E118&lt;=INDEX(_xlfn.ANCHORARRAY(Sintesi!$C$15),1,$C118))*(INDEX(_xlfn.ANCHORARRAY(Sintesi!$C$15),1,$C118)&gt;0),1,IF(($E118&gt;=$E117)*($E118&lt;=$E119)*($E118&gt;INDEX(_xlfn.ANCHORARRAY(Sintesi!$C$14),1,$C118))*($E118&lt;INDEX(_xlfn.ANCHORARRAY(Sintesi!$C$16),1,$C118))*(INDEX(_xlfn.ANCHORARRAY(Sintesi!$C$15),1,$C118)&lt;0)+($E118&gt;=$E117)*($E118&lt;=$E119)*($E118&gt;INDEX(_xlfn.ANCHORARRAY(Sintesi!$C$15),1,$C118))*($E118&lt;INDEX(_xlfn.ANCHORARRAY(Sintesi!$C$16),1,$C118))*(INDEX(_xlfn.ANCHORARRAY(Sintesi!$C$15),1,$C118)&gt;0),2,IF($E118=(INDEX(_xlfn.ANCHORARRAY(Sintesi!$C$16),1,$C118)),3,4)))),0),IF($C118&gt;0,IF(($E118=INDEX(_xlfn.ANCHORARRAY(Sintesi!$C$14),1,$C118))*(INDEX(_xlfn.ANCHORARRAY(Sintesi!$C$15),1,$C118)&gt;0),0,IF(($E118=INDEX(_xlfn.ANCHORARRAY(Sintesi!$C$14),1,$C118))*(INDEX(_xlfn.ANCHORARRAY(Sintesi!$C$15),1,$C118)&lt;0)+($E118&gt;=LOOKUP(2,1/($E:$E&lt;&gt;""),$E:$E))*($E118&lt;=$E119)*($E118&gt;INDEX(_xlfn.ANCHORARRAY(Sintesi!$C$14),1,$C118))*($E118&lt;=INDEX(_xlfn.ANCHORARRAY(Sintesi!$C$15),1,$C118))*(INDEX(_xlfn.ANCHORARRAY(Sintesi!$C$15),1,$C118)&gt;0),1,IF(($E118&gt;=LOOKUP(2,1/($E:$E&lt;&gt;""),$E:$E))*($E118&lt;=$E119)*($E118&gt;INDEX(_xlfn.ANCHORARRAY(Sintesi!$C$14),1,$C118))*($E118&lt;INDEX(_xlfn.ANCHORARRAY(Sintesi!$C$16),1,$C118))*(INDEX(_xlfn.ANCHORARRAY(Sintesi!$C$15),1,$C118)&lt;0)+($E118&gt;=LOOKUP(2,1/($E:$E&lt;&gt;""),$E:$E))*($E118&lt;=$E119)*($E118&gt;INDEX(_xlfn.ANCHORARRAY(Sintesi!$C$15),1,$C118))*($E118&lt;INDEX(_xlfn.ANCHORARRAY(Sintesi!$C$16),1,$C118))*(INDEX(_xlfn.ANCHORARRAY(Sintesi!$C$15),1,$C118)&gt;0),2,IF($E118=(INDEX(_xlfn.ANCHORARRAY(Sintesi!$C$16),1,$C118)),3,4)))),0)))</f>
        <v/>
      </c>
      <c r="E118" s="1">
        <f>'Paste cell here'!F118</f>
        <v/>
      </c>
      <c r="F118" s="1">
        <f>'Paste cell here'!C118</f>
        <v/>
      </c>
      <c r="G118" s="1">
        <f>'Paste cell here'!D118</f>
        <v/>
      </c>
      <c r="H118" s="1">
        <f>'Paste cell here'!E118</f>
        <v/>
      </c>
      <c r="I118" s="1">
        <f>'Paste cell here'!X118</f>
        <v/>
      </c>
      <c r="J118" s="1">
        <f>'Paste cell here'!Y118+'Paste cell here'!S118</f>
        <v/>
      </c>
      <c r="K118" s="1">
        <f>I118/H118</f>
        <v/>
      </c>
      <c r="L118" s="1">
        <f>AVERAGE(($F118+$G118)/2-($F118-$G118)/2*COS(PI()*(8-VLOOKUP(MONTH(B118),$O$1:$Q$13,3))/(VLOOKUP(MONTH(B118),$O$1:$Q$13,2)-VLOOKUP(MONTH(B118),$O$1:$Q$13,3))),($F118+$G118)/2-($F118-$G118)/2*COS(PI()*(9-VLOOKUP(MONTH(B118),$O$1:$Q$13,3))/(VLOOKUP(MONTH(B118),$O$1:$Q$13,2)-VLOOKUP(MONTH(B118),$O$1:$Q$13,3))),($F118+$G118)/2-($F118-$G118)/2*COS(PI()*(10-VLOOKUP(MONTH(B118),$O$1:$Q$13,3))/(VLOOKUP(MONTH(B118),$O$1:$Q$13,2)-VLOOKUP(MONTH(B118),$O$1:$Q$13,3))),($F118+$G118)/2-($F118-$G118)/2*COS(PI()*(11-VLOOKUP(MONTH(B118),$O$1:$Q$13,3))/(VLOOKUP(MONTH(B118),$O$1:$Q$13,2)-VLOOKUP(MONTH(B118),$O$1:$Q$13,3))),($F118+$G118)/2-($F118-$G118)/2*COS(PI()*(12-VLOOKUP(MONTH(B118),$O$1:$Q$13,3))/(VLOOKUP(MONTH(B118),$O$1:$Q$13,2)-VLOOKUP(MONTH(B118),$O$1:$Q$13,3))),($F118+$G118)/2-($F118-$G118)/2*COS(PI()*(13-VLOOKUP(MONTH(B118),$O$1:$Q$13,3))/(VLOOKUP(MONTH(B118),$O$1:$Q$13,2)-VLOOKUP(MONTH(B118),$O$1:$Q$13,3))),($F118+$G118)/2-($F118-$G118)/2*COS(PI()*(14-VLOOKUP(MONTH(B118),$O$1:$Q$13,3))/(VLOOKUP(MONTH(B118),$O$1:$Q$13,2)-VLOOKUP(MONTH(B118),$O$1:$Q$13,3))))</f>
        <v/>
      </c>
      <c r="M118" s="1">
        <f t="array" ref="M118">IF(AND(A118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,A118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),IF(L118&lt;_xlfn.IFNA(INDEX(_xlfn.ANCHORARRAY(Sintesi!$C$17)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,1,IF(L118&gt;=_xlfn.IFNA(INDEX(_xlfn.ANCHORARRAY(Sintesi!$C$18)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,0,1-(L118-_xlfn.IFNA(INDEX(_xlfn.ANCHORARRAY(Sintesi!$C$17)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)/(_xlfn.IFNA(INDEX(_xlfn.ANCHORARRAY(Sintesi!$C$18)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-_xlfn.IFNA(INDEX(_xlfn.ANCHORARRAY(Sintesi!$C$17)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))),0)</f>
        <v/>
      </c>
    </row>
    <row r="119">
      <c r="A119" s="1">
        <f>'Paste cell here'!A119</f>
        <v/>
      </c>
      <c r="B119" s="2">
        <f>DATE(Sintesi!$C$4-1,12,31)+A119</f>
        <v/>
      </c>
      <c r="C119" s="34">
        <f t="array" ref="C119">_xlfn.IFNA(MATCH(1,(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)*(_xlfn.ANCHORARRAY(Sintesi!$C$15)&gt;=0)+(_xlfn.ANCHORARRAY(Sintesi!$C$15)&lt;0),0),0)</f>
        <v/>
      </c>
      <c r="D119" s="1">
        <f t="array" ref="D119">IF(ISBLANK($E120),IF(ISNUMBER($E118),IF($C119&gt;0,IF(($E119=INDEX(_xlfn.ANCHORARRAY(Sintesi!$C$14),1,$C119))*(INDEX(_xlfn.ANCHORARRAY(Sintesi!$C$15),1,$C119)&gt;0),0,IF(($E119=INDEX(_xlfn.ANCHORARRAY(Sintesi!$C$14),1,$C119))*(INDEX(_xlfn.ANCHORARRAY(Sintesi!$C$15),1,$C119)&lt;0)+($E119&gt;=$E118)*($E119&lt;=INDEX($E:$E,MATCH(TRUE,INDEX((ISNUMBER($E:$E)),0),0)))*($E119&gt;INDEX(_xlfn.ANCHORARRAY(Sintesi!$C$14),1,$C119))*($E119&lt;=INDEX(_xlfn.ANCHORARRAY(Sintesi!$C$15),1,$C119))*(INDEX(_xlfn.ANCHORARRAY(Sintesi!$C$15),1,$C119)&gt;0),1,IF(($E119&gt;=$E118)*($E119&lt;=INDEX($E:$E,MATCH(TRUE,INDEX((ISNUMBER($E:$E)),0),0)))*($E119&gt;INDEX(_xlfn.ANCHORARRAY(Sintesi!$C$14),1,$C119))*($E119&lt;INDEX(_xlfn.ANCHORARRAY(Sintesi!$C$16),1,$C119))*(INDEX(_xlfn.ANCHORARRAY(Sintesi!$C$15),1,$C119)&lt;0)+($E119&gt;=$E118)*($E119&lt;=INDEX($E:$E,MATCH(TRUE,INDEX((ISNUMBER($E:$E)),0),0)))*($E119&gt;INDEX(_xlfn.ANCHORARRAY(Sintesi!$C$15),1,$C119))*($E119&lt;INDEX(_xlfn.ANCHORARRAY(Sintesi!$C$16),1,$C119))*(INDEX(_xlfn.ANCHORARRAY(Sintesi!$C$15),1,$C119)&gt;0),2,IF($E119=(INDEX(_xlfn.ANCHORARRAY(Sintesi!$C$16),1,$C119)),3,4)))),0),IF($C119&gt;0,IF(($E119=INDEX(_xlfn.ANCHORARRAY(Sintesi!$C$14),1,$C119))*(INDEX(_xlfn.ANCHORARRAY(Sintesi!$C$15),1,$C119)&gt;0),0,IF(($E119=INDEX(_xlfn.ANCHORARRAY(Sintesi!$C$14),1,$C119))*(INDEX(_xlfn.ANCHORARRAY(Sintesi!$C$15),1,$C119)&lt;0)+($E119&gt;=LOOKUP(2,1/($E:$E&lt;&gt;""),$E:$E))*($E119&lt;=INDEX($E:$E,MATCH(TRUE,INDEX((ISNUMBER($E:$E)),0),0)))*($E119&gt;INDEX(_xlfn.ANCHORARRAY(Sintesi!$C$14),1,$C119))*($E119&lt;=INDEX(_xlfn.ANCHORARRAY(Sintesi!$C$15),1,$C119))*(INDEX(_xlfn.ANCHORARRAY(Sintesi!$C$15),1,$C119)&gt;0),1,IF(($E119&gt;=LOOKUP(2,1/($E:$E&lt;&gt;""),$E:$E))*($E119&lt;=INDEX($E:$E,MATCH(TRUE,INDEX((ISNUMBER($E:$E)),0),0)))*($E119&gt;INDEX(_xlfn.ANCHORARRAY(Sintesi!$C$14),1,$C119))*($E119&lt;INDEX(_xlfn.ANCHORARRAY(Sintesi!$C$16),1,$C119))*(INDEX(_xlfn.ANCHORARRAY(Sintesi!$C$15),1,$C119)&lt;0)+($E119&gt;=LOOKUP(2,1/($E:$E&lt;&gt;""),$E:$E))*($E119&lt;=INDEX($E:$E,MATCH(TRUE,INDEX((ISNUMBER($E:$E)),0),0)))*($E119&gt;INDEX(_xlfn.ANCHORARRAY(Sintesi!$C$15),1,$C119))*($E119&lt;INDEX(_xlfn.ANCHORARRAY(Sintesi!$C$16),1,$C119))*(INDEX(_xlfn.ANCHORARRAY(Sintesi!$C$15),1,$C119)&gt;0),2,IF($E119=(INDEX(_xlfn.ANCHORARRAY(Sintesi!$C$16),1,$C119)),3,4)))),0)),IF(ISNUMBER($E118),IF($C119&gt;0,IF(($E119=INDEX(_xlfn.ANCHORARRAY(Sintesi!$C$14),1,$C119))*(INDEX(_xlfn.ANCHORARRAY(Sintesi!$C$15),1,$C119)&gt;0),0,IF(($E119=INDEX(_xlfn.ANCHORARRAY(Sintesi!$C$14),1,$C119))*(INDEX(_xlfn.ANCHORARRAY(Sintesi!$C$15),1,$C119)&lt;0)+($E119&gt;=$E118)*($E119&lt;=$E120)*($E119&gt;INDEX(_xlfn.ANCHORARRAY(Sintesi!$C$14),1,$C119))*($E119&lt;=INDEX(_xlfn.ANCHORARRAY(Sintesi!$C$15),1,$C119))*(INDEX(_xlfn.ANCHORARRAY(Sintesi!$C$15),1,$C119)&gt;0),1,IF(($E119&gt;=$E118)*($E119&lt;=$E120)*($E119&gt;INDEX(_xlfn.ANCHORARRAY(Sintesi!$C$14),1,$C119))*($E119&lt;INDEX(_xlfn.ANCHORARRAY(Sintesi!$C$16),1,$C119))*(INDEX(_xlfn.ANCHORARRAY(Sintesi!$C$15),1,$C119)&lt;0)+($E119&gt;=$E118)*($E119&lt;=$E120)*($E119&gt;INDEX(_xlfn.ANCHORARRAY(Sintesi!$C$15),1,$C119))*($E119&lt;INDEX(_xlfn.ANCHORARRAY(Sintesi!$C$16),1,$C119))*(INDEX(_xlfn.ANCHORARRAY(Sintesi!$C$15),1,$C119)&gt;0),2,IF($E119=(INDEX(_xlfn.ANCHORARRAY(Sintesi!$C$16),1,$C119)),3,4)))),0),IF($C119&gt;0,IF(($E119=INDEX(_xlfn.ANCHORARRAY(Sintesi!$C$14),1,$C119))*(INDEX(_xlfn.ANCHORARRAY(Sintesi!$C$15),1,$C119)&gt;0),0,IF(($E119=INDEX(_xlfn.ANCHORARRAY(Sintesi!$C$14),1,$C119))*(INDEX(_xlfn.ANCHORARRAY(Sintesi!$C$15),1,$C119)&lt;0)+($E119&gt;=LOOKUP(2,1/($E:$E&lt;&gt;""),$E:$E))*($E119&lt;=$E120)*($E119&gt;INDEX(_xlfn.ANCHORARRAY(Sintesi!$C$14),1,$C119))*($E119&lt;=INDEX(_xlfn.ANCHORARRAY(Sintesi!$C$15),1,$C119))*(INDEX(_xlfn.ANCHORARRAY(Sintesi!$C$15),1,$C119)&gt;0),1,IF(($E119&gt;=LOOKUP(2,1/($E:$E&lt;&gt;""),$E:$E))*($E119&lt;=$E120)*($E119&gt;INDEX(_xlfn.ANCHORARRAY(Sintesi!$C$14),1,$C119))*($E119&lt;INDEX(_xlfn.ANCHORARRAY(Sintesi!$C$16),1,$C119))*(INDEX(_xlfn.ANCHORARRAY(Sintesi!$C$15),1,$C119)&lt;0)+($E119&gt;=LOOKUP(2,1/($E:$E&lt;&gt;""),$E:$E))*($E119&lt;=$E120)*($E119&gt;INDEX(_xlfn.ANCHORARRAY(Sintesi!$C$15),1,$C119))*($E119&lt;INDEX(_xlfn.ANCHORARRAY(Sintesi!$C$16),1,$C119))*(INDEX(_xlfn.ANCHORARRAY(Sintesi!$C$15),1,$C119)&gt;0),2,IF($E119=(INDEX(_xlfn.ANCHORARRAY(Sintesi!$C$16),1,$C119)),3,4)))),0)))</f>
        <v/>
      </c>
      <c r="E119" s="1">
        <f>'Paste cell here'!F119</f>
        <v/>
      </c>
      <c r="F119" s="1">
        <f>'Paste cell here'!C119</f>
        <v/>
      </c>
      <c r="G119" s="1">
        <f>'Paste cell here'!D119</f>
        <v/>
      </c>
      <c r="H119" s="1">
        <f>'Paste cell here'!E119</f>
        <v/>
      </c>
      <c r="I119" s="1">
        <f>'Paste cell here'!X119</f>
        <v/>
      </c>
      <c r="J119" s="1">
        <f>'Paste cell here'!Y119+'Paste cell here'!S119</f>
        <v/>
      </c>
      <c r="K119" s="1">
        <f>I119/H119</f>
        <v/>
      </c>
      <c r="L119" s="1">
        <f>AVERAGE(($F119+$G119)/2-($F119-$G119)/2*COS(PI()*(8-VLOOKUP(MONTH(B119),$O$1:$Q$13,3))/(VLOOKUP(MONTH(B119),$O$1:$Q$13,2)-VLOOKUP(MONTH(B119),$O$1:$Q$13,3))),($F119+$G119)/2-($F119-$G119)/2*COS(PI()*(9-VLOOKUP(MONTH(B119),$O$1:$Q$13,3))/(VLOOKUP(MONTH(B119),$O$1:$Q$13,2)-VLOOKUP(MONTH(B119),$O$1:$Q$13,3))),($F119+$G119)/2-($F119-$G119)/2*COS(PI()*(10-VLOOKUP(MONTH(B119),$O$1:$Q$13,3))/(VLOOKUP(MONTH(B119),$O$1:$Q$13,2)-VLOOKUP(MONTH(B119),$O$1:$Q$13,3))),($F119+$G119)/2-($F119-$G119)/2*COS(PI()*(11-VLOOKUP(MONTH(B119),$O$1:$Q$13,3))/(VLOOKUP(MONTH(B119),$O$1:$Q$13,2)-VLOOKUP(MONTH(B119),$O$1:$Q$13,3))),($F119+$G119)/2-($F119-$G119)/2*COS(PI()*(12-VLOOKUP(MONTH(B119),$O$1:$Q$13,3))/(VLOOKUP(MONTH(B119),$O$1:$Q$13,2)-VLOOKUP(MONTH(B119),$O$1:$Q$13,3))),($F119+$G119)/2-($F119-$G119)/2*COS(PI()*(13-VLOOKUP(MONTH(B119),$O$1:$Q$13,3))/(VLOOKUP(MONTH(B119),$O$1:$Q$13,2)-VLOOKUP(MONTH(B119),$O$1:$Q$13,3))),($F119+$G119)/2-($F119-$G119)/2*COS(PI()*(14-VLOOKUP(MONTH(B119),$O$1:$Q$13,3))/(VLOOKUP(MONTH(B119),$O$1:$Q$13,2)-VLOOKUP(MONTH(B119),$O$1:$Q$13,3))))</f>
        <v/>
      </c>
      <c r="M119" s="1">
        <f t="array" ref="M119">IF(AND(A119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,A119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),IF(L119&lt;_xlfn.IFNA(INDEX(_xlfn.ANCHORARRAY(Sintesi!$C$17)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,1,IF(L119&gt;=_xlfn.IFNA(INDEX(_xlfn.ANCHORARRAY(Sintesi!$C$18)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,0,1-(L119-_xlfn.IFNA(INDEX(_xlfn.ANCHORARRAY(Sintesi!$C$17)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)/(_xlfn.IFNA(INDEX(_xlfn.ANCHORARRAY(Sintesi!$C$18)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-_xlfn.IFNA(INDEX(_xlfn.ANCHORARRAY(Sintesi!$C$17)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))),0)</f>
        <v/>
      </c>
    </row>
    <row r="120">
      <c r="A120" s="1">
        <f>'Paste cell here'!A120</f>
        <v/>
      </c>
      <c r="B120" s="2">
        <f>DATE(Sintesi!$C$4-1,12,31)+A120</f>
        <v/>
      </c>
      <c r="C120" s="34">
        <f t="array" ref="C120">_xlfn.IFNA(MATCH(1,(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)*(_xlfn.ANCHORARRAY(Sintesi!$C$15)&gt;=0)+(_xlfn.ANCHORARRAY(Sintesi!$C$15)&lt;0),0),0)</f>
        <v/>
      </c>
      <c r="D120" s="1">
        <f t="array" ref="D120">IF(ISBLANK($E121),IF(ISNUMBER($E119),IF($C120&gt;0,IF(($E120=INDEX(_xlfn.ANCHORARRAY(Sintesi!$C$14),1,$C120))*(INDEX(_xlfn.ANCHORARRAY(Sintesi!$C$15),1,$C120)&gt;0),0,IF(($E120=INDEX(_xlfn.ANCHORARRAY(Sintesi!$C$14),1,$C120))*(INDEX(_xlfn.ANCHORARRAY(Sintesi!$C$15),1,$C120)&lt;0)+($E120&gt;=$E119)*($E120&lt;=INDEX($E:$E,MATCH(TRUE,INDEX((ISNUMBER($E:$E)),0),0)))*($E120&gt;INDEX(_xlfn.ANCHORARRAY(Sintesi!$C$14),1,$C120))*($E120&lt;=INDEX(_xlfn.ANCHORARRAY(Sintesi!$C$15),1,$C120))*(INDEX(_xlfn.ANCHORARRAY(Sintesi!$C$15),1,$C120)&gt;0),1,IF(($E120&gt;=$E119)*($E120&lt;=INDEX($E:$E,MATCH(TRUE,INDEX((ISNUMBER($E:$E)),0),0)))*($E120&gt;INDEX(_xlfn.ANCHORARRAY(Sintesi!$C$14),1,$C120))*($E120&lt;INDEX(_xlfn.ANCHORARRAY(Sintesi!$C$16),1,$C120))*(INDEX(_xlfn.ANCHORARRAY(Sintesi!$C$15),1,$C120)&lt;0)+($E120&gt;=$E119)*($E120&lt;=INDEX($E:$E,MATCH(TRUE,INDEX((ISNUMBER($E:$E)),0),0)))*($E120&gt;INDEX(_xlfn.ANCHORARRAY(Sintesi!$C$15),1,$C120))*($E120&lt;INDEX(_xlfn.ANCHORARRAY(Sintesi!$C$16),1,$C120))*(INDEX(_xlfn.ANCHORARRAY(Sintesi!$C$15),1,$C120)&gt;0),2,IF($E120=(INDEX(_xlfn.ANCHORARRAY(Sintesi!$C$16),1,$C120)),3,4)))),0),IF($C120&gt;0,IF(($E120=INDEX(_xlfn.ANCHORARRAY(Sintesi!$C$14),1,$C120))*(INDEX(_xlfn.ANCHORARRAY(Sintesi!$C$15),1,$C120)&gt;0),0,IF(($E120=INDEX(_xlfn.ANCHORARRAY(Sintesi!$C$14),1,$C120))*(INDEX(_xlfn.ANCHORARRAY(Sintesi!$C$15),1,$C120)&lt;0)+($E120&gt;=LOOKUP(2,1/($E:$E&lt;&gt;""),$E:$E))*($E120&lt;=INDEX($E:$E,MATCH(TRUE,INDEX((ISNUMBER($E:$E)),0),0)))*($E120&gt;INDEX(_xlfn.ANCHORARRAY(Sintesi!$C$14),1,$C120))*($E120&lt;=INDEX(_xlfn.ANCHORARRAY(Sintesi!$C$15),1,$C120))*(INDEX(_xlfn.ANCHORARRAY(Sintesi!$C$15),1,$C120)&gt;0),1,IF(($E120&gt;=LOOKUP(2,1/($E:$E&lt;&gt;""),$E:$E))*($E120&lt;=INDEX($E:$E,MATCH(TRUE,INDEX((ISNUMBER($E:$E)),0),0)))*($E120&gt;INDEX(_xlfn.ANCHORARRAY(Sintesi!$C$14),1,$C120))*($E120&lt;INDEX(_xlfn.ANCHORARRAY(Sintesi!$C$16),1,$C120))*(INDEX(_xlfn.ANCHORARRAY(Sintesi!$C$15),1,$C120)&lt;0)+($E120&gt;=LOOKUP(2,1/($E:$E&lt;&gt;""),$E:$E))*($E120&lt;=INDEX($E:$E,MATCH(TRUE,INDEX((ISNUMBER($E:$E)),0),0)))*($E120&gt;INDEX(_xlfn.ANCHORARRAY(Sintesi!$C$15),1,$C120))*($E120&lt;INDEX(_xlfn.ANCHORARRAY(Sintesi!$C$16),1,$C120))*(INDEX(_xlfn.ANCHORARRAY(Sintesi!$C$15),1,$C120)&gt;0),2,IF($E120=(INDEX(_xlfn.ANCHORARRAY(Sintesi!$C$16),1,$C120)),3,4)))),0)),IF(ISNUMBER($E119),IF($C120&gt;0,IF(($E120=INDEX(_xlfn.ANCHORARRAY(Sintesi!$C$14),1,$C120))*(INDEX(_xlfn.ANCHORARRAY(Sintesi!$C$15),1,$C120)&gt;0),0,IF(($E120=INDEX(_xlfn.ANCHORARRAY(Sintesi!$C$14),1,$C120))*(INDEX(_xlfn.ANCHORARRAY(Sintesi!$C$15),1,$C120)&lt;0)+($E120&gt;=$E119)*($E120&lt;=$E121)*($E120&gt;INDEX(_xlfn.ANCHORARRAY(Sintesi!$C$14),1,$C120))*($E120&lt;=INDEX(_xlfn.ANCHORARRAY(Sintesi!$C$15),1,$C120))*(INDEX(_xlfn.ANCHORARRAY(Sintesi!$C$15),1,$C120)&gt;0),1,IF(($E120&gt;=$E119)*($E120&lt;=$E121)*($E120&gt;INDEX(_xlfn.ANCHORARRAY(Sintesi!$C$14),1,$C120))*($E120&lt;INDEX(_xlfn.ANCHORARRAY(Sintesi!$C$16),1,$C120))*(INDEX(_xlfn.ANCHORARRAY(Sintesi!$C$15),1,$C120)&lt;0)+($E120&gt;=$E119)*($E120&lt;=$E121)*($E120&gt;INDEX(_xlfn.ANCHORARRAY(Sintesi!$C$15),1,$C120))*($E120&lt;INDEX(_xlfn.ANCHORARRAY(Sintesi!$C$16),1,$C120))*(INDEX(_xlfn.ANCHORARRAY(Sintesi!$C$15),1,$C120)&gt;0),2,IF($E120=(INDEX(_xlfn.ANCHORARRAY(Sintesi!$C$16),1,$C120)),3,4)))),0),IF($C120&gt;0,IF(($E120=INDEX(_xlfn.ANCHORARRAY(Sintesi!$C$14),1,$C120))*(INDEX(_xlfn.ANCHORARRAY(Sintesi!$C$15),1,$C120)&gt;0),0,IF(($E120=INDEX(_xlfn.ANCHORARRAY(Sintesi!$C$14),1,$C120))*(INDEX(_xlfn.ANCHORARRAY(Sintesi!$C$15),1,$C120)&lt;0)+($E120&gt;=LOOKUP(2,1/($E:$E&lt;&gt;""),$E:$E))*($E120&lt;=$E121)*($E120&gt;INDEX(_xlfn.ANCHORARRAY(Sintesi!$C$14),1,$C120))*($E120&lt;=INDEX(_xlfn.ANCHORARRAY(Sintesi!$C$15),1,$C120))*(INDEX(_xlfn.ANCHORARRAY(Sintesi!$C$15),1,$C120)&gt;0),1,IF(($E120&gt;=LOOKUP(2,1/($E:$E&lt;&gt;""),$E:$E))*($E120&lt;=$E121)*($E120&gt;INDEX(_xlfn.ANCHORARRAY(Sintesi!$C$14),1,$C120))*($E120&lt;INDEX(_xlfn.ANCHORARRAY(Sintesi!$C$16),1,$C120))*(INDEX(_xlfn.ANCHORARRAY(Sintesi!$C$15),1,$C120)&lt;0)+($E120&gt;=LOOKUP(2,1/($E:$E&lt;&gt;""),$E:$E))*($E120&lt;=$E121)*($E120&gt;INDEX(_xlfn.ANCHORARRAY(Sintesi!$C$15),1,$C120))*($E120&lt;INDEX(_xlfn.ANCHORARRAY(Sintesi!$C$16),1,$C120))*(INDEX(_xlfn.ANCHORARRAY(Sintesi!$C$15),1,$C120)&gt;0),2,IF($E120=(INDEX(_xlfn.ANCHORARRAY(Sintesi!$C$16),1,$C120)),3,4)))),0)))</f>
        <v/>
      </c>
      <c r="E120" s="1">
        <f>'Paste cell here'!F120</f>
        <v/>
      </c>
      <c r="F120" s="1">
        <f>'Paste cell here'!C120</f>
        <v/>
      </c>
      <c r="G120" s="1">
        <f>'Paste cell here'!D120</f>
        <v/>
      </c>
      <c r="H120" s="1">
        <f>'Paste cell here'!E120</f>
        <v/>
      </c>
      <c r="I120" s="1">
        <f>'Paste cell here'!X120</f>
        <v/>
      </c>
      <c r="J120" s="1">
        <f>'Paste cell here'!Y120+'Paste cell here'!S120</f>
        <v/>
      </c>
      <c r="K120" s="1">
        <f>I120/H120</f>
        <v/>
      </c>
      <c r="L120" s="1">
        <f>AVERAGE(($F120+$G120)/2-($F120-$G120)/2*COS(PI()*(8-VLOOKUP(MONTH(B120),$O$1:$Q$13,3))/(VLOOKUP(MONTH(B120),$O$1:$Q$13,2)-VLOOKUP(MONTH(B120),$O$1:$Q$13,3))),($F120+$G120)/2-($F120-$G120)/2*COS(PI()*(9-VLOOKUP(MONTH(B120),$O$1:$Q$13,3))/(VLOOKUP(MONTH(B120),$O$1:$Q$13,2)-VLOOKUP(MONTH(B120),$O$1:$Q$13,3))),($F120+$G120)/2-($F120-$G120)/2*COS(PI()*(10-VLOOKUP(MONTH(B120),$O$1:$Q$13,3))/(VLOOKUP(MONTH(B120),$O$1:$Q$13,2)-VLOOKUP(MONTH(B120),$O$1:$Q$13,3))),($F120+$G120)/2-($F120-$G120)/2*COS(PI()*(11-VLOOKUP(MONTH(B120),$O$1:$Q$13,3))/(VLOOKUP(MONTH(B120),$O$1:$Q$13,2)-VLOOKUP(MONTH(B120),$O$1:$Q$13,3))),($F120+$G120)/2-($F120-$G120)/2*COS(PI()*(12-VLOOKUP(MONTH(B120),$O$1:$Q$13,3))/(VLOOKUP(MONTH(B120),$O$1:$Q$13,2)-VLOOKUP(MONTH(B120),$O$1:$Q$13,3))),($F120+$G120)/2-($F120-$G120)/2*COS(PI()*(13-VLOOKUP(MONTH(B120),$O$1:$Q$13,3))/(VLOOKUP(MONTH(B120),$O$1:$Q$13,2)-VLOOKUP(MONTH(B120),$O$1:$Q$13,3))),($F120+$G120)/2-($F120-$G120)/2*COS(PI()*(14-VLOOKUP(MONTH(B120),$O$1:$Q$13,3))/(VLOOKUP(MONTH(B120),$O$1:$Q$13,2)-VLOOKUP(MONTH(B120),$O$1:$Q$13,3))))</f>
        <v/>
      </c>
      <c r="M120" s="1">
        <f t="array" ref="M120">IF(AND(A120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,A120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),IF(L120&lt;_xlfn.IFNA(INDEX(_xlfn.ANCHORARRAY(Sintesi!$C$17)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,1,IF(L120&gt;=_xlfn.IFNA(INDEX(_xlfn.ANCHORARRAY(Sintesi!$C$18)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,0,1-(L120-_xlfn.IFNA(INDEX(_xlfn.ANCHORARRAY(Sintesi!$C$17)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)/(_xlfn.IFNA(INDEX(_xlfn.ANCHORARRAY(Sintesi!$C$18)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-_xlfn.IFNA(INDEX(_xlfn.ANCHORARRAY(Sintesi!$C$17)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))),0)</f>
        <v/>
      </c>
    </row>
    <row r="121">
      <c r="A121" s="1">
        <f>'Paste cell here'!A121</f>
        <v/>
      </c>
      <c r="B121" s="2">
        <f>DATE(Sintesi!$C$4-1,12,31)+A121</f>
        <v/>
      </c>
      <c r="C121" s="34">
        <f t="array" ref="C121">_xlfn.IFNA(MATCH(1,(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)*(_xlfn.ANCHORARRAY(Sintesi!$C$15)&gt;=0)+(_xlfn.ANCHORARRAY(Sintesi!$C$15)&lt;0),0),0)</f>
        <v/>
      </c>
      <c r="D121" s="1">
        <f t="array" ref="D121">IF(ISBLANK($E122),IF(ISNUMBER($E120),IF($C121&gt;0,IF(($E121=INDEX(_xlfn.ANCHORARRAY(Sintesi!$C$14),1,$C121))*(INDEX(_xlfn.ANCHORARRAY(Sintesi!$C$15),1,$C121)&gt;0),0,IF(($E121=INDEX(_xlfn.ANCHORARRAY(Sintesi!$C$14),1,$C121))*(INDEX(_xlfn.ANCHORARRAY(Sintesi!$C$15),1,$C121)&lt;0)+($E121&gt;=$E120)*($E121&lt;=INDEX($E:$E,MATCH(TRUE,INDEX((ISNUMBER($E:$E)),0),0)))*($E121&gt;INDEX(_xlfn.ANCHORARRAY(Sintesi!$C$14),1,$C121))*($E121&lt;=INDEX(_xlfn.ANCHORARRAY(Sintesi!$C$15),1,$C121))*(INDEX(_xlfn.ANCHORARRAY(Sintesi!$C$15),1,$C121)&gt;0),1,IF(($E121&gt;=$E120)*($E121&lt;=INDEX($E:$E,MATCH(TRUE,INDEX((ISNUMBER($E:$E)),0),0)))*($E121&gt;INDEX(_xlfn.ANCHORARRAY(Sintesi!$C$14),1,$C121))*($E121&lt;INDEX(_xlfn.ANCHORARRAY(Sintesi!$C$16),1,$C121))*(INDEX(_xlfn.ANCHORARRAY(Sintesi!$C$15),1,$C121)&lt;0)+($E121&gt;=$E120)*($E121&lt;=INDEX($E:$E,MATCH(TRUE,INDEX((ISNUMBER($E:$E)),0),0)))*($E121&gt;INDEX(_xlfn.ANCHORARRAY(Sintesi!$C$15),1,$C121))*($E121&lt;INDEX(_xlfn.ANCHORARRAY(Sintesi!$C$16),1,$C121))*(INDEX(_xlfn.ANCHORARRAY(Sintesi!$C$15),1,$C121)&gt;0),2,IF($E121=(INDEX(_xlfn.ANCHORARRAY(Sintesi!$C$16),1,$C121)),3,4)))),0),IF($C121&gt;0,IF(($E121=INDEX(_xlfn.ANCHORARRAY(Sintesi!$C$14),1,$C121))*(INDEX(_xlfn.ANCHORARRAY(Sintesi!$C$15),1,$C121)&gt;0),0,IF(($E121=INDEX(_xlfn.ANCHORARRAY(Sintesi!$C$14),1,$C121))*(INDEX(_xlfn.ANCHORARRAY(Sintesi!$C$15),1,$C121)&lt;0)+($E121&gt;=LOOKUP(2,1/($E:$E&lt;&gt;""),$E:$E))*($E121&lt;=INDEX($E:$E,MATCH(TRUE,INDEX((ISNUMBER($E:$E)),0),0)))*($E121&gt;INDEX(_xlfn.ANCHORARRAY(Sintesi!$C$14),1,$C121))*($E121&lt;=INDEX(_xlfn.ANCHORARRAY(Sintesi!$C$15),1,$C121))*(INDEX(_xlfn.ANCHORARRAY(Sintesi!$C$15),1,$C121)&gt;0),1,IF(($E121&gt;=LOOKUP(2,1/($E:$E&lt;&gt;""),$E:$E))*($E121&lt;=INDEX($E:$E,MATCH(TRUE,INDEX((ISNUMBER($E:$E)),0),0)))*($E121&gt;INDEX(_xlfn.ANCHORARRAY(Sintesi!$C$14),1,$C121))*($E121&lt;INDEX(_xlfn.ANCHORARRAY(Sintesi!$C$16),1,$C121))*(INDEX(_xlfn.ANCHORARRAY(Sintesi!$C$15),1,$C121)&lt;0)+($E121&gt;=LOOKUP(2,1/($E:$E&lt;&gt;""),$E:$E))*($E121&lt;=INDEX($E:$E,MATCH(TRUE,INDEX((ISNUMBER($E:$E)),0),0)))*($E121&gt;INDEX(_xlfn.ANCHORARRAY(Sintesi!$C$15),1,$C121))*($E121&lt;INDEX(_xlfn.ANCHORARRAY(Sintesi!$C$16),1,$C121))*(INDEX(_xlfn.ANCHORARRAY(Sintesi!$C$15),1,$C121)&gt;0),2,IF($E121=(INDEX(_xlfn.ANCHORARRAY(Sintesi!$C$16),1,$C121)),3,4)))),0)),IF(ISNUMBER($E120),IF($C121&gt;0,IF(($E121=INDEX(_xlfn.ANCHORARRAY(Sintesi!$C$14),1,$C121))*(INDEX(_xlfn.ANCHORARRAY(Sintesi!$C$15),1,$C121)&gt;0),0,IF(($E121=INDEX(_xlfn.ANCHORARRAY(Sintesi!$C$14),1,$C121))*(INDEX(_xlfn.ANCHORARRAY(Sintesi!$C$15),1,$C121)&lt;0)+($E121&gt;=$E120)*($E121&lt;=$E122)*($E121&gt;INDEX(_xlfn.ANCHORARRAY(Sintesi!$C$14),1,$C121))*($E121&lt;=INDEX(_xlfn.ANCHORARRAY(Sintesi!$C$15),1,$C121))*(INDEX(_xlfn.ANCHORARRAY(Sintesi!$C$15),1,$C121)&gt;0),1,IF(($E121&gt;=$E120)*($E121&lt;=$E122)*($E121&gt;INDEX(_xlfn.ANCHORARRAY(Sintesi!$C$14),1,$C121))*($E121&lt;INDEX(_xlfn.ANCHORARRAY(Sintesi!$C$16),1,$C121))*(INDEX(_xlfn.ANCHORARRAY(Sintesi!$C$15),1,$C121)&lt;0)+($E121&gt;=$E120)*($E121&lt;=$E122)*($E121&gt;INDEX(_xlfn.ANCHORARRAY(Sintesi!$C$15),1,$C121))*($E121&lt;INDEX(_xlfn.ANCHORARRAY(Sintesi!$C$16),1,$C121))*(INDEX(_xlfn.ANCHORARRAY(Sintesi!$C$15),1,$C121)&gt;0),2,IF($E121=(INDEX(_xlfn.ANCHORARRAY(Sintesi!$C$16),1,$C121)),3,4)))),0),IF($C121&gt;0,IF(($E121=INDEX(_xlfn.ANCHORARRAY(Sintesi!$C$14),1,$C121))*(INDEX(_xlfn.ANCHORARRAY(Sintesi!$C$15),1,$C121)&gt;0),0,IF(($E121=INDEX(_xlfn.ANCHORARRAY(Sintesi!$C$14),1,$C121))*(INDEX(_xlfn.ANCHORARRAY(Sintesi!$C$15),1,$C121)&lt;0)+($E121&gt;=LOOKUP(2,1/($E:$E&lt;&gt;""),$E:$E))*($E121&lt;=$E122)*($E121&gt;INDEX(_xlfn.ANCHORARRAY(Sintesi!$C$14),1,$C121))*($E121&lt;=INDEX(_xlfn.ANCHORARRAY(Sintesi!$C$15),1,$C121))*(INDEX(_xlfn.ANCHORARRAY(Sintesi!$C$15),1,$C121)&gt;0),1,IF(($E121&gt;=LOOKUP(2,1/($E:$E&lt;&gt;""),$E:$E))*($E121&lt;=$E122)*($E121&gt;INDEX(_xlfn.ANCHORARRAY(Sintesi!$C$14),1,$C121))*($E121&lt;INDEX(_xlfn.ANCHORARRAY(Sintesi!$C$16),1,$C121))*(INDEX(_xlfn.ANCHORARRAY(Sintesi!$C$15),1,$C121)&lt;0)+($E121&gt;=LOOKUP(2,1/($E:$E&lt;&gt;""),$E:$E))*($E121&lt;=$E122)*($E121&gt;INDEX(_xlfn.ANCHORARRAY(Sintesi!$C$15),1,$C121))*($E121&lt;INDEX(_xlfn.ANCHORARRAY(Sintesi!$C$16),1,$C121))*(INDEX(_xlfn.ANCHORARRAY(Sintesi!$C$15),1,$C121)&gt;0),2,IF($E121=(INDEX(_xlfn.ANCHORARRAY(Sintesi!$C$16),1,$C121)),3,4)))),0)))</f>
        <v/>
      </c>
      <c r="E121" s="1">
        <f>'Paste cell here'!F121</f>
        <v/>
      </c>
      <c r="F121" s="1">
        <f>'Paste cell here'!C121</f>
        <v/>
      </c>
      <c r="G121" s="1">
        <f>'Paste cell here'!D121</f>
        <v/>
      </c>
      <c r="H121" s="1">
        <f>'Paste cell here'!E121</f>
        <v/>
      </c>
      <c r="I121" s="1">
        <f>'Paste cell here'!X121</f>
        <v/>
      </c>
      <c r="J121" s="1">
        <f>'Paste cell here'!Y121+'Paste cell here'!S121</f>
        <v/>
      </c>
      <c r="K121" s="1">
        <f>I121/H121</f>
        <v/>
      </c>
      <c r="L121" s="1">
        <f>AVERAGE(($F121+$G121)/2-($F121-$G121)/2*COS(PI()*(8-VLOOKUP(MONTH(B121),$O$1:$Q$13,3))/(VLOOKUP(MONTH(B121),$O$1:$Q$13,2)-VLOOKUP(MONTH(B121),$O$1:$Q$13,3))),($F121+$G121)/2-($F121-$G121)/2*COS(PI()*(9-VLOOKUP(MONTH(B121),$O$1:$Q$13,3))/(VLOOKUP(MONTH(B121),$O$1:$Q$13,2)-VLOOKUP(MONTH(B121),$O$1:$Q$13,3))),($F121+$G121)/2-($F121-$G121)/2*COS(PI()*(10-VLOOKUP(MONTH(B121),$O$1:$Q$13,3))/(VLOOKUP(MONTH(B121),$O$1:$Q$13,2)-VLOOKUP(MONTH(B121),$O$1:$Q$13,3))),($F121+$G121)/2-($F121-$G121)/2*COS(PI()*(11-VLOOKUP(MONTH(B121),$O$1:$Q$13,3))/(VLOOKUP(MONTH(B121),$O$1:$Q$13,2)-VLOOKUP(MONTH(B121),$O$1:$Q$13,3))),($F121+$G121)/2-($F121-$G121)/2*COS(PI()*(12-VLOOKUP(MONTH(B121),$O$1:$Q$13,3))/(VLOOKUP(MONTH(B121),$O$1:$Q$13,2)-VLOOKUP(MONTH(B121),$O$1:$Q$13,3))),($F121+$G121)/2-($F121-$G121)/2*COS(PI()*(13-VLOOKUP(MONTH(B121),$O$1:$Q$13,3))/(VLOOKUP(MONTH(B121),$O$1:$Q$13,2)-VLOOKUP(MONTH(B121),$O$1:$Q$13,3))),($F121+$G121)/2-($F121-$G121)/2*COS(PI()*(14-VLOOKUP(MONTH(B121),$O$1:$Q$13,3))/(VLOOKUP(MONTH(B121),$O$1:$Q$13,2)-VLOOKUP(MONTH(B121),$O$1:$Q$13,3))))</f>
        <v/>
      </c>
      <c r="M121" s="1">
        <f t="array" ref="M121">IF(AND(A121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,A121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),IF(L121&lt;_xlfn.IFNA(INDEX(_xlfn.ANCHORARRAY(Sintesi!$C$17)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,1,IF(L121&gt;=_xlfn.IFNA(INDEX(_xlfn.ANCHORARRAY(Sintesi!$C$18)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,0,1-(L121-_xlfn.IFNA(INDEX(_xlfn.ANCHORARRAY(Sintesi!$C$17)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)/(_xlfn.IFNA(INDEX(_xlfn.ANCHORARRAY(Sintesi!$C$18)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-_xlfn.IFNA(INDEX(_xlfn.ANCHORARRAY(Sintesi!$C$17)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))),0)</f>
        <v/>
      </c>
    </row>
    <row r="122">
      <c r="A122" s="1">
        <f>'Paste cell here'!A122</f>
        <v/>
      </c>
      <c r="B122" s="2">
        <f>DATE(Sintesi!$C$4-1,12,31)+A122</f>
        <v/>
      </c>
      <c r="C122" s="34">
        <f t="array" ref="C122">_xlfn.IFNA(MATCH(1,(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)*(_xlfn.ANCHORARRAY(Sintesi!$C$15)&gt;=0)+(_xlfn.ANCHORARRAY(Sintesi!$C$15)&lt;0),0),0)</f>
        <v/>
      </c>
      <c r="D122" s="1">
        <f t="array" ref="D122">IF(ISBLANK($E123),IF(ISNUMBER($E121),IF($C122&gt;0,IF(($E122=INDEX(_xlfn.ANCHORARRAY(Sintesi!$C$14),1,$C122))*(INDEX(_xlfn.ANCHORARRAY(Sintesi!$C$15),1,$C122)&gt;0),0,IF(($E122=INDEX(_xlfn.ANCHORARRAY(Sintesi!$C$14),1,$C122))*(INDEX(_xlfn.ANCHORARRAY(Sintesi!$C$15),1,$C122)&lt;0)+($E122&gt;=$E121)*($E122&lt;=INDEX($E:$E,MATCH(TRUE,INDEX((ISNUMBER($E:$E)),0),0)))*($E122&gt;INDEX(_xlfn.ANCHORARRAY(Sintesi!$C$14),1,$C122))*($E122&lt;=INDEX(_xlfn.ANCHORARRAY(Sintesi!$C$15),1,$C122))*(INDEX(_xlfn.ANCHORARRAY(Sintesi!$C$15),1,$C122)&gt;0),1,IF(($E122&gt;=$E121)*($E122&lt;=INDEX($E:$E,MATCH(TRUE,INDEX((ISNUMBER($E:$E)),0),0)))*($E122&gt;INDEX(_xlfn.ANCHORARRAY(Sintesi!$C$14),1,$C122))*($E122&lt;INDEX(_xlfn.ANCHORARRAY(Sintesi!$C$16),1,$C122))*(INDEX(_xlfn.ANCHORARRAY(Sintesi!$C$15),1,$C122)&lt;0)+($E122&gt;=$E121)*($E122&lt;=INDEX($E:$E,MATCH(TRUE,INDEX((ISNUMBER($E:$E)),0),0)))*($E122&gt;INDEX(_xlfn.ANCHORARRAY(Sintesi!$C$15),1,$C122))*($E122&lt;INDEX(_xlfn.ANCHORARRAY(Sintesi!$C$16),1,$C122))*(INDEX(_xlfn.ANCHORARRAY(Sintesi!$C$15),1,$C122)&gt;0),2,IF($E122=(INDEX(_xlfn.ANCHORARRAY(Sintesi!$C$16),1,$C122)),3,4)))),0),IF($C122&gt;0,IF(($E122=INDEX(_xlfn.ANCHORARRAY(Sintesi!$C$14),1,$C122))*(INDEX(_xlfn.ANCHORARRAY(Sintesi!$C$15),1,$C122)&gt;0),0,IF(($E122=INDEX(_xlfn.ANCHORARRAY(Sintesi!$C$14),1,$C122))*(INDEX(_xlfn.ANCHORARRAY(Sintesi!$C$15),1,$C122)&lt;0)+($E122&gt;=LOOKUP(2,1/($E:$E&lt;&gt;""),$E:$E))*($E122&lt;=INDEX($E:$E,MATCH(TRUE,INDEX((ISNUMBER($E:$E)),0),0)))*($E122&gt;INDEX(_xlfn.ANCHORARRAY(Sintesi!$C$14),1,$C122))*($E122&lt;=INDEX(_xlfn.ANCHORARRAY(Sintesi!$C$15),1,$C122))*(INDEX(_xlfn.ANCHORARRAY(Sintesi!$C$15),1,$C122)&gt;0),1,IF(($E122&gt;=LOOKUP(2,1/($E:$E&lt;&gt;""),$E:$E))*($E122&lt;=INDEX($E:$E,MATCH(TRUE,INDEX((ISNUMBER($E:$E)),0),0)))*($E122&gt;INDEX(_xlfn.ANCHORARRAY(Sintesi!$C$14),1,$C122))*($E122&lt;INDEX(_xlfn.ANCHORARRAY(Sintesi!$C$16),1,$C122))*(INDEX(_xlfn.ANCHORARRAY(Sintesi!$C$15),1,$C122)&lt;0)+($E122&gt;=LOOKUP(2,1/($E:$E&lt;&gt;""),$E:$E))*($E122&lt;=INDEX($E:$E,MATCH(TRUE,INDEX((ISNUMBER($E:$E)),0),0)))*($E122&gt;INDEX(_xlfn.ANCHORARRAY(Sintesi!$C$15),1,$C122))*($E122&lt;INDEX(_xlfn.ANCHORARRAY(Sintesi!$C$16),1,$C122))*(INDEX(_xlfn.ANCHORARRAY(Sintesi!$C$15),1,$C122)&gt;0),2,IF($E122=(INDEX(_xlfn.ANCHORARRAY(Sintesi!$C$16),1,$C122)),3,4)))),0)),IF(ISNUMBER($E121),IF($C122&gt;0,IF(($E122=INDEX(_xlfn.ANCHORARRAY(Sintesi!$C$14),1,$C122))*(INDEX(_xlfn.ANCHORARRAY(Sintesi!$C$15),1,$C122)&gt;0),0,IF(($E122=INDEX(_xlfn.ANCHORARRAY(Sintesi!$C$14),1,$C122))*(INDEX(_xlfn.ANCHORARRAY(Sintesi!$C$15),1,$C122)&lt;0)+($E122&gt;=$E121)*($E122&lt;=$E123)*($E122&gt;INDEX(_xlfn.ANCHORARRAY(Sintesi!$C$14),1,$C122))*($E122&lt;=INDEX(_xlfn.ANCHORARRAY(Sintesi!$C$15),1,$C122))*(INDEX(_xlfn.ANCHORARRAY(Sintesi!$C$15),1,$C122)&gt;0),1,IF(($E122&gt;=$E121)*($E122&lt;=$E123)*($E122&gt;INDEX(_xlfn.ANCHORARRAY(Sintesi!$C$14),1,$C122))*($E122&lt;INDEX(_xlfn.ANCHORARRAY(Sintesi!$C$16),1,$C122))*(INDEX(_xlfn.ANCHORARRAY(Sintesi!$C$15),1,$C122)&lt;0)+($E122&gt;=$E121)*($E122&lt;=$E123)*($E122&gt;INDEX(_xlfn.ANCHORARRAY(Sintesi!$C$15),1,$C122))*($E122&lt;INDEX(_xlfn.ANCHORARRAY(Sintesi!$C$16),1,$C122))*(INDEX(_xlfn.ANCHORARRAY(Sintesi!$C$15),1,$C122)&gt;0),2,IF($E122=(INDEX(_xlfn.ANCHORARRAY(Sintesi!$C$16),1,$C122)),3,4)))),0),IF($C122&gt;0,IF(($E122=INDEX(_xlfn.ANCHORARRAY(Sintesi!$C$14),1,$C122))*(INDEX(_xlfn.ANCHORARRAY(Sintesi!$C$15),1,$C122)&gt;0),0,IF(($E122=INDEX(_xlfn.ANCHORARRAY(Sintesi!$C$14),1,$C122))*(INDEX(_xlfn.ANCHORARRAY(Sintesi!$C$15),1,$C122)&lt;0)+($E122&gt;=LOOKUP(2,1/($E:$E&lt;&gt;""),$E:$E))*($E122&lt;=$E123)*($E122&gt;INDEX(_xlfn.ANCHORARRAY(Sintesi!$C$14),1,$C122))*($E122&lt;=INDEX(_xlfn.ANCHORARRAY(Sintesi!$C$15),1,$C122))*(INDEX(_xlfn.ANCHORARRAY(Sintesi!$C$15),1,$C122)&gt;0),1,IF(($E122&gt;=LOOKUP(2,1/($E:$E&lt;&gt;""),$E:$E))*($E122&lt;=$E123)*($E122&gt;INDEX(_xlfn.ANCHORARRAY(Sintesi!$C$14),1,$C122))*($E122&lt;INDEX(_xlfn.ANCHORARRAY(Sintesi!$C$16),1,$C122))*(INDEX(_xlfn.ANCHORARRAY(Sintesi!$C$15),1,$C122)&lt;0)+($E122&gt;=LOOKUP(2,1/($E:$E&lt;&gt;""),$E:$E))*($E122&lt;=$E123)*($E122&gt;INDEX(_xlfn.ANCHORARRAY(Sintesi!$C$15),1,$C122))*($E122&lt;INDEX(_xlfn.ANCHORARRAY(Sintesi!$C$16),1,$C122))*(INDEX(_xlfn.ANCHORARRAY(Sintesi!$C$15),1,$C122)&gt;0),2,IF($E122=(INDEX(_xlfn.ANCHORARRAY(Sintesi!$C$16),1,$C122)),3,4)))),0)))</f>
        <v/>
      </c>
      <c r="E122" s="1">
        <f>'Paste cell here'!F122</f>
        <v/>
      </c>
      <c r="F122" s="1">
        <f>'Paste cell here'!C122</f>
        <v/>
      </c>
      <c r="G122" s="1">
        <f>'Paste cell here'!D122</f>
        <v/>
      </c>
      <c r="H122" s="1">
        <f>'Paste cell here'!E122</f>
        <v/>
      </c>
      <c r="I122" s="1">
        <f>'Paste cell here'!X122</f>
        <v/>
      </c>
      <c r="J122" s="1">
        <f>'Paste cell here'!Y122+'Paste cell here'!S122</f>
        <v/>
      </c>
      <c r="K122" s="1">
        <f>I122/H122</f>
        <v/>
      </c>
      <c r="L122" s="1">
        <f>AVERAGE(($F122+$G122)/2-($F122-$G122)/2*COS(PI()*(8-VLOOKUP(MONTH(B122),$O$1:$Q$13,3))/(VLOOKUP(MONTH(B122),$O$1:$Q$13,2)-VLOOKUP(MONTH(B122),$O$1:$Q$13,3))),($F122+$G122)/2-($F122-$G122)/2*COS(PI()*(9-VLOOKUP(MONTH(B122),$O$1:$Q$13,3))/(VLOOKUP(MONTH(B122),$O$1:$Q$13,2)-VLOOKUP(MONTH(B122),$O$1:$Q$13,3))),($F122+$G122)/2-($F122-$G122)/2*COS(PI()*(10-VLOOKUP(MONTH(B122),$O$1:$Q$13,3))/(VLOOKUP(MONTH(B122),$O$1:$Q$13,2)-VLOOKUP(MONTH(B122),$O$1:$Q$13,3))),($F122+$G122)/2-($F122-$G122)/2*COS(PI()*(11-VLOOKUP(MONTH(B122),$O$1:$Q$13,3))/(VLOOKUP(MONTH(B122),$O$1:$Q$13,2)-VLOOKUP(MONTH(B122),$O$1:$Q$13,3))),($F122+$G122)/2-($F122-$G122)/2*COS(PI()*(12-VLOOKUP(MONTH(B122),$O$1:$Q$13,3))/(VLOOKUP(MONTH(B122),$O$1:$Q$13,2)-VLOOKUP(MONTH(B122),$O$1:$Q$13,3))),($F122+$G122)/2-($F122-$G122)/2*COS(PI()*(13-VLOOKUP(MONTH(B122),$O$1:$Q$13,3))/(VLOOKUP(MONTH(B122),$O$1:$Q$13,2)-VLOOKUP(MONTH(B122),$O$1:$Q$13,3))),($F122+$G122)/2-($F122-$G122)/2*COS(PI()*(14-VLOOKUP(MONTH(B122),$O$1:$Q$13,3))/(VLOOKUP(MONTH(B122),$O$1:$Q$13,2)-VLOOKUP(MONTH(B122),$O$1:$Q$13,3))))</f>
        <v/>
      </c>
      <c r="M122" s="1">
        <f t="array" ref="M122">IF(AND(A122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,A122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),IF(L122&lt;_xlfn.IFNA(INDEX(_xlfn.ANCHORARRAY(Sintesi!$C$17)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,1,IF(L122&gt;=_xlfn.IFNA(INDEX(_xlfn.ANCHORARRAY(Sintesi!$C$18)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,0,1-(L122-_xlfn.IFNA(INDEX(_xlfn.ANCHORARRAY(Sintesi!$C$17)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)/(_xlfn.IFNA(INDEX(_xlfn.ANCHORARRAY(Sintesi!$C$18)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-_xlfn.IFNA(INDEX(_xlfn.ANCHORARRAY(Sintesi!$C$17)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))),0)</f>
        <v/>
      </c>
    </row>
    <row r="123">
      <c r="A123" s="1">
        <f>'Paste cell here'!A123</f>
        <v/>
      </c>
      <c r="B123" s="2">
        <f>DATE(Sintesi!$C$4-1,12,31)+A123</f>
        <v/>
      </c>
      <c r="C123" s="34">
        <f t="array" ref="C123">_xlfn.IFNA(MATCH(1,(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)*(_xlfn.ANCHORARRAY(Sintesi!$C$15)&gt;=0)+(_xlfn.ANCHORARRAY(Sintesi!$C$15)&lt;0),0),0)</f>
        <v/>
      </c>
      <c r="D123" s="1">
        <f t="array" ref="D123">IF(ISBLANK($E124),IF(ISNUMBER($E122),IF($C123&gt;0,IF(($E123=INDEX(_xlfn.ANCHORARRAY(Sintesi!$C$14),1,$C123))*(INDEX(_xlfn.ANCHORARRAY(Sintesi!$C$15),1,$C123)&gt;0),0,IF(($E123=INDEX(_xlfn.ANCHORARRAY(Sintesi!$C$14),1,$C123))*(INDEX(_xlfn.ANCHORARRAY(Sintesi!$C$15),1,$C123)&lt;0)+($E123&gt;=$E122)*($E123&lt;=INDEX($E:$E,MATCH(TRUE,INDEX((ISNUMBER($E:$E)),0),0)))*($E123&gt;INDEX(_xlfn.ANCHORARRAY(Sintesi!$C$14),1,$C123))*($E123&lt;=INDEX(_xlfn.ANCHORARRAY(Sintesi!$C$15),1,$C123))*(INDEX(_xlfn.ANCHORARRAY(Sintesi!$C$15),1,$C123)&gt;0),1,IF(($E123&gt;=$E122)*($E123&lt;=INDEX($E:$E,MATCH(TRUE,INDEX((ISNUMBER($E:$E)),0),0)))*($E123&gt;INDEX(_xlfn.ANCHORARRAY(Sintesi!$C$14),1,$C123))*($E123&lt;INDEX(_xlfn.ANCHORARRAY(Sintesi!$C$16),1,$C123))*(INDEX(_xlfn.ANCHORARRAY(Sintesi!$C$15),1,$C123)&lt;0)+($E123&gt;=$E122)*($E123&lt;=INDEX($E:$E,MATCH(TRUE,INDEX((ISNUMBER($E:$E)),0),0)))*($E123&gt;INDEX(_xlfn.ANCHORARRAY(Sintesi!$C$15),1,$C123))*($E123&lt;INDEX(_xlfn.ANCHORARRAY(Sintesi!$C$16),1,$C123))*(INDEX(_xlfn.ANCHORARRAY(Sintesi!$C$15),1,$C123)&gt;0),2,IF($E123=(INDEX(_xlfn.ANCHORARRAY(Sintesi!$C$16),1,$C123)),3,4)))),0),IF($C123&gt;0,IF(($E123=INDEX(_xlfn.ANCHORARRAY(Sintesi!$C$14),1,$C123))*(INDEX(_xlfn.ANCHORARRAY(Sintesi!$C$15),1,$C123)&gt;0),0,IF(($E123=INDEX(_xlfn.ANCHORARRAY(Sintesi!$C$14),1,$C123))*(INDEX(_xlfn.ANCHORARRAY(Sintesi!$C$15),1,$C123)&lt;0)+($E123&gt;=LOOKUP(2,1/($E:$E&lt;&gt;""),$E:$E))*($E123&lt;=INDEX($E:$E,MATCH(TRUE,INDEX((ISNUMBER($E:$E)),0),0)))*($E123&gt;INDEX(_xlfn.ANCHORARRAY(Sintesi!$C$14),1,$C123))*($E123&lt;=INDEX(_xlfn.ANCHORARRAY(Sintesi!$C$15),1,$C123))*(INDEX(_xlfn.ANCHORARRAY(Sintesi!$C$15),1,$C123)&gt;0),1,IF(($E123&gt;=LOOKUP(2,1/($E:$E&lt;&gt;""),$E:$E))*($E123&lt;=INDEX($E:$E,MATCH(TRUE,INDEX((ISNUMBER($E:$E)),0),0)))*($E123&gt;INDEX(_xlfn.ANCHORARRAY(Sintesi!$C$14),1,$C123))*($E123&lt;INDEX(_xlfn.ANCHORARRAY(Sintesi!$C$16),1,$C123))*(INDEX(_xlfn.ANCHORARRAY(Sintesi!$C$15),1,$C123)&lt;0)+($E123&gt;=LOOKUP(2,1/($E:$E&lt;&gt;""),$E:$E))*($E123&lt;=INDEX($E:$E,MATCH(TRUE,INDEX((ISNUMBER($E:$E)),0),0)))*($E123&gt;INDEX(_xlfn.ANCHORARRAY(Sintesi!$C$15),1,$C123))*($E123&lt;INDEX(_xlfn.ANCHORARRAY(Sintesi!$C$16),1,$C123))*(INDEX(_xlfn.ANCHORARRAY(Sintesi!$C$15),1,$C123)&gt;0),2,IF($E123=(INDEX(_xlfn.ANCHORARRAY(Sintesi!$C$16),1,$C123)),3,4)))),0)),IF(ISNUMBER($E122),IF($C123&gt;0,IF(($E123=INDEX(_xlfn.ANCHORARRAY(Sintesi!$C$14),1,$C123))*(INDEX(_xlfn.ANCHORARRAY(Sintesi!$C$15),1,$C123)&gt;0),0,IF(($E123=INDEX(_xlfn.ANCHORARRAY(Sintesi!$C$14),1,$C123))*(INDEX(_xlfn.ANCHORARRAY(Sintesi!$C$15),1,$C123)&lt;0)+($E123&gt;=$E122)*($E123&lt;=$E124)*($E123&gt;INDEX(_xlfn.ANCHORARRAY(Sintesi!$C$14),1,$C123))*($E123&lt;=INDEX(_xlfn.ANCHORARRAY(Sintesi!$C$15),1,$C123))*(INDEX(_xlfn.ANCHORARRAY(Sintesi!$C$15),1,$C123)&gt;0),1,IF(($E123&gt;=$E122)*($E123&lt;=$E124)*($E123&gt;INDEX(_xlfn.ANCHORARRAY(Sintesi!$C$14),1,$C123))*($E123&lt;INDEX(_xlfn.ANCHORARRAY(Sintesi!$C$16),1,$C123))*(INDEX(_xlfn.ANCHORARRAY(Sintesi!$C$15),1,$C123)&lt;0)+($E123&gt;=$E122)*($E123&lt;=$E124)*($E123&gt;INDEX(_xlfn.ANCHORARRAY(Sintesi!$C$15),1,$C123))*($E123&lt;INDEX(_xlfn.ANCHORARRAY(Sintesi!$C$16),1,$C123))*(INDEX(_xlfn.ANCHORARRAY(Sintesi!$C$15),1,$C123)&gt;0),2,IF($E123=(INDEX(_xlfn.ANCHORARRAY(Sintesi!$C$16),1,$C123)),3,4)))),0),IF($C123&gt;0,IF(($E123=INDEX(_xlfn.ANCHORARRAY(Sintesi!$C$14),1,$C123))*(INDEX(_xlfn.ANCHORARRAY(Sintesi!$C$15),1,$C123)&gt;0),0,IF(($E123=INDEX(_xlfn.ANCHORARRAY(Sintesi!$C$14),1,$C123))*(INDEX(_xlfn.ANCHORARRAY(Sintesi!$C$15),1,$C123)&lt;0)+($E123&gt;=LOOKUP(2,1/($E:$E&lt;&gt;""),$E:$E))*($E123&lt;=$E124)*($E123&gt;INDEX(_xlfn.ANCHORARRAY(Sintesi!$C$14),1,$C123))*($E123&lt;=INDEX(_xlfn.ANCHORARRAY(Sintesi!$C$15),1,$C123))*(INDEX(_xlfn.ANCHORARRAY(Sintesi!$C$15),1,$C123)&gt;0),1,IF(($E123&gt;=LOOKUP(2,1/($E:$E&lt;&gt;""),$E:$E))*($E123&lt;=$E124)*($E123&gt;INDEX(_xlfn.ANCHORARRAY(Sintesi!$C$14),1,$C123))*($E123&lt;INDEX(_xlfn.ANCHORARRAY(Sintesi!$C$16),1,$C123))*(INDEX(_xlfn.ANCHORARRAY(Sintesi!$C$15),1,$C123)&lt;0)+($E123&gt;=LOOKUP(2,1/($E:$E&lt;&gt;""),$E:$E))*($E123&lt;=$E124)*($E123&gt;INDEX(_xlfn.ANCHORARRAY(Sintesi!$C$15),1,$C123))*($E123&lt;INDEX(_xlfn.ANCHORARRAY(Sintesi!$C$16),1,$C123))*(INDEX(_xlfn.ANCHORARRAY(Sintesi!$C$15),1,$C123)&gt;0),2,IF($E123=(INDEX(_xlfn.ANCHORARRAY(Sintesi!$C$16),1,$C123)),3,4)))),0)))</f>
        <v/>
      </c>
      <c r="E123" s="1">
        <f>'Paste cell here'!F123</f>
        <v/>
      </c>
      <c r="F123" s="1">
        <f>'Paste cell here'!C123</f>
        <v/>
      </c>
      <c r="G123" s="1">
        <f>'Paste cell here'!D123</f>
        <v/>
      </c>
      <c r="H123" s="1">
        <f>'Paste cell here'!E123</f>
        <v/>
      </c>
      <c r="I123" s="1">
        <f>'Paste cell here'!X123</f>
        <v/>
      </c>
      <c r="J123" s="1">
        <f>'Paste cell here'!Y123+'Paste cell here'!S123</f>
        <v/>
      </c>
      <c r="K123" s="1">
        <f>I123/H123</f>
        <v/>
      </c>
      <c r="L123" s="1">
        <f>AVERAGE(($F123+$G123)/2-($F123-$G123)/2*COS(PI()*(8-VLOOKUP(MONTH(B123),$O$1:$Q$13,3))/(VLOOKUP(MONTH(B123),$O$1:$Q$13,2)-VLOOKUP(MONTH(B123),$O$1:$Q$13,3))),($F123+$G123)/2-($F123-$G123)/2*COS(PI()*(9-VLOOKUP(MONTH(B123),$O$1:$Q$13,3))/(VLOOKUP(MONTH(B123),$O$1:$Q$13,2)-VLOOKUP(MONTH(B123),$O$1:$Q$13,3))),($F123+$G123)/2-($F123-$G123)/2*COS(PI()*(10-VLOOKUP(MONTH(B123),$O$1:$Q$13,3))/(VLOOKUP(MONTH(B123),$O$1:$Q$13,2)-VLOOKUP(MONTH(B123),$O$1:$Q$13,3))),($F123+$G123)/2-($F123-$G123)/2*COS(PI()*(11-VLOOKUP(MONTH(B123),$O$1:$Q$13,3))/(VLOOKUP(MONTH(B123),$O$1:$Q$13,2)-VLOOKUP(MONTH(B123),$O$1:$Q$13,3))),($F123+$G123)/2-($F123-$G123)/2*COS(PI()*(12-VLOOKUP(MONTH(B123),$O$1:$Q$13,3))/(VLOOKUP(MONTH(B123),$O$1:$Q$13,2)-VLOOKUP(MONTH(B123),$O$1:$Q$13,3))),($F123+$G123)/2-($F123-$G123)/2*COS(PI()*(13-VLOOKUP(MONTH(B123),$O$1:$Q$13,3))/(VLOOKUP(MONTH(B123),$O$1:$Q$13,2)-VLOOKUP(MONTH(B123),$O$1:$Q$13,3))),($F123+$G123)/2-($F123-$G123)/2*COS(PI()*(14-VLOOKUP(MONTH(B123),$O$1:$Q$13,3))/(VLOOKUP(MONTH(B123),$O$1:$Q$13,2)-VLOOKUP(MONTH(B123),$O$1:$Q$13,3))))</f>
        <v/>
      </c>
      <c r="M123" s="1">
        <f t="array" ref="M123">IF(AND(A123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,A123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),IF(L123&lt;_xlfn.IFNA(INDEX(_xlfn.ANCHORARRAY(Sintesi!$C$17)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,1,IF(L123&gt;=_xlfn.IFNA(INDEX(_xlfn.ANCHORARRAY(Sintesi!$C$18)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,0,1-(L123-_xlfn.IFNA(INDEX(_xlfn.ANCHORARRAY(Sintesi!$C$17)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)/(_xlfn.IFNA(INDEX(_xlfn.ANCHORARRAY(Sintesi!$C$18)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-_xlfn.IFNA(INDEX(_xlfn.ANCHORARRAY(Sintesi!$C$17)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))),0)</f>
        <v/>
      </c>
    </row>
    <row r="124">
      <c r="A124" s="1">
        <f>'Paste cell here'!A124</f>
        <v/>
      </c>
      <c r="B124" s="2">
        <f>DATE(Sintesi!$C$4-1,12,31)+A124</f>
        <v/>
      </c>
      <c r="C124" s="34">
        <f t="array" ref="C124">_xlfn.IFNA(MATCH(1,(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)*(_xlfn.ANCHORARRAY(Sintesi!$C$15)&gt;=0)+(_xlfn.ANCHORARRAY(Sintesi!$C$15)&lt;0),0),0)</f>
        <v/>
      </c>
      <c r="D124" s="1">
        <f t="array" ref="D124">IF(ISBLANK($E125),IF(ISNUMBER($E123),IF($C124&gt;0,IF(($E124=INDEX(_xlfn.ANCHORARRAY(Sintesi!$C$14),1,$C124))*(INDEX(_xlfn.ANCHORARRAY(Sintesi!$C$15),1,$C124)&gt;0),0,IF(($E124=INDEX(_xlfn.ANCHORARRAY(Sintesi!$C$14),1,$C124))*(INDEX(_xlfn.ANCHORARRAY(Sintesi!$C$15),1,$C124)&lt;0)+($E124&gt;=$E123)*($E124&lt;=INDEX($E:$E,MATCH(TRUE,INDEX((ISNUMBER($E:$E)),0),0)))*($E124&gt;INDEX(_xlfn.ANCHORARRAY(Sintesi!$C$14),1,$C124))*($E124&lt;=INDEX(_xlfn.ANCHORARRAY(Sintesi!$C$15),1,$C124))*(INDEX(_xlfn.ANCHORARRAY(Sintesi!$C$15),1,$C124)&gt;0),1,IF(($E124&gt;=$E123)*($E124&lt;=INDEX($E:$E,MATCH(TRUE,INDEX((ISNUMBER($E:$E)),0),0)))*($E124&gt;INDEX(_xlfn.ANCHORARRAY(Sintesi!$C$14),1,$C124))*($E124&lt;INDEX(_xlfn.ANCHORARRAY(Sintesi!$C$16),1,$C124))*(INDEX(_xlfn.ANCHORARRAY(Sintesi!$C$15),1,$C124)&lt;0)+($E124&gt;=$E123)*($E124&lt;=INDEX($E:$E,MATCH(TRUE,INDEX((ISNUMBER($E:$E)),0),0)))*($E124&gt;INDEX(_xlfn.ANCHORARRAY(Sintesi!$C$15),1,$C124))*($E124&lt;INDEX(_xlfn.ANCHORARRAY(Sintesi!$C$16),1,$C124))*(INDEX(_xlfn.ANCHORARRAY(Sintesi!$C$15),1,$C124)&gt;0),2,IF($E124=(INDEX(_xlfn.ANCHORARRAY(Sintesi!$C$16),1,$C124)),3,4)))),0),IF($C124&gt;0,IF(($E124=INDEX(_xlfn.ANCHORARRAY(Sintesi!$C$14),1,$C124))*(INDEX(_xlfn.ANCHORARRAY(Sintesi!$C$15),1,$C124)&gt;0),0,IF(($E124=INDEX(_xlfn.ANCHORARRAY(Sintesi!$C$14),1,$C124))*(INDEX(_xlfn.ANCHORARRAY(Sintesi!$C$15),1,$C124)&lt;0)+($E124&gt;=LOOKUP(2,1/($E:$E&lt;&gt;""),$E:$E))*($E124&lt;=INDEX($E:$E,MATCH(TRUE,INDEX((ISNUMBER($E:$E)),0),0)))*($E124&gt;INDEX(_xlfn.ANCHORARRAY(Sintesi!$C$14),1,$C124))*($E124&lt;=INDEX(_xlfn.ANCHORARRAY(Sintesi!$C$15),1,$C124))*(INDEX(_xlfn.ANCHORARRAY(Sintesi!$C$15),1,$C124)&gt;0),1,IF(($E124&gt;=LOOKUP(2,1/($E:$E&lt;&gt;""),$E:$E))*($E124&lt;=INDEX($E:$E,MATCH(TRUE,INDEX((ISNUMBER($E:$E)),0),0)))*($E124&gt;INDEX(_xlfn.ANCHORARRAY(Sintesi!$C$14),1,$C124))*($E124&lt;INDEX(_xlfn.ANCHORARRAY(Sintesi!$C$16),1,$C124))*(INDEX(_xlfn.ANCHORARRAY(Sintesi!$C$15),1,$C124)&lt;0)+($E124&gt;=LOOKUP(2,1/($E:$E&lt;&gt;""),$E:$E))*($E124&lt;=INDEX($E:$E,MATCH(TRUE,INDEX((ISNUMBER($E:$E)),0),0)))*($E124&gt;INDEX(_xlfn.ANCHORARRAY(Sintesi!$C$15),1,$C124))*($E124&lt;INDEX(_xlfn.ANCHORARRAY(Sintesi!$C$16),1,$C124))*(INDEX(_xlfn.ANCHORARRAY(Sintesi!$C$15),1,$C124)&gt;0),2,IF($E124=(INDEX(_xlfn.ANCHORARRAY(Sintesi!$C$16),1,$C124)),3,4)))),0)),IF(ISNUMBER($E123),IF($C124&gt;0,IF(($E124=INDEX(_xlfn.ANCHORARRAY(Sintesi!$C$14),1,$C124))*(INDEX(_xlfn.ANCHORARRAY(Sintesi!$C$15),1,$C124)&gt;0),0,IF(($E124=INDEX(_xlfn.ANCHORARRAY(Sintesi!$C$14),1,$C124))*(INDEX(_xlfn.ANCHORARRAY(Sintesi!$C$15),1,$C124)&lt;0)+($E124&gt;=$E123)*($E124&lt;=$E125)*($E124&gt;INDEX(_xlfn.ANCHORARRAY(Sintesi!$C$14),1,$C124))*($E124&lt;=INDEX(_xlfn.ANCHORARRAY(Sintesi!$C$15),1,$C124))*(INDEX(_xlfn.ANCHORARRAY(Sintesi!$C$15),1,$C124)&gt;0),1,IF(($E124&gt;=$E123)*($E124&lt;=$E125)*($E124&gt;INDEX(_xlfn.ANCHORARRAY(Sintesi!$C$14),1,$C124))*($E124&lt;INDEX(_xlfn.ANCHORARRAY(Sintesi!$C$16),1,$C124))*(INDEX(_xlfn.ANCHORARRAY(Sintesi!$C$15),1,$C124)&lt;0)+($E124&gt;=$E123)*($E124&lt;=$E125)*($E124&gt;INDEX(_xlfn.ANCHORARRAY(Sintesi!$C$15),1,$C124))*($E124&lt;INDEX(_xlfn.ANCHORARRAY(Sintesi!$C$16),1,$C124))*(INDEX(_xlfn.ANCHORARRAY(Sintesi!$C$15),1,$C124)&gt;0),2,IF($E124=(INDEX(_xlfn.ANCHORARRAY(Sintesi!$C$16),1,$C124)),3,4)))),0),IF($C124&gt;0,IF(($E124=INDEX(_xlfn.ANCHORARRAY(Sintesi!$C$14),1,$C124))*(INDEX(_xlfn.ANCHORARRAY(Sintesi!$C$15),1,$C124)&gt;0),0,IF(($E124=INDEX(_xlfn.ANCHORARRAY(Sintesi!$C$14),1,$C124))*(INDEX(_xlfn.ANCHORARRAY(Sintesi!$C$15),1,$C124)&lt;0)+($E124&gt;=LOOKUP(2,1/($E:$E&lt;&gt;""),$E:$E))*($E124&lt;=$E125)*($E124&gt;INDEX(_xlfn.ANCHORARRAY(Sintesi!$C$14),1,$C124))*($E124&lt;=INDEX(_xlfn.ANCHORARRAY(Sintesi!$C$15),1,$C124))*(INDEX(_xlfn.ANCHORARRAY(Sintesi!$C$15),1,$C124)&gt;0),1,IF(($E124&gt;=LOOKUP(2,1/($E:$E&lt;&gt;""),$E:$E))*($E124&lt;=$E125)*($E124&gt;INDEX(_xlfn.ANCHORARRAY(Sintesi!$C$14),1,$C124))*($E124&lt;INDEX(_xlfn.ANCHORARRAY(Sintesi!$C$16),1,$C124))*(INDEX(_xlfn.ANCHORARRAY(Sintesi!$C$15),1,$C124)&lt;0)+($E124&gt;=LOOKUP(2,1/($E:$E&lt;&gt;""),$E:$E))*($E124&lt;=$E125)*($E124&gt;INDEX(_xlfn.ANCHORARRAY(Sintesi!$C$15),1,$C124))*($E124&lt;INDEX(_xlfn.ANCHORARRAY(Sintesi!$C$16),1,$C124))*(INDEX(_xlfn.ANCHORARRAY(Sintesi!$C$15),1,$C124)&gt;0),2,IF($E124=(INDEX(_xlfn.ANCHORARRAY(Sintesi!$C$16),1,$C124)),3,4)))),0)))</f>
        <v/>
      </c>
      <c r="E124" s="1">
        <f>'Paste cell here'!F124</f>
        <v/>
      </c>
      <c r="F124" s="1">
        <f>'Paste cell here'!C124</f>
        <v/>
      </c>
      <c r="G124" s="1">
        <f>'Paste cell here'!D124</f>
        <v/>
      </c>
      <c r="H124" s="1">
        <f>'Paste cell here'!E124</f>
        <v/>
      </c>
      <c r="I124" s="1">
        <f>'Paste cell here'!X124</f>
        <v/>
      </c>
      <c r="J124" s="1">
        <f>'Paste cell here'!Y124+'Paste cell here'!S124</f>
        <v/>
      </c>
      <c r="K124" s="1">
        <f>I124/H124</f>
        <v/>
      </c>
      <c r="L124" s="1">
        <f>AVERAGE(($F124+$G124)/2-($F124-$G124)/2*COS(PI()*(8-VLOOKUP(MONTH(B124),$O$1:$Q$13,3))/(VLOOKUP(MONTH(B124),$O$1:$Q$13,2)-VLOOKUP(MONTH(B124),$O$1:$Q$13,3))),($F124+$G124)/2-($F124-$G124)/2*COS(PI()*(9-VLOOKUP(MONTH(B124),$O$1:$Q$13,3))/(VLOOKUP(MONTH(B124),$O$1:$Q$13,2)-VLOOKUP(MONTH(B124),$O$1:$Q$13,3))),($F124+$G124)/2-($F124-$G124)/2*COS(PI()*(10-VLOOKUP(MONTH(B124),$O$1:$Q$13,3))/(VLOOKUP(MONTH(B124),$O$1:$Q$13,2)-VLOOKUP(MONTH(B124),$O$1:$Q$13,3))),($F124+$G124)/2-($F124-$G124)/2*COS(PI()*(11-VLOOKUP(MONTH(B124),$O$1:$Q$13,3))/(VLOOKUP(MONTH(B124),$O$1:$Q$13,2)-VLOOKUP(MONTH(B124),$O$1:$Q$13,3))),($F124+$G124)/2-($F124-$G124)/2*COS(PI()*(12-VLOOKUP(MONTH(B124),$O$1:$Q$13,3))/(VLOOKUP(MONTH(B124),$O$1:$Q$13,2)-VLOOKUP(MONTH(B124),$O$1:$Q$13,3))),($F124+$G124)/2-($F124-$G124)/2*COS(PI()*(13-VLOOKUP(MONTH(B124),$O$1:$Q$13,3))/(VLOOKUP(MONTH(B124),$O$1:$Q$13,2)-VLOOKUP(MONTH(B124),$O$1:$Q$13,3))),($F124+$G124)/2-($F124-$G124)/2*COS(PI()*(14-VLOOKUP(MONTH(B124),$O$1:$Q$13,3))/(VLOOKUP(MONTH(B124),$O$1:$Q$13,2)-VLOOKUP(MONTH(B124),$O$1:$Q$13,3))))</f>
        <v/>
      </c>
      <c r="M124" s="1">
        <f t="array" ref="M124">IF(AND(A124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,A124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),IF(L124&lt;_xlfn.IFNA(INDEX(_xlfn.ANCHORARRAY(Sintesi!$C$17)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,1,IF(L124&gt;=_xlfn.IFNA(INDEX(_xlfn.ANCHORARRAY(Sintesi!$C$18)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,0,1-(L124-_xlfn.IFNA(INDEX(_xlfn.ANCHORARRAY(Sintesi!$C$17)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)/(_xlfn.IFNA(INDEX(_xlfn.ANCHORARRAY(Sintesi!$C$18)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-_xlfn.IFNA(INDEX(_xlfn.ANCHORARRAY(Sintesi!$C$17)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))),0)</f>
        <v/>
      </c>
    </row>
    <row r="125">
      <c r="A125" s="1">
        <f>'Paste cell here'!A125</f>
        <v/>
      </c>
      <c r="B125" s="2">
        <f>DATE(Sintesi!$C$4-1,12,31)+A125</f>
        <v/>
      </c>
      <c r="C125" s="34">
        <f t="array" ref="C125">_xlfn.IFNA(MATCH(1,(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)*(_xlfn.ANCHORARRAY(Sintesi!$C$15)&gt;=0)+(_xlfn.ANCHORARRAY(Sintesi!$C$15)&lt;0),0),0)</f>
        <v/>
      </c>
      <c r="D125" s="1">
        <f t="array" ref="D125">IF(ISBLANK($E126),IF(ISNUMBER($E124),IF($C125&gt;0,IF(($E125=INDEX(_xlfn.ANCHORARRAY(Sintesi!$C$14),1,$C125))*(INDEX(_xlfn.ANCHORARRAY(Sintesi!$C$15),1,$C125)&gt;0),0,IF(($E125=INDEX(_xlfn.ANCHORARRAY(Sintesi!$C$14),1,$C125))*(INDEX(_xlfn.ANCHORARRAY(Sintesi!$C$15),1,$C125)&lt;0)+($E125&gt;=$E124)*($E125&lt;=INDEX($E:$E,MATCH(TRUE,INDEX((ISNUMBER($E:$E)),0),0)))*($E125&gt;INDEX(_xlfn.ANCHORARRAY(Sintesi!$C$14),1,$C125))*($E125&lt;=INDEX(_xlfn.ANCHORARRAY(Sintesi!$C$15),1,$C125))*(INDEX(_xlfn.ANCHORARRAY(Sintesi!$C$15),1,$C125)&gt;0),1,IF(($E125&gt;=$E124)*($E125&lt;=INDEX($E:$E,MATCH(TRUE,INDEX((ISNUMBER($E:$E)),0),0)))*($E125&gt;INDEX(_xlfn.ANCHORARRAY(Sintesi!$C$14),1,$C125))*($E125&lt;INDEX(_xlfn.ANCHORARRAY(Sintesi!$C$16),1,$C125))*(INDEX(_xlfn.ANCHORARRAY(Sintesi!$C$15),1,$C125)&lt;0)+($E125&gt;=$E124)*($E125&lt;=INDEX($E:$E,MATCH(TRUE,INDEX((ISNUMBER($E:$E)),0),0)))*($E125&gt;INDEX(_xlfn.ANCHORARRAY(Sintesi!$C$15),1,$C125))*($E125&lt;INDEX(_xlfn.ANCHORARRAY(Sintesi!$C$16),1,$C125))*(INDEX(_xlfn.ANCHORARRAY(Sintesi!$C$15),1,$C125)&gt;0),2,IF($E125=(INDEX(_xlfn.ANCHORARRAY(Sintesi!$C$16),1,$C125)),3,4)))),0),IF($C125&gt;0,IF(($E125=INDEX(_xlfn.ANCHORARRAY(Sintesi!$C$14),1,$C125))*(INDEX(_xlfn.ANCHORARRAY(Sintesi!$C$15),1,$C125)&gt;0),0,IF(($E125=INDEX(_xlfn.ANCHORARRAY(Sintesi!$C$14),1,$C125))*(INDEX(_xlfn.ANCHORARRAY(Sintesi!$C$15),1,$C125)&lt;0)+($E125&gt;=LOOKUP(2,1/($E:$E&lt;&gt;""),$E:$E))*($E125&lt;=INDEX($E:$E,MATCH(TRUE,INDEX((ISNUMBER($E:$E)),0),0)))*($E125&gt;INDEX(_xlfn.ANCHORARRAY(Sintesi!$C$14),1,$C125))*($E125&lt;=INDEX(_xlfn.ANCHORARRAY(Sintesi!$C$15),1,$C125))*(INDEX(_xlfn.ANCHORARRAY(Sintesi!$C$15),1,$C125)&gt;0),1,IF(($E125&gt;=LOOKUP(2,1/($E:$E&lt;&gt;""),$E:$E))*($E125&lt;=INDEX($E:$E,MATCH(TRUE,INDEX((ISNUMBER($E:$E)),0),0)))*($E125&gt;INDEX(_xlfn.ANCHORARRAY(Sintesi!$C$14),1,$C125))*($E125&lt;INDEX(_xlfn.ANCHORARRAY(Sintesi!$C$16),1,$C125))*(INDEX(_xlfn.ANCHORARRAY(Sintesi!$C$15),1,$C125)&lt;0)+($E125&gt;=LOOKUP(2,1/($E:$E&lt;&gt;""),$E:$E))*($E125&lt;=INDEX($E:$E,MATCH(TRUE,INDEX((ISNUMBER($E:$E)),0),0)))*($E125&gt;INDEX(_xlfn.ANCHORARRAY(Sintesi!$C$15),1,$C125))*($E125&lt;INDEX(_xlfn.ANCHORARRAY(Sintesi!$C$16),1,$C125))*(INDEX(_xlfn.ANCHORARRAY(Sintesi!$C$15),1,$C125)&gt;0),2,IF($E125=(INDEX(_xlfn.ANCHORARRAY(Sintesi!$C$16),1,$C125)),3,4)))),0)),IF(ISNUMBER($E124),IF($C125&gt;0,IF(($E125=INDEX(_xlfn.ANCHORARRAY(Sintesi!$C$14),1,$C125))*(INDEX(_xlfn.ANCHORARRAY(Sintesi!$C$15),1,$C125)&gt;0),0,IF(($E125=INDEX(_xlfn.ANCHORARRAY(Sintesi!$C$14),1,$C125))*(INDEX(_xlfn.ANCHORARRAY(Sintesi!$C$15),1,$C125)&lt;0)+($E125&gt;=$E124)*($E125&lt;=$E126)*($E125&gt;INDEX(_xlfn.ANCHORARRAY(Sintesi!$C$14),1,$C125))*($E125&lt;=INDEX(_xlfn.ANCHORARRAY(Sintesi!$C$15),1,$C125))*(INDEX(_xlfn.ANCHORARRAY(Sintesi!$C$15),1,$C125)&gt;0),1,IF(($E125&gt;=$E124)*($E125&lt;=$E126)*($E125&gt;INDEX(_xlfn.ANCHORARRAY(Sintesi!$C$14),1,$C125))*($E125&lt;INDEX(_xlfn.ANCHORARRAY(Sintesi!$C$16),1,$C125))*(INDEX(_xlfn.ANCHORARRAY(Sintesi!$C$15),1,$C125)&lt;0)+($E125&gt;=$E124)*($E125&lt;=$E126)*($E125&gt;INDEX(_xlfn.ANCHORARRAY(Sintesi!$C$15),1,$C125))*($E125&lt;INDEX(_xlfn.ANCHORARRAY(Sintesi!$C$16),1,$C125))*(INDEX(_xlfn.ANCHORARRAY(Sintesi!$C$15),1,$C125)&gt;0),2,IF($E125=(INDEX(_xlfn.ANCHORARRAY(Sintesi!$C$16),1,$C125)),3,4)))),0),IF($C125&gt;0,IF(($E125=INDEX(_xlfn.ANCHORARRAY(Sintesi!$C$14),1,$C125))*(INDEX(_xlfn.ANCHORARRAY(Sintesi!$C$15),1,$C125)&gt;0),0,IF(($E125=INDEX(_xlfn.ANCHORARRAY(Sintesi!$C$14),1,$C125))*(INDEX(_xlfn.ANCHORARRAY(Sintesi!$C$15),1,$C125)&lt;0)+($E125&gt;=LOOKUP(2,1/($E:$E&lt;&gt;""),$E:$E))*($E125&lt;=$E126)*($E125&gt;INDEX(_xlfn.ANCHORARRAY(Sintesi!$C$14),1,$C125))*($E125&lt;=INDEX(_xlfn.ANCHORARRAY(Sintesi!$C$15),1,$C125))*(INDEX(_xlfn.ANCHORARRAY(Sintesi!$C$15),1,$C125)&gt;0),1,IF(($E125&gt;=LOOKUP(2,1/($E:$E&lt;&gt;""),$E:$E))*($E125&lt;=$E126)*($E125&gt;INDEX(_xlfn.ANCHORARRAY(Sintesi!$C$14),1,$C125))*($E125&lt;INDEX(_xlfn.ANCHORARRAY(Sintesi!$C$16),1,$C125))*(INDEX(_xlfn.ANCHORARRAY(Sintesi!$C$15),1,$C125)&lt;0)+($E125&gt;=LOOKUP(2,1/($E:$E&lt;&gt;""),$E:$E))*($E125&lt;=$E126)*($E125&gt;INDEX(_xlfn.ANCHORARRAY(Sintesi!$C$15),1,$C125))*($E125&lt;INDEX(_xlfn.ANCHORARRAY(Sintesi!$C$16),1,$C125))*(INDEX(_xlfn.ANCHORARRAY(Sintesi!$C$15),1,$C125)&gt;0),2,IF($E125=(INDEX(_xlfn.ANCHORARRAY(Sintesi!$C$16),1,$C125)),3,4)))),0)))</f>
        <v/>
      </c>
      <c r="E125" s="1">
        <f>'Paste cell here'!F125</f>
        <v/>
      </c>
      <c r="F125" s="1">
        <f>'Paste cell here'!C125</f>
        <v/>
      </c>
      <c r="G125" s="1">
        <f>'Paste cell here'!D125</f>
        <v/>
      </c>
      <c r="H125" s="1">
        <f>'Paste cell here'!E125</f>
        <v/>
      </c>
      <c r="I125" s="1">
        <f>'Paste cell here'!X125</f>
        <v/>
      </c>
      <c r="J125" s="1">
        <f>'Paste cell here'!Y125+'Paste cell here'!S125</f>
        <v/>
      </c>
      <c r="K125" s="1">
        <f>I125/H125</f>
        <v/>
      </c>
      <c r="L125" s="1">
        <f>AVERAGE(($F125+$G125)/2-($F125-$G125)/2*COS(PI()*(8-VLOOKUP(MONTH(B125),$O$1:$Q$13,3))/(VLOOKUP(MONTH(B125),$O$1:$Q$13,2)-VLOOKUP(MONTH(B125),$O$1:$Q$13,3))),($F125+$G125)/2-($F125-$G125)/2*COS(PI()*(9-VLOOKUP(MONTH(B125),$O$1:$Q$13,3))/(VLOOKUP(MONTH(B125),$O$1:$Q$13,2)-VLOOKUP(MONTH(B125),$O$1:$Q$13,3))),($F125+$G125)/2-($F125-$G125)/2*COS(PI()*(10-VLOOKUP(MONTH(B125),$O$1:$Q$13,3))/(VLOOKUP(MONTH(B125),$O$1:$Q$13,2)-VLOOKUP(MONTH(B125),$O$1:$Q$13,3))),($F125+$G125)/2-($F125-$G125)/2*COS(PI()*(11-VLOOKUP(MONTH(B125),$O$1:$Q$13,3))/(VLOOKUP(MONTH(B125),$O$1:$Q$13,2)-VLOOKUP(MONTH(B125),$O$1:$Q$13,3))),($F125+$G125)/2-($F125-$G125)/2*COS(PI()*(12-VLOOKUP(MONTH(B125),$O$1:$Q$13,3))/(VLOOKUP(MONTH(B125),$O$1:$Q$13,2)-VLOOKUP(MONTH(B125),$O$1:$Q$13,3))),($F125+$G125)/2-($F125-$G125)/2*COS(PI()*(13-VLOOKUP(MONTH(B125),$O$1:$Q$13,3))/(VLOOKUP(MONTH(B125),$O$1:$Q$13,2)-VLOOKUP(MONTH(B125),$O$1:$Q$13,3))),($F125+$G125)/2-($F125-$G125)/2*COS(PI()*(14-VLOOKUP(MONTH(B125),$O$1:$Q$13,3))/(VLOOKUP(MONTH(B125),$O$1:$Q$13,2)-VLOOKUP(MONTH(B125),$O$1:$Q$13,3))))</f>
        <v/>
      </c>
      <c r="M125" s="1">
        <f t="array" ref="M125">IF(AND(A125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,A125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),IF(L125&lt;_xlfn.IFNA(INDEX(_xlfn.ANCHORARRAY(Sintesi!$C$17)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,1,IF(L125&gt;=_xlfn.IFNA(INDEX(_xlfn.ANCHORARRAY(Sintesi!$C$18)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,0,1-(L125-_xlfn.IFNA(INDEX(_xlfn.ANCHORARRAY(Sintesi!$C$17)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)/(_xlfn.IFNA(INDEX(_xlfn.ANCHORARRAY(Sintesi!$C$18)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-_xlfn.IFNA(INDEX(_xlfn.ANCHORARRAY(Sintesi!$C$17)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))),0)</f>
        <v/>
      </c>
    </row>
    <row r="126">
      <c r="A126" s="1">
        <f>'Paste cell here'!A126</f>
        <v/>
      </c>
      <c r="B126" s="2">
        <f>DATE(Sintesi!$C$4-1,12,31)+A126</f>
        <v/>
      </c>
      <c r="C126" s="34">
        <f t="array" ref="C126">_xlfn.IFNA(MATCH(1,(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)*(_xlfn.ANCHORARRAY(Sintesi!$C$15)&gt;=0)+(_xlfn.ANCHORARRAY(Sintesi!$C$15)&lt;0),0),0)</f>
        <v/>
      </c>
      <c r="D126" s="1">
        <f t="array" ref="D126">IF(ISBLANK($E127),IF(ISNUMBER($E125),IF($C126&gt;0,IF(($E126=INDEX(_xlfn.ANCHORARRAY(Sintesi!$C$14),1,$C126))*(INDEX(_xlfn.ANCHORARRAY(Sintesi!$C$15),1,$C126)&gt;0),0,IF(($E126=INDEX(_xlfn.ANCHORARRAY(Sintesi!$C$14),1,$C126))*(INDEX(_xlfn.ANCHORARRAY(Sintesi!$C$15),1,$C126)&lt;0)+($E126&gt;=$E125)*($E126&lt;=INDEX($E:$E,MATCH(TRUE,INDEX((ISNUMBER($E:$E)),0),0)))*($E126&gt;INDEX(_xlfn.ANCHORARRAY(Sintesi!$C$14),1,$C126))*($E126&lt;=INDEX(_xlfn.ANCHORARRAY(Sintesi!$C$15),1,$C126))*(INDEX(_xlfn.ANCHORARRAY(Sintesi!$C$15),1,$C126)&gt;0),1,IF(($E126&gt;=$E125)*($E126&lt;=INDEX($E:$E,MATCH(TRUE,INDEX((ISNUMBER($E:$E)),0),0)))*($E126&gt;INDEX(_xlfn.ANCHORARRAY(Sintesi!$C$14),1,$C126))*($E126&lt;INDEX(_xlfn.ANCHORARRAY(Sintesi!$C$16),1,$C126))*(INDEX(_xlfn.ANCHORARRAY(Sintesi!$C$15),1,$C126)&lt;0)+($E126&gt;=$E125)*($E126&lt;=INDEX($E:$E,MATCH(TRUE,INDEX((ISNUMBER($E:$E)),0),0)))*($E126&gt;INDEX(_xlfn.ANCHORARRAY(Sintesi!$C$15),1,$C126))*($E126&lt;INDEX(_xlfn.ANCHORARRAY(Sintesi!$C$16),1,$C126))*(INDEX(_xlfn.ANCHORARRAY(Sintesi!$C$15),1,$C126)&gt;0),2,IF($E126=(INDEX(_xlfn.ANCHORARRAY(Sintesi!$C$16),1,$C126)),3,4)))),0),IF($C126&gt;0,IF(($E126=INDEX(_xlfn.ANCHORARRAY(Sintesi!$C$14),1,$C126))*(INDEX(_xlfn.ANCHORARRAY(Sintesi!$C$15),1,$C126)&gt;0),0,IF(($E126=INDEX(_xlfn.ANCHORARRAY(Sintesi!$C$14),1,$C126))*(INDEX(_xlfn.ANCHORARRAY(Sintesi!$C$15),1,$C126)&lt;0)+($E126&gt;=LOOKUP(2,1/($E:$E&lt;&gt;""),$E:$E))*($E126&lt;=INDEX($E:$E,MATCH(TRUE,INDEX((ISNUMBER($E:$E)),0),0)))*($E126&gt;INDEX(_xlfn.ANCHORARRAY(Sintesi!$C$14),1,$C126))*($E126&lt;=INDEX(_xlfn.ANCHORARRAY(Sintesi!$C$15),1,$C126))*(INDEX(_xlfn.ANCHORARRAY(Sintesi!$C$15),1,$C126)&gt;0),1,IF(($E126&gt;=LOOKUP(2,1/($E:$E&lt;&gt;""),$E:$E))*($E126&lt;=INDEX($E:$E,MATCH(TRUE,INDEX((ISNUMBER($E:$E)),0),0)))*($E126&gt;INDEX(_xlfn.ANCHORARRAY(Sintesi!$C$14),1,$C126))*($E126&lt;INDEX(_xlfn.ANCHORARRAY(Sintesi!$C$16),1,$C126))*(INDEX(_xlfn.ANCHORARRAY(Sintesi!$C$15),1,$C126)&lt;0)+($E126&gt;=LOOKUP(2,1/($E:$E&lt;&gt;""),$E:$E))*($E126&lt;=INDEX($E:$E,MATCH(TRUE,INDEX((ISNUMBER($E:$E)),0),0)))*($E126&gt;INDEX(_xlfn.ANCHORARRAY(Sintesi!$C$15),1,$C126))*($E126&lt;INDEX(_xlfn.ANCHORARRAY(Sintesi!$C$16),1,$C126))*(INDEX(_xlfn.ANCHORARRAY(Sintesi!$C$15),1,$C126)&gt;0),2,IF($E126=(INDEX(_xlfn.ANCHORARRAY(Sintesi!$C$16),1,$C126)),3,4)))),0)),IF(ISNUMBER($E125),IF($C126&gt;0,IF(($E126=INDEX(_xlfn.ANCHORARRAY(Sintesi!$C$14),1,$C126))*(INDEX(_xlfn.ANCHORARRAY(Sintesi!$C$15),1,$C126)&gt;0),0,IF(($E126=INDEX(_xlfn.ANCHORARRAY(Sintesi!$C$14),1,$C126))*(INDEX(_xlfn.ANCHORARRAY(Sintesi!$C$15),1,$C126)&lt;0)+($E126&gt;=$E125)*($E126&lt;=$E127)*($E126&gt;INDEX(_xlfn.ANCHORARRAY(Sintesi!$C$14),1,$C126))*($E126&lt;=INDEX(_xlfn.ANCHORARRAY(Sintesi!$C$15),1,$C126))*(INDEX(_xlfn.ANCHORARRAY(Sintesi!$C$15),1,$C126)&gt;0),1,IF(($E126&gt;=$E125)*($E126&lt;=$E127)*($E126&gt;INDEX(_xlfn.ANCHORARRAY(Sintesi!$C$14),1,$C126))*($E126&lt;INDEX(_xlfn.ANCHORARRAY(Sintesi!$C$16),1,$C126))*(INDEX(_xlfn.ANCHORARRAY(Sintesi!$C$15),1,$C126)&lt;0)+($E126&gt;=$E125)*($E126&lt;=$E127)*($E126&gt;INDEX(_xlfn.ANCHORARRAY(Sintesi!$C$15),1,$C126))*($E126&lt;INDEX(_xlfn.ANCHORARRAY(Sintesi!$C$16),1,$C126))*(INDEX(_xlfn.ANCHORARRAY(Sintesi!$C$15),1,$C126)&gt;0),2,IF($E126=(INDEX(_xlfn.ANCHORARRAY(Sintesi!$C$16),1,$C126)),3,4)))),0),IF($C126&gt;0,IF(($E126=INDEX(_xlfn.ANCHORARRAY(Sintesi!$C$14),1,$C126))*(INDEX(_xlfn.ANCHORARRAY(Sintesi!$C$15),1,$C126)&gt;0),0,IF(($E126=INDEX(_xlfn.ANCHORARRAY(Sintesi!$C$14),1,$C126))*(INDEX(_xlfn.ANCHORARRAY(Sintesi!$C$15),1,$C126)&lt;0)+($E126&gt;=LOOKUP(2,1/($E:$E&lt;&gt;""),$E:$E))*($E126&lt;=$E127)*($E126&gt;INDEX(_xlfn.ANCHORARRAY(Sintesi!$C$14),1,$C126))*($E126&lt;=INDEX(_xlfn.ANCHORARRAY(Sintesi!$C$15),1,$C126))*(INDEX(_xlfn.ANCHORARRAY(Sintesi!$C$15),1,$C126)&gt;0),1,IF(($E126&gt;=LOOKUP(2,1/($E:$E&lt;&gt;""),$E:$E))*($E126&lt;=$E127)*($E126&gt;INDEX(_xlfn.ANCHORARRAY(Sintesi!$C$14),1,$C126))*($E126&lt;INDEX(_xlfn.ANCHORARRAY(Sintesi!$C$16),1,$C126))*(INDEX(_xlfn.ANCHORARRAY(Sintesi!$C$15),1,$C126)&lt;0)+($E126&gt;=LOOKUP(2,1/($E:$E&lt;&gt;""),$E:$E))*($E126&lt;=$E127)*($E126&gt;INDEX(_xlfn.ANCHORARRAY(Sintesi!$C$15),1,$C126))*($E126&lt;INDEX(_xlfn.ANCHORARRAY(Sintesi!$C$16),1,$C126))*(INDEX(_xlfn.ANCHORARRAY(Sintesi!$C$15),1,$C126)&gt;0),2,IF($E126=(INDEX(_xlfn.ANCHORARRAY(Sintesi!$C$16),1,$C126)),3,4)))),0)))</f>
        <v/>
      </c>
      <c r="E126" s="1">
        <f>'Paste cell here'!F126</f>
        <v/>
      </c>
      <c r="F126" s="1">
        <f>'Paste cell here'!C126</f>
        <v/>
      </c>
      <c r="G126" s="1">
        <f>'Paste cell here'!D126</f>
        <v/>
      </c>
      <c r="H126" s="1">
        <f>'Paste cell here'!E126</f>
        <v/>
      </c>
      <c r="I126" s="1">
        <f>'Paste cell here'!X126</f>
        <v/>
      </c>
      <c r="J126" s="1">
        <f>'Paste cell here'!Y126+'Paste cell here'!S126</f>
        <v/>
      </c>
      <c r="K126" s="1">
        <f>I126/H126</f>
        <v/>
      </c>
      <c r="L126" s="1">
        <f>AVERAGE(($F126+$G126)/2-($F126-$G126)/2*COS(PI()*(8-VLOOKUP(MONTH(B126),$O$1:$Q$13,3))/(VLOOKUP(MONTH(B126),$O$1:$Q$13,2)-VLOOKUP(MONTH(B126),$O$1:$Q$13,3))),($F126+$G126)/2-($F126-$G126)/2*COS(PI()*(9-VLOOKUP(MONTH(B126),$O$1:$Q$13,3))/(VLOOKUP(MONTH(B126),$O$1:$Q$13,2)-VLOOKUP(MONTH(B126),$O$1:$Q$13,3))),($F126+$G126)/2-($F126-$G126)/2*COS(PI()*(10-VLOOKUP(MONTH(B126),$O$1:$Q$13,3))/(VLOOKUP(MONTH(B126),$O$1:$Q$13,2)-VLOOKUP(MONTH(B126),$O$1:$Q$13,3))),($F126+$G126)/2-($F126-$G126)/2*COS(PI()*(11-VLOOKUP(MONTH(B126),$O$1:$Q$13,3))/(VLOOKUP(MONTH(B126),$O$1:$Q$13,2)-VLOOKUP(MONTH(B126),$O$1:$Q$13,3))),($F126+$G126)/2-($F126-$G126)/2*COS(PI()*(12-VLOOKUP(MONTH(B126),$O$1:$Q$13,3))/(VLOOKUP(MONTH(B126),$O$1:$Q$13,2)-VLOOKUP(MONTH(B126),$O$1:$Q$13,3))),($F126+$G126)/2-($F126-$G126)/2*COS(PI()*(13-VLOOKUP(MONTH(B126),$O$1:$Q$13,3))/(VLOOKUP(MONTH(B126),$O$1:$Q$13,2)-VLOOKUP(MONTH(B126),$O$1:$Q$13,3))),($F126+$G126)/2-($F126-$G126)/2*COS(PI()*(14-VLOOKUP(MONTH(B126),$O$1:$Q$13,3))/(VLOOKUP(MONTH(B126),$O$1:$Q$13,2)-VLOOKUP(MONTH(B126),$O$1:$Q$13,3))))</f>
        <v/>
      </c>
      <c r="M126" s="1">
        <f t="array" ref="M126">IF(AND(A126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,A126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),IF(L126&lt;_xlfn.IFNA(INDEX(_xlfn.ANCHORARRAY(Sintesi!$C$17)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,1,IF(L126&gt;=_xlfn.IFNA(INDEX(_xlfn.ANCHORARRAY(Sintesi!$C$18)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,0,1-(L126-_xlfn.IFNA(INDEX(_xlfn.ANCHORARRAY(Sintesi!$C$17)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)/(_xlfn.IFNA(INDEX(_xlfn.ANCHORARRAY(Sintesi!$C$18)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-_xlfn.IFNA(INDEX(_xlfn.ANCHORARRAY(Sintesi!$C$17)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))),0)</f>
        <v/>
      </c>
    </row>
    <row r="127">
      <c r="A127" s="1">
        <f>'Paste cell here'!A127</f>
        <v/>
      </c>
      <c r="B127" s="2">
        <f>DATE(Sintesi!$C$4-1,12,31)+A127</f>
        <v/>
      </c>
      <c r="C127" s="34">
        <f t="array" ref="C127">_xlfn.IFNA(MATCH(1,(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)*(_xlfn.ANCHORARRAY(Sintesi!$C$15)&gt;=0)+(_xlfn.ANCHORARRAY(Sintesi!$C$15)&lt;0),0),0)</f>
        <v/>
      </c>
      <c r="D127" s="1">
        <f t="array" ref="D127">IF(ISBLANK($E128),IF(ISNUMBER($E126),IF($C127&gt;0,IF(($E127=INDEX(_xlfn.ANCHORARRAY(Sintesi!$C$14),1,$C127))*(INDEX(_xlfn.ANCHORARRAY(Sintesi!$C$15),1,$C127)&gt;0),0,IF(($E127=INDEX(_xlfn.ANCHORARRAY(Sintesi!$C$14),1,$C127))*(INDEX(_xlfn.ANCHORARRAY(Sintesi!$C$15),1,$C127)&lt;0)+($E127&gt;=$E126)*($E127&lt;=INDEX($E:$E,MATCH(TRUE,INDEX((ISNUMBER($E:$E)),0),0)))*($E127&gt;INDEX(_xlfn.ANCHORARRAY(Sintesi!$C$14),1,$C127))*($E127&lt;=INDEX(_xlfn.ANCHORARRAY(Sintesi!$C$15),1,$C127))*(INDEX(_xlfn.ANCHORARRAY(Sintesi!$C$15),1,$C127)&gt;0),1,IF(($E127&gt;=$E126)*($E127&lt;=INDEX($E:$E,MATCH(TRUE,INDEX((ISNUMBER($E:$E)),0),0)))*($E127&gt;INDEX(_xlfn.ANCHORARRAY(Sintesi!$C$14),1,$C127))*($E127&lt;INDEX(_xlfn.ANCHORARRAY(Sintesi!$C$16),1,$C127))*(INDEX(_xlfn.ANCHORARRAY(Sintesi!$C$15),1,$C127)&lt;0)+($E127&gt;=$E126)*($E127&lt;=INDEX($E:$E,MATCH(TRUE,INDEX((ISNUMBER($E:$E)),0),0)))*($E127&gt;INDEX(_xlfn.ANCHORARRAY(Sintesi!$C$15),1,$C127))*($E127&lt;INDEX(_xlfn.ANCHORARRAY(Sintesi!$C$16),1,$C127))*(INDEX(_xlfn.ANCHORARRAY(Sintesi!$C$15),1,$C127)&gt;0),2,IF($E127=(INDEX(_xlfn.ANCHORARRAY(Sintesi!$C$16),1,$C127)),3,4)))),0),IF($C127&gt;0,IF(($E127=INDEX(_xlfn.ANCHORARRAY(Sintesi!$C$14),1,$C127))*(INDEX(_xlfn.ANCHORARRAY(Sintesi!$C$15),1,$C127)&gt;0),0,IF(($E127=INDEX(_xlfn.ANCHORARRAY(Sintesi!$C$14),1,$C127))*(INDEX(_xlfn.ANCHORARRAY(Sintesi!$C$15),1,$C127)&lt;0)+($E127&gt;=LOOKUP(2,1/($E:$E&lt;&gt;""),$E:$E))*($E127&lt;=INDEX($E:$E,MATCH(TRUE,INDEX((ISNUMBER($E:$E)),0),0)))*($E127&gt;INDEX(_xlfn.ANCHORARRAY(Sintesi!$C$14),1,$C127))*($E127&lt;=INDEX(_xlfn.ANCHORARRAY(Sintesi!$C$15),1,$C127))*(INDEX(_xlfn.ANCHORARRAY(Sintesi!$C$15),1,$C127)&gt;0),1,IF(($E127&gt;=LOOKUP(2,1/($E:$E&lt;&gt;""),$E:$E))*($E127&lt;=INDEX($E:$E,MATCH(TRUE,INDEX((ISNUMBER($E:$E)),0),0)))*($E127&gt;INDEX(_xlfn.ANCHORARRAY(Sintesi!$C$14),1,$C127))*($E127&lt;INDEX(_xlfn.ANCHORARRAY(Sintesi!$C$16),1,$C127))*(INDEX(_xlfn.ANCHORARRAY(Sintesi!$C$15),1,$C127)&lt;0)+($E127&gt;=LOOKUP(2,1/($E:$E&lt;&gt;""),$E:$E))*($E127&lt;=INDEX($E:$E,MATCH(TRUE,INDEX((ISNUMBER($E:$E)),0),0)))*($E127&gt;INDEX(_xlfn.ANCHORARRAY(Sintesi!$C$15),1,$C127))*($E127&lt;INDEX(_xlfn.ANCHORARRAY(Sintesi!$C$16),1,$C127))*(INDEX(_xlfn.ANCHORARRAY(Sintesi!$C$15),1,$C127)&gt;0),2,IF($E127=(INDEX(_xlfn.ANCHORARRAY(Sintesi!$C$16),1,$C127)),3,4)))),0)),IF(ISNUMBER($E126),IF($C127&gt;0,IF(($E127=INDEX(_xlfn.ANCHORARRAY(Sintesi!$C$14),1,$C127))*(INDEX(_xlfn.ANCHORARRAY(Sintesi!$C$15),1,$C127)&gt;0),0,IF(($E127=INDEX(_xlfn.ANCHORARRAY(Sintesi!$C$14),1,$C127))*(INDEX(_xlfn.ANCHORARRAY(Sintesi!$C$15),1,$C127)&lt;0)+($E127&gt;=$E126)*($E127&lt;=$E128)*($E127&gt;INDEX(_xlfn.ANCHORARRAY(Sintesi!$C$14),1,$C127))*($E127&lt;=INDEX(_xlfn.ANCHORARRAY(Sintesi!$C$15),1,$C127))*(INDEX(_xlfn.ANCHORARRAY(Sintesi!$C$15),1,$C127)&gt;0),1,IF(($E127&gt;=$E126)*($E127&lt;=$E128)*($E127&gt;INDEX(_xlfn.ANCHORARRAY(Sintesi!$C$14),1,$C127))*($E127&lt;INDEX(_xlfn.ANCHORARRAY(Sintesi!$C$16),1,$C127))*(INDEX(_xlfn.ANCHORARRAY(Sintesi!$C$15),1,$C127)&lt;0)+($E127&gt;=$E126)*($E127&lt;=$E128)*($E127&gt;INDEX(_xlfn.ANCHORARRAY(Sintesi!$C$15),1,$C127))*($E127&lt;INDEX(_xlfn.ANCHORARRAY(Sintesi!$C$16),1,$C127))*(INDEX(_xlfn.ANCHORARRAY(Sintesi!$C$15),1,$C127)&gt;0),2,IF($E127=(INDEX(_xlfn.ANCHORARRAY(Sintesi!$C$16),1,$C127)),3,4)))),0),IF($C127&gt;0,IF(($E127=INDEX(_xlfn.ANCHORARRAY(Sintesi!$C$14),1,$C127))*(INDEX(_xlfn.ANCHORARRAY(Sintesi!$C$15),1,$C127)&gt;0),0,IF(($E127=INDEX(_xlfn.ANCHORARRAY(Sintesi!$C$14),1,$C127))*(INDEX(_xlfn.ANCHORARRAY(Sintesi!$C$15),1,$C127)&lt;0)+($E127&gt;=LOOKUP(2,1/($E:$E&lt;&gt;""),$E:$E))*($E127&lt;=$E128)*($E127&gt;INDEX(_xlfn.ANCHORARRAY(Sintesi!$C$14),1,$C127))*($E127&lt;=INDEX(_xlfn.ANCHORARRAY(Sintesi!$C$15),1,$C127))*(INDEX(_xlfn.ANCHORARRAY(Sintesi!$C$15),1,$C127)&gt;0),1,IF(($E127&gt;=LOOKUP(2,1/($E:$E&lt;&gt;""),$E:$E))*($E127&lt;=$E128)*($E127&gt;INDEX(_xlfn.ANCHORARRAY(Sintesi!$C$14),1,$C127))*($E127&lt;INDEX(_xlfn.ANCHORARRAY(Sintesi!$C$16),1,$C127))*(INDEX(_xlfn.ANCHORARRAY(Sintesi!$C$15),1,$C127)&lt;0)+($E127&gt;=LOOKUP(2,1/($E:$E&lt;&gt;""),$E:$E))*($E127&lt;=$E128)*($E127&gt;INDEX(_xlfn.ANCHORARRAY(Sintesi!$C$15),1,$C127))*($E127&lt;INDEX(_xlfn.ANCHORARRAY(Sintesi!$C$16),1,$C127))*(INDEX(_xlfn.ANCHORARRAY(Sintesi!$C$15),1,$C127)&gt;0),2,IF($E127=(INDEX(_xlfn.ANCHORARRAY(Sintesi!$C$16),1,$C127)),3,4)))),0)))</f>
        <v/>
      </c>
      <c r="E127" s="1">
        <f>'Paste cell here'!F127</f>
        <v/>
      </c>
      <c r="F127" s="1">
        <f>'Paste cell here'!C127</f>
        <v/>
      </c>
      <c r="G127" s="1">
        <f>'Paste cell here'!D127</f>
        <v/>
      </c>
      <c r="H127" s="1">
        <f>'Paste cell here'!E127</f>
        <v/>
      </c>
      <c r="I127" s="1">
        <f>'Paste cell here'!X127</f>
        <v/>
      </c>
      <c r="J127" s="1">
        <f>'Paste cell here'!Y127+'Paste cell here'!S127</f>
        <v/>
      </c>
      <c r="K127" s="1">
        <f>I127/H127</f>
        <v/>
      </c>
      <c r="L127" s="1">
        <f>AVERAGE(($F127+$G127)/2-($F127-$G127)/2*COS(PI()*(8-VLOOKUP(MONTH(B127),$O$1:$Q$13,3))/(VLOOKUP(MONTH(B127),$O$1:$Q$13,2)-VLOOKUP(MONTH(B127),$O$1:$Q$13,3))),($F127+$G127)/2-($F127-$G127)/2*COS(PI()*(9-VLOOKUP(MONTH(B127),$O$1:$Q$13,3))/(VLOOKUP(MONTH(B127),$O$1:$Q$13,2)-VLOOKUP(MONTH(B127),$O$1:$Q$13,3))),($F127+$G127)/2-($F127-$G127)/2*COS(PI()*(10-VLOOKUP(MONTH(B127),$O$1:$Q$13,3))/(VLOOKUP(MONTH(B127),$O$1:$Q$13,2)-VLOOKUP(MONTH(B127),$O$1:$Q$13,3))),($F127+$G127)/2-($F127-$G127)/2*COS(PI()*(11-VLOOKUP(MONTH(B127),$O$1:$Q$13,3))/(VLOOKUP(MONTH(B127),$O$1:$Q$13,2)-VLOOKUP(MONTH(B127),$O$1:$Q$13,3))),($F127+$G127)/2-($F127-$G127)/2*COS(PI()*(12-VLOOKUP(MONTH(B127),$O$1:$Q$13,3))/(VLOOKUP(MONTH(B127),$O$1:$Q$13,2)-VLOOKUP(MONTH(B127),$O$1:$Q$13,3))),($F127+$G127)/2-($F127-$G127)/2*COS(PI()*(13-VLOOKUP(MONTH(B127),$O$1:$Q$13,3))/(VLOOKUP(MONTH(B127),$O$1:$Q$13,2)-VLOOKUP(MONTH(B127),$O$1:$Q$13,3))),($F127+$G127)/2-($F127-$G127)/2*COS(PI()*(14-VLOOKUP(MONTH(B127),$O$1:$Q$13,3))/(VLOOKUP(MONTH(B127),$O$1:$Q$13,2)-VLOOKUP(MONTH(B127),$O$1:$Q$13,3))))</f>
        <v/>
      </c>
      <c r="M127" s="1">
        <f t="array" ref="M127">IF(AND(A127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,A127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),IF(L127&lt;_xlfn.IFNA(INDEX(_xlfn.ANCHORARRAY(Sintesi!$C$17)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,1,IF(L127&gt;=_xlfn.IFNA(INDEX(_xlfn.ANCHORARRAY(Sintesi!$C$18)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,0,1-(L127-_xlfn.IFNA(INDEX(_xlfn.ANCHORARRAY(Sintesi!$C$17)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)/(_xlfn.IFNA(INDEX(_xlfn.ANCHORARRAY(Sintesi!$C$18)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-_xlfn.IFNA(INDEX(_xlfn.ANCHORARRAY(Sintesi!$C$17)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))),0)</f>
        <v/>
      </c>
    </row>
    <row r="128">
      <c r="A128" s="1">
        <f>'Paste cell here'!A128</f>
        <v/>
      </c>
      <c r="B128" s="2">
        <f>DATE(Sintesi!$C$4-1,12,31)+A128</f>
        <v/>
      </c>
      <c r="C128" s="34">
        <f t="array" ref="C128">_xlfn.IFNA(MATCH(1,(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)*(_xlfn.ANCHORARRAY(Sintesi!$C$15)&gt;=0)+(_xlfn.ANCHORARRAY(Sintesi!$C$15)&lt;0),0),0)</f>
        <v/>
      </c>
      <c r="D128" s="1">
        <f t="array" ref="D128">IF(ISBLANK($E129),IF(ISNUMBER($E127),IF($C128&gt;0,IF(($E128=INDEX(_xlfn.ANCHORARRAY(Sintesi!$C$14),1,$C128))*(INDEX(_xlfn.ANCHORARRAY(Sintesi!$C$15),1,$C128)&gt;0),0,IF(($E128=INDEX(_xlfn.ANCHORARRAY(Sintesi!$C$14),1,$C128))*(INDEX(_xlfn.ANCHORARRAY(Sintesi!$C$15),1,$C128)&lt;0)+($E128&gt;=$E127)*($E128&lt;=INDEX($E:$E,MATCH(TRUE,INDEX((ISNUMBER($E:$E)),0),0)))*($E128&gt;INDEX(_xlfn.ANCHORARRAY(Sintesi!$C$14),1,$C128))*($E128&lt;=INDEX(_xlfn.ANCHORARRAY(Sintesi!$C$15),1,$C128))*(INDEX(_xlfn.ANCHORARRAY(Sintesi!$C$15),1,$C128)&gt;0),1,IF(($E128&gt;=$E127)*($E128&lt;=INDEX($E:$E,MATCH(TRUE,INDEX((ISNUMBER($E:$E)),0),0)))*($E128&gt;INDEX(_xlfn.ANCHORARRAY(Sintesi!$C$14),1,$C128))*($E128&lt;INDEX(_xlfn.ANCHORARRAY(Sintesi!$C$16),1,$C128))*(INDEX(_xlfn.ANCHORARRAY(Sintesi!$C$15),1,$C128)&lt;0)+($E128&gt;=$E127)*($E128&lt;=INDEX($E:$E,MATCH(TRUE,INDEX((ISNUMBER($E:$E)),0),0)))*($E128&gt;INDEX(_xlfn.ANCHORARRAY(Sintesi!$C$15),1,$C128))*($E128&lt;INDEX(_xlfn.ANCHORARRAY(Sintesi!$C$16),1,$C128))*(INDEX(_xlfn.ANCHORARRAY(Sintesi!$C$15),1,$C128)&gt;0),2,IF($E128=(INDEX(_xlfn.ANCHORARRAY(Sintesi!$C$16),1,$C128)),3,4)))),0),IF($C128&gt;0,IF(($E128=INDEX(_xlfn.ANCHORARRAY(Sintesi!$C$14),1,$C128))*(INDEX(_xlfn.ANCHORARRAY(Sintesi!$C$15),1,$C128)&gt;0),0,IF(($E128=INDEX(_xlfn.ANCHORARRAY(Sintesi!$C$14),1,$C128))*(INDEX(_xlfn.ANCHORARRAY(Sintesi!$C$15),1,$C128)&lt;0)+($E128&gt;=LOOKUP(2,1/($E:$E&lt;&gt;""),$E:$E))*($E128&lt;=INDEX($E:$E,MATCH(TRUE,INDEX((ISNUMBER($E:$E)),0),0)))*($E128&gt;INDEX(_xlfn.ANCHORARRAY(Sintesi!$C$14),1,$C128))*($E128&lt;=INDEX(_xlfn.ANCHORARRAY(Sintesi!$C$15),1,$C128))*(INDEX(_xlfn.ANCHORARRAY(Sintesi!$C$15),1,$C128)&gt;0),1,IF(($E128&gt;=LOOKUP(2,1/($E:$E&lt;&gt;""),$E:$E))*($E128&lt;=INDEX($E:$E,MATCH(TRUE,INDEX((ISNUMBER($E:$E)),0),0)))*($E128&gt;INDEX(_xlfn.ANCHORARRAY(Sintesi!$C$14),1,$C128))*($E128&lt;INDEX(_xlfn.ANCHORARRAY(Sintesi!$C$16),1,$C128))*(INDEX(_xlfn.ANCHORARRAY(Sintesi!$C$15),1,$C128)&lt;0)+($E128&gt;=LOOKUP(2,1/($E:$E&lt;&gt;""),$E:$E))*($E128&lt;=INDEX($E:$E,MATCH(TRUE,INDEX((ISNUMBER($E:$E)),0),0)))*($E128&gt;INDEX(_xlfn.ANCHORARRAY(Sintesi!$C$15),1,$C128))*($E128&lt;INDEX(_xlfn.ANCHORARRAY(Sintesi!$C$16),1,$C128))*(INDEX(_xlfn.ANCHORARRAY(Sintesi!$C$15),1,$C128)&gt;0),2,IF($E128=(INDEX(_xlfn.ANCHORARRAY(Sintesi!$C$16),1,$C128)),3,4)))),0)),IF(ISNUMBER($E127),IF($C128&gt;0,IF(($E128=INDEX(_xlfn.ANCHORARRAY(Sintesi!$C$14),1,$C128))*(INDEX(_xlfn.ANCHORARRAY(Sintesi!$C$15),1,$C128)&gt;0),0,IF(($E128=INDEX(_xlfn.ANCHORARRAY(Sintesi!$C$14),1,$C128))*(INDEX(_xlfn.ANCHORARRAY(Sintesi!$C$15),1,$C128)&lt;0)+($E128&gt;=$E127)*($E128&lt;=$E129)*($E128&gt;INDEX(_xlfn.ANCHORARRAY(Sintesi!$C$14),1,$C128))*($E128&lt;=INDEX(_xlfn.ANCHORARRAY(Sintesi!$C$15),1,$C128))*(INDEX(_xlfn.ANCHORARRAY(Sintesi!$C$15),1,$C128)&gt;0),1,IF(($E128&gt;=$E127)*($E128&lt;=$E129)*($E128&gt;INDEX(_xlfn.ANCHORARRAY(Sintesi!$C$14),1,$C128))*($E128&lt;INDEX(_xlfn.ANCHORARRAY(Sintesi!$C$16),1,$C128))*(INDEX(_xlfn.ANCHORARRAY(Sintesi!$C$15),1,$C128)&lt;0)+($E128&gt;=$E127)*($E128&lt;=$E129)*($E128&gt;INDEX(_xlfn.ANCHORARRAY(Sintesi!$C$15),1,$C128))*($E128&lt;INDEX(_xlfn.ANCHORARRAY(Sintesi!$C$16),1,$C128))*(INDEX(_xlfn.ANCHORARRAY(Sintesi!$C$15),1,$C128)&gt;0),2,IF($E128=(INDEX(_xlfn.ANCHORARRAY(Sintesi!$C$16),1,$C128)),3,4)))),0),IF($C128&gt;0,IF(($E128=INDEX(_xlfn.ANCHORARRAY(Sintesi!$C$14),1,$C128))*(INDEX(_xlfn.ANCHORARRAY(Sintesi!$C$15),1,$C128)&gt;0),0,IF(($E128=INDEX(_xlfn.ANCHORARRAY(Sintesi!$C$14),1,$C128))*(INDEX(_xlfn.ANCHORARRAY(Sintesi!$C$15),1,$C128)&lt;0)+($E128&gt;=LOOKUP(2,1/($E:$E&lt;&gt;""),$E:$E))*($E128&lt;=$E129)*($E128&gt;INDEX(_xlfn.ANCHORARRAY(Sintesi!$C$14),1,$C128))*($E128&lt;=INDEX(_xlfn.ANCHORARRAY(Sintesi!$C$15),1,$C128))*(INDEX(_xlfn.ANCHORARRAY(Sintesi!$C$15),1,$C128)&gt;0),1,IF(($E128&gt;=LOOKUP(2,1/($E:$E&lt;&gt;""),$E:$E))*($E128&lt;=$E129)*($E128&gt;INDEX(_xlfn.ANCHORARRAY(Sintesi!$C$14),1,$C128))*($E128&lt;INDEX(_xlfn.ANCHORARRAY(Sintesi!$C$16),1,$C128))*(INDEX(_xlfn.ANCHORARRAY(Sintesi!$C$15),1,$C128)&lt;0)+($E128&gt;=LOOKUP(2,1/($E:$E&lt;&gt;""),$E:$E))*($E128&lt;=$E129)*($E128&gt;INDEX(_xlfn.ANCHORARRAY(Sintesi!$C$15),1,$C128))*($E128&lt;INDEX(_xlfn.ANCHORARRAY(Sintesi!$C$16),1,$C128))*(INDEX(_xlfn.ANCHORARRAY(Sintesi!$C$15),1,$C128)&gt;0),2,IF($E128=(INDEX(_xlfn.ANCHORARRAY(Sintesi!$C$16),1,$C128)),3,4)))),0)))</f>
        <v/>
      </c>
      <c r="E128" s="1">
        <f>'Paste cell here'!F128</f>
        <v/>
      </c>
      <c r="F128" s="1">
        <f>'Paste cell here'!C128</f>
        <v/>
      </c>
      <c r="G128" s="1">
        <f>'Paste cell here'!D128</f>
        <v/>
      </c>
      <c r="H128" s="1">
        <f>'Paste cell here'!E128</f>
        <v/>
      </c>
      <c r="I128" s="1">
        <f>'Paste cell here'!X128</f>
        <v/>
      </c>
      <c r="J128" s="1">
        <f>'Paste cell here'!Y128+'Paste cell here'!S128</f>
        <v/>
      </c>
      <c r="K128" s="1">
        <f>I128/H128</f>
        <v/>
      </c>
      <c r="L128" s="1">
        <f>AVERAGE(($F128+$G128)/2-($F128-$G128)/2*COS(PI()*(8-VLOOKUP(MONTH(B128),$O$1:$Q$13,3))/(VLOOKUP(MONTH(B128),$O$1:$Q$13,2)-VLOOKUP(MONTH(B128),$O$1:$Q$13,3))),($F128+$G128)/2-($F128-$G128)/2*COS(PI()*(9-VLOOKUP(MONTH(B128),$O$1:$Q$13,3))/(VLOOKUP(MONTH(B128),$O$1:$Q$13,2)-VLOOKUP(MONTH(B128),$O$1:$Q$13,3))),($F128+$G128)/2-($F128-$G128)/2*COS(PI()*(10-VLOOKUP(MONTH(B128),$O$1:$Q$13,3))/(VLOOKUP(MONTH(B128),$O$1:$Q$13,2)-VLOOKUP(MONTH(B128),$O$1:$Q$13,3))),($F128+$G128)/2-($F128-$G128)/2*COS(PI()*(11-VLOOKUP(MONTH(B128),$O$1:$Q$13,3))/(VLOOKUP(MONTH(B128),$O$1:$Q$13,2)-VLOOKUP(MONTH(B128),$O$1:$Q$13,3))),($F128+$G128)/2-($F128-$G128)/2*COS(PI()*(12-VLOOKUP(MONTH(B128),$O$1:$Q$13,3))/(VLOOKUP(MONTH(B128),$O$1:$Q$13,2)-VLOOKUP(MONTH(B128),$O$1:$Q$13,3))),($F128+$G128)/2-($F128-$G128)/2*COS(PI()*(13-VLOOKUP(MONTH(B128),$O$1:$Q$13,3))/(VLOOKUP(MONTH(B128),$O$1:$Q$13,2)-VLOOKUP(MONTH(B128),$O$1:$Q$13,3))),($F128+$G128)/2-($F128-$G128)/2*COS(PI()*(14-VLOOKUP(MONTH(B128),$O$1:$Q$13,3))/(VLOOKUP(MONTH(B128),$O$1:$Q$13,2)-VLOOKUP(MONTH(B128),$O$1:$Q$13,3))))</f>
        <v/>
      </c>
      <c r="M128" s="1">
        <f t="array" ref="M128">IF(AND(A128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,A128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),IF(L128&lt;_xlfn.IFNA(INDEX(_xlfn.ANCHORARRAY(Sintesi!$C$17)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,1,IF(L128&gt;=_xlfn.IFNA(INDEX(_xlfn.ANCHORARRAY(Sintesi!$C$18)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,0,1-(L128-_xlfn.IFNA(INDEX(_xlfn.ANCHORARRAY(Sintesi!$C$17)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)/(_xlfn.IFNA(INDEX(_xlfn.ANCHORARRAY(Sintesi!$C$18)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-_xlfn.IFNA(INDEX(_xlfn.ANCHORARRAY(Sintesi!$C$17)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))),0)</f>
        <v/>
      </c>
    </row>
    <row r="129">
      <c r="A129" s="1">
        <f>'Paste cell here'!A129</f>
        <v/>
      </c>
      <c r="B129" s="2">
        <f>DATE(Sintesi!$C$4-1,12,31)+A129</f>
        <v/>
      </c>
      <c r="C129" s="34">
        <f t="array" ref="C129">_xlfn.IFNA(MATCH(1,(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)*(_xlfn.ANCHORARRAY(Sintesi!$C$15)&gt;=0)+(_xlfn.ANCHORARRAY(Sintesi!$C$15)&lt;0),0),0)</f>
        <v/>
      </c>
      <c r="D129" s="1">
        <f t="array" ref="D129">IF(ISBLANK($E130),IF(ISNUMBER($E128),IF($C129&gt;0,IF(($E129=INDEX(_xlfn.ANCHORARRAY(Sintesi!$C$14),1,$C129))*(INDEX(_xlfn.ANCHORARRAY(Sintesi!$C$15),1,$C129)&gt;0),0,IF(($E129=INDEX(_xlfn.ANCHORARRAY(Sintesi!$C$14),1,$C129))*(INDEX(_xlfn.ANCHORARRAY(Sintesi!$C$15),1,$C129)&lt;0)+($E129&gt;=$E128)*($E129&lt;=INDEX($E:$E,MATCH(TRUE,INDEX((ISNUMBER($E:$E)),0),0)))*($E129&gt;INDEX(_xlfn.ANCHORARRAY(Sintesi!$C$14),1,$C129))*($E129&lt;=INDEX(_xlfn.ANCHORARRAY(Sintesi!$C$15),1,$C129))*(INDEX(_xlfn.ANCHORARRAY(Sintesi!$C$15),1,$C129)&gt;0),1,IF(($E129&gt;=$E128)*($E129&lt;=INDEX($E:$E,MATCH(TRUE,INDEX((ISNUMBER($E:$E)),0),0)))*($E129&gt;INDEX(_xlfn.ANCHORARRAY(Sintesi!$C$14),1,$C129))*($E129&lt;INDEX(_xlfn.ANCHORARRAY(Sintesi!$C$16),1,$C129))*(INDEX(_xlfn.ANCHORARRAY(Sintesi!$C$15),1,$C129)&lt;0)+($E129&gt;=$E128)*($E129&lt;=INDEX($E:$E,MATCH(TRUE,INDEX((ISNUMBER($E:$E)),0),0)))*($E129&gt;INDEX(_xlfn.ANCHORARRAY(Sintesi!$C$15),1,$C129))*($E129&lt;INDEX(_xlfn.ANCHORARRAY(Sintesi!$C$16),1,$C129))*(INDEX(_xlfn.ANCHORARRAY(Sintesi!$C$15),1,$C129)&gt;0),2,IF($E129=(INDEX(_xlfn.ANCHORARRAY(Sintesi!$C$16),1,$C129)),3,4)))),0),IF($C129&gt;0,IF(($E129=INDEX(_xlfn.ANCHORARRAY(Sintesi!$C$14),1,$C129))*(INDEX(_xlfn.ANCHORARRAY(Sintesi!$C$15),1,$C129)&gt;0),0,IF(($E129=INDEX(_xlfn.ANCHORARRAY(Sintesi!$C$14),1,$C129))*(INDEX(_xlfn.ANCHORARRAY(Sintesi!$C$15),1,$C129)&lt;0)+($E129&gt;=LOOKUP(2,1/($E:$E&lt;&gt;""),$E:$E))*($E129&lt;=INDEX($E:$E,MATCH(TRUE,INDEX((ISNUMBER($E:$E)),0),0)))*($E129&gt;INDEX(_xlfn.ANCHORARRAY(Sintesi!$C$14),1,$C129))*($E129&lt;=INDEX(_xlfn.ANCHORARRAY(Sintesi!$C$15),1,$C129))*(INDEX(_xlfn.ANCHORARRAY(Sintesi!$C$15),1,$C129)&gt;0),1,IF(($E129&gt;=LOOKUP(2,1/($E:$E&lt;&gt;""),$E:$E))*($E129&lt;=INDEX($E:$E,MATCH(TRUE,INDEX((ISNUMBER($E:$E)),0),0)))*($E129&gt;INDEX(_xlfn.ANCHORARRAY(Sintesi!$C$14),1,$C129))*($E129&lt;INDEX(_xlfn.ANCHORARRAY(Sintesi!$C$16),1,$C129))*(INDEX(_xlfn.ANCHORARRAY(Sintesi!$C$15),1,$C129)&lt;0)+($E129&gt;=LOOKUP(2,1/($E:$E&lt;&gt;""),$E:$E))*($E129&lt;=INDEX($E:$E,MATCH(TRUE,INDEX((ISNUMBER($E:$E)),0),0)))*($E129&gt;INDEX(_xlfn.ANCHORARRAY(Sintesi!$C$15),1,$C129))*($E129&lt;INDEX(_xlfn.ANCHORARRAY(Sintesi!$C$16),1,$C129))*(INDEX(_xlfn.ANCHORARRAY(Sintesi!$C$15),1,$C129)&gt;0),2,IF($E129=(INDEX(_xlfn.ANCHORARRAY(Sintesi!$C$16),1,$C129)),3,4)))),0)),IF(ISNUMBER($E128),IF($C129&gt;0,IF(($E129=INDEX(_xlfn.ANCHORARRAY(Sintesi!$C$14),1,$C129))*(INDEX(_xlfn.ANCHORARRAY(Sintesi!$C$15),1,$C129)&gt;0),0,IF(($E129=INDEX(_xlfn.ANCHORARRAY(Sintesi!$C$14),1,$C129))*(INDEX(_xlfn.ANCHORARRAY(Sintesi!$C$15),1,$C129)&lt;0)+($E129&gt;=$E128)*($E129&lt;=$E130)*($E129&gt;INDEX(_xlfn.ANCHORARRAY(Sintesi!$C$14),1,$C129))*($E129&lt;=INDEX(_xlfn.ANCHORARRAY(Sintesi!$C$15),1,$C129))*(INDEX(_xlfn.ANCHORARRAY(Sintesi!$C$15),1,$C129)&gt;0),1,IF(($E129&gt;=$E128)*($E129&lt;=$E130)*($E129&gt;INDEX(_xlfn.ANCHORARRAY(Sintesi!$C$14),1,$C129))*($E129&lt;INDEX(_xlfn.ANCHORARRAY(Sintesi!$C$16),1,$C129))*(INDEX(_xlfn.ANCHORARRAY(Sintesi!$C$15),1,$C129)&lt;0)+($E129&gt;=$E128)*($E129&lt;=$E130)*($E129&gt;INDEX(_xlfn.ANCHORARRAY(Sintesi!$C$15),1,$C129))*($E129&lt;INDEX(_xlfn.ANCHORARRAY(Sintesi!$C$16),1,$C129))*(INDEX(_xlfn.ANCHORARRAY(Sintesi!$C$15),1,$C129)&gt;0),2,IF($E129=(INDEX(_xlfn.ANCHORARRAY(Sintesi!$C$16),1,$C129)),3,4)))),0),IF($C129&gt;0,IF(($E129=INDEX(_xlfn.ANCHORARRAY(Sintesi!$C$14),1,$C129))*(INDEX(_xlfn.ANCHORARRAY(Sintesi!$C$15),1,$C129)&gt;0),0,IF(($E129=INDEX(_xlfn.ANCHORARRAY(Sintesi!$C$14),1,$C129))*(INDEX(_xlfn.ANCHORARRAY(Sintesi!$C$15),1,$C129)&lt;0)+($E129&gt;=LOOKUP(2,1/($E:$E&lt;&gt;""),$E:$E))*($E129&lt;=$E130)*($E129&gt;INDEX(_xlfn.ANCHORARRAY(Sintesi!$C$14),1,$C129))*($E129&lt;=INDEX(_xlfn.ANCHORARRAY(Sintesi!$C$15),1,$C129))*(INDEX(_xlfn.ANCHORARRAY(Sintesi!$C$15),1,$C129)&gt;0),1,IF(($E129&gt;=LOOKUP(2,1/($E:$E&lt;&gt;""),$E:$E))*($E129&lt;=$E130)*($E129&gt;INDEX(_xlfn.ANCHORARRAY(Sintesi!$C$14),1,$C129))*($E129&lt;INDEX(_xlfn.ANCHORARRAY(Sintesi!$C$16),1,$C129))*(INDEX(_xlfn.ANCHORARRAY(Sintesi!$C$15),1,$C129)&lt;0)+($E129&gt;=LOOKUP(2,1/($E:$E&lt;&gt;""),$E:$E))*($E129&lt;=$E130)*($E129&gt;INDEX(_xlfn.ANCHORARRAY(Sintesi!$C$15),1,$C129))*($E129&lt;INDEX(_xlfn.ANCHORARRAY(Sintesi!$C$16),1,$C129))*(INDEX(_xlfn.ANCHORARRAY(Sintesi!$C$15),1,$C129)&gt;0),2,IF($E129=(INDEX(_xlfn.ANCHORARRAY(Sintesi!$C$16),1,$C129)),3,4)))),0)))</f>
        <v/>
      </c>
      <c r="E129" s="1">
        <f>'Paste cell here'!F129</f>
        <v/>
      </c>
      <c r="F129" s="1">
        <f>'Paste cell here'!C129</f>
        <v/>
      </c>
      <c r="G129" s="1">
        <f>'Paste cell here'!D129</f>
        <v/>
      </c>
      <c r="H129" s="1">
        <f>'Paste cell here'!E129</f>
        <v/>
      </c>
      <c r="I129" s="1">
        <f>'Paste cell here'!X129</f>
        <v/>
      </c>
      <c r="J129" s="1">
        <f>'Paste cell here'!Y129+'Paste cell here'!S129</f>
        <v/>
      </c>
      <c r="K129" s="1">
        <f>I129/H129</f>
        <v/>
      </c>
      <c r="L129" s="1">
        <f>AVERAGE(($F129+$G129)/2-($F129-$G129)/2*COS(PI()*(8-VLOOKUP(MONTH(B129),$O$1:$Q$13,3))/(VLOOKUP(MONTH(B129),$O$1:$Q$13,2)-VLOOKUP(MONTH(B129),$O$1:$Q$13,3))),($F129+$G129)/2-($F129-$G129)/2*COS(PI()*(9-VLOOKUP(MONTH(B129),$O$1:$Q$13,3))/(VLOOKUP(MONTH(B129),$O$1:$Q$13,2)-VLOOKUP(MONTH(B129),$O$1:$Q$13,3))),($F129+$G129)/2-($F129-$G129)/2*COS(PI()*(10-VLOOKUP(MONTH(B129),$O$1:$Q$13,3))/(VLOOKUP(MONTH(B129),$O$1:$Q$13,2)-VLOOKUP(MONTH(B129),$O$1:$Q$13,3))),($F129+$G129)/2-($F129-$G129)/2*COS(PI()*(11-VLOOKUP(MONTH(B129),$O$1:$Q$13,3))/(VLOOKUP(MONTH(B129),$O$1:$Q$13,2)-VLOOKUP(MONTH(B129),$O$1:$Q$13,3))),($F129+$G129)/2-($F129-$G129)/2*COS(PI()*(12-VLOOKUP(MONTH(B129),$O$1:$Q$13,3))/(VLOOKUP(MONTH(B129),$O$1:$Q$13,2)-VLOOKUP(MONTH(B129),$O$1:$Q$13,3))),($F129+$G129)/2-($F129-$G129)/2*COS(PI()*(13-VLOOKUP(MONTH(B129),$O$1:$Q$13,3))/(VLOOKUP(MONTH(B129),$O$1:$Q$13,2)-VLOOKUP(MONTH(B129),$O$1:$Q$13,3))),($F129+$G129)/2-($F129-$G129)/2*COS(PI()*(14-VLOOKUP(MONTH(B129),$O$1:$Q$13,3))/(VLOOKUP(MONTH(B129),$O$1:$Q$13,2)-VLOOKUP(MONTH(B129),$O$1:$Q$13,3))))</f>
        <v/>
      </c>
      <c r="M129" s="1">
        <f t="array" ref="M129">IF(AND(A129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,A129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),IF(L129&lt;_xlfn.IFNA(INDEX(_xlfn.ANCHORARRAY(Sintesi!$C$17)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,1,IF(L129&gt;=_xlfn.IFNA(INDEX(_xlfn.ANCHORARRAY(Sintesi!$C$18)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,0,1-(L129-_xlfn.IFNA(INDEX(_xlfn.ANCHORARRAY(Sintesi!$C$17)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)/(_xlfn.IFNA(INDEX(_xlfn.ANCHORARRAY(Sintesi!$C$18)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-_xlfn.IFNA(INDEX(_xlfn.ANCHORARRAY(Sintesi!$C$17)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))),0)</f>
        <v/>
      </c>
    </row>
    <row r="130">
      <c r="A130" s="1">
        <f>'Paste cell here'!A130</f>
        <v/>
      </c>
      <c r="B130" s="2">
        <f>DATE(Sintesi!$C$4-1,12,31)+A130</f>
        <v/>
      </c>
      <c r="C130" s="34">
        <f t="array" ref="C130">_xlfn.IFNA(MATCH(1,(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)*(_xlfn.ANCHORARRAY(Sintesi!$C$15)&gt;=0)+(_xlfn.ANCHORARRAY(Sintesi!$C$15)&lt;0),0),0)</f>
        <v/>
      </c>
      <c r="D130" s="1">
        <f t="array" ref="D130">IF(ISBLANK($E131),IF(ISNUMBER($E129),IF($C130&gt;0,IF(($E130=INDEX(_xlfn.ANCHORARRAY(Sintesi!$C$14),1,$C130))*(INDEX(_xlfn.ANCHORARRAY(Sintesi!$C$15),1,$C130)&gt;0),0,IF(($E130=INDEX(_xlfn.ANCHORARRAY(Sintesi!$C$14),1,$C130))*(INDEX(_xlfn.ANCHORARRAY(Sintesi!$C$15),1,$C130)&lt;0)+($E130&gt;=$E129)*($E130&lt;=INDEX($E:$E,MATCH(TRUE,INDEX((ISNUMBER($E:$E)),0),0)))*($E130&gt;INDEX(_xlfn.ANCHORARRAY(Sintesi!$C$14),1,$C130))*($E130&lt;=INDEX(_xlfn.ANCHORARRAY(Sintesi!$C$15),1,$C130))*(INDEX(_xlfn.ANCHORARRAY(Sintesi!$C$15),1,$C130)&gt;0),1,IF(($E130&gt;=$E129)*($E130&lt;=INDEX($E:$E,MATCH(TRUE,INDEX((ISNUMBER($E:$E)),0),0)))*($E130&gt;INDEX(_xlfn.ANCHORARRAY(Sintesi!$C$14),1,$C130))*($E130&lt;INDEX(_xlfn.ANCHORARRAY(Sintesi!$C$16),1,$C130))*(INDEX(_xlfn.ANCHORARRAY(Sintesi!$C$15),1,$C130)&lt;0)+($E130&gt;=$E129)*($E130&lt;=INDEX($E:$E,MATCH(TRUE,INDEX((ISNUMBER($E:$E)),0),0)))*($E130&gt;INDEX(_xlfn.ANCHORARRAY(Sintesi!$C$15),1,$C130))*($E130&lt;INDEX(_xlfn.ANCHORARRAY(Sintesi!$C$16),1,$C130))*(INDEX(_xlfn.ANCHORARRAY(Sintesi!$C$15),1,$C130)&gt;0),2,IF($E130=(INDEX(_xlfn.ANCHORARRAY(Sintesi!$C$16),1,$C130)),3,4)))),0),IF($C130&gt;0,IF(($E130=INDEX(_xlfn.ANCHORARRAY(Sintesi!$C$14),1,$C130))*(INDEX(_xlfn.ANCHORARRAY(Sintesi!$C$15),1,$C130)&gt;0),0,IF(($E130=INDEX(_xlfn.ANCHORARRAY(Sintesi!$C$14),1,$C130))*(INDEX(_xlfn.ANCHORARRAY(Sintesi!$C$15),1,$C130)&lt;0)+($E130&gt;=LOOKUP(2,1/($E:$E&lt;&gt;""),$E:$E))*($E130&lt;=INDEX($E:$E,MATCH(TRUE,INDEX((ISNUMBER($E:$E)),0),0)))*($E130&gt;INDEX(_xlfn.ANCHORARRAY(Sintesi!$C$14),1,$C130))*($E130&lt;=INDEX(_xlfn.ANCHORARRAY(Sintesi!$C$15),1,$C130))*(INDEX(_xlfn.ANCHORARRAY(Sintesi!$C$15),1,$C130)&gt;0),1,IF(($E130&gt;=LOOKUP(2,1/($E:$E&lt;&gt;""),$E:$E))*($E130&lt;=INDEX($E:$E,MATCH(TRUE,INDEX((ISNUMBER($E:$E)),0),0)))*($E130&gt;INDEX(_xlfn.ANCHORARRAY(Sintesi!$C$14),1,$C130))*($E130&lt;INDEX(_xlfn.ANCHORARRAY(Sintesi!$C$16),1,$C130))*(INDEX(_xlfn.ANCHORARRAY(Sintesi!$C$15),1,$C130)&lt;0)+($E130&gt;=LOOKUP(2,1/($E:$E&lt;&gt;""),$E:$E))*($E130&lt;=INDEX($E:$E,MATCH(TRUE,INDEX((ISNUMBER($E:$E)),0),0)))*($E130&gt;INDEX(_xlfn.ANCHORARRAY(Sintesi!$C$15),1,$C130))*($E130&lt;INDEX(_xlfn.ANCHORARRAY(Sintesi!$C$16),1,$C130))*(INDEX(_xlfn.ANCHORARRAY(Sintesi!$C$15),1,$C130)&gt;0),2,IF($E130=(INDEX(_xlfn.ANCHORARRAY(Sintesi!$C$16),1,$C130)),3,4)))),0)),IF(ISNUMBER($E129),IF($C130&gt;0,IF(($E130=INDEX(_xlfn.ANCHORARRAY(Sintesi!$C$14),1,$C130))*(INDEX(_xlfn.ANCHORARRAY(Sintesi!$C$15),1,$C130)&gt;0),0,IF(($E130=INDEX(_xlfn.ANCHORARRAY(Sintesi!$C$14),1,$C130))*(INDEX(_xlfn.ANCHORARRAY(Sintesi!$C$15),1,$C130)&lt;0)+($E130&gt;=$E129)*($E130&lt;=$E131)*($E130&gt;INDEX(_xlfn.ANCHORARRAY(Sintesi!$C$14),1,$C130))*($E130&lt;=INDEX(_xlfn.ANCHORARRAY(Sintesi!$C$15),1,$C130))*(INDEX(_xlfn.ANCHORARRAY(Sintesi!$C$15),1,$C130)&gt;0),1,IF(($E130&gt;=$E129)*($E130&lt;=$E131)*($E130&gt;INDEX(_xlfn.ANCHORARRAY(Sintesi!$C$14),1,$C130))*($E130&lt;INDEX(_xlfn.ANCHORARRAY(Sintesi!$C$16),1,$C130))*(INDEX(_xlfn.ANCHORARRAY(Sintesi!$C$15),1,$C130)&lt;0)+($E130&gt;=$E129)*($E130&lt;=$E131)*($E130&gt;INDEX(_xlfn.ANCHORARRAY(Sintesi!$C$15),1,$C130))*($E130&lt;INDEX(_xlfn.ANCHORARRAY(Sintesi!$C$16),1,$C130))*(INDEX(_xlfn.ANCHORARRAY(Sintesi!$C$15),1,$C130)&gt;0),2,IF($E130=(INDEX(_xlfn.ANCHORARRAY(Sintesi!$C$16),1,$C130)),3,4)))),0),IF($C130&gt;0,IF(($E130=INDEX(_xlfn.ANCHORARRAY(Sintesi!$C$14),1,$C130))*(INDEX(_xlfn.ANCHORARRAY(Sintesi!$C$15),1,$C130)&gt;0),0,IF(($E130=INDEX(_xlfn.ANCHORARRAY(Sintesi!$C$14),1,$C130))*(INDEX(_xlfn.ANCHORARRAY(Sintesi!$C$15),1,$C130)&lt;0)+($E130&gt;=LOOKUP(2,1/($E:$E&lt;&gt;""),$E:$E))*($E130&lt;=$E131)*($E130&gt;INDEX(_xlfn.ANCHORARRAY(Sintesi!$C$14),1,$C130))*($E130&lt;=INDEX(_xlfn.ANCHORARRAY(Sintesi!$C$15),1,$C130))*(INDEX(_xlfn.ANCHORARRAY(Sintesi!$C$15),1,$C130)&gt;0),1,IF(($E130&gt;=LOOKUP(2,1/($E:$E&lt;&gt;""),$E:$E))*($E130&lt;=$E131)*($E130&gt;INDEX(_xlfn.ANCHORARRAY(Sintesi!$C$14),1,$C130))*($E130&lt;INDEX(_xlfn.ANCHORARRAY(Sintesi!$C$16),1,$C130))*(INDEX(_xlfn.ANCHORARRAY(Sintesi!$C$15),1,$C130)&lt;0)+($E130&gt;=LOOKUP(2,1/($E:$E&lt;&gt;""),$E:$E))*($E130&lt;=$E131)*($E130&gt;INDEX(_xlfn.ANCHORARRAY(Sintesi!$C$15),1,$C130))*($E130&lt;INDEX(_xlfn.ANCHORARRAY(Sintesi!$C$16),1,$C130))*(INDEX(_xlfn.ANCHORARRAY(Sintesi!$C$15),1,$C130)&gt;0),2,IF($E130=(INDEX(_xlfn.ANCHORARRAY(Sintesi!$C$16),1,$C130)),3,4)))),0)))</f>
        <v/>
      </c>
      <c r="E130" s="1">
        <f>'Paste cell here'!F130</f>
        <v/>
      </c>
      <c r="F130" s="1">
        <f>'Paste cell here'!C130</f>
        <v/>
      </c>
      <c r="G130" s="1">
        <f>'Paste cell here'!D130</f>
        <v/>
      </c>
      <c r="H130" s="1">
        <f>'Paste cell here'!E130</f>
        <v/>
      </c>
      <c r="I130" s="1">
        <f>'Paste cell here'!X130</f>
        <v/>
      </c>
      <c r="J130" s="1">
        <f>'Paste cell here'!Y130+'Paste cell here'!S130</f>
        <v/>
      </c>
      <c r="K130" s="1">
        <f>I130/H130</f>
        <v/>
      </c>
      <c r="L130" s="1">
        <f>AVERAGE(($F130+$G130)/2-($F130-$G130)/2*COS(PI()*(8-VLOOKUP(MONTH(B130),$O$1:$Q$13,3))/(VLOOKUP(MONTH(B130),$O$1:$Q$13,2)-VLOOKUP(MONTH(B130),$O$1:$Q$13,3))),($F130+$G130)/2-($F130-$G130)/2*COS(PI()*(9-VLOOKUP(MONTH(B130),$O$1:$Q$13,3))/(VLOOKUP(MONTH(B130),$O$1:$Q$13,2)-VLOOKUP(MONTH(B130),$O$1:$Q$13,3))),($F130+$G130)/2-($F130-$G130)/2*COS(PI()*(10-VLOOKUP(MONTH(B130),$O$1:$Q$13,3))/(VLOOKUP(MONTH(B130),$O$1:$Q$13,2)-VLOOKUP(MONTH(B130),$O$1:$Q$13,3))),($F130+$G130)/2-($F130-$G130)/2*COS(PI()*(11-VLOOKUP(MONTH(B130),$O$1:$Q$13,3))/(VLOOKUP(MONTH(B130),$O$1:$Q$13,2)-VLOOKUP(MONTH(B130),$O$1:$Q$13,3))),($F130+$G130)/2-($F130-$G130)/2*COS(PI()*(12-VLOOKUP(MONTH(B130),$O$1:$Q$13,3))/(VLOOKUP(MONTH(B130),$O$1:$Q$13,2)-VLOOKUP(MONTH(B130),$O$1:$Q$13,3))),($F130+$G130)/2-($F130-$G130)/2*COS(PI()*(13-VLOOKUP(MONTH(B130),$O$1:$Q$13,3))/(VLOOKUP(MONTH(B130),$O$1:$Q$13,2)-VLOOKUP(MONTH(B130),$O$1:$Q$13,3))),($F130+$G130)/2-($F130-$G130)/2*COS(PI()*(14-VLOOKUP(MONTH(B130),$O$1:$Q$13,3))/(VLOOKUP(MONTH(B130),$O$1:$Q$13,2)-VLOOKUP(MONTH(B130),$O$1:$Q$13,3))))</f>
        <v/>
      </c>
      <c r="M130" s="1">
        <f t="array" ref="M130">IF(AND(A130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,A130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),IF(L130&lt;_xlfn.IFNA(INDEX(_xlfn.ANCHORARRAY(Sintesi!$C$17)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,1,IF(L130&gt;=_xlfn.IFNA(INDEX(_xlfn.ANCHORARRAY(Sintesi!$C$18)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,0,1-(L130-_xlfn.IFNA(INDEX(_xlfn.ANCHORARRAY(Sintesi!$C$17)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)/(_xlfn.IFNA(INDEX(_xlfn.ANCHORARRAY(Sintesi!$C$18)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-_xlfn.IFNA(INDEX(_xlfn.ANCHORARRAY(Sintesi!$C$17)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))),0)</f>
        <v/>
      </c>
    </row>
    <row r="131">
      <c r="A131" s="1">
        <f>'Paste cell here'!A131</f>
        <v/>
      </c>
      <c r="B131" s="2">
        <f>DATE(Sintesi!$C$4-1,12,31)+A131</f>
        <v/>
      </c>
      <c r="C131" s="34">
        <f t="array" ref="C131">_xlfn.IFNA(MATCH(1,(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)*(_xlfn.ANCHORARRAY(Sintesi!$C$15)&gt;=0)+(_xlfn.ANCHORARRAY(Sintesi!$C$15)&lt;0),0),0)</f>
        <v/>
      </c>
      <c r="D131" s="1">
        <f t="array" ref="D131">IF(ISBLANK($E132),IF(ISNUMBER($E130),IF($C131&gt;0,IF(($E131=INDEX(_xlfn.ANCHORARRAY(Sintesi!$C$14),1,$C131))*(INDEX(_xlfn.ANCHORARRAY(Sintesi!$C$15),1,$C131)&gt;0),0,IF(($E131=INDEX(_xlfn.ANCHORARRAY(Sintesi!$C$14),1,$C131))*(INDEX(_xlfn.ANCHORARRAY(Sintesi!$C$15),1,$C131)&lt;0)+($E131&gt;=$E130)*($E131&lt;=INDEX($E:$E,MATCH(TRUE,INDEX((ISNUMBER($E:$E)),0),0)))*($E131&gt;INDEX(_xlfn.ANCHORARRAY(Sintesi!$C$14),1,$C131))*($E131&lt;=INDEX(_xlfn.ANCHORARRAY(Sintesi!$C$15),1,$C131))*(INDEX(_xlfn.ANCHORARRAY(Sintesi!$C$15),1,$C131)&gt;0),1,IF(($E131&gt;=$E130)*($E131&lt;=INDEX($E:$E,MATCH(TRUE,INDEX((ISNUMBER($E:$E)),0),0)))*($E131&gt;INDEX(_xlfn.ANCHORARRAY(Sintesi!$C$14),1,$C131))*($E131&lt;INDEX(_xlfn.ANCHORARRAY(Sintesi!$C$16),1,$C131))*(INDEX(_xlfn.ANCHORARRAY(Sintesi!$C$15),1,$C131)&lt;0)+($E131&gt;=$E130)*($E131&lt;=INDEX($E:$E,MATCH(TRUE,INDEX((ISNUMBER($E:$E)),0),0)))*($E131&gt;INDEX(_xlfn.ANCHORARRAY(Sintesi!$C$15),1,$C131))*($E131&lt;INDEX(_xlfn.ANCHORARRAY(Sintesi!$C$16),1,$C131))*(INDEX(_xlfn.ANCHORARRAY(Sintesi!$C$15),1,$C131)&gt;0),2,IF($E131=(INDEX(_xlfn.ANCHORARRAY(Sintesi!$C$16),1,$C131)),3,4)))),0),IF($C131&gt;0,IF(($E131=INDEX(_xlfn.ANCHORARRAY(Sintesi!$C$14),1,$C131))*(INDEX(_xlfn.ANCHORARRAY(Sintesi!$C$15),1,$C131)&gt;0),0,IF(($E131=INDEX(_xlfn.ANCHORARRAY(Sintesi!$C$14),1,$C131))*(INDEX(_xlfn.ANCHORARRAY(Sintesi!$C$15),1,$C131)&lt;0)+($E131&gt;=LOOKUP(2,1/($E:$E&lt;&gt;""),$E:$E))*($E131&lt;=INDEX($E:$E,MATCH(TRUE,INDEX((ISNUMBER($E:$E)),0),0)))*($E131&gt;INDEX(_xlfn.ANCHORARRAY(Sintesi!$C$14),1,$C131))*($E131&lt;=INDEX(_xlfn.ANCHORARRAY(Sintesi!$C$15),1,$C131))*(INDEX(_xlfn.ANCHORARRAY(Sintesi!$C$15),1,$C131)&gt;0),1,IF(($E131&gt;=LOOKUP(2,1/($E:$E&lt;&gt;""),$E:$E))*($E131&lt;=INDEX($E:$E,MATCH(TRUE,INDEX((ISNUMBER($E:$E)),0),0)))*($E131&gt;INDEX(_xlfn.ANCHORARRAY(Sintesi!$C$14),1,$C131))*($E131&lt;INDEX(_xlfn.ANCHORARRAY(Sintesi!$C$16),1,$C131))*(INDEX(_xlfn.ANCHORARRAY(Sintesi!$C$15),1,$C131)&lt;0)+($E131&gt;=LOOKUP(2,1/($E:$E&lt;&gt;""),$E:$E))*($E131&lt;=INDEX($E:$E,MATCH(TRUE,INDEX((ISNUMBER($E:$E)),0),0)))*($E131&gt;INDEX(_xlfn.ANCHORARRAY(Sintesi!$C$15),1,$C131))*($E131&lt;INDEX(_xlfn.ANCHORARRAY(Sintesi!$C$16),1,$C131))*(INDEX(_xlfn.ANCHORARRAY(Sintesi!$C$15),1,$C131)&gt;0),2,IF($E131=(INDEX(_xlfn.ANCHORARRAY(Sintesi!$C$16),1,$C131)),3,4)))),0)),IF(ISNUMBER($E130),IF($C131&gt;0,IF(($E131=INDEX(_xlfn.ANCHORARRAY(Sintesi!$C$14),1,$C131))*(INDEX(_xlfn.ANCHORARRAY(Sintesi!$C$15),1,$C131)&gt;0),0,IF(($E131=INDEX(_xlfn.ANCHORARRAY(Sintesi!$C$14),1,$C131))*(INDEX(_xlfn.ANCHORARRAY(Sintesi!$C$15),1,$C131)&lt;0)+($E131&gt;=$E130)*($E131&lt;=$E132)*($E131&gt;INDEX(_xlfn.ANCHORARRAY(Sintesi!$C$14),1,$C131))*($E131&lt;=INDEX(_xlfn.ANCHORARRAY(Sintesi!$C$15),1,$C131))*(INDEX(_xlfn.ANCHORARRAY(Sintesi!$C$15),1,$C131)&gt;0),1,IF(($E131&gt;=$E130)*($E131&lt;=$E132)*($E131&gt;INDEX(_xlfn.ANCHORARRAY(Sintesi!$C$14),1,$C131))*($E131&lt;INDEX(_xlfn.ANCHORARRAY(Sintesi!$C$16),1,$C131))*(INDEX(_xlfn.ANCHORARRAY(Sintesi!$C$15),1,$C131)&lt;0)+($E131&gt;=$E130)*($E131&lt;=$E132)*($E131&gt;INDEX(_xlfn.ANCHORARRAY(Sintesi!$C$15),1,$C131))*($E131&lt;INDEX(_xlfn.ANCHORARRAY(Sintesi!$C$16),1,$C131))*(INDEX(_xlfn.ANCHORARRAY(Sintesi!$C$15),1,$C131)&gt;0),2,IF($E131=(INDEX(_xlfn.ANCHORARRAY(Sintesi!$C$16),1,$C131)),3,4)))),0),IF($C131&gt;0,IF(($E131=INDEX(_xlfn.ANCHORARRAY(Sintesi!$C$14),1,$C131))*(INDEX(_xlfn.ANCHORARRAY(Sintesi!$C$15),1,$C131)&gt;0),0,IF(($E131=INDEX(_xlfn.ANCHORARRAY(Sintesi!$C$14),1,$C131))*(INDEX(_xlfn.ANCHORARRAY(Sintesi!$C$15),1,$C131)&lt;0)+($E131&gt;=LOOKUP(2,1/($E:$E&lt;&gt;""),$E:$E))*($E131&lt;=$E132)*($E131&gt;INDEX(_xlfn.ANCHORARRAY(Sintesi!$C$14),1,$C131))*($E131&lt;=INDEX(_xlfn.ANCHORARRAY(Sintesi!$C$15),1,$C131))*(INDEX(_xlfn.ANCHORARRAY(Sintesi!$C$15),1,$C131)&gt;0),1,IF(($E131&gt;=LOOKUP(2,1/($E:$E&lt;&gt;""),$E:$E))*($E131&lt;=$E132)*($E131&gt;INDEX(_xlfn.ANCHORARRAY(Sintesi!$C$14),1,$C131))*($E131&lt;INDEX(_xlfn.ANCHORARRAY(Sintesi!$C$16),1,$C131))*(INDEX(_xlfn.ANCHORARRAY(Sintesi!$C$15),1,$C131)&lt;0)+($E131&gt;=LOOKUP(2,1/($E:$E&lt;&gt;""),$E:$E))*($E131&lt;=$E132)*($E131&gt;INDEX(_xlfn.ANCHORARRAY(Sintesi!$C$15),1,$C131))*($E131&lt;INDEX(_xlfn.ANCHORARRAY(Sintesi!$C$16),1,$C131))*(INDEX(_xlfn.ANCHORARRAY(Sintesi!$C$15),1,$C131)&gt;0),2,IF($E131=(INDEX(_xlfn.ANCHORARRAY(Sintesi!$C$16),1,$C131)),3,4)))),0)))</f>
        <v/>
      </c>
      <c r="E131" s="1">
        <f>'Paste cell here'!F131</f>
        <v/>
      </c>
      <c r="F131" s="1">
        <f>'Paste cell here'!C131</f>
        <v/>
      </c>
      <c r="G131" s="1">
        <f>'Paste cell here'!D131</f>
        <v/>
      </c>
      <c r="H131" s="1">
        <f>'Paste cell here'!E131</f>
        <v/>
      </c>
      <c r="I131" s="1">
        <f>'Paste cell here'!X131</f>
        <v/>
      </c>
      <c r="J131" s="1">
        <f>'Paste cell here'!Y131+'Paste cell here'!S131</f>
        <v/>
      </c>
      <c r="K131" s="1">
        <f>I131/H131</f>
        <v/>
      </c>
      <c r="L131" s="1">
        <f>AVERAGE(($F131+$G131)/2-($F131-$G131)/2*COS(PI()*(8-VLOOKUP(MONTH(B131),$O$1:$Q$13,3))/(VLOOKUP(MONTH(B131),$O$1:$Q$13,2)-VLOOKUP(MONTH(B131),$O$1:$Q$13,3))),($F131+$G131)/2-($F131-$G131)/2*COS(PI()*(9-VLOOKUP(MONTH(B131),$O$1:$Q$13,3))/(VLOOKUP(MONTH(B131),$O$1:$Q$13,2)-VLOOKUP(MONTH(B131),$O$1:$Q$13,3))),($F131+$G131)/2-($F131-$G131)/2*COS(PI()*(10-VLOOKUP(MONTH(B131),$O$1:$Q$13,3))/(VLOOKUP(MONTH(B131),$O$1:$Q$13,2)-VLOOKUP(MONTH(B131),$O$1:$Q$13,3))),($F131+$G131)/2-($F131-$G131)/2*COS(PI()*(11-VLOOKUP(MONTH(B131),$O$1:$Q$13,3))/(VLOOKUP(MONTH(B131),$O$1:$Q$13,2)-VLOOKUP(MONTH(B131),$O$1:$Q$13,3))),($F131+$G131)/2-($F131-$G131)/2*COS(PI()*(12-VLOOKUP(MONTH(B131),$O$1:$Q$13,3))/(VLOOKUP(MONTH(B131),$O$1:$Q$13,2)-VLOOKUP(MONTH(B131),$O$1:$Q$13,3))),($F131+$G131)/2-($F131-$G131)/2*COS(PI()*(13-VLOOKUP(MONTH(B131),$O$1:$Q$13,3))/(VLOOKUP(MONTH(B131),$O$1:$Q$13,2)-VLOOKUP(MONTH(B131),$O$1:$Q$13,3))),($F131+$G131)/2-($F131-$G131)/2*COS(PI()*(14-VLOOKUP(MONTH(B131),$O$1:$Q$13,3))/(VLOOKUP(MONTH(B131),$O$1:$Q$13,2)-VLOOKUP(MONTH(B131),$O$1:$Q$13,3))))</f>
        <v/>
      </c>
      <c r="M131" s="1">
        <f t="array" ref="M131">IF(AND(A131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,A131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),IF(L131&lt;_xlfn.IFNA(INDEX(_xlfn.ANCHORARRAY(Sintesi!$C$17)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,1,IF(L131&gt;=_xlfn.IFNA(INDEX(_xlfn.ANCHORARRAY(Sintesi!$C$18)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,0,1-(L131-_xlfn.IFNA(INDEX(_xlfn.ANCHORARRAY(Sintesi!$C$17)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)/(_xlfn.IFNA(INDEX(_xlfn.ANCHORARRAY(Sintesi!$C$18)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-_xlfn.IFNA(INDEX(_xlfn.ANCHORARRAY(Sintesi!$C$17)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))),0)</f>
        <v/>
      </c>
    </row>
    <row r="132">
      <c r="A132" s="1">
        <f>'Paste cell here'!A132</f>
        <v/>
      </c>
      <c r="B132" s="2">
        <f>DATE(Sintesi!$C$4-1,12,31)+A132</f>
        <v/>
      </c>
      <c r="C132" s="34">
        <f t="array" ref="C132">_xlfn.IFNA(MATCH(1,(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)*(_xlfn.ANCHORARRAY(Sintesi!$C$15)&gt;=0)+(_xlfn.ANCHORARRAY(Sintesi!$C$15)&lt;0),0),0)</f>
        <v/>
      </c>
      <c r="D132" s="1">
        <f t="array" ref="D132">IF(ISBLANK($E133),IF(ISNUMBER($E131),IF($C132&gt;0,IF(($E132=INDEX(_xlfn.ANCHORARRAY(Sintesi!$C$14),1,$C132))*(INDEX(_xlfn.ANCHORARRAY(Sintesi!$C$15),1,$C132)&gt;0),0,IF(($E132=INDEX(_xlfn.ANCHORARRAY(Sintesi!$C$14),1,$C132))*(INDEX(_xlfn.ANCHORARRAY(Sintesi!$C$15),1,$C132)&lt;0)+($E132&gt;=$E131)*($E132&lt;=INDEX($E:$E,MATCH(TRUE,INDEX((ISNUMBER($E:$E)),0),0)))*($E132&gt;INDEX(_xlfn.ANCHORARRAY(Sintesi!$C$14),1,$C132))*($E132&lt;=INDEX(_xlfn.ANCHORARRAY(Sintesi!$C$15),1,$C132))*(INDEX(_xlfn.ANCHORARRAY(Sintesi!$C$15),1,$C132)&gt;0),1,IF(($E132&gt;=$E131)*($E132&lt;=INDEX($E:$E,MATCH(TRUE,INDEX((ISNUMBER($E:$E)),0),0)))*($E132&gt;INDEX(_xlfn.ANCHORARRAY(Sintesi!$C$14),1,$C132))*($E132&lt;INDEX(_xlfn.ANCHORARRAY(Sintesi!$C$16),1,$C132))*(INDEX(_xlfn.ANCHORARRAY(Sintesi!$C$15),1,$C132)&lt;0)+($E132&gt;=$E131)*($E132&lt;=INDEX($E:$E,MATCH(TRUE,INDEX((ISNUMBER($E:$E)),0),0)))*($E132&gt;INDEX(_xlfn.ANCHORARRAY(Sintesi!$C$15),1,$C132))*($E132&lt;INDEX(_xlfn.ANCHORARRAY(Sintesi!$C$16),1,$C132))*(INDEX(_xlfn.ANCHORARRAY(Sintesi!$C$15),1,$C132)&gt;0),2,IF($E132=(INDEX(_xlfn.ANCHORARRAY(Sintesi!$C$16),1,$C132)),3,4)))),0),IF($C132&gt;0,IF(($E132=INDEX(_xlfn.ANCHORARRAY(Sintesi!$C$14),1,$C132))*(INDEX(_xlfn.ANCHORARRAY(Sintesi!$C$15),1,$C132)&gt;0),0,IF(($E132=INDEX(_xlfn.ANCHORARRAY(Sintesi!$C$14),1,$C132))*(INDEX(_xlfn.ANCHORARRAY(Sintesi!$C$15),1,$C132)&lt;0)+($E132&gt;=LOOKUP(2,1/($E:$E&lt;&gt;""),$E:$E))*($E132&lt;=INDEX($E:$E,MATCH(TRUE,INDEX((ISNUMBER($E:$E)),0),0)))*($E132&gt;INDEX(_xlfn.ANCHORARRAY(Sintesi!$C$14),1,$C132))*($E132&lt;=INDEX(_xlfn.ANCHORARRAY(Sintesi!$C$15),1,$C132))*(INDEX(_xlfn.ANCHORARRAY(Sintesi!$C$15),1,$C132)&gt;0),1,IF(($E132&gt;=LOOKUP(2,1/($E:$E&lt;&gt;""),$E:$E))*($E132&lt;=INDEX($E:$E,MATCH(TRUE,INDEX((ISNUMBER($E:$E)),0),0)))*($E132&gt;INDEX(_xlfn.ANCHORARRAY(Sintesi!$C$14),1,$C132))*($E132&lt;INDEX(_xlfn.ANCHORARRAY(Sintesi!$C$16),1,$C132))*(INDEX(_xlfn.ANCHORARRAY(Sintesi!$C$15),1,$C132)&lt;0)+($E132&gt;=LOOKUP(2,1/($E:$E&lt;&gt;""),$E:$E))*($E132&lt;=INDEX($E:$E,MATCH(TRUE,INDEX((ISNUMBER($E:$E)),0),0)))*($E132&gt;INDEX(_xlfn.ANCHORARRAY(Sintesi!$C$15),1,$C132))*($E132&lt;INDEX(_xlfn.ANCHORARRAY(Sintesi!$C$16),1,$C132))*(INDEX(_xlfn.ANCHORARRAY(Sintesi!$C$15),1,$C132)&gt;0),2,IF($E132=(INDEX(_xlfn.ANCHORARRAY(Sintesi!$C$16),1,$C132)),3,4)))),0)),IF(ISNUMBER($E131),IF($C132&gt;0,IF(($E132=INDEX(_xlfn.ANCHORARRAY(Sintesi!$C$14),1,$C132))*(INDEX(_xlfn.ANCHORARRAY(Sintesi!$C$15),1,$C132)&gt;0),0,IF(($E132=INDEX(_xlfn.ANCHORARRAY(Sintesi!$C$14),1,$C132))*(INDEX(_xlfn.ANCHORARRAY(Sintesi!$C$15),1,$C132)&lt;0)+($E132&gt;=$E131)*($E132&lt;=$E133)*($E132&gt;INDEX(_xlfn.ANCHORARRAY(Sintesi!$C$14),1,$C132))*($E132&lt;=INDEX(_xlfn.ANCHORARRAY(Sintesi!$C$15),1,$C132))*(INDEX(_xlfn.ANCHORARRAY(Sintesi!$C$15),1,$C132)&gt;0),1,IF(($E132&gt;=$E131)*($E132&lt;=$E133)*($E132&gt;INDEX(_xlfn.ANCHORARRAY(Sintesi!$C$14),1,$C132))*($E132&lt;INDEX(_xlfn.ANCHORARRAY(Sintesi!$C$16),1,$C132))*(INDEX(_xlfn.ANCHORARRAY(Sintesi!$C$15),1,$C132)&lt;0)+($E132&gt;=$E131)*($E132&lt;=$E133)*($E132&gt;INDEX(_xlfn.ANCHORARRAY(Sintesi!$C$15),1,$C132))*($E132&lt;INDEX(_xlfn.ANCHORARRAY(Sintesi!$C$16),1,$C132))*(INDEX(_xlfn.ANCHORARRAY(Sintesi!$C$15),1,$C132)&gt;0),2,IF($E132=(INDEX(_xlfn.ANCHORARRAY(Sintesi!$C$16),1,$C132)),3,4)))),0),IF($C132&gt;0,IF(($E132=INDEX(_xlfn.ANCHORARRAY(Sintesi!$C$14),1,$C132))*(INDEX(_xlfn.ANCHORARRAY(Sintesi!$C$15),1,$C132)&gt;0),0,IF(($E132=INDEX(_xlfn.ANCHORARRAY(Sintesi!$C$14),1,$C132))*(INDEX(_xlfn.ANCHORARRAY(Sintesi!$C$15),1,$C132)&lt;0)+($E132&gt;=LOOKUP(2,1/($E:$E&lt;&gt;""),$E:$E))*($E132&lt;=$E133)*($E132&gt;INDEX(_xlfn.ANCHORARRAY(Sintesi!$C$14),1,$C132))*($E132&lt;=INDEX(_xlfn.ANCHORARRAY(Sintesi!$C$15),1,$C132))*(INDEX(_xlfn.ANCHORARRAY(Sintesi!$C$15),1,$C132)&gt;0),1,IF(($E132&gt;=LOOKUP(2,1/($E:$E&lt;&gt;""),$E:$E))*($E132&lt;=$E133)*($E132&gt;INDEX(_xlfn.ANCHORARRAY(Sintesi!$C$14),1,$C132))*($E132&lt;INDEX(_xlfn.ANCHORARRAY(Sintesi!$C$16),1,$C132))*(INDEX(_xlfn.ANCHORARRAY(Sintesi!$C$15),1,$C132)&lt;0)+($E132&gt;=LOOKUP(2,1/($E:$E&lt;&gt;""),$E:$E))*($E132&lt;=$E133)*($E132&gt;INDEX(_xlfn.ANCHORARRAY(Sintesi!$C$15),1,$C132))*($E132&lt;INDEX(_xlfn.ANCHORARRAY(Sintesi!$C$16),1,$C132))*(INDEX(_xlfn.ANCHORARRAY(Sintesi!$C$15),1,$C132)&gt;0),2,IF($E132=(INDEX(_xlfn.ANCHORARRAY(Sintesi!$C$16),1,$C132)),3,4)))),0)))</f>
        <v/>
      </c>
      <c r="E132" s="1">
        <f>'Paste cell here'!F132</f>
        <v/>
      </c>
      <c r="F132" s="1">
        <f>'Paste cell here'!C132</f>
        <v/>
      </c>
      <c r="G132" s="1">
        <f>'Paste cell here'!D132</f>
        <v/>
      </c>
      <c r="H132" s="1">
        <f>'Paste cell here'!E132</f>
        <v/>
      </c>
      <c r="I132" s="1">
        <f>'Paste cell here'!X132</f>
        <v/>
      </c>
      <c r="J132" s="1">
        <f>'Paste cell here'!Y132+'Paste cell here'!S132</f>
        <v/>
      </c>
      <c r="K132" s="1">
        <f>I132/H132</f>
        <v/>
      </c>
      <c r="L132" s="1">
        <f>AVERAGE(($F132+$G132)/2-($F132-$G132)/2*COS(PI()*(8-VLOOKUP(MONTH(B132),$O$1:$Q$13,3))/(VLOOKUP(MONTH(B132),$O$1:$Q$13,2)-VLOOKUP(MONTH(B132),$O$1:$Q$13,3))),($F132+$G132)/2-($F132-$G132)/2*COS(PI()*(9-VLOOKUP(MONTH(B132),$O$1:$Q$13,3))/(VLOOKUP(MONTH(B132),$O$1:$Q$13,2)-VLOOKUP(MONTH(B132),$O$1:$Q$13,3))),($F132+$G132)/2-($F132-$G132)/2*COS(PI()*(10-VLOOKUP(MONTH(B132),$O$1:$Q$13,3))/(VLOOKUP(MONTH(B132),$O$1:$Q$13,2)-VLOOKUP(MONTH(B132),$O$1:$Q$13,3))),($F132+$G132)/2-($F132-$G132)/2*COS(PI()*(11-VLOOKUP(MONTH(B132),$O$1:$Q$13,3))/(VLOOKUP(MONTH(B132),$O$1:$Q$13,2)-VLOOKUP(MONTH(B132),$O$1:$Q$13,3))),($F132+$G132)/2-($F132-$G132)/2*COS(PI()*(12-VLOOKUP(MONTH(B132),$O$1:$Q$13,3))/(VLOOKUP(MONTH(B132),$O$1:$Q$13,2)-VLOOKUP(MONTH(B132),$O$1:$Q$13,3))),($F132+$G132)/2-($F132-$G132)/2*COS(PI()*(13-VLOOKUP(MONTH(B132),$O$1:$Q$13,3))/(VLOOKUP(MONTH(B132),$O$1:$Q$13,2)-VLOOKUP(MONTH(B132),$O$1:$Q$13,3))),($F132+$G132)/2-($F132-$G132)/2*COS(PI()*(14-VLOOKUP(MONTH(B132),$O$1:$Q$13,3))/(VLOOKUP(MONTH(B132),$O$1:$Q$13,2)-VLOOKUP(MONTH(B132),$O$1:$Q$13,3))))</f>
        <v/>
      </c>
      <c r="M132" s="1">
        <f t="array" ref="M132">IF(AND(A132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,A132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),IF(L132&lt;_xlfn.IFNA(INDEX(_xlfn.ANCHORARRAY(Sintesi!$C$17)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,1,IF(L132&gt;=_xlfn.IFNA(INDEX(_xlfn.ANCHORARRAY(Sintesi!$C$18)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,0,1-(L132-_xlfn.IFNA(INDEX(_xlfn.ANCHORARRAY(Sintesi!$C$17)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)/(_xlfn.IFNA(INDEX(_xlfn.ANCHORARRAY(Sintesi!$C$18)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-_xlfn.IFNA(INDEX(_xlfn.ANCHORARRAY(Sintesi!$C$17)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))),0)</f>
        <v/>
      </c>
    </row>
    <row r="133">
      <c r="A133" s="1">
        <f>'Paste cell here'!A133</f>
        <v/>
      </c>
      <c r="B133" s="2">
        <f>DATE(Sintesi!$C$4-1,12,31)+A133</f>
        <v/>
      </c>
      <c r="C133" s="34">
        <f t="array" ref="C133">_xlfn.IFNA(MATCH(1,(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)*(_xlfn.ANCHORARRAY(Sintesi!$C$15)&gt;=0)+(_xlfn.ANCHORARRAY(Sintesi!$C$15)&lt;0),0),0)</f>
        <v/>
      </c>
      <c r="D133" s="1">
        <f t="array" ref="D133">IF(ISBLANK($E134),IF(ISNUMBER($E132),IF($C133&gt;0,IF(($E133=INDEX(_xlfn.ANCHORARRAY(Sintesi!$C$14),1,$C133))*(INDEX(_xlfn.ANCHORARRAY(Sintesi!$C$15),1,$C133)&gt;0),0,IF(($E133=INDEX(_xlfn.ANCHORARRAY(Sintesi!$C$14),1,$C133))*(INDEX(_xlfn.ANCHORARRAY(Sintesi!$C$15),1,$C133)&lt;0)+($E133&gt;=$E132)*($E133&lt;=INDEX($E:$E,MATCH(TRUE,INDEX((ISNUMBER($E:$E)),0),0)))*($E133&gt;INDEX(_xlfn.ANCHORARRAY(Sintesi!$C$14),1,$C133))*($E133&lt;=INDEX(_xlfn.ANCHORARRAY(Sintesi!$C$15),1,$C133))*(INDEX(_xlfn.ANCHORARRAY(Sintesi!$C$15),1,$C133)&gt;0),1,IF(($E133&gt;=$E132)*($E133&lt;=INDEX($E:$E,MATCH(TRUE,INDEX((ISNUMBER($E:$E)),0),0)))*($E133&gt;INDEX(_xlfn.ANCHORARRAY(Sintesi!$C$14),1,$C133))*($E133&lt;INDEX(_xlfn.ANCHORARRAY(Sintesi!$C$16),1,$C133))*(INDEX(_xlfn.ANCHORARRAY(Sintesi!$C$15),1,$C133)&lt;0)+($E133&gt;=$E132)*($E133&lt;=INDEX($E:$E,MATCH(TRUE,INDEX((ISNUMBER($E:$E)),0),0)))*($E133&gt;INDEX(_xlfn.ANCHORARRAY(Sintesi!$C$15),1,$C133))*($E133&lt;INDEX(_xlfn.ANCHORARRAY(Sintesi!$C$16),1,$C133))*(INDEX(_xlfn.ANCHORARRAY(Sintesi!$C$15),1,$C133)&gt;0),2,IF($E133=(INDEX(_xlfn.ANCHORARRAY(Sintesi!$C$16),1,$C133)),3,4)))),0),IF($C133&gt;0,IF(($E133=INDEX(_xlfn.ANCHORARRAY(Sintesi!$C$14),1,$C133))*(INDEX(_xlfn.ANCHORARRAY(Sintesi!$C$15),1,$C133)&gt;0),0,IF(($E133=INDEX(_xlfn.ANCHORARRAY(Sintesi!$C$14),1,$C133))*(INDEX(_xlfn.ANCHORARRAY(Sintesi!$C$15),1,$C133)&lt;0)+($E133&gt;=LOOKUP(2,1/($E:$E&lt;&gt;""),$E:$E))*($E133&lt;=INDEX($E:$E,MATCH(TRUE,INDEX((ISNUMBER($E:$E)),0),0)))*($E133&gt;INDEX(_xlfn.ANCHORARRAY(Sintesi!$C$14),1,$C133))*($E133&lt;=INDEX(_xlfn.ANCHORARRAY(Sintesi!$C$15),1,$C133))*(INDEX(_xlfn.ANCHORARRAY(Sintesi!$C$15),1,$C133)&gt;0),1,IF(($E133&gt;=LOOKUP(2,1/($E:$E&lt;&gt;""),$E:$E))*($E133&lt;=INDEX($E:$E,MATCH(TRUE,INDEX((ISNUMBER($E:$E)),0),0)))*($E133&gt;INDEX(_xlfn.ANCHORARRAY(Sintesi!$C$14),1,$C133))*($E133&lt;INDEX(_xlfn.ANCHORARRAY(Sintesi!$C$16),1,$C133))*(INDEX(_xlfn.ANCHORARRAY(Sintesi!$C$15),1,$C133)&lt;0)+($E133&gt;=LOOKUP(2,1/($E:$E&lt;&gt;""),$E:$E))*($E133&lt;=INDEX($E:$E,MATCH(TRUE,INDEX((ISNUMBER($E:$E)),0),0)))*($E133&gt;INDEX(_xlfn.ANCHORARRAY(Sintesi!$C$15),1,$C133))*($E133&lt;INDEX(_xlfn.ANCHORARRAY(Sintesi!$C$16),1,$C133))*(INDEX(_xlfn.ANCHORARRAY(Sintesi!$C$15),1,$C133)&gt;0),2,IF($E133=(INDEX(_xlfn.ANCHORARRAY(Sintesi!$C$16),1,$C133)),3,4)))),0)),IF(ISNUMBER($E132),IF($C133&gt;0,IF(($E133=INDEX(_xlfn.ANCHORARRAY(Sintesi!$C$14),1,$C133))*(INDEX(_xlfn.ANCHORARRAY(Sintesi!$C$15),1,$C133)&gt;0),0,IF(($E133=INDEX(_xlfn.ANCHORARRAY(Sintesi!$C$14),1,$C133))*(INDEX(_xlfn.ANCHORARRAY(Sintesi!$C$15),1,$C133)&lt;0)+($E133&gt;=$E132)*($E133&lt;=$E134)*($E133&gt;INDEX(_xlfn.ANCHORARRAY(Sintesi!$C$14),1,$C133))*($E133&lt;=INDEX(_xlfn.ANCHORARRAY(Sintesi!$C$15),1,$C133))*(INDEX(_xlfn.ANCHORARRAY(Sintesi!$C$15),1,$C133)&gt;0),1,IF(($E133&gt;=$E132)*($E133&lt;=$E134)*($E133&gt;INDEX(_xlfn.ANCHORARRAY(Sintesi!$C$14),1,$C133))*($E133&lt;INDEX(_xlfn.ANCHORARRAY(Sintesi!$C$16),1,$C133))*(INDEX(_xlfn.ANCHORARRAY(Sintesi!$C$15),1,$C133)&lt;0)+($E133&gt;=$E132)*($E133&lt;=$E134)*($E133&gt;INDEX(_xlfn.ANCHORARRAY(Sintesi!$C$15),1,$C133))*($E133&lt;INDEX(_xlfn.ANCHORARRAY(Sintesi!$C$16),1,$C133))*(INDEX(_xlfn.ANCHORARRAY(Sintesi!$C$15),1,$C133)&gt;0),2,IF($E133=(INDEX(_xlfn.ANCHORARRAY(Sintesi!$C$16),1,$C133)),3,4)))),0),IF($C133&gt;0,IF(($E133=INDEX(_xlfn.ANCHORARRAY(Sintesi!$C$14),1,$C133))*(INDEX(_xlfn.ANCHORARRAY(Sintesi!$C$15),1,$C133)&gt;0),0,IF(($E133=INDEX(_xlfn.ANCHORARRAY(Sintesi!$C$14),1,$C133))*(INDEX(_xlfn.ANCHORARRAY(Sintesi!$C$15),1,$C133)&lt;0)+($E133&gt;=LOOKUP(2,1/($E:$E&lt;&gt;""),$E:$E))*($E133&lt;=$E134)*($E133&gt;INDEX(_xlfn.ANCHORARRAY(Sintesi!$C$14),1,$C133))*($E133&lt;=INDEX(_xlfn.ANCHORARRAY(Sintesi!$C$15),1,$C133))*(INDEX(_xlfn.ANCHORARRAY(Sintesi!$C$15),1,$C133)&gt;0),1,IF(($E133&gt;=LOOKUP(2,1/($E:$E&lt;&gt;""),$E:$E))*($E133&lt;=$E134)*($E133&gt;INDEX(_xlfn.ANCHORARRAY(Sintesi!$C$14),1,$C133))*($E133&lt;INDEX(_xlfn.ANCHORARRAY(Sintesi!$C$16),1,$C133))*(INDEX(_xlfn.ANCHORARRAY(Sintesi!$C$15),1,$C133)&lt;0)+($E133&gt;=LOOKUP(2,1/($E:$E&lt;&gt;""),$E:$E))*($E133&lt;=$E134)*($E133&gt;INDEX(_xlfn.ANCHORARRAY(Sintesi!$C$15),1,$C133))*($E133&lt;INDEX(_xlfn.ANCHORARRAY(Sintesi!$C$16),1,$C133))*(INDEX(_xlfn.ANCHORARRAY(Sintesi!$C$15),1,$C133)&gt;0),2,IF($E133=(INDEX(_xlfn.ANCHORARRAY(Sintesi!$C$16),1,$C133)),3,4)))),0)))</f>
        <v/>
      </c>
      <c r="E133" s="1">
        <f>'Paste cell here'!F133</f>
        <v/>
      </c>
      <c r="F133" s="1">
        <f>'Paste cell here'!C133</f>
        <v/>
      </c>
      <c r="G133" s="1">
        <f>'Paste cell here'!D133</f>
        <v/>
      </c>
      <c r="H133" s="1">
        <f>'Paste cell here'!E133</f>
        <v/>
      </c>
      <c r="I133" s="1">
        <f>'Paste cell here'!X133</f>
        <v/>
      </c>
      <c r="J133" s="1">
        <f>'Paste cell here'!Y133+'Paste cell here'!S133</f>
        <v/>
      </c>
      <c r="K133" s="1">
        <f>I133/H133</f>
        <v/>
      </c>
      <c r="L133" s="1">
        <f>AVERAGE(($F133+$G133)/2-($F133-$G133)/2*COS(PI()*(8-VLOOKUP(MONTH(B133),$O$1:$Q$13,3))/(VLOOKUP(MONTH(B133),$O$1:$Q$13,2)-VLOOKUP(MONTH(B133),$O$1:$Q$13,3))),($F133+$G133)/2-($F133-$G133)/2*COS(PI()*(9-VLOOKUP(MONTH(B133),$O$1:$Q$13,3))/(VLOOKUP(MONTH(B133),$O$1:$Q$13,2)-VLOOKUP(MONTH(B133),$O$1:$Q$13,3))),($F133+$G133)/2-($F133-$G133)/2*COS(PI()*(10-VLOOKUP(MONTH(B133),$O$1:$Q$13,3))/(VLOOKUP(MONTH(B133),$O$1:$Q$13,2)-VLOOKUP(MONTH(B133),$O$1:$Q$13,3))),($F133+$G133)/2-($F133-$G133)/2*COS(PI()*(11-VLOOKUP(MONTH(B133),$O$1:$Q$13,3))/(VLOOKUP(MONTH(B133),$O$1:$Q$13,2)-VLOOKUP(MONTH(B133),$O$1:$Q$13,3))),($F133+$G133)/2-($F133-$G133)/2*COS(PI()*(12-VLOOKUP(MONTH(B133),$O$1:$Q$13,3))/(VLOOKUP(MONTH(B133),$O$1:$Q$13,2)-VLOOKUP(MONTH(B133),$O$1:$Q$13,3))),($F133+$G133)/2-($F133-$G133)/2*COS(PI()*(13-VLOOKUP(MONTH(B133),$O$1:$Q$13,3))/(VLOOKUP(MONTH(B133),$O$1:$Q$13,2)-VLOOKUP(MONTH(B133),$O$1:$Q$13,3))),($F133+$G133)/2-($F133-$G133)/2*COS(PI()*(14-VLOOKUP(MONTH(B133),$O$1:$Q$13,3))/(VLOOKUP(MONTH(B133),$O$1:$Q$13,2)-VLOOKUP(MONTH(B133),$O$1:$Q$13,3))))</f>
        <v/>
      </c>
      <c r="M133" s="1">
        <f t="array" ref="M133">IF(AND(A133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,A133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),IF(L133&lt;_xlfn.IFNA(INDEX(_xlfn.ANCHORARRAY(Sintesi!$C$17)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,1,IF(L133&gt;=_xlfn.IFNA(INDEX(_xlfn.ANCHORARRAY(Sintesi!$C$18)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,0,1-(L133-_xlfn.IFNA(INDEX(_xlfn.ANCHORARRAY(Sintesi!$C$17)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)/(_xlfn.IFNA(INDEX(_xlfn.ANCHORARRAY(Sintesi!$C$18)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-_xlfn.IFNA(INDEX(_xlfn.ANCHORARRAY(Sintesi!$C$17)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))),0)</f>
        <v/>
      </c>
    </row>
    <row r="134">
      <c r="A134" s="1">
        <f>'Paste cell here'!A134</f>
        <v/>
      </c>
      <c r="B134" s="2">
        <f>DATE(Sintesi!$C$4-1,12,31)+A134</f>
        <v/>
      </c>
      <c r="C134" s="34">
        <f t="array" ref="C134">_xlfn.IFNA(MATCH(1,(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)*(_xlfn.ANCHORARRAY(Sintesi!$C$15)&gt;=0)+(_xlfn.ANCHORARRAY(Sintesi!$C$15)&lt;0),0),0)</f>
        <v/>
      </c>
      <c r="D134" s="1">
        <f t="array" ref="D134">IF(ISBLANK($E135),IF(ISNUMBER($E133),IF($C134&gt;0,IF(($E134=INDEX(_xlfn.ANCHORARRAY(Sintesi!$C$14),1,$C134))*(INDEX(_xlfn.ANCHORARRAY(Sintesi!$C$15),1,$C134)&gt;0),0,IF(($E134=INDEX(_xlfn.ANCHORARRAY(Sintesi!$C$14),1,$C134))*(INDEX(_xlfn.ANCHORARRAY(Sintesi!$C$15),1,$C134)&lt;0)+($E134&gt;=$E133)*($E134&lt;=INDEX($E:$E,MATCH(TRUE,INDEX((ISNUMBER($E:$E)),0),0)))*($E134&gt;INDEX(_xlfn.ANCHORARRAY(Sintesi!$C$14),1,$C134))*($E134&lt;=INDEX(_xlfn.ANCHORARRAY(Sintesi!$C$15),1,$C134))*(INDEX(_xlfn.ANCHORARRAY(Sintesi!$C$15),1,$C134)&gt;0),1,IF(($E134&gt;=$E133)*($E134&lt;=INDEX($E:$E,MATCH(TRUE,INDEX((ISNUMBER($E:$E)),0),0)))*($E134&gt;INDEX(_xlfn.ANCHORARRAY(Sintesi!$C$14),1,$C134))*($E134&lt;INDEX(_xlfn.ANCHORARRAY(Sintesi!$C$16),1,$C134))*(INDEX(_xlfn.ANCHORARRAY(Sintesi!$C$15),1,$C134)&lt;0)+($E134&gt;=$E133)*($E134&lt;=INDEX($E:$E,MATCH(TRUE,INDEX((ISNUMBER($E:$E)),0),0)))*($E134&gt;INDEX(_xlfn.ANCHORARRAY(Sintesi!$C$15),1,$C134))*($E134&lt;INDEX(_xlfn.ANCHORARRAY(Sintesi!$C$16),1,$C134))*(INDEX(_xlfn.ANCHORARRAY(Sintesi!$C$15),1,$C134)&gt;0),2,IF($E134=(INDEX(_xlfn.ANCHORARRAY(Sintesi!$C$16),1,$C134)),3,4)))),0),IF($C134&gt;0,IF(($E134=INDEX(_xlfn.ANCHORARRAY(Sintesi!$C$14),1,$C134))*(INDEX(_xlfn.ANCHORARRAY(Sintesi!$C$15),1,$C134)&gt;0),0,IF(($E134=INDEX(_xlfn.ANCHORARRAY(Sintesi!$C$14),1,$C134))*(INDEX(_xlfn.ANCHORARRAY(Sintesi!$C$15),1,$C134)&lt;0)+($E134&gt;=LOOKUP(2,1/($E:$E&lt;&gt;""),$E:$E))*($E134&lt;=INDEX($E:$E,MATCH(TRUE,INDEX((ISNUMBER($E:$E)),0),0)))*($E134&gt;INDEX(_xlfn.ANCHORARRAY(Sintesi!$C$14),1,$C134))*($E134&lt;=INDEX(_xlfn.ANCHORARRAY(Sintesi!$C$15),1,$C134))*(INDEX(_xlfn.ANCHORARRAY(Sintesi!$C$15),1,$C134)&gt;0),1,IF(($E134&gt;=LOOKUP(2,1/($E:$E&lt;&gt;""),$E:$E))*($E134&lt;=INDEX($E:$E,MATCH(TRUE,INDEX((ISNUMBER($E:$E)),0),0)))*($E134&gt;INDEX(_xlfn.ANCHORARRAY(Sintesi!$C$14),1,$C134))*($E134&lt;INDEX(_xlfn.ANCHORARRAY(Sintesi!$C$16),1,$C134))*(INDEX(_xlfn.ANCHORARRAY(Sintesi!$C$15),1,$C134)&lt;0)+($E134&gt;=LOOKUP(2,1/($E:$E&lt;&gt;""),$E:$E))*($E134&lt;=INDEX($E:$E,MATCH(TRUE,INDEX((ISNUMBER($E:$E)),0),0)))*($E134&gt;INDEX(_xlfn.ANCHORARRAY(Sintesi!$C$15),1,$C134))*($E134&lt;INDEX(_xlfn.ANCHORARRAY(Sintesi!$C$16),1,$C134))*(INDEX(_xlfn.ANCHORARRAY(Sintesi!$C$15),1,$C134)&gt;0),2,IF($E134=(INDEX(_xlfn.ANCHORARRAY(Sintesi!$C$16),1,$C134)),3,4)))),0)),IF(ISNUMBER($E133),IF($C134&gt;0,IF(($E134=INDEX(_xlfn.ANCHORARRAY(Sintesi!$C$14),1,$C134))*(INDEX(_xlfn.ANCHORARRAY(Sintesi!$C$15),1,$C134)&gt;0),0,IF(($E134=INDEX(_xlfn.ANCHORARRAY(Sintesi!$C$14),1,$C134))*(INDEX(_xlfn.ANCHORARRAY(Sintesi!$C$15),1,$C134)&lt;0)+($E134&gt;=$E133)*($E134&lt;=$E135)*($E134&gt;INDEX(_xlfn.ANCHORARRAY(Sintesi!$C$14),1,$C134))*($E134&lt;=INDEX(_xlfn.ANCHORARRAY(Sintesi!$C$15),1,$C134))*(INDEX(_xlfn.ANCHORARRAY(Sintesi!$C$15),1,$C134)&gt;0),1,IF(($E134&gt;=$E133)*($E134&lt;=$E135)*($E134&gt;INDEX(_xlfn.ANCHORARRAY(Sintesi!$C$14),1,$C134))*($E134&lt;INDEX(_xlfn.ANCHORARRAY(Sintesi!$C$16),1,$C134))*(INDEX(_xlfn.ANCHORARRAY(Sintesi!$C$15),1,$C134)&lt;0)+($E134&gt;=$E133)*($E134&lt;=$E135)*($E134&gt;INDEX(_xlfn.ANCHORARRAY(Sintesi!$C$15),1,$C134))*($E134&lt;INDEX(_xlfn.ANCHORARRAY(Sintesi!$C$16),1,$C134))*(INDEX(_xlfn.ANCHORARRAY(Sintesi!$C$15),1,$C134)&gt;0),2,IF($E134=(INDEX(_xlfn.ANCHORARRAY(Sintesi!$C$16),1,$C134)),3,4)))),0),IF($C134&gt;0,IF(($E134=INDEX(_xlfn.ANCHORARRAY(Sintesi!$C$14),1,$C134))*(INDEX(_xlfn.ANCHORARRAY(Sintesi!$C$15),1,$C134)&gt;0),0,IF(($E134=INDEX(_xlfn.ANCHORARRAY(Sintesi!$C$14),1,$C134))*(INDEX(_xlfn.ANCHORARRAY(Sintesi!$C$15),1,$C134)&lt;0)+($E134&gt;=LOOKUP(2,1/($E:$E&lt;&gt;""),$E:$E))*($E134&lt;=$E135)*($E134&gt;INDEX(_xlfn.ANCHORARRAY(Sintesi!$C$14),1,$C134))*($E134&lt;=INDEX(_xlfn.ANCHORARRAY(Sintesi!$C$15),1,$C134))*(INDEX(_xlfn.ANCHORARRAY(Sintesi!$C$15),1,$C134)&gt;0),1,IF(($E134&gt;=LOOKUP(2,1/($E:$E&lt;&gt;""),$E:$E))*($E134&lt;=$E135)*($E134&gt;INDEX(_xlfn.ANCHORARRAY(Sintesi!$C$14),1,$C134))*($E134&lt;INDEX(_xlfn.ANCHORARRAY(Sintesi!$C$16),1,$C134))*(INDEX(_xlfn.ANCHORARRAY(Sintesi!$C$15),1,$C134)&lt;0)+($E134&gt;=LOOKUP(2,1/($E:$E&lt;&gt;""),$E:$E))*($E134&lt;=$E135)*($E134&gt;INDEX(_xlfn.ANCHORARRAY(Sintesi!$C$15),1,$C134))*($E134&lt;INDEX(_xlfn.ANCHORARRAY(Sintesi!$C$16),1,$C134))*(INDEX(_xlfn.ANCHORARRAY(Sintesi!$C$15),1,$C134)&gt;0),2,IF($E134=(INDEX(_xlfn.ANCHORARRAY(Sintesi!$C$16),1,$C134)),3,4)))),0)))</f>
        <v/>
      </c>
      <c r="E134" s="1">
        <f>'Paste cell here'!F134</f>
        <v/>
      </c>
      <c r="F134" s="1">
        <f>'Paste cell here'!C134</f>
        <v/>
      </c>
      <c r="G134" s="1">
        <f>'Paste cell here'!D134</f>
        <v/>
      </c>
      <c r="H134" s="1">
        <f>'Paste cell here'!E134</f>
        <v/>
      </c>
      <c r="I134" s="1">
        <f>'Paste cell here'!X134</f>
        <v/>
      </c>
      <c r="J134" s="1">
        <f>'Paste cell here'!Y134+'Paste cell here'!S134</f>
        <v/>
      </c>
      <c r="K134" s="1">
        <f>I134/H134</f>
        <v/>
      </c>
      <c r="L134" s="1">
        <f>AVERAGE(($F134+$G134)/2-($F134-$G134)/2*COS(PI()*(8-VLOOKUP(MONTH(B134),$O$1:$Q$13,3))/(VLOOKUP(MONTH(B134),$O$1:$Q$13,2)-VLOOKUP(MONTH(B134),$O$1:$Q$13,3))),($F134+$G134)/2-($F134-$G134)/2*COS(PI()*(9-VLOOKUP(MONTH(B134),$O$1:$Q$13,3))/(VLOOKUP(MONTH(B134),$O$1:$Q$13,2)-VLOOKUP(MONTH(B134),$O$1:$Q$13,3))),($F134+$G134)/2-($F134-$G134)/2*COS(PI()*(10-VLOOKUP(MONTH(B134),$O$1:$Q$13,3))/(VLOOKUP(MONTH(B134),$O$1:$Q$13,2)-VLOOKUP(MONTH(B134),$O$1:$Q$13,3))),($F134+$G134)/2-($F134-$G134)/2*COS(PI()*(11-VLOOKUP(MONTH(B134),$O$1:$Q$13,3))/(VLOOKUP(MONTH(B134),$O$1:$Q$13,2)-VLOOKUP(MONTH(B134),$O$1:$Q$13,3))),($F134+$G134)/2-($F134-$G134)/2*COS(PI()*(12-VLOOKUP(MONTH(B134),$O$1:$Q$13,3))/(VLOOKUP(MONTH(B134),$O$1:$Q$13,2)-VLOOKUP(MONTH(B134),$O$1:$Q$13,3))),($F134+$G134)/2-($F134-$G134)/2*COS(PI()*(13-VLOOKUP(MONTH(B134),$O$1:$Q$13,3))/(VLOOKUP(MONTH(B134),$O$1:$Q$13,2)-VLOOKUP(MONTH(B134),$O$1:$Q$13,3))),($F134+$G134)/2-($F134-$G134)/2*COS(PI()*(14-VLOOKUP(MONTH(B134),$O$1:$Q$13,3))/(VLOOKUP(MONTH(B134),$O$1:$Q$13,2)-VLOOKUP(MONTH(B134),$O$1:$Q$13,3))))</f>
        <v/>
      </c>
      <c r="M134" s="1">
        <f t="array" ref="M134">IF(AND(A134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,A134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),IF(L134&lt;_xlfn.IFNA(INDEX(_xlfn.ANCHORARRAY(Sintesi!$C$17)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,1,IF(L134&gt;=_xlfn.IFNA(INDEX(_xlfn.ANCHORARRAY(Sintesi!$C$18)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,0,1-(L134-_xlfn.IFNA(INDEX(_xlfn.ANCHORARRAY(Sintesi!$C$17)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)/(_xlfn.IFNA(INDEX(_xlfn.ANCHORARRAY(Sintesi!$C$18)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-_xlfn.IFNA(INDEX(_xlfn.ANCHORARRAY(Sintesi!$C$17)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))),0)</f>
        <v/>
      </c>
    </row>
    <row r="135">
      <c r="A135" s="1">
        <f>'Paste cell here'!A135</f>
        <v/>
      </c>
      <c r="B135" s="2">
        <f>DATE(Sintesi!$C$4-1,12,31)+A135</f>
        <v/>
      </c>
      <c r="C135" s="34">
        <f t="array" ref="C135">_xlfn.IFNA(MATCH(1,(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)*(_xlfn.ANCHORARRAY(Sintesi!$C$15)&gt;=0)+(_xlfn.ANCHORARRAY(Sintesi!$C$15)&lt;0),0),0)</f>
        <v/>
      </c>
      <c r="D135" s="1">
        <f t="array" ref="D135">IF(ISBLANK($E136),IF(ISNUMBER($E134),IF($C135&gt;0,IF(($E135=INDEX(_xlfn.ANCHORARRAY(Sintesi!$C$14),1,$C135))*(INDEX(_xlfn.ANCHORARRAY(Sintesi!$C$15),1,$C135)&gt;0),0,IF(($E135=INDEX(_xlfn.ANCHORARRAY(Sintesi!$C$14),1,$C135))*(INDEX(_xlfn.ANCHORARRAY(Sintesi!$C$15),1,$C135)&lt;0)+($E135&gt;=$E134)*($E135&lt;=INDEX($E:$E,MATCH(TRUE,INDEX((ISNUMBER($E:$E)),0),0)))*($E135&gt;INDEX(_xlfn.ANCHORARRAY(Sintesi!$C$14),1,$C135))*($E135&lt;=INDEX(_xlfn.ANCHORARRAY(Sintesi!$C$15),1,$C135))*(INDEX(_xlfn.ANCHORARRAY(Sintesi!$C$15),1,$C135)&gt;0),1,IF(($E135&gt;=$E134)*($E135&lt;=INDEX($E:$E,MATCH(TRUE,INDEX((ISNUMBER($E:$E)),0),0)))*($E135&gt;INDEX(_xlfn.ANCHORARRAY(Sintesi!$C$14),1,$C135))*($E135&lt;INDEX(_xlfn.ANCHORARRAY(Sintesi!$C$16),1,$C135))*(INDEX(_xlfn.ANCHORARRAY(Sintesi!$C$15),1,$C135)&lt;0)+($E135&gt;=$E134)*($E135&lt;=INDEX($E:$E,MATCH(TRUE,INDEX((ISNUMBER($E:$E)),0),0)))*($E135&gt;INDEX(_xlfn.ANCHORARRAY(Sintesi!$C$15),1,$C135))*($E135&lt;INDEX(_xlfn.ANCHORARRAY(Sintesi!$C$16),1,$C135))*(INDEX(_xlfn.ANCHORARRAY(Sintesi!$C$15),1,$C135)&gt;0),2,IF($E135=(INDEX(_xlfn.ANCHORARRAY(Sintesi!$C$16),1,$C135)),3,4)))),0),IF($C135&gt;0,IF(($E135=INDEX(_xlfn.ANCHORARRAY(Sintesi!$C$14),1,$C135))*(INDEX(_xlfn.ANCHORARRAY(Sintesi!$C$15),1,$C135)&gt;0),0,IF(($E135=INDEX(_xlfn.ANCHORARRAY(Sintesi!$C$14),1,$C135))*(INDEX(_xlfn.ANCHORARRAY(Sintesi!$C$15),1,$C135)&lt;0)+($E135&gt;=LOOKUP(2,1/($E:$E&lt;&gt;""),$E:$E))*($E135&lt;=INDEX($E:$E,MATCH(TRUE,INDEX((ISNUMBER($E:$E)),0),0)))*($E135&gt;INDEX(_xlfn.ANCHORARRAY(Sintesi!$C$14),1,$C135))*($E135&lt;=INDEX(_xlfn.ANCHORARRAY(Sintesi!$C$15),1,$C135))*(INDEX(_xlfn.ANCHORARRAY(Sintesi!$C$15),1,$C135)&gt;0),1,IF(($E135&gt;=LOOKUP(2,1/($E:$E&lt;&gt;""),$E:$E))*($E135&lt;=INDEX($E:$E,MATCH(TRUE,INDEX((ISNUMBER($E:$E)),0),0)))*($E135&gt;INDEX(_xlfn.ANCHORARRAY(Sintesi!$C$14),1,$C135))*($E135&lt;INDEX(_xlfn.ANCHORARRAY(Sintesi!$C$16),1,$C135))*(INDEX(_xlfn.ANCHORARRAY(Sintesi!$C$15),1,$C135)&lt;0)+($E135&gt;=LOOKUP(2,1/($E:$E&lt;&gt;""),$E:$E))*($E135&lt;=INDEX($E:$E,MATCH(TRUE,INDEX((ISNUMBER($E:$E)),0),0)))*($E135&gt;INDEX(_xlfn.ANCHORARRAY(Sintesi!$C$15),1,$C135))*($E135&lt;INDEX(_xlfn.ANCHORARRAY(Sintesi!$C$16),1,$C135))*(INDEX(_xlfn.ANCHORARRAY(Sintesi!$C$15),1,$C135)&gt;0),2,IF($E135=(INDEX(_xlfn.ANCHORARRAY(Sintesi!$C$16),1,$C135)),3,4)))),0)),IF(ISNUMBER($E134),IF($C135&gt;0,IF(($E135=INDEX(_xlfn.ANCHORARRAY(Sintesi!$C$14),1,$C135))*(INDEX(_xlfn.ANCHORARRAY(Sintesi!$C$15),1,$C135)&gt;0),0,IF(($E135=INDEX(_xlfn.ANCHORARRAY(Sintesi!$C$14),1,$C135))*(INDEX(_xlfn.ANCHORARRAY(Sintesi!$C$15),1,$C135)&lt;0)+($E135&gt;=$E134)*($E135&lt;=$E136)*($E135&gt;INDEX(_xlfn.ANCHORARRAY(Sintesi!$C$14),1,$C135))*($E135&lt;=INDEX(_xlfn.ANCHORARRAY(Sintesi!$C$15),1,$C135))*(INDEX(_xlfn.ANCHORARRAY(Sintesi!$C$15),1,$C135)&gt;0),1,IF(($E135&gt;=$E134)*($E135&lt;=$E136)*($E135&gt;INDEX(_xlfn.ANCHORARRAY(Sintesi!$C$14),1,$C135))*($E135&lt;INDEX(_xlfn.ANCHORARRAY(Sintesi!$C$16),1,$C135))*(INDEX(_xlfn.ANCHORARRAY(Sintesi!$C$15),1,$C135)&lt;0)+($E135&gt;=$E134)*($E135&lt;=$E136)*($E135&gt;INDEX(_xlfn.ANCHORARRAY(Sintesi!$C$15),1,$C135))*($E135&lt;INDEX(_xlfn.ANCHORARRAY(Sintesi!$C$16),1,$C135))*(INDEX(_xlfn.ANCHORARRAY(Sintesi!$C$15),1,$C135)&gt;0),2,IF($E135=(INDEX(_xlfn.ANCHORARRAY(Sintesi!$C$16),1,$C135)),3,4)))),0),IF($C135&gt;0,IF(($E135=INDEX(_xlfn.ANCHORARRAY(Sintesi!$C$14),1,$C135))*(INDEX(_xlfn.ANCHORARRAY(Sintesi!$C$15),1,$C135)&gt;0),0,IF(($E135=INDEX(_xlfn.ANCHORARRAY(Sintesi!$C$14),1,$C135))*(INDEX(_xlfn.ANCHORARRAY(Sintesi!$C$15),1,$C135)&lt;0)+($E135&gt;=LOOKUP(2,1/($E:$E&lt;&gt;""),$E:$E))*($E135&lt;=$E136)*($E135&gt;INDEX(_xlfn.ANCHORARRAY(Sintesi!$C$14),1,$C135))*($E135&lt;=INDEX(_xlfn.ANCHORARRAY(Sintesi!$C$15),1,$C135))*(INDEX(_xlfn.ANCHORARRAY(Sintesi!$C$15),1,$C135)&gt;0),1,IF(($E135&gt;=LOOKUP(2,1/($E:$E&lt;&gt;""),$E:$E))*($E135&lt;=$E136)*($E135&gt;INDEX(_xlfn.ANCHORARRAY(Sintesi!$C$14),1,$C135))*($E135&lt;INDEX(_xlfn.ANCHORARRAY(Sintesi!$C$16),1,$C135))*(INDEX(_xlfn.ANCHORARRAY(Sintesi!$C$15),1,$C135)&lt;0)+($E135&gt;=LOOKUP(2,1/($E:$E&lt;&gt;""),$E:$E))*($E135&lt;=$E136)*($E135&gt;INDEX(_xlfn.ANCHORARRAY(Sintesi!$C$15),1,$C135))*($E135&lt;INDEX(_xlfn.ANCHORARRAY(Sintesi!$C$16),1,$C135))*(INDEX(_xlfn.ANCHORARRAY(Sintesi!$C$15),1,$C135)&gt;0),2,IF($E135=(INDEX(_xlfn.ANCHORARRAY(Sintesi!$C$16),1,$C135)),3,4)))),0)))</f>
        <v/>
      </c>
      <c r="E135" s="1">
        <f>'Paste cell here'!F135</f>
        <v/>
      </c>
      <c r="F135" s="1">
        <f>'Paste cell here'!C135</f>
        <v/>
      </c>
      <c r="G135" s="1">
        <f>'Paste cell here'!D135</f>
        <v/>
      </c>
      <c r="H135" s="1">
        <f>'Paste cell here'!E135</f>
        <v/>
      </c>
      <c r="I135" s="1">
        <f>'Paste cell here'!X135</f>
        <v/>
      </c>
      <c r="J135" s="1">
        <f>'Paste cell here'!Y135+'Paste cell here'!S135</f>
        <v/>
      </c>
      <c r="K135" s="1">
        <f>I135/H135</f>
        <v/>
      </c>
      <c r="L135" s="1">
        <f>AVERAGE(($F135+$G135)/2-($F135-$G135)/2*COS(PI()*(8-VLOOKUP(MONTH(B135),$O$1:$Q$13,3))/(VLOOKUP(MONTH(B135),$O$1:$Q$13,2)-VLOOKUP(MONTH(B135),$O$1:$Q$13,3))),($F135+$G135)/2-($F135-$G135)/2*COS(PI()*(9-VLOOKUP(MONTH(B135),$O$1:$Q$13,3))/(VLOOKUP(MONTH(B135),$O$1:$Q$13,2)-VLOOKUP(MONTH(B135),$O$1:$Q$13,3))),($F135+$G135)/2-($F135-$G135)/2*COS(PI()*(10-VLOOKUP(MONTH(B135),$O$1:$Q$13,3))/(VLOOKUP(MONTH(B135),$O$1:$Q$13,2)-VLOOKUP(MONTH(B135),$O$1:$Q$13,3))),($F135+$G135)/2-($F135-$G135)/2*COS(PI()*(11-VLOOKUP(MONTH(B135),$O$1:$Q$13,3))/(VLOOKUP(MONTH(B135),$O$1:$Q$13,2)-VLOOKUP(MONTH(B135),$O$1:$Q$13,3))),($F135+$G135)/2-($F135-$G135)/2*COS(PI()*(12-VLOOKUP(MONTH(B135),$O$1:$Q$13,3))/(VLOOKUP(MONTH(B135),$O$1:$Q$13,2)-VLOOKUP(MONTH(B135),$O$1:$Q$13,3))),($F135+$G135)/2-($F135-$G135)/2*COS(PI()*(13-VLOOKUP(MONTH(B135),$O$1:$Q$13,3))/(VLOOKUP(MONTH(B135),$O$1:$Q$13,2)-VLOOKUP(MONTH(B135),$O$1:$Q$13,3))),($F135+$G135)/2-($F135-$G135)/2*COS(PI()*(14-VLOOKUP(MONTH(B135),$O$1:$Q$13,3))/(VLOOKUP(MONTH(B135),$O$1:$Q$13,2)-VLOOKUP(MONTH(B135),$O$1:$Q$13,3))))</f>
        <v/>
      </c>
      <c r="M135" s="1">
        <f t="array" ref="M135">IF(AND(A135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,A135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),IF(L135&lt;_xlfn.IFNA(INDEX(_xlfn.ANCHORARRAY(Sintesi!$C$17)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,1,IF(L135&gt;=_xlfn.IFNA(INDEX(_xlfn.ANCHORARRAY(Sintesi!$C$18)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,0,1-(L135-_xlfn.IFNA(INDEX(_xlfn.ANCHORARRAY(Sintesi!$C$17)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)/(_xlfn.IFNA(INDEX(_xlfn.ANCHORARRAY(Sintesi!$C$18)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-_xlfn.IFNA(INDEX(_xlfn.ANCHORARRAY(Sintesi!$C$17)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))),0)</f>
        <v/>
      </c>
    </row>
    <row r="136">
      <c r="A136" s="1">
        <f>'Paste cell here'!A136</f>
        <v/>
      </c>
      <c r="B136" s="2">
        <f>DATE(Sintesi!$C$4-1,12,31)+A136</f>
        <v/>
      </c>
      <c r="C136" s="34">
        <f t="array" ref="C136">_xlfn.IFNA(MATCH(1,(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)*(_xlfn.ANCHORARRAY(Sintesi!$C$15)&gt;=0)+(_xlfn.ANCHORARRAY(Sintesi!$C$15)&lt;0),0),0)</f>
        <v/>
      </c>
      <c r="D136" s="1">
        <f t="array" ref="D136">IF(ISBLANK($E137),IF(ISNUMBER($E135),IF($C136&gt;0,IF(($E136=INDEX(_xlfn.ANCHORARRAY(Sintesi!$C$14),1,$C136))*(INDEX(_xlfn.ANCHORARRAY(Sintesi!$C$15),1,$C136)&gt;0),0,IF(($E136=INDEX(_xlfn.ANCHORARRAY(Sintesi!$C$14),1,$C136))*(INDEX(_xlfn.ANCHORARRAY(Sintesi!$C$15),1,$C136)&lt;0)+($E136&gt;=$E135)*($E136&lt;=INDEX($E:$E,MATCH(TRUE,INDEX((ISNUMBER($E:$E)),0),0)))*($E136&gt;INDEX(_xlfn.ANCHORARRAY(Sintesi!$C$14),1,$C136))*($E136&lt;=INDEX(_xlfn.ANCHORARRAY(Sintesi!$C$15),1,$C136))*(INDEX(_xlfn.ANCHORARRAY(Sintesi!$C$15),1,$C136)&gt;0),1,IF(($E136&gt;=$E135)*($E136&lt;=INDEX($E:$E,MATCH(TRUE,INDEX((ISNUMBER($E:$E)),0),0)))*($E136&gt;INDEX(_xlfn.ANCHORARRAY(Sintesi!$C$14),1,$C136))*($E136&lt;INDEX(_xlfn.ANCHORARRAY(Sintesi!$C$16),1,$C136))*(INDEX(_xlfn.ANCHORARRAY(Sintesi!$C$15),1,$C136)&lt;0)+($E136&gt;=$E135)*($E136&lt;=INDEX($E:$E,MATCH(TRUE,INDEX((ISNUMBER($E:$E)),0),0)))*($E136&gt;INDEX(_xlfn.ANCHORARRAY(Sintesi!$C$15),1,$C136))*($E136&lt;INDEX(_xlfn.ANCHORARRAY(Sintesi!$C$16),1,$C136))*(INDEX(_xlfn.ANCHORARRAY(Sintesi!$C$15),1,$C136)&gt;0),2,IF($E136=(INDEX(_xlfn.ANCHORARRAY(Sintesi!$C$16),1,$C136)),3,4)))),0),IF($C136&gt;0,IF(($E136=INDEX(_xlfn.ANCHORARRAY(Sintesi!$C$14),1,$C136))*(INDEX(_xlfn.ANCHORARRAY(Sintesi!$C$15),1,$C136)&gt;0),0,IF(($E136=INDEX(_xlfn.ANCHORARRAY(Sintesi!$C$14),1,$C136))*(INDEX(_xlfn.ANCHORARRAY(Sintesi!$C$15),1,$C136)&lt;0)+($E136&gt;=LOOKUP(2,1/($E:$E&lt;&gt;""),$E:$E))*($E136&lt;=INDEX($E:$E,MATCH(TRUE,INDEX((ISNUMBER($E:$E)),0),0)))*($E136&gt;INDEX(_xlfn.ANCHORARRAY(Sintesi!$C$14),1,$C136))*($E136&lt;=INDEX(_xlfn.ANCHORARRAY(Sintesi!$C$15),1,$C136))*(INDEX(_xlfn.ANCHORARRAY(Sintesi!$C$15),1,$C136)&gt;0),1,IF(($E136&gt;=LOOKUP(2,1/($E:$E&lt;&gt;""),$E:$E))*($E136&lt;=INDEX($E:$E,MATCH(TRUE,INDEX((ISNUMBER($E:$E)),0),0)))*($E136&gt;INDEX(_xlfn.ANCHORARRAY(Sintesi!$C$14),1,$C136))*($E136&lt;INDEX(_xlfn.ANCHORARRAY(Sintesi!$C$16),1,$C136))*(INDEX(_xlfn.ANCHORARRAY(Sintesi!$C$15),1,$C136)&lt;0)+($E136&gt;=LOOKUP(2,1/($E:$E&lt;&gt;""),$E:$E))*($E136&lt;=INDEX($E:$E,MATCH(TRUE,INDEX((ISNUMBER($E:$E)),0),0)))*($E136&gt;INDEX(_xlfn.ANCHORARRAY(Sintesi!$C$15),1,$C136))*($E136&lt;INDEX(_xlfn.ANCHORARRAY(Sintesi!$C$16),1,$C136))*(INDEX(_xlfn.ANCHORARRAY(Sintesi!$C$15),1,$C136)&gt;0),2,IF($E136=(INDEX(_xlfn.ANCHORARRAY(Sintesi!$C$16),1,$C136)),3,4)))),0)),IF(ISNUMBER($E135),IF($C136&gt;0,IF(($E136=INDEX(_xlfn.ANCHORARRAY(Sintesi!$C$14),1,$C136))*(INDEX(_xlfn.ANCHORARRAY(Sintesi!$C$15),1,$C136)&gt;0),0,IF(($E136=INDEX(_xlfn.ANCHORARRAY(Sintesi!$C$14),1,$C136))*(INDEX(_xlfn.ANCHORARRAY(Sintesi!$C$15),1,$C136)&lt;0)+($E136&gt;=$E135)*($E136&lt;=$E137)*($E136&gt;INDEX(_xlfn.ANCHORARRAY(Sintesi!$C$14),1,$C136))*($E136&lt;=INDEX(_xlfn.ANCHORARRAY(Sintesi!$C$15),1,$C136))*(INDEX(_xlfn.ANCHORARRAY(Sintesi!$C$15),1,$C136)&gt;0),1,IF(($E136&gt;=$E135)*($E136&lt;=$E137)*($E136&gt;INDEX(_xlfn.ANCHORARRAY(Sintesi!$C$14),1,$C136))*($E136&lt;INDEX(_xlfn.ANCHORARRAY(Sintesi!$C$16),1,$C136))*(INDEX(_xlfn.ANCHORARRAY(Sintesi!$C$15),1,$C136)&lt;0)+($E136&gt;=$E135)*($E136&lt;=$E137)*($E136&gt;INDEX(_xlfn.ANCHORARRAY(Sintesi!$C$15),1,$C136))*($E136&lt;INDEX(_xlfn.ANCHORARRAY(Sintesi!$C$16),1,$C136))*(INDEX(_xlfn.ANCHORARRAY(Sintesi!$C$15),1,$C136)&gt;0),2,IF($E136=(INDEX(_xlfn.ANCHORARRAY(Sintesi!$C$16),1,$C136)),3,4)))),0),IF($C136&gt;0,IF(($E136=INDEX(_xlfn.ANCHORARRAY(Sintesi!$C$14),1,$C136))*(INDEX(_xlfn.ANCHORARRAY(Sintesi!$C$15),1,$C136)&gt;0),0,IF(($E136=INDEX(_xlfn.ANCHORARRAY(Sintesi!$C$14),1,$C136))*(INDEX(_xlfn.ANCHORARRAY(Sintesi!$C$15),1,$C136)&lt;0)+($E136&gt;=LOOKUP(2,1/($E:$E&lt;&gt;""),$E:$E))*($E136&lt;=$E137)*($E136&gt;INDEX(_xlfn.ANCHORARRAY(Sintesi!$C$14),1,$C136))*($E136&lt;=INDEX(_xlfn.ANCHORARRAY(Sintesi!$C$15),1,$C136))*(INDEX(_xlfn.ANCHORARRAY(Sintesi!$C$15),1,$C136)&gt;0),1,IF(($E136&gt;=LOOKUP(2,1/($E:$E&lt;&gt;""),$E:$E))*($E136&lt;=$E137)*($E136&gt;INDEX(_xlfn.ANCHORARRAY(Sintesi!$C$14),1,$C136))*($E136&lt;INDEX(_xlfn.ANCHORARRAY(Sintesi!$C$16),1,$C136))*(INDEX(_xlfn.ANCHORARRAY(Sintesi!$C$15),1,$C136)&lt;0)+($E136&gt;=LOOKUP(2,1/($E:$E&lt;&gt;""),$E:$E))*($E136&lt;=$E137)*($E136&gt;INDEX(_xlfn.ANCHORARRAY(Sintesi!$C$15),1,$C136))*($E136&lt;INDEX(_xlfn.ANCHORARRAY(Sintesi!$C$16),1,$C136))*(INDEX(_xlfn.ANCHORARRAY(Sintesi!$C$15),1,$C136)&gt;0),2,IF($E136=(INDEX(_xlfn.ANCHORARRAY(Sintesi!$C$16),1,$C136)),3,4)))),0)))</f>
        <v/>
      </c>
      <c r="E136" s="1">
        <f>'Paste cell here'!F136</f>
        <v/>
      </c>
      <c r="F136" s="1">
        <f>'Paste cell here'!C136</f>
        <v/>
      </c>
      <c r="G136" s="1">
        <f>'Paste cell here'!D136</f>
        <v/>
      </c>
      <c r="H136" s="1">
        <f>'Paste cell here'!E136</f>
        <v/>
      </c>
      <c r="I136" s="1">
        <f>'Paste cell here'!X136</f>
        <v/>
      </c>
      <c r="J136" s="1">
        <f>'Paste cell here'!Y136+'Paste cell here'!S136</f>
        <v/>
      </c>
      <c r="K136" s="1">
        <f>I136/H136</f>
        <v/>
      </c>
      <c r="L136" s="1">
        <f>AVERAGE(($F136+$G136)/2-($F136-$G136)/2*COS(PI()*(8-VLOOKUP(MONTH(B136),$O$1:$Q$13,3))/(VLOOKUP(MONTH(B136),$O$1:$Q$13,2)-VLOOKUP(MONTH(B136),$O$1:$Q$13,3))),($F136+$G136)/2-($F136-$G136)/2*COS(PI()*(9-VLOOKUP(MONTH(B136),$O$1:$Q$13,3))/(VLOOKUP(MONTH(B136),$O$1:$Q$13,2)-VLOOKUP(MONTH(B136),$O$1:$Q$13,3))),($F136+$G136)/2-($F136-$G136)/2*COS(PI()*(10-VLOOKUP(MONTH(B136),$O$1:$Q$13,3))/(VLOOKUP(MONTH(B136),$O$1:$Q$13,2)-VLOOKUP(MONTH(B136),$O$1:$Q$13,3))),($F136+$G136)/2-($F136-$G136)/2*COS(PI()*(11-VLOOKUP(MONTH(B136),$O$1:$Q$13,3))/(VLOOKUP(MONTH(B136),$O$1:$Q$13,2)-VLOOKUP(MONTH(B136),$O$1:$Q$13,3))),($F136+$G136)/2-($F136-$G136)/2*COS(PI()*(12-VLOOKUP(MONTH(B136),$O$1:$Q$13,3))/(VLOOKUP(MONTH(B136),$O$1:$Q$13,2)-VLOOKUP(MONTH(B136),$O$1:$Q$13,3))),($F136+$G136)/2-($F136-$G136)/2*COS(PI()*(13-VLOOKUP(MONTH(B136),$O$1:$Q$13,3))/(VLOOKUP(MONTH(B136),$O$1:$Q$13,2)-VLOOKUP(MONTH(B136),$O$1:$Q$13,3))),($F136+$G136)/2-($F136-$G136)/2*COS(PI()*(14-VLOOKUP(MONTH(B136),$O$1:$Q$13,3))/(VLOOKUP(MONTH(B136),$O$1:$Q$13,2)-VLOOKUP(MONTH(B136),$O$1:$Q$13,3))))</f>
        <v/>
      </c>
      <c r="M136" s="1">
        <f t="array" ref="M136">IF(AND(A136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,A136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),IF(L136&lt;_xlfn.IFNA(INDEX(_xlfn.ANCHORARRAY(Sintesi!$C$17)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,1,IF(L136&gt;=_xlfn.IFNA(INDEX(_xlfn.ANCHORARRAY(Sintesi!$C$18)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,0,1-(L136-_xlfn.IFNA(INDEX(_xlfn.ANCHORARRAY(Sintesi!$C$17)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)/(_xlfn.IFNA(INDEX(_xlfn.ANCHORARRAY(Sintesi!$C$18)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-_xlfn.IFNA(INDEX(_xlfn.ANCHORARRAY(Sintesi!$C$17)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))),0)</f>
        <v/>
      </c>
    </row>
    <row r="137">
      <c r="A137" s="1">
        <f>'Paste cell here'!A137</f>
        <v/>
      </c>
      <c r="B137" s="2">
        <f>DATE(Sintesi!$C$4-1,12,31)+A137</f>
        <v/>
      </c>
      <c r="C137" s="34">
        <f t="array" ref="C137">_xlfn.IFNA(MATCH(1,(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)*(_xlfn.ANCHORARRAY(Sintesi!$C$15)&gt;=0)+(_xlfn.ANCHORARRAY(Sintesi!$C$15)&lt;0),0),0)</f>
        <v/>
      </c>
      <c r="D137" s="1">
        <f t="array" ref="D137">IF(ISBLANK($E138),IF(ISNUMBER($E136),IF($C137&gt;0,IF(($E137=INDEX(_xlfn.ANCHORARRAY(Sintesi!$C$14),1,$C137))*(INDEX(_xlfn.ANCHORARRAY(Sintesi!$C$15),1,$C137)&gt;0),0,IF(($E137=INDEX(_xlfn.ANCHORARRAY(Sintesi!$C$14),1,$C137))*(INDEX(_xlfn.ANCHORARRAY(Sintesi!$C$15),1,$C137)&lt;0)+($E137&gt;=$E136)*($E137&lt;=INDEX($E:$E,MATCH(TRUE,INDEX((ISNUMBER($E:$E)),0),0)))*($E137&gt;INDEX(_xlfn.ANCHORARRAY(Sintesi!$C$14),1,$C137))*($E137&lt;=INDEX(_xlfn.ANCHORARRAY(Sintesi!$C$15),1,$C137))*(INDEX(_xlfn.ANCHORARRAY(Sintesi!$C$15),1,$C137)&gt;0),1,IF(($E137&gt;=$E136)*($E137&lt;=INDEX($E:$E,MATCH(TRUE,INDEX((ISNUMBER($E:$E)),0),0)))*($E137&gt;INDEX(_xlfn.ANCHORARRAY(Sintesi!$C$14),1,$C137))*($E137&lt;INDEX(_xlfn.ANCHORARRAY(Sintesi!$C$16),1,$C137))*(INDEX(_xlfn.ANCHORARRAY(Sintesi!$C$15),1,$C137)&lt;0)+($E137&gt;=$E136)*($E137&lt;=INDEX($E:$E,MATCH(TRUE,INDEX((ISNUMBER($E:$E)),0),0)))*($E137&gt;INDEX(_xlfn.ANCHORARRAY(Sintesi!$C$15),1,$C137))*($E137&lt;INDEX(_xlfn.ANCHORARRAY(Sintesi!$C$16),1,$C137))*(INDEX(_xlfn.ANCHORARRAY(Sintesi!$C$15),1,$C137)&gt;0),2,IF($E137=(INDEX(_xlfn.ANCHORARRAY(Sintesi!$C$16),1,$C137)),3,4)))),0),IF($C137&gt;0,IF(($E137=INDEX(_xlfn.ANCHORARRAY(Sintesi!$C$14),1,$C137))*(INDEX(_xlfn.ANCHORARRAY(Sintesi!$C$15),1,$C137)&gt;0),0,IF(($E137=INDEX(_xlfn.ANCHORARRAY(Sintesi!$C$14),1,$C137))*(INDEX(_xlfn.ANCHORARRAY(Sintesi!$C$15),1,$C137)&lt;0)+($E137&gt;=LOOKUP(2,1/($E:$E&lt;&gt;""),$E:$E))*($E137&lt;=INDEX($E:$E,MATCH(TRUE,INDEX((ISNUMBER($E:$E)),0),0)))*($E137&gt;INDEX(_xlfn.ANCHORARRAY(Sintesi!$C$14),1,$C137))*($E137&lt;=INDEX(_xlfn.ANCHORARRAY(Sintesi!$C$15),1,$C137))*(INDEX(_xlfn.ANCHORARRAY(Sintesi!$C$15),1,$C137)&gt;0),1,IF(($E137&gt;=LOOKUP(2,1/($E:$E&lt;&gt;""),$E:$E))*($E137&lt;=INDEX($E:$E,MATCH(TRUE,INDEX((ISNUMBER($E:$E)),0),0)))*($E137&gt;INDEX(_xlfn.ANCHORARRAY(Sintesi!$C$14),1,$C137))*($E137&lt;INDEX(_xlfn.ANCHORARRAY(Sintesi!$C$16),1,$C137))*(INDEX(_xlfn.ANCHORARRAY(Sintesi!$C$15),1,$C137)&lt;0)+($E137&gt;=LOOKUP(2,1/($E:$E&lt;&gt;""),$E:$E))*($E137&lt;=INDEX($E:$E,MATCH(TRUE,INDEX((ISNUMBER($E:$E)),0),0)))*($E137&gt;INDEX(_xlfn.ANCHORARRAY(Sintesi!$C$15),1,$C137))*($E137&lt;INDEX(_xlfn.ANCHORARRAY(Sintesi!$C$16),1,$C137))*(INDEX(_xlfn.ANCHORARRAY(Sintesi!$C$15),1,$C137)&gt;0),2,IF($E137=(INDEX(_xlfn.ANCHORARRAY(Sintesi!$C$16),1,$C137)),3,4)))),0)),IF(ISNUMBER($E136),IF($C137&gt;0,IF(($E137=INDEX(_xlfn.ANCHORARRAY(Sintesi!$C$14),1,$C137))*(INDEX(_xlfn.ANCHORARRAY(Sintesi!$C$15),1,$C137)&gt;0),0,IF(($E137=INDEX(_xlfn.ANCHORARRAY(Sintesi!$C$14),1,$C137))*(INDEX(_xlfn.ANCHORARRAY(Sintesi!$C$15),1,$C137)&lt;0)+($E137&gt;=$E136)*($E137&lt;=$E138)*($E137&gt;INDEX(_xlfn.ANCHORARRAY(Sintesi!$C$14),1,$C137))*($E137&lt;=INDEX(_xlfn.ANCHORARRAY(Sintesi!$C$15),1,$C137))*(INDEX(_xlfn.ANCHORARRAY(Sintesi!$C$15),1,$C137)&gt;0),1,IF(($E137&gt;=$E136)*($E137&lt;=$E138)*($E137&gt;INDEX(_xlfn.ANCHORARRAY(Sintesi!$C$14),1,$C137))*($E137&lt;INDEX(_xlfn.ANCHORARRAY(Sintesi!$C$16),1,$C137))*(INDEX(_xlfn.ANCHORARRAY(Sintesi!$C$15),1,$C137)&lt;0)+($E137&gt;=$E136)*($E137&lt;=$E138)*($E137&gt;INDEX(_xlfn.ANCHORARRAY(Sintesi!$C$15),1,$C137))*($E137&lt;INDEX(_xlfn.ANCHORARRAY(Sintesi!$C$16),1,$C137))*(INDEX(_xlfn.ANCHORARRAY(Sintesi!$C$15),1,$C137)&gt;0),2,IF($E137=(INDEX(_xlfn.ANCHORARRAY(Sintesi!$C$16),1,$C137)),3,4)))),0),IF($C137&gt;0,IF(($E137=INDEX(_xlfn.ANCHORARRAY(Sintesi!$C$14),1,$C137))*(INDEX(_xlfn.ANCHORARRAY(Sintesi!$C$15),1,$C137)&gt;0),0,IF(($E137=INDEX(_xlfn.ANCHORARRAY(Sintesi!$C$14),1,$C137))*(INDEX(_xlfn.ANCHORARRAY(Sintesi!$C$15),1,$C137)&lt;0)+($E137&gt;=LOOKUP(2,1/($E:$E&lt;&gt;""),$E:$E))*($E137&lt;=$E138)*($E137&gt;INDEX(_xlfn.ANCHORARRAY(Sintesi!$C$14),1,$C137))*($E137&lt;=INDEX(_xlfn.ANCHORARRAY(Sintesi!$C$15),1,$C137))*(INDEX(_xlfn.ANCHORARRAY(Sintesi!$C$15),1,$C137)&gt;0),1,IF(($E137&gt;=LOOKUP(2,1/($E:$E&lt;&gt;""),$E:$E))*($E137&lt;=$E138)*($E137&gt;INDEX(_xlfn.ANCHORARRAY(Sintesi!$C$14),1,$C137))*($E137&lt;INDEX(_xlfn.ANCHORARRAY(Sintesi!$C$16),1,$C137))*(INDEX(_xlfn.ANCHORARRAY(Sintesi!$C$15),1,$C137)&lt;0)+($E137&gt;=LOOKUP(2,1/($E:$E&lt;&gt;""),$E:$E))*($E137&lt;=$E138)*($E137&gt;INDEX(_xlfn.ANCHORARRAY(Sintesi!$C$15),1,$C137))*($E137&lt;INDEX(_xlfn.ANCHORARRAY(Sintesi!$C$16),1,$C137))*(INDEX(_xlfn.ANCHORARRAY(Sintesi!$C$15),1,$C137)&gt;0),2,IF($E137=(INDEX(_xlfn.ANCHORARRAY(Sintesi!$C$16),1,$C137)),3,4)))),0)))</f>
        <v/>
      </c>
      <c r="E137" s="1">
        <f>'Paste cell here'!F137</f>
        <v/>
      </c>
      <c r="F137" s="1">
        <f>'Paste cell here'!C137</f>
        <v/>
      </c>
      <c r="G137" s="1">
        <f>'Paste cell here'!D137</f>
        <v/>
      </c>
      <c r="H137" s="1">
        <f>'Paste cell here'!E137</f>
        <v/>
      </c>
      <c r="I137" s="1">
        <f>'Paste cell here'!X137</f>
        <v/>
      </c>
      <c r="J137" s="1">
        <f>'Paste cell here'!Y137+'Paste cell here'!S137</f>
        <v/>
      </c>
      <c r="K137" s="1">
        <f>I137/H137</f>
        <v/>
      </c>
      <c r="L137" s="1">
        <f>AVERAGE(($F137+$G137)/2-($F137-$G137)/2*COS(PI()*(8-VLOOKUP(MONTH(B137),$O$1:$Q$13,3))/(VLOOKUP(MONTH(B137),$O$1:$Q$13,2)-VLOOKUP(MONTH(B137),$O$1:$Q$13,3))),($F137+$G137)/2-($F137-$G137)/2*COS(PI()*(9-VLOOKUP(MONTH(B137),$O$1:$Q$13,3))/(VLOOKUP(MONTH(B137),$O$1:$Q$13,2)-VLOOKUP(MONTH(B137),$O$1:$Q$13,3))),($F137+$G137)/2-($F137-$G137)/2*COS(PI()*(10-VLOOKUP(MONTH(B137),$O$1:$Q$13,3))/(VLOOKUP(MONTH(B137),$O$1:$Q$13,2)-VLOOKUP(MONTH(B137),$O$1:$Q$13,3))),($F137+$G137)/2-($F137-$G137)/2*COS(PI()*(11-VLOOKUP(MONTH(B137),$O$1:$Q$13,3))/(VLOOKUP(MONTH(B137),$O$1:$Q$13,2)-VLOOKUP(MONTH(B137),$O$1:$Q$13,3))),($F137+$G137)/2-($F137-$G137)/2*COS(PI()*(12-VLOOKUP(MONTH(B137),$O$1:$Q$13,3))/(VLOOKUP(MONTH(B137),$O$1:$Q$13,2)-VLOOKUP(MONTH(B137),$O$1:$Q$13,3))),($F137+$G137)/2-($F137-$G137)/2*COS(PI()*(13-VLOOKUP(MONTH(B137),$O$1:$Q$13,3))/(VLOOKUP(MONTH(B137),$O$1:$Q$13,2)-VLOOKUP(MONTH(B137),$O$1:$Q$13,3))),($F137+$G137)/2-($F137-$G137)/2*COS(PI()*(14-VLOOKUP(MONTH(B137),$O$1:$Q$13,3))/(VLOOKUP(MONTH(B137),$O$1:$Q$13,2)-VLOOKUP(MONTH(B137),$O$1:$Q$13,3))))</f>
        <v/>
      </c>
      <c r="M137" s="1">
        <f t="array" ref="M137">IF(AND(A137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,A137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),IF(L137&lt;_xlfn.IFNA(INDEX(_xlfn.ANCHORARRAY(Sintesi!$C$17)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,1,IF(L137&gt;=_xlfn.IFNA(INDEX(_xlfn.ANCHORARRAY(Sintesi!$C$18)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,0,1-(L137-_xlfn.IFNA(INDEX(_xlfn.ANCHORARRAY(Sintesi!$C$17)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)/(_xlfn.IFNA(INDEX(_xlfn.ANCHORARRAY(Sintesi!$C$18)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-_xlfn.IFNA(INDEX(_xlfn.ANCHORARRAY(Sintesi!$C$17)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))),0)</f>
        <v/>
      </c>
    </row>
    <row r="138">
      <c r="A138" s="1">
        <f>'Paste cell here'!A138</f>
        <v/>
      </c>
      <c r="B138" s="2">
        <f>DATE(Sintesi!$C$4-1,12,31)+A138</f>
        <v/>
      </c>
      <c r="C138" s="34">
        <f t="array" ref="C138">_xlfn.IFNA(MATCH(1,(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)*(_xlfn.ANCHORARRAY(Sintesi!$C$15)&gt;=0)+(_xlfn.ANCHORARRAY(Sintesi!$C$15)&lt;0),0),0)</f>
        <v/>
      </c>
      <c r="D138" s="1">
        <f t="array" ref="D138">IF(ISBLANK($E139),IF(ISNUMBER($E137),IF($C138&gt;0,IF(($E138=INDEX(_xlfn.ANCHORARRAY(Sintesi!$C$14),1,$C138))*(INDEX(_xlfn.ANCHORARRAY(Sintesi!$C$15),1,$C138)&gt;0),0,IF(($E138=INDEX(_xlfn.ANCHORARRAY(Sintesi!$C$14),1,$C138))*(INDEX(_xlfn.ANCHORARRAY(Sintesi!$C$15),1,$C138)&lt;0)+($E138&gt;=$E137)*($E138&lt;=INDEX($E:$E,MATCH(TRUE,INDEX((ISNUMBER($E:$E)),0),0)))*($E138&gt;INDEX(_xlfn.ANCHORARRAY(Sintesi!$C$14),1,$C138))*($E138&lt;=INDEX(_xlfn.ANCHORARRAY(Sintesi!$C$15),1,$C138))*(INDEX(_xlfn.ANCHORARRAY(Sintesi!$C$15),1,$C138)&gt;0),1,IF(($E138&gt;=$E137)*($E138&lt;=INDEX($E:$E,MATCH(TRUE,INDEX((ISNUMBER($E:$E)),0),0)))*($E138&gt;INDEX(_xlfn.ANCHORARRAY(Sintesi!$C$14),1,$C138))*($E138&lt;INDEX(_xlfn.ANCHORARRAY(Sintesi!$C$16),1,$C138))*(INDEX(_xlfn.ANCHORARRAY(Sintesi!$C$15),1,$C138)&lt;0)+($E138&gt;=$E137)*($E138&lt;=INDEX($E:$E,MATCH(TRUE,INDEX((ISNUMBER($E:$E)),0),0)))*($E138&gt;INDEX(_xlfn.ANCHORARRAY(Sintesi!$C$15),1,$C138))*($E138&lt;INDEX(_xlfn.ANCHORARRAY(Sintesi!$C$16),1,$C138))*(INDEX(_xlfn.ANCHORARRAY(Sintesi!$C$15),1,$C138)&gt;0),2,IF($E138=(INDEX(_xlfn.ANCHORARRAY(Sintesi!$C$16),1,$C138)),3,4)))),0),IF($C138&gt;0,IF(($E138=INDEX(_xlfn.ANCHORARRAY(Sintesi!$C$14),1,$C138))*(INDEX(_xlfn.ANCHORARRAY(Sintesi!$C$15),1,$C138)&gt;0),0,IF(($E138=INDEX(_xlfn.ANCHORARRAY(Sintesi!$C$14),1,$C138))*(INDEX(_xlfn.ANCHORARRAY(Sintesi!$C$15),1,$C138)&lt;0)+($E138&gt;=LOOKUP(2,1/($E:$E&lt;&gt;""),$E:$E))*($E138&lt;=INDEX($E:$E,MATCH(TRUE,INDEX((ISNUMBER($E:$E)),0),0)))*($E138&gt;INDEX(_xlfn.ANCHORARRAY(Sintesi!$C$14),1,$C138))*($E138&lt;=INDEX(_xlfn.ANCHORARRAY(Sintesi!$C$15),1,$C138))*(INDEX(_xlfn.ANCHORARRAY(Sintesi!$C$15),1,$C138)&gt;0),1,IF(($E138&gt;=LOOKUP(2,1/($E:$E&lt;&gt;""),$E:$E))*($E138&lt;=INDEX($E:$E,MATCH(TRUE,INDEX((ISNUMBER($E:$E)),0),0)))*($E138&gt;INDEX(_xlfn.ANCHORARRAY(Sintesi!$C$14),1,$C138))*($E138&lt;INDEX(_xlfn.ANCHORARRAY(Sintesi!$C$16),1,$C138))*(INDEX(_xlfn.ANCHORARRAY(Sintesi!$C$15),1,$C138)&lt;0)+($E138&gt;=LOOKUP(2,1/($E:$E&lt;&gt;""),$E:$E))*($E138&lt;=INDEX($E:$E,MATCH(TRUE,INDEX((ISNUMBER($E:$E)),0),0)))*($E138&gt;INDEX(_xlfn.ANCHORARRAY(Sintesi!$C$15),1,$C138))*($E138&lt;INDEX(_xlfn.ANCHORARRAY(Sintesi!$C$16),1,$C138))*(INDEX(_xlfn.ANCHORARRAY(Sintesi!$C$15),1,$C138)&gt;0),2,IF($E138=(INDEX(_xlfn.ANCHORARRAY(Sintesi!$C$16),1,$C138)),3,4)))),0)),IF(ISNUMBER($E137),IF($C138&gt;0,IF(($E138=INDEX(_xlfn.ANCHORARRAY(Sintesi!$C$14),1,$C138))*(INDEX(_xlfn.ANCHORARRAY(Sintesi!$C$15),1,$C138)&gt;0),0,IF(($E138=INDEX(_xlfn.ANCHORARRAY(Sintesi!$C$14),1,$C138))*(INDEX(_xlfn.ANCHORARRAY(Sintesi!$C$15),1,$C138)&lt;0)+($E138&gt;=$E137)*($E138&lt;=$E139)*($E138&gt;INDEX(_xlfn.ANCHORARRAY(Sintesi!$C$14),1,$C138))*($E138&lt;=INDEX(_xlfn.ANCHORARRAY(Sintesi!$C$15),1,$C138))*(INDEX(_xlfn.ANCHORARRAY(Sintesi!$C$15),1,$C138)&gt;0),1,IF(($E138&gt;=$E137)*($E138&lt;=$E139)*($E138&gt;INDEX(_xlfn.ANCHORARRAY(Sintesi!$C$14),1,$C138))*($E138&lt;INDEX(_xlfn.ANCHORARRAY(Sintesi!$C$16),1,$C138))*(INDEX(_xlfn.ANCHORARRAY(Sintesi!$C$15),1,$C138)&lt;0)+($E138&gt;=$E137)*($E138&lt;=$E139)*($E138&gt;INDEX(_xlfn.ANCHORARRAY(Sintesi!$C$15),1,$C138))*($E138&lt;INDEX(_xlfn.ANCHORARRAY(Sintesi!$C$16),1,$C138))*(INDEX(_xlfn.ANCHORARRAY(Sintesi!$C$15),1,$C138)&gt;0),2,IF($E138=(INDEX(_xlfn.ANCHORARRAY(Sintesi!$C$16),1,$C138)),3,4)))),0),IF($C138&gt;0,IF(($E138=INDEX(_xlfn.ANCHORARRAY(Sintesi!$C$14),1,$C138))*(INDEX(_xlfn.ANCHORARRAY(Sintesi!$C$15),1,$C138)&gt;0),0,IF(($E138=INDEX(_xlfn.ANCHORARRAY(Sintesi!$C$14),1,$C138))*(INDEX(_xlfn.ANCHORARRAY(Sintesi!$C$15),1,$C138)&lt;0)+($E138&gt;=LOOKUP(2,1/($E:$E&lt;&gt;""),$E:$E))*($E138&lt;=$E139)*($E138&gt;INDEX(_xlfn.ANCHORARRAY(Sintesi!$C$14),1,$C138))*($E138&lt;=INDEX(_xlfn.ANCHORARRAY(Sintesi!$C$15),1,$C138))*(INDEX(_xlfn.ANCHORARRAY(Sintesi!$C$15),1,$C138)&gt;0),1,IF(($E138&gt;=LOOKUP(2,1/($E:$E&lt;&gt;""),$E:$E))*($E138&lt;=$E139)*($E138&gt;INDEX(_xlfn.ANCHORARRAY(Sintesi!$C$14),1,$C138))*($E138&lt;INDEX(_xlfn.ANCHORARRAY(Sintesi!$C$16),1,$C138))*(INDEX(_xlfn.ANCHORARRAY(Sintesi!$C$15),1,$C138)&lt;0)+($E138&gt;=LOOKUP(2,1/($E:$E&lt;&gt;""),$E:$E))*($E138&lt;=$E139)*($E138&gt;INDEX(_xlfn.ANCHORARRAY(Sintesi!$C$15),1,$C138))*($E138&lt;INDEX(_xlfn.ANCHORARRAY(Sintesi!$C$16),1,$C138))*(INDEX(_xlfn.ANCHORARRAY(Sintesi!$C$15),1,$C138)&gt;0),2,IF($E138=(INDEX(_xlfn.ANCHORARRAY(Sintesi!$C$16),1,$C138)),3,4)))),0)))</f>
        <v/>
      </c>
      <c r="E138" s="1">
        <f>'Paste cell here'!F138</f>
        <v/>
      </c>
      <c r="F138" s="1">
        <f>'Paste cell here'!C138</f>
        <v/>
      </c>
      <c r="G138" s="1">
        <f>'Paste cell here'!D138</f>
        <v/>
      </c>
      <c r="H138" s="1">
        <f>'Paste cell here'!E138</f>
        <v/>
      </c>
      <c r="I138" s="1">
        <f>'Paste cell here'!X138</f>
        <v/>
      </c>
      <c r="J138" s="1">
        <f>'Paste cell here'!Y138+'Paste cell here'!S138</f>
        <v/>
      </c>
      <c r="K138" s="1">
        <f>I138/H138</f>
        <v/>
      </c>
      <c r="L138" s="1">
        <f>AVERAGE(($F138+$G138)/2-($F138-$G138)/2*COS(PI()*(8-VLOOKUP(MONTH(B138),$O$1:$Q$13,3))/(VLOOKUP(MONTH(B138),$O$1:$Q$13,2)-VLOOKUP(MONTH(B138),$O$1:$Q$13,3))),($F138+$G138)/2-($F138-$G138)/2*COS(PI()*(9-VLOOKUP(MONTH(B138),$O$1:$Q$13,3))/(VLOOKUP(MONTH(B138),$O$1:$Q$13,2)-VLOOKUP(MONTH(B138),$O$1:$Q$13,3))),($F138+$G138)/2-($F138-$G138)/2*COS(PI()*(10-VLOOKUP(MONTH(B138),$O$1:$Q$13,3))/(VLOOKUP(MONTH(B138),$O$1:$Q$13,2)-VLOOKUP(MONTH(B138),$O$1:$Q$13,3))),($F138+$G138)/2-($F138-$G138)/2*COS(PI()*(11-VLOOKUP(MONTH(B138),$O$1:$Q$13,3))/(VLOOKUP(MONTH(B138),$O$1:$Q$13,2)-VLOOKUP(MONTH(B138),$O$1:$Q$13,3))),($F138+$G138)/2-($F138-$G138)/2*COS(PI()*(12-VLOOKUP(MONTH(B138),$O$1:$Q$13,3))/(VLOOKUP(MONTH(B138),$O$1:$Q$13,2)-VLOOKUP(MONTH(B138),$O$1:$Q$13,3))),($F138+$G138)/2-($F138-$G138)/2*COS(PI()*(13-VLOOKUP(MONTH(B138),$O$1:$Q$13,3))/(VLOOKUP(MONTH(B138),$O$1:$Q$13,2)-VLOOKUP(MONTH(B138),$O$1:$Q$13,3))),($F138+$G138)/2-($F138-$G138)/2*COS(PI()*(14-VLOOKUP(MONTH(B138),$O$1:$Q$13,3))/(VLOOKUP(MONTH(B138),$O$1:$Q$13,2)-VLOOKUP(MONTH(B138),$O$1:$Q$13,3))))</f>
        <v/>
      </c>
      <c r="M138" s="1">
        <f t="array" ref="M138">IF(AND(A138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,A138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),IF(L138&lt;_xlfn.IFNA(INDEX(_xlfn.ANCHORARRAY(Sintesi!$C$17)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,1,IF(L138&gt;=_xlfn.IFNA(INDEX(_xlfn.ANCHORARRAY(Sintesi!$C$18)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,0,1-(L138-_xlfn.IFNA(INDEX(_xlfn.ANCHORARRAY(Sintesi!$C$17)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)/(_xlfn.IFNA(INDEX(_xlfn.ANCHORARRAY(Sintesi!$C$18)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-_xlfn.IFNA(INDEX(_xlfn.ANCHORARRAY(Sintesi!$C$17)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))),0)</f>
        <v/>
      </c>
    </row>
    <row r="139">
      <c r="A139" s="1">
        <f>'Paste cell here'!A139</f>
        <v/>
      </c>
      <c r="B139" s="2">
        <f>DATE(Sintesi!$C$4-1,12,31)+A139</f>
        <v/>
      </c>
      <c r="C139" s="34">
        <f t="array" ref="C139">_xlfn.IFNA(MATCH(1,(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)*(_xlfn.ANCHORARRAY(Sintesi!$C$15)&gt;=0)+(_xlfn.ANCHORARRAY(Sintesi!$C$15)&lt;0),0),0)</f>
        <v/>
      </c>
      <c r="D139" s="1">
        <f t="array" ref="D139">IF(ISBLANK($E140),IF(ISNUMBER($E138),IF($C139&gt;0,IF(($E139=INDEX(_xlfn.ANCHORARRAY(Sintesi!$C$14),1,$C139))*(INDEX(_xlfn.ANCHORARRAY(Sintesi!$C$15),1,$C139)&gt;0),0,IF(($E139=INDEX(_xlfn.ANCHORARRAY(Sintesi!$C$14),1,$C139))*(INDEX(_xlfn.ANCHORARRAY(Sintesi!$C$15),1,$C139)&lt;0)+($E139&gt;=$E138)*($E139&lt;=INDEX($E:$E,MATCH(TRUE,INDEX((ISNUMBER($E:$E)),0),0)))*($E139&gt;INDEX(_xlfn.ANCHORARRAY(Sintesi!$C$14),1,$C139))*($E139&lt;=INDEX(_xlfn.ANCHORARRAY(Sintesi!$C$15),1,$C139))*(INDEX(_xlfn.ANCHORARRAY(Sintesi!$C$15),1,$C139)&gt;0),1,IF(($E139&gt;=$E138)*($E139&lt;=INDEX($E:$E,MATCH(TRUE,INDEX((ISNUMBER($E:$E)),0),0)))*($E139&gt;INDEX(_xlfn.ANCHORARRAY(Sintesi!$C$14),1,$C139))*($E139&lt;INDEX(_xlfn.ANCHORARRAY(Sintesi!$C$16),1,$C139))*(INDEX(_xlfn.ANCHORARRAY(Sintesi!$C$15),1,$C139)&lt;0)+($E139&gt;=$E138)*($E139&lt;=INDEX($E:$E,MATCH(TRUE,INDEX((ISNUMBER($E:$E)),0),0)))*($E139&gt;INDEX(_xlfn.ANCHORARRAY(Sintesi!$C$15),1,$C139))*($E139&lt;INDEX(_xlfn.ANCHORARRAY(Sintesi!$C$16),1,$C139))*(INDEX(_xlfn.ANCHORARRAY(Sintesi!$C$15),1,$C139)&gt;0),2,IF($E139=(INDEX(_xlfn.ANCHORARRAY(Sintesi!$C$16),1,$C139)),3,4)))),0),IF($C139&gt;0,IF(($E139=INDEX(_xlfn.ANCHORARRAY(Sintesi!$C$14),1,$C139))*(INDEX(_xlfn.ANCHORARRAY(Sintesi!$C$15),1,$C139)&gt;0),0,IF(($E139=INDEX(_xlfn.ANCHORARRAY(Sintesi!$C$14),1,$C139))*(INDEX(_xlfn.ANCHORARRAY(Sintesi!$C$15),1,$C139)&lt;0)+($E139&gt;=LOOKUP(2,1/($E:$E&lt;&gt;""),$E:$E))*($E139&lt;=INDEX($E:$E,MATCH(TRUE,INDEX((ISNUMBER($E:$E)),0),0)))*($E139&gt;INDEX(_xlfn.ANCHORARRAY(Sintesi!$C$14),1,$C139))*($E139&lt;=INDEX(_xlfn.ANCHORARRAY(Sintesi!$C$15),1,$C139))*(INDEX(_xlfn.ANCHORARRAY(Sintesi!$C$15),1,$C139)&gt;0),1,IF(($E139&gt;=LOOKUP(2,1/($E:$E&lt;&gt;""),$E:$E))*($E139&lt;=INDEX($E:$E,MATCH(TRUE,INDEX((ISNUMBER($E:$E)),0),0)))*($E139&gt;INDEX(_xlfn.ANCHORARRAY(Sintesi!$C$14),1,$C139))*($E139&lt;INDEX(_xlfn.ANCHORARRAY(Sintesi!$C$16),1,$C139))*(INDEX(_xlfn.ANCHORARRAY(Sintesi!$C$15),1,$C139)&lt;0)+($E139&gt;=LOOKUP(2,1/($E:$E&lt;&gt;""),$E:$E))*($E139&lt;=INDEX($E:$E,MATCH(TRUE,INDEX((ISNUMBER($E:$E)),0),0)))*($E139&gt;INDEX(_xlfn.ANCHORARRAY(Sintesi!$C$15),1,$C139))*($E139&lt;INDEX(_xlfn.ANCHORARRAY(Sintesi!$C$16),1,$C139))*(INDEX(_xlfn.ANCHORARRAY(Sintesi!$C$15),1,$C139)&gt;0),2,IF($E139=(INDEX(_xlfn.ANCHORARRAY(Sintesi!$C$16),1,$C139)),3,4)))),0)),IF(ISNUMBER($E138),IF($C139&gt;0,IF(($E139=INDEX(_xlfn.ANCHORARRAY(Sintesi!$C$14),1,$C139))*(INDEX(_xlfn.ANCHORARRAY(Sintesi!$C$15),1,$C139)&gt;0),0,IF(($E139=INDEX(_xlfn.ANCHORARRAY(Sintesi!$C$14),1,$C139))*(INDEX(_xlfn.ANCHORARRAY(Sintesi!$C$15),1,$C139)&lt;0)+($E139&gt;=$E138)*($E139&lt;=$E140)*($E139&gt;INDEX(_xlfn.ANCHORARRAY(Sintesi!$C$14),1,$C139))*($E139&lt;=INDEX(_xlfn.ANCHORARRAY(Sintesi!$C$15),1,$C139))*(INDEX(_xlfn.ANCHORARRAY(Sintesi!$C$15),1,$C139)&gt;0),1,IF(($E139&gt;=$E138)*($E139&lt;=$E140)*($E139&gt;INDEX(_xlfn.ANCHORARRAY(Sintesi!$C$14),1,$C139))*($E139&lt;INDEX(_xlfn.ANCHORARRAY(Sintesi!$C$16),1,$C139))*(INDEX(_xlfn.ANCHORARRAY(Sintesi!$C$15),1,$C139)&lt;0)+($E139&gt;=$E138)*($E139&lt;=$E140)*($E139&gt;INDEX(_xlfn.ANCHORARRAY(Sintesi!$C$15),1,$C139))*($E139&lt;INDEX(_xlfn.ANCHORARRAY(Sintesi!$C$16),1,$C139))*(INDEX(_xlfn.ANCHORARRAY(Sintesi!$C$15),1,$C139)&gt;0),2,IF($E139=(INDEX(_xlfn.ANCHORARRAY(Sintesi!$C$16),1,$C139)),3,4)))),0),IF($C139&gt;0,IF(($E139=INDEX(_xlfn.ANCHORARRAY(Sintesi!$C$14),1,$C139))*(INDEX(_xlfn.ANCHORARRAY(Sintesi!$C$15),1,$C139)&gt;0),0,IF(($E139=INDEX(_xlfn.ANCHORARRAY(Sintesi!$C$14),1,$C139))*(INDEX(_xlfn.ANCHORARRAY(Sintesi!$C$15),1,$C139)&lt;0)+($E139&gt;=LOOKUP(2,1/($E:$E&lt;&gt;""),$E:$E))*($E139&lt;=$E140)*($E139&gt;INDEX(_xlfn.ANCHORARRAY(Sintesi!$C$14),1,$C139))*($E139&lt;=INDEX(_xlfn.ANCHORARRAY(Sintesi!$C$15),1,$C139))*(INDEX(_xlfn.ANCHORARRAY(Sintesi!$C$15),1,$C139)&gt;0),1,IF(($E139&gt;=LOOKUP(2,1/($E:$E&lt;&gt;""),$E:$E))*($E139&lt;=$E140)*($E139&gt;INDEX(_xlfn.ANCHORARRAY(Sintesi!$C$14),1,$C139))*($E139&lt;INDEX(_xlfn.ANCHORARRAY(Sintesi!$C$16),1,$C139))*(INDEX(_xlfn.ANCHORARRAY(Sintesi!$C$15),1,$C139)&lt;0)+($E139&gt;=LOOKUP(2,1/($E:$E&lt;&gt;""),$E:$E))*($E139&lt;=$E140)*($E139&gt;INDEX(_xlfn.ANCHORARRAY(Sintesi!$C$15),1,$C139))*($E139&lt;INDEX(_xlfn.ANCHORARRAY(Sintesi!$C$16),1,$C139))*(INDEX(_xlfn.ANCHORARRAY(Sintesi!$C$15),1,$C139)&gt;0),2,IF($E139=(INDEX(_xlfn.ANCHORARRAY(Sintesi!$C$16),1,$C139)),3,4)))),0)))</f>
        <v/>
      </c>
      <c r="E139" s="1">
        <f>'Paste cell here'!F139</f>
        <v/>
      </c>
      <c r="F139" s="1">
        <f>'Paste cell here'!C139</f>
        <v/>
      </c>
      <c r="G139" s="1">
        <f>'Paste cell here'!D139</f>
        <v/>
      </c>
      <c r="H139" s="1">
        <f>'Paste cell here'!E139</f>
        <v/>
      </c>
      <c r="I139" s="1">
        <f>'Paste cell here'!X139</f>
        <v/>
      </c>
      <c r="J139" s="1">
        <f>'Paste cell here'!Y139+'Paste cell here'!S139</f>
        <v/>
      </c>
      <c r="K139" s="1">
        <f>I139/H139</f>
        <v/>
      </c>
      <c r="L139" s="1">
        <f>AVERAGE(($F139+$G139)/2-($F139-$G139)/2*COS(PI()*(8-VLOOKUP(MONTH(B139),$O$1:$Q$13,3))/(VLOOKUP(MONTH(B139),$O$1:$Q$13,2)-VLOOKUP(MONTH(B139),$O$1:$Q$13,3))),($F139+$G139)/2-($F139-$G139)/2*COS(PI()*(9-VLOOKUP(MONTH(B139),$O$1:$Q$13,3))/(VLOOKUP(MONTH(B139),$O$1:$Q$13,2)-VLOOKUP(MONTH(B139),$O$1:$Q$13,3))),($F139+$G139)/2-($F139-$G139)/2*COS(PI()*(10-VLOOKUP(MONTH(B139),$O$1:$Q$13,3))/(VLOOKUP(MONTH(B139),$O$1:$Q$13,2)-VLOOKUP(MONTH(B139),$O$1:$Q$13,3))),($F139+$G139)/2-($F139-$G139)/2*COS(PI()*(11-VLOOKUP(MONTH(B139),$O$1:$Q$13,3))/(VLOOKUP(MONTH(B139),$O$1:$Q$13,2)-VLOOKUP(MONTH(B139),$O$1:$Q$13,3))),($F139+$G139)/2-($F139-$G139)/2*COS(PI()*(12-VLOOKUP(MONTH(B139),$O$1:$Q$13,3))/(VLOOKUP(MONTH(B139),$O$1:$Q$13,2)-VLOOKUP(MONTH(B139),$O$1:$Q$13,3))),($F139+$G139)/2-($F139-$G139)/2*COS(PI()*(13-VLOOKUP(MONTH(B139),$O$1:$Q$13,3))/(VLOOKUP(MONTH(B139),$O$1:$Q$13,2)-VLOOKUP(MONTH(B139),$O$1:$Q$13,3))),($F139+$G139)/2-($F139-$G139)/2*COS(PI()*(14-VLOOKUP(MONTH(B139),$O$1:$Q$13,3))/(VLOOKUP(MONTH(B139),$O$1:$Q$13,2)-VLOOKUP(MONTH(B139),$O$1:$Q$13,3))))</f>
        <v/>
      </c>
      <c r="M139" s="1">
        <f t="array" ref="M139">IF(AND(A139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,A139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),IF(L139&lt;_xlfn.IFNA(INDEX(_xlfn.ANCHORARRAY(Sintesi!$C$17)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,1,IF(L139&gt;=_xlfn.IFNA(INDEX(_xlfn.ANCHORARRAY(Sintesi!$C$18)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,0,1-(L139-_xlfn.IFNA(INDEX(_xlfn.ANCHORARRAY(Sintesi!$C$17)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)/(_xlfn.IFNA(INDEX(_xlfn.ANCHORARRAY(Sintesi!$C$18)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-_xlfn.IFNA(INDEX(_xlfn.ANCHORARRAY(Sintesi!$C$17)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))),0)</f>
        <v/>
      </c>
    </row>
    <row r="140">
      <c r="A140" s="1">
        <f>'Paste cell here'!A140</f>
        <v/>
      </c>
      <c r="B140" s="2">
        <f>DATE(Sintesi!$C$4-1,12,31)+A140</f>
        <v/>
      </c>
      <c r="C140" s="34">
        <f t="array" ref="C140">_xlfn.IFNA(MATCH(1,(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)*(_xlfn.ANCHORARRAY(Sintesi!$C$15)&gt;=0)+(_xlfn.ANCHORARRAY(Sintesi!$C$15)&lt;0),0),0)</f>
        <v/>
      </c>
      <c r="D140" s="1">
        <f t="array" ref="D140">IF(ISBLANK($E141),IF(ISNUMBER($E139),IF($C140&gt;0,IF(($E140=INDEX(_xlfn.ANCHORARRAY(Sintesi!$C$14),1,$C140))*(INDEX(_xlfn.ANCHORARRAY(Sintesi!$C$15),1,$C140)&gt;0),0,IF(($E140=INDEX(_xlfn.ANCHORARRAY(Sintesi!$C$14),1,$C140))*(INDEX(_xlfn.ANCHORARRAY(Sintesi!$C$15),1,$C140)&lt;0)+($E140&gt;=$E139)*($E140&lt;=INDEX($E:$E,MATCH(TRUE,INDEX((ISNUMBER($E:$E)),0),0)))*($E140&gt;INDEX(_xlfn.ANCHORARRAY(Sintesi!$C$14),1,$C140))*($E140&lt;=INDEX(_xlfn.ANCHORARRAY(Sintesi!$C$15),1,$C140))*(INDEX(_xlfn.ANCHORARRAY(Sintesi!$C$15),1,$C140)&gt;0),1,IF(($E140&gt;=$E139)*($E140&lt;=INDEX($E:$E,MATCH(TRUE,INDEX((ISNUMBER($E:$E)),0),0)))*($E140&gt;INDEX(_xlfn.ANCHORARRAY(Sintesi!$C$14),1,$C140))*($E140&lt;INDEX(_xlfn.ANCHORARRAY(Sintesi!$C$16),1,$C140))*(INDEX(_xlfn.ANCHORARRAY(Sintesi!$C$15),1,$C140)&lt;0)+($E140&gt;=$E139)*($E140&lt;=INDEX($E:$E,MATCH(TRUE,INDEX((ISNUMBER($E:$E)),0),0)))*($E140&gt;INDEX(_xlfn.ANCHORARRAY(Sintesi!$C$15),1,$C140))*($E140&lt;INDEX(_xlfn.ANCHORARRAY(Sintesi!$C$16),1,$C140))*(INDEX(_xlfn.ANCHORARRAY(Sintesi!$C$15),1,$C140)&gt;0),2,IF($E140=(INDEX(_xlfn.ANCHORARRAY(Sintesi!$C$16),1,$C140)),3,4)))),0),IF($C140&gt;0,IF(($E140=INDEX(_xlfn.ANCHORARRAY(Sintesi!$C$14),1,$C140))*(INDEX(_xlfn.ANCHORARRAY(Sintesi!$C$15),1,$C140)&gt;0),0,IF(($E140=INDEX(_xlfn.ANCHORARRAY(Sintesi!$C$14),1,$C140))*(INDEX(_xlfn.ANCHORARRAY(Sintesi!$C$15),1,$C140)&lt;0)+($E140&gt;=LOOKUP(2,1/($E:$E&lt;&gt;""),$E:$E))*($E140&lt;=INDEX($E:$E,MATCH(TRUE,INDEX((ISNUMBER($E:$E)),0),0)))*($E140&gt;INDEX(_xlfn.ANCHORARRAY(Sintesi!$C$14),1,$C140))*($E140&lt;=INDEX(_xlfn.ANCHORARRAY(Sintesi!$C$15),1,$C140))*(INDEX(_xlfn.ANCHORARRAY(Sintesi!$C$15),1,$C140)&gt;0),1,IF(($E140&gt;=LOOKUP(2,1/($E:$E&lt;&gt;""),$E:$E))*($E140&lt;=INDEX($E:$E,MATCH(TRUE,INDEX((ISNUMBER($E:$E)),0),0)))*($E140&gt;INDEX(_xlfn.ANCHORARRAY(Sintesi!$C$14),1,$C140))*($E140&lt;INDEX(_xlfn.ANCHORARRAY(Sintesi!$C$16),1,$C140))*(INDEX(_xlfn.ANCHORARRAY(Sintesi!$C$15),1,$C140)&lt;0)+($E140&gt;=LOOKUP(2,1/($E:$E&lt;&gt;""),$E:$E))*($E140&lt;=INDEX($E:$E,MATCH(TRUE,INDEX((ISNUMBER($E:$E)),0),0)))*($E140&gt;INDEX(_xlfn.ANCHORARRAY(Sintesi!$C$15),1,$C140))*($E140&lt;INDEX(_xlfn.ANCHORARRAY(Sintesi!$C$16),1,$C140))*(INDEX(_xlfn.ANCHORARRAY(Sintesi!$C$15),1,$C140)&gt;0),2,IF($E140=(INDEX(_xlfn.ANCHORARRAY(Sintesi!$C$16),1,$C140)),3,4)))),0)),IF(ISNUMBER($E139),IF($C140&gt;0,IF(($E140=INDEX(_xlfn.ANCHORARRAY(Sintesi!$C$14),1,$C140))*(INDEX(_xlfn.ANCHORARRAY(Sintesi!$C$15),1,$C140)&gt;0),0,IF(($E140=INDEX(_xlfn.ANCHORARRAY(Sintesi!$C$14),1,$C140))*(INDEX(_xlfn.ANCHORARRAY(Sintesi!$C$15),1,$C140)&lt;0)+($E140&gt;=$E139)*($E140&lt;=$E141)*($E140&gt;INDEX(_xlfn.ANCHORARRAY(Sintesi!$C$14),1,$C140))*($E140&lt;=INDEX(_xlfn.ANCHORARRAY(Sintesi!$C$15),1,$C140))*(INDEX(_xlfn.ANCHORARRAY(Sintesi!$C$15),1,$C140)&gt;0),1,IF(($E140&gt;=$E139)*($E140&lt;=$E141)*($E140&gt;INDEX(_xlfn.ANCHORARRAY(Sintesi!$C$14),1,$C140))*($E140&lt;INDEX(_xlfn.ANCHORARRAY(Sintesi!$C$16),1,$C140))*(INDEX(_xlfn.ANCHORARRAY(Sintesi!$C$15),1,$C140)&lt;0)+($E140&gt;=$E139)*($E140&lt;=$E141)*($E140&gt;INDEX(_xlfn.ANCHORARRAY(Sintesi!$C$15),1,$C140))*($E140&lt;INDEX(_xlfn.ANCHORARRAY(Sintesi!$C$16),1,$C140))*(INDEX(_xlfn.ANCHORARRAY(Sintesi!$C$15),1,$C140)&gt;0),2,IF($E140=(INDEX(_xlfn.ANCHORARRAY(Sintesi!$C$16),1,$C140)),3,4)))),0),IF($C140&gt;0,IF(($E140=INDEX(_xlfn.ANCHORARRAY(Sintesi!$C$14),1,$C140))*(INDEX(_xlfn.ANCHORARRAY(Sintesi!$C$15),1,$C140)&gt;0),0,IF(($E140=INDEX(_xlfn.ANCHORARRAY(Sintesi!$C$14),1,$C140))*(INDEX(_xlfn.ANCHORARRAY(Sintesi!$C$15),1,$C140)&lt;0)+($E140&gt;=LOOKUP(2,1/($E:$E&lt;&gt;""),$E:$E))*($E140&lt;=$E141)*($E140&gt;INDEX(_xlfn.ANCHORARRAY(Sintesi!$C$14),1,$C140))*($E140&lt;=INDEX(_xlfn.ANCHORARRAY(Sintesi!$C$15),1,$C140))*(INDEX(_xlfn.ANCHORARRAY(Sintesi!$C$15),1,$C140)&gt;0),1,IF(($E140&gt;=LOOKUP(2,1/($E:$E&lt;&gt;""),$E:$E))*($E140&lt;=$E141)*($E140&gt;INDEX(_xlfn.ANCHORARRAY(Sintesi!$C$14),1,$C140))*($E140&lt;INDEX(_xlfn.ANCHORARRAY(Sintesi!$C$16),1,$C140))*(INDEX(_xlfn.ANCHORARRAY(Sintesi!$C$15),1,$C140)&lt;0)+($E140&gt;=LOOKUP(2,1/($E:$E&lt;&gt;""),$E:$E))*($E140&lt;=$E141)*($E140&gt;INDEX(_xlfn.ANCHORARRAY(Sintesi!$C$15),1,$C140))*($E140&lt;INDEX(_xlfn.ANCHORARRAY(Sintesi!$C$16),1,$C140))*(INDEX(_xlfn.ANCHORARRAY(Sintesi!$C$15),1,$C140)&gt;0),2,IF($E140=(INDEX(_xlfn.ANCHORARRAY(Sintesi!$C$16),1,$C140)),3,4)))),0)))</f>
        <v/>
      </c>
      <c r="E140" s="1">
        <f>'Paste cell here'!F140</f>
        <v/>
      </c>
      <c r="F140" s="1">
        <f>'Paste cell here'!C140</f>
        <v/>
      </c>
      <c r="G140" s="1">
        <f>'Paste cell here'!D140</f>
        <v/>
      </c>
      <c r="H140" s="1">
        <f>'Paste cell here'!E140</f>
        <v/>
      </c>
      <c r="I140" s="1">
        <f>'Paste cell here'!X140</f>
        <v/>
      </c>
      <c r="J140" s="1">
        <f>'Paste cell here'!Y140+'Paste cell here'!S140</f>
        <v/>
      </c>
      <c r="K140" s="1">
        <f>I140/H140</f>
        <v/>
      </c>
      <c r="L140" s="1">
        <f>AVERAGE(($F140+$G140)/2-($F140-$G140)/2*COS(PI()*(8-VLOOKUP(MONTH(B140),$O$1:$Q$13,3))/(VLOOKUP(MONTH(B140),$O$1:$Q$13,2)-VLOOKUP(MONTH(B140),$O$1:$Q$13,3))),($F140+$G140)/2-($F140-$G140)/2*COS(PI()*(9-VLOOKUP(MONTH(B140),$O$1:$Q$13,3))/(VLOOKUP(MONTH(B140),$O$1:$Q$13,2)-VLOOKUP(MONTH(B140),$O$1:$Q$13,3))),($F140+$G140)/2-($F140-$G140)/2*COS(PI()*(10-VLOOKUP(MONTH(B140),$O$1:$Q$13,3))/(VLOOKUP(MONTH(B140),$O$1:$Q$13,2)-VLOOKUP(MONTH(B140),$O$1:$Q$13,3))),($F140+$G140)/2-($F140-$G140)/2*COS(PI()*(11-VLOOKUP(MONTH(B140),$O$1:$Q$13,3))/(VLOOKUP(MONTH(B140),$O$1:$Q$13,2)-VLOOKUP(MONTH(B140),$O$1:$Q$13,3))),($F140+$G140)/2-($F140-$G140)/2*COS(PI()*(12-VLOOKUP(MONTH(B140),$O$1:$Q$13,3))/(VLOOKUP(MONTH(B140),$O$1:$Q$13,2)-VLOOKUP(MONTH(B140),$O$1:$Q$13,3))),($F140+$G140)/2-($F140-$G140)/2*COS(PI()*(13-VLOOKUP(MONTH(B140),$O$1:$Q$13,3))/(VLOOKUP(MONTH(B140),$O$1:$Q$13,2)-VLOOKUP(MONTH(B140),$O$1:$Q$13,3))),($F140+$G140)/2-($F140-$G140)/2*COS(PI()*(14-VLOOKUP(MONTH(B140),$O$1:$Q$13,3))/(VLOOKUP(MONTH(B140),$O$1:$Q$13,2)-VLOOKUP(MONTH(B140),$O$1:$Q$13,3))))</f>
        <v/>
      </c>
      <c r="M140" s="1">
        <f t="array" ref="M140">IF(AND(A140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,A140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),IF(L140&lt;_xlfn.IFNA(INDEX(_xlfn.ANCHORARRAY(Sintesi!$C$17)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,1,IF(L140&gt;=_xlfn.IFNA(INDEX(_xlfn.ANCHORARRAY(Sintesi!$C$18)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,0,1-(L140-_xlfn.IFNA(INDEX(_xlfn.ANCHORARRAY(Sintesi!$C$17)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)/(_xlfn.IFNA(INDEX(_xlfn.ANCHORARRAY(Sintesi!$C$18)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-_xlfn.IFNA(INDEX(_xlfn.ANCHORARRAY(Sintesi!$C$17)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))),0)</f>
        <v/>
      </c>
    </row>
    <row r="141">
      <c r="A141" s="1">
        <f>'Paste cell here'!A141</f>
        <v/>
      </c>
      <c r="B141" s="2">
        <f>DATE(Sintesi!$C$4-1,12,31)+A141</f>
        <v/>
      </c>
      <c r="C141" s="34">
        <f t="array" ref="C141">_xlfn.IFNA(MATCH(1,(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)*(_xlfn.ANCHORARRAY(Sintesi!$C$15)&gt;=0)+(_xlfn.ANCHORARRAY(Sintesi!$C$15)&lt;0),0),0)</f>
        <v/>
      </c>
      <c r="D141" s="1">
        <f t="array" ref="D141">IF(ISBLANK($E142),IF(ISNUMBER($E140),IF($C141&gt;0,IF(($E141=INDEX(_xlfn.ANCHORARRAY(Sintesi!$C$14),1,$C141))*(INDEX(_xlfn.ANCHORARRAY(Sintesi!$C$15),1,$C141)&gt;0),0,IF(($E141=INDEX(_xlfn.ANCHORARRAY(Sintesi!$C$14),1,$C141))*(INDEX(_xlfn.ANCHORARRAY(Sintesi!$C$15),1,$C141)&lt;0)+($E141&gt;=$E140)*($E141&lt;=INDEX($E:$E,MATCH(TRUE,INDEX((ISNUMBER($E:$E)),0),0)))*($E141&gt;INDEX(_xlfn.ANCHORARRAY(Sintesi!$C$14),1,$C141))*($E141&lt;=INDEX(_xlfn.ANCHORARRAY(Sintesi!$C$15),1,$C141))*(INDEX(_xlfn.ANCHORARRAY(Sintesi!$C$15),1,$C141)&gt;0),1,IF(($E141&gt;=$E140)*($E141&lt;=INDEX($E:$E,MATCH(TRUE,INDEX((ISNUMBER($E:$E)),0),0)))*($E141&gt;INDEX(_xlfn.ANCHORARRAY(Sintesi!$C$14),1,$C141))*($E141&lt;INDEX(_xlfn.ANCHORARRAY(Sintesi!$C$16),1,$C141))*(INDEX(_xlfn.ANCHORARRAY(Sintesi!$C$15),1,$C141)&lt;0)+($E141&gt;=$E140)*($E141&lt;=INDEX($E:$E,MATCH(TRUE,INDEX((ISNUMBER($E:$E)),0),0)))*($E141&gt;INDEX(_xlfn.ANCHORARRAY(Sintesi!$C$15),1,$C141))*($E141&lt;INDEX(_xlfn.ANCHORARRAY(Sintesi!$C$16),1,$C141))*(INDEX(_xlfn.ANCHORARRAY(Sintesi!$C$15),1,$C141)&gt;0),2,IF($E141=(INDEX(_xlfn.ANCHORARRAY(Sintesi!$C$16),1,$C141)),3,4)))),0),IF($C141&gt;0,IF(($E141=INDEX(_xlfn.ANCHORARRAY(Sintesi!$C$14),1,$C141))*(INDEX(_xlfn.ANCHORARRAY(Sintesi!$C$15),1,$C141)&gt;0),0,IF(($E141=INDEX(_xlfn.ANCHORARRAY(Sintesi!$C$14),1,$C141))*(INDEX(_xlfn.ANCHORARRAY(Sintesi!$C$15),1,$C141)&lt;0)+($E141&gt;=LOOKUP(2,1/($E:$E&lt;&gt;""),$E:$E))*($E141&lt;=INDEX($E:$E,MATCH(TRUE,INDEX((ISNUMBER($E:$E)),0),0)))*($E141&gt;INDEX(_xlfn.ANCHORARRAY(Sintesi!$C$14),1,$C141))*($E141&lt;=INDEX(_xlfn.ANCHORARRAY(Sintesi!$C$15),1,$C141))*(INDEX(_xlfn.ANCHORARRAY(Sintesi!$C$15),1,$C141)&gt;0),1,IF(($E141&gt;=LOOKUP(2,1/($E:$E&lt;&gt;""),$E:$E))*($E141&lt;=INDEX($E:$E,MATCH(TRUE,INDEX((ISNUMBER($E:$E)),0),0)))*($E141&gt;INDEX(_xlfn.ANCHORARRAY(Sintesi!$C$14),1,$C141))*($E141&lt;INDEX(_xlfn.ANCHORARRAY(Sintesi!$C$16),1,$C141))*(INDEX(_xlfn.ANCHORARRAY(Sintesi!$C$15),1,$C141)&lt;0)+($E141&gt;=LOOKUP(2,1/($E:$E&lt;&gt;""),$E:$E))*($E141&lt;=INDEX($E:$E,MATCH(TRUE,INDEX((ISNUMBER($E:$E)),0),0)))*($E141&gt;INDEX(_xlfn.ANCHORARRAY(Sintesi!$C$15),1,$C141))*($E141&lt;INDEX(_xlfn.ANCHORARRAY(Sintesi!$C$16),1,$C141))*(INDEX(_xlfn.ANCHORARRAY(Sintesi!$C$15),1,$C141)&gt;0),2,IF($E141=(INDEX(_xlfn.ANCHORARRAY(Sintesi!$C$16),1,$C141)),3,4)))),0)),IF(ISNUMBER($E140),IF($C141&gt;0,IF(($E141=INDEX(_xlfn.ANCHORARRAY(Sintesi!$C$14),1,$C141))*(INDEX(_xlfn.ANCHORARRAY(Sintesi!$C$15),1,$C141)&gt;0),0,IF(($E141=INDEX(_xlfn.ANCHORARRAY(Sintesi!$C$14),1,$C141))*(INDEX(_xlfn.ANCHORARRAY(Sintesi!$C$15),1,$C141)&lt;0)+($E141&gt;=$E140)*($E141&lt;=$E142)*($E141&gt;INDEX(_xlfn.ANCHORARRAY(Sintesi!$C$14),1,$C141))*($E141&lt;=INDEX(_xlfn.ANCHORARRAY(Sintesi!$C$15),1,$C141))*(INDEX(_xlfn.ANCHORARRAY(Sintesi!$C$15),1,$C141)&gt;0),1,IF(($E141&gt;=$E140)*($E141&lt;=$E142)*($E141&gt;INDEX(_xlfn.ANCHORARRAY(Sintesi!$C$14),1,$C141))*($E141&lt;INDEX(_xlfn.ANCHORARRAY(Sintesi!$C$16),1,$C141))*(INDEX(_xlfn.ANCHORARRAY(Sintesi!$C$15),1,$C141)&lt;0)+($E141&gt;=$E140)*($E141&lt;=$E142)*($E141&gt;INDEX(_xlfn.ANCHORARRAY(Sintesi!$C$15),1,$C141))*($E141&lt;INDEX(_xlfn.ANCHORARRAY(Sintesi!$C$16),1,$C141))*(INDEX(_xlfn.ANCHORARRAY(Sintesi!$C$15),1,$C141)&gt;0),2,IF($E141=(INDEX(_xlfn.ANCHORARRAY(Sintesi!$C$16),1,$C141)),3,4)))),0),IF($C141&gt;0,IF(($E141=INDEX(_xlfn.ANCHORARRAY(Sintesi!$C$14),1,$C141))*(INDEX(_xlfn.ANCHORARRAY(Sintesi!$C$15),1,$C141)&gt;0),0,IF(($E141=INDEX(_xlfn.ANCHORARRAY(Sintesi!$C$14),1,$C141))*(INDEX(_xlfn.ANCHORARRAY(Sintesi!$C$15),1,$C141)&lt;0)+($E141&gt;=LOOKUP(2,1/($E:$E&lt;&gt;""),$E:$E))*($E141&lt;=$E142)*($E141&gt;INDEX(_xlfn.ANCHORARRAY(Sintesi!$C$14),1,$C141))*($E141&lt;=INDEX(_xlfn.ANCHORARRAY(Sintesi!$C$15),1,$C141))*(INDEX(_xlfn.ANCHORARRAY(Sintesi!$C$15),1,$C141)&gt;0),1,IF(($E141&gt;=LOOKUP(2,1/($E:$E&lt;&gt;""),$E:$E))*($E141&lt;=$E142)*($E141&gt;INDEX(_xlfn.ANCHORARRAY(Sintesi!$C$14),1,$C141))*($E141&lt;INDEX(_xlfn.ANCHORARRAY(Sintesi!$C$16),1,$C141))*(INDEX(_xlfn.ANCHORARRAY(Sintesi!$C$15),1,$C141)&lt;0)+($E141&gt;=LOOKUP(2,1/($E:$E&lt;&gt;""),$E:$E))*($E141&lt;=$E142)*($E141&gt;INDEX(_xlfn.ANCHORARRAY(Sintesi!$C$15),1,$C141))*($E141&lt;INDEX(_xlfn.ANCHORARRAY(Sintesi!$C$16),1,$C141))*(INDEX(_xlfn.ANCHORARRAY(Sintesi!$C$15),1,$C141)&gt;0),2,IF($E141=(INDEX(_xlfn.ANCHORARRAY(Sintesi!$C$16),1,$C141)),3,4)))),0)))</f>
        <v/>
      </c>
      <c r="E141" s="1">
        <f>'Paste cell here'!F141</f>
        <v/>
      </c>
      <c r="F141" s="1">
        <f>'Paste cell here'!C141</f>
        <v/>
      </c>
      <c r="G141" s="1">
        <f>'Paste cell here'!D141</f>
        <v/>
      </c>
      <c r="H141" s="1">
        <f>'Paste cell here'!E141</f>
        <v/>
      </c>
      <c r="I141" s="1">
        <f>'Paste cell here'!X141</f>
        <v/>
      </c>
      <c r="J141" s="1">
        <f>'Paste cell here'!Y141+'Paste cell here'!S141</f>
        <v/>
      </c>
      <c r="K141" s="1">
        <f>I141/H141</f>
        <v/>
      </c>
      <c r="L141" s="1">
        <f>AVERAGE(($F141+$G141)/2-($F141-$G141)/2*COS(PI()*(8-VLOOKUP(MONTH(B141),$O$1:$Q$13,3))/(VLOOKUP(MONTH(B141),$O$1:$Q$13,2)-VLOOKUP(MONTH(B141),$O$1:$Q$13,3))),($F141+$G141)/2-($F141-$G141)/2*COS(PI()*(9-VLOOKUP(MONTH(B141),$O$1:$Q$13,3))/(VLOOKUP(MONTH(B141),$O$1:$Q$13,2)-VLOOKUP(MONTH(B141),$O$1:$Q$13,3))),($F141+$G141)/2-($F141-$G141)/2*COS(PI()*(10-VLOOKUP(MONTH(B141),$O$1:$Q$13,3))/(VLOOKUP(MONTH(B141),$O$1:$Q$13,2)-VLOOKUP(MONTH(B141),$O$1:$Q$13,3))),($F141+$G141)/2-($F141-$G141)/2*COS(PI()*(11-VLOOKUP(MONTH(B141),$O$1:$Q$13,3))/(VLOOKUP(MONTH(B141),$O$1:$Q$13,2)-VLOOKUP(MONTH(B141),$O$1:$Q$13,3))),($F141+$G141)/2-($F141-$G141)/2*COS(PI()*(12-VLOOKUP(MONTH(B141),$O$1:$Q$13,3))/(VLOOKUP(MONTH(B141),$O$1:$Q$13,2)-VLOOKUP(MONTH(B141),$O$1:$Q$13,3))),($F141+$G141)/2-($F141-$G141)/2*COS(PI()*(13-VLOOKUP(MONTH(B141),$O$1:$Q$13,3))/(VLOOKUP(MONTH(B141),$O$1:$Q$13,2)-VLOOKUP(MONTH(B141),$O$1:$Q$13,3))),($F141+$G141)/2-($F141-$G141)/2*COS(PI()*(14-VLOOKUP(MONTH(B141),$O$1:$Q$13,3))/(VLOOKUP(MONTH(B141),$O$1:$Q$13,2)-VLOOKUP(MONTH(B141),$O$1:$Q$13,3))))</f>
        <v/>
      </c>
      <c r="M141" s="1">
        <f t="array" ref="M141">IF(AND(A141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,A141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),IF(L141&lt;_xlfn.IFNA(INDEX(_xlfn.ANCHORARRAY(Sintesi!$C$17)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,1,IF(L141&gt;=_xlfn.IFNA(INDEX(_xlfn.ANCHORARRAY(Sintesi!$C$18)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,0,1-(L141-_xlfn.IFNA(INDEX(_xlfn.ANCHORARRAY(Sintesi!$C$17)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)/(_xlfn.IFNA(INDEX(_xlfn.ANCHORARRAY(Sintesi!$C$18)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-_xlfn.IFNA(INDEX(_xlfn.ANCHORARRAY(Sintesi!$C$17)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))),0)</f>
        <v/>
      </c>
    </row>
    <row r="142">
      <c r="A142" s="1">
        <f>'Paste cell here'!A142</f>
        <v/>
      </c>
      <c r="B142" s="2">
        <f>DATE(Sintesi!$C$4-1,12,31)+A142</f>
        <v/>
      </c>
      <c r="C142" s="34">
        <f t="array" ref="C142">_xlfn.IFNA(MATCH(1,(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)*(_xlfn.ANCHORARRAY(Sintesi!$C$15)&gt;=0)+(_xlfn.ANCHORARRAY(Sintesi!$C$15)&lt;0),0),0)</f>
        <v/>
      </c>
      <c r="D142" s="1">
        <f t="array" ref="D142">IF(ISBLANK($E143),IF(ISNUMBER($E141),IF($C142&gt;0,IF(($E142=INDEX(_xlfn.ANCHORARRAY(Sintesi!$C$14),1,$C142))*(INDEX(_xlfn.ANCHORARRAY(Sintesi!$C$15),1,$C142)&gt;0),0,IF(($E142=INDEX(_xlfn.ANCHORARRAY(Sintesi!$C$14),1,$C142))*(INDEX(_xlfn.ANCHORARRAY(Sintesi!$C$15),1,$C142)&lt;0)+($E142&gt;=$E141)*($E142&lt;=INDEX($E:$E,MATCH(TRUE,INDEX((ISNUMBER($E:$E)),0),0)))*($E142&gt;INDEX(_xlfn.ANCHORARRAY(Sintesi!$C$14),1,$C142))*($E142&lt;=INDEX(_xlfn.ANCHORARRAY(Sintesi!$C$15),1,$C142))*(INDEX(_xlfn.ANCHORARRAY(Sintesi!$C$15),1,$C142)&gt;0),1,IF(($E142&gt;=$E141)*($E142&lt;=INDEX($E:$E,MATCH(TRUE,INDEX((ISNUMBER($E:$E)),0),0)))*($E142&gt;INDEX(_xlfn.ANCHORARRAY(Sintesi!$C$14),1,$C142))*($E142&lt;INDEX(_xlfn.ANCHORARRAY(Sintesi!$C$16),1,$C142))*(INDEX(_xlfn.ANCHORARRAY(Sintesi!$C$15),1,$C142)&lt;0)+($E142&gt;=$E141)*($E142&lt;=INDEX($E:$E,MATCH(TRUE,INDEX((ISNUMBER($E:$E)),0),0)))*($E142&gt;INDEX(_xlfn.ANCHORARRAY(Sintesi!$C$15),1,$C142))*($E142&lt;INDEX(_xlfn.ANCHORARRAY(Sintesi!$C$16),1,$C142))*(INDEX(_xlfn.ANCHORARRAY(Sintesi!$C$15),1,$C142)&gt;0),2,IF($E142=(INDEX(_xlfn.ANCHORARRAY(Sintesi!$C$16),1,$C142)),3,4)))),0),IF($C142&gt;0,IF(($E142=INDEX(_xlfn.ANCHORARRAY(Sintesi!$C$14),1,$C142))*(INDEX(_xlfn.ANCHORARRAY(Sintesi!$C$15),1,$C142)&gt;0),0,IF(($E142=INDEX(_xlfn.ANCHORARRAY(Sintesi!$C$14),1,$C142))*(INDEX(_xlfn.ANCHORARRAY(Sintesi!$C$15),1,$C142)&lt;0)+($E142&gt;=LOOKUP(2,1/($E:$E&lt;&gt;""),$E:$E))*($E142&lt;=INDEX($E:$E,MATCH(TRUE,INDEX((ISNUMBER($E:$E)),0),0)))*($E142&gt;INDEX(_xlfn.ANCHORARRAY(Sintesi!$C$14),1,$C142))*($E142&lt;=INDEX(_xlfn.ANCHORARRAY(Sintesi!$C$15),1,$C142))*(INDEX(_xlfn.ANCHORARRAY(Sintesi!$C$15),1,$C142)&gt;0),1,IF(($E142&gt;=LOOKUP(2,1/($E:$E&lt;&gt;""),$E:$E))*($E142&lt;=INDEX($E:$E,MATCH(TRUE,INDEX((ISNUMBER($E:$E)),0),0)))*($E142&gt;INDEX(_xlfn.ANCHORARRAY(Sintesi!$C$14),1,$C142))*($E142&lt;INDEX(_xlfn.ANCHORARRAY(Sintesi!$C$16),1,$C142))*(INDEX(_xlfn.ANCHORARRAY(Sintesi!$C$15),1,$C142)&lt;0)+($E142&gt;=LOOKUP(2,1/($E:$E&lt;&gt;""),$E:$E))*($E142&lt;=INDEX($E:$E,MATCH(TRUE,INDEX((ISNUMBER($E:$E)),0),0)))*($E142&gt;INDEX(_xlfn.ANCHORARRAY(Sintesi!$C$15),1,$C142))*($E142&lt;INDEX(_xlfn.ANCHORARRAY(Sintesi!$C$16),1,$C142))*(INDEX(_xlfn.ANCHORARRAY(Sintesi!$C$15),1,$C142)&gt;0),2,IF($E142=(INDEX(_xlfn.ANCHORARRAY(Sintesi!$C$16),1,$C142)),3,4)))),0)),IF(ISNUMBER($E141),IF($C142&gt;0,IF(($E142=INDEX(_xlfn.ANCHORARRAY(Sintesi!$C$14),1,$C142))*(INDEX(_xlfn.ANCHORARRAY(Sintesi!$C$15),1,$C142)&gt;0),0,IF(($E142=INDEX(_xlfn.ANCHORARRAY(Sintesi!$C$14),1,$C142))*(INDEX(_xlfn.ANCHORARRAY(Sintesi!$C$15),1,$C142)&lt;0)+($E142&gt;=$E141)*($E142&lt;=$E143)*($E142&gt;INDEX(_xlfn.ANCHORARRAY(Sintesi!$C$14),1,$C142))*($E142&lt;=INDEX(_xlfn.ANCHORARRAY(Sintesi!$C$15),1,$C142))*(INDEX(_xlfn.ANCHORARRAY(Sintesi!$C$15),1,$C142)&gt;0),1,IF(($E142&gt;=$E141)*($E142&lt;=$E143)*($E142&gt;INDEX(_xlfn.ANCHORARRAY(Sintesi!$C$14),1,$C142))*($E142&lt;INDEX(_xlfn.ANCHORARRAY(Sintesi!$C$16),1,$C142))*(INDEX(_xlfn.ANCHORARRAY(Sintesi!$C$15),1,$C142)&lt;0)+($E142&gt;=$E141)*($E142&lt;=$E143)*($E142&gt;INDEX(_xlfn.ANCHORARRAY(Sintesi!$C$15),1,$C142))*($E142&lt;INDEX(_xlfn.ANCHORARRAY(Sintesi!$C$16),1,$C142))*(INDEX(_xlfn.ANCHORARRAY(Sintesi!$C$15),1,$C142)&gt;0),2,IF($E142=(INDEX(_xlfn.ANCHORARRAY(Sintesi!$C$16),1,$C142)),3,4)))),0),IF($C142&gt;0,IF(($E142=INDEX(_xlfn.ANCHORARRAY(Sintesi!$C$14),1,$C142))*(INDEX(_xlfn.ANCHORARRAY(Sintesi!$C$15),1,$C142)&gt;0),0,IF(($E142=INDEX(_xlfn.ANCHORARRAY(Sintesi!$C$14),1,$C142))*(INDEX(_xlfn.ANCHORARRAY(Sintesi!$C$15),1,$C142)&lt;0)+($E142&gt;=LOOKUP(2,1/($E:$E&lt;&gt;""),$E:$E))*($E142&lt;=$E143)*($E142&gt;INDEX(_xlfn.ANCHORARRAY(Sintesi!$C$14),1,$C142))*($E142&lt;=INDEX(_xlfn.ANCHORARRAY(Sintesi!$C$15),1,$C142))*(INDEX(_xlfn.ANCHORARRAY(Sintesi!$C$15),1,$C142)&gt;0),1,IF(($E142&gt;=LOOKUP(2,1/($E:$E&lt;&gt;""),$E:$E))*($E142&lt;=$E143)*($E142&gt;INDEX(_xlfn.ANCHORARRAY(Sintesi!$C$14),1,$C142))*($E142&lt;INDEX(_xlfn.ANCHORARRAY(Sintesi!$C$16),1,$C142))*(INDEX(_xlfn.ANCHORARRAY(Sintesi!$C$15),1,$C142)&lt;0)+($E142&gt;=LOOKUP(2,1/($E:$E&lt;&gt;""),$E:$E))*($E142&lt;=$E143)*($E142&gt;INDEX(_xlfn.ANCHORARRAY(Sintesi!$C$15),1,$C142))*($E142&lt;INDEX(_xlfn.ANCHORARRAY(Sintesi!$C$16),1,$C142))*(INDEX(_xlfn.ANCHORARRAY(Sintesi!$C$15),1,$C142)&gt;0),2,IF($E142=(INDEX(_xlfn.ANCHORARRAY(Sintesi!$C$16),1,$C142)),3,4)))),0)))</f>
        <v/>
      </c>
      <c r="E142" s="1">
        <f>'Paste cell here'!F142</f>
        <v/>
      </c>
      <c r="F142" s="1">
        <f>'Paste cell here'!C142</f>
        <v/>
      </c>
      <c r="G142" s="1">
        <f>'Paste cell here'!D142</f>
        <v/>
      </c>
      <c r="H142" s="1">
        <f>'Paste cell here'!E142</f>
        <v/>
      </c>
      <c r="I142" s="1">
        <f>'Paste cell here'!X142</f>
        <v/>
      </c>
      <c r="J142" s="1">
        <f>'Paste cell here'!Y142+'Paste cell here'!S142</f>
        <v/>
      </c>
      <c r="K142" s="1">
        <f>I142/H142</f>
        <v/>
      </c>
      <c r="L142" s="1">
        <f>AVERAGE(($F142+$G142)/2-($F142-$G142)/2*COS(PI()*(8-VLOOKUP(MONTH(B142),$O$1:$Q$13,3))/(VLOOKUP(MONTH(B142),$O$1:$Q$13,2)-VLOOKUP(MONTH(B142),$O$1:$Q$13,3))),($F142+$G142)/2-($F142-$G142)/2*COS(PI()*(9-VLOOKUP(MONTH(B142),$O$1:$Q$13,3))/(VLOOKUP(MONTH(B142),$O$1:$Q$13,2)-VLOOKUP(MONTH(B142),$O$1:$Q$13,3))),($F142+$G142)/2-($F142-$G142)/2*COS(PI()*(10-VLOOKUP(MONTH(B142),$O$1:$Q$13,3))/(VLOOKUP(MONTH(B142),$O$1:$Q$13,2)-VLOOKUP(MONTH(B142),$O$1:$Q$13,3))),($F142+$G142)/2-($F142-$G142)/2*COS(PI()*(11-VLOOKUP(MONTH(B142),$O$1:$Q$13,3))/(VLOOKUP(MONTH(B142),$O$1:$Q$13,2)-VLOOKUP(MONTH(B142),$O$1:$Q$13,3))),($F142+$G142)/2-($F142-$G142)/2*COS(PI()*(12-VLOOKUP(MONTH(B142),$O$1:$Q$13,3))/(VLOOKUP(MONTH(B142),$O$1:$Q$13,2)-VLOOKUP(MONTH(B142),$O$1:$Q$13,3))),($F142+$G142)/2-($F142-$G142)/2*COS(PI()*(13-VLOOKUP(MONTH(B142),$O$1:$Q$13,3))/(VLOOKUP(MONTH(B142),$O$1:$Q$13,2)-VLOOKUP(MONTH(B142),$O$1:$Q$13,3))),($F142+$G142)/2-($F142-$G142)/2*COS(PI()*(14-VLOOKUP(MONTH(B142),$O$1:$Q$13,3))/(VLOOKUP(MONTH(B142),$O$1:$Q$13,2)-VLOOKUP(MONTH(B142),$O$1:$Q$13,3))))</f>
        <v/>
      </c>
      <c r="M142" s="1">
        <f t="array" ref="M142">IF(AND(A142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,A142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),IF(L142&lt;_xlfn.IFNA(INDEX(_xlfn.ANCHORARRAY(Sintesi!$C$17)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,1,IF(L142&gt;=_xlfn.IFNA(INDEX(_xlfn.ANCHORARRAY(Sintesi!$C$18)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,0,1-(L142-_xlfn.IFNA(INDEX(_xlfn.ANCHORARRAY(Sintesi!$C$17)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)/(_xlfn.IFNA(INDEX(_xlfn.ANCHORARRAY(Sintesi!$C$18)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-_xlfn.IFNA(INDEX(_xlfn.ANCHORARRAY(Sintesi!$C$17)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))),0)</f>
        <v/>
      </c>
    </row>
    <row r="143">
      <c r="A143" s="1">
        <f>'Paste cell here'!A143</f>
        <v/>
      </c>
      <c r="B143" s="2">
        <f>DATE(Sintesi!$C$4-1,12,31)+A143</f>
        <v/>
      </c>
      <c r="C143" s="34">
        <f t="array" ref="C143">_xlfn.IFNA(MATCH(1,(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)*(_xlfn.ANCHORARRAY(Sintesi!$C$15)&gt;=0)+(_xlfn.ANCHORARRAY(Sintesi!$C$15)&lt;0),0),0)</f>
        <v/>
      </c>
      <c r="D143" s="1">
        <f t="array" ref="D143">IF(ISBLANK($E144),IF(ISNUMBER($E142),IF($C143&gt;0,IF(($E143=INDEX(_xlfn.ANCHORARRAY(Sintesi!$C$14),1,$C143))*(INDEX(_xlfn.ANCHORARRAY(Sintesi!$C$15),1,$C143)&gt;0),0,IF(($E143=INDEX(_xlfn.ANCHORARRAY(Sintesi!$C$14),1,$C143))*(INDEX(_xlfn.ANCHORARRAY(Sintesi!$C$15),1,$C143)&lt;0)+($E143&gt;=$E142)*($E143&lt;=INDEX($E:$E,MATCH(TRUE,INDEX((ISNUMBER($E:$E)),0),0)))*($E143&gt;INDEX(_xlfn.ANCHORARRAY(Sintesi!$C$14),1,$C143))*($E143&lt;=INDEX(_xlfn.ANCHORARRAY(Sintesi!$C$15),1,$C143))*(INDEX(_xlfn.ANCHORARRAY(Sintesi!$C$15),1,$C143)&gt;0),1,IF(($E143&gt;=$E142)*($E143&lt;=INDEX($E:$E,MATCH(TRUE,INDEX((ISNUMBER($E:$E)),0),0)))*($E143&gt;INDEX(_xlfn.ANCHORARRAY(Sintesi!$C$14),1,$C143))*($E143&lt;INDEX(_xlfn.ANCHORARRAY(Sintesi!$C$16),1,$C143))*(INDEX(_xlfn.ANCHORARRAY(Sintesi!$C$15),1,$C143)&lt;0)+($E143&gt;=$E142)*($E143&lt;=INDEX($E:$E,MATCH(TRUE,INDEX((ISNUMBER($E:$E)),0),0)))*($E143&gt;INDEX(_xlfn.ANCHORARRAY(Sintesi!$C$15),1,$C143))*($E143&lt;INDEX(_xlfn.ANCHORARRAY(Sintesi!$C$16),1,$C143))*(INDEX(_xlfn.ANCHORARRAY(Sintesi!$C$15),1,$C143)&gt;0),2,IF($E143=(INDEX(_xlfn.ANCHORARRAY(Sintesi!$C$16),1,$C143)),3,4)))),0),IF($C143&gt;0,IF(($E143=INDEX(_xlfn.ANCHORARRAY(Sintesi!$C$14),1,$C143))*(INDEX(_xlfn.ANCHORARRAY(Sintesi!$C$15),1,$C143)&gt;0),0,IF(($E143=INDEX(_xlfn.ANCHORARRAY(Sintesi!$C$14),1,$C143))*(INDEX(_xlfn.ANCHORARRAY(Sintesi!$C$15),1,$C143)&lt;0)+($E143&gt;=LOOKUP(2,1/($E:$E&lt;&gt;""),$E:$E))*($E143&lt;=INDEX($E:$E,MATCH(TRUE,INDEX((ISNUMBER($E:$E)),0),0)))*($E143&gt;INDEX(_xlfn.ANCHORARRAY(Sintesi!$C$14),1,$C143))*($E143&lt;=INDEX(_xlfn.ANCHORARRAY(Sintesi!$C$15),1,$C143))*(INDEX(_xlfn.ANCHORARRAY(Sintesi!$C$15),1,$C143)&gt;0),1,IF(($E143&gt;=LOOKUP(2,1/($E:$E&lt;&gt;""),$E:$E))*($E143&lt;=INDEX($E:$E,MATCH(TRUE,INDEX((ISNUMBER($E:$E)),0),0)))*($E143&gt;INDEX(_xlfn.ANCHORARRAY(Sintesi!$C$14),1,$C143))*($E143&lt;INDEX(_xlfn.ANCHORARRAY(Sintesi!$C$16),1,$C143))*(INDEX(_xlfn.ANCHORARRAY(Sintesi!$C$15),1,$C143)&lt;0)+($E143&gt;=LOOKUP(2,1/($E:$E&lt;&gt;""),$E:$E))*($E143&lt;=INDEX($E:$E,MATCH(TRUE,INDEX((ISNUMBER($E:$E)),0),0)))*($E143&gt;INDEX(_xlfn.ANCHORARRAY(Sintesi!$C$15),1,$C143))*($E143&lt;INDEX(_xlfn.ANCHORARRAY(Sintesi!$C$16),1,$C143))*(INDEX(_xlfn.ANCHORARRAY(Sintesi!$C$15),1,$C143)&gt;0),2,IF($E143=(INDEX(_xlfn.ANCHORARRAY(Sintesi!$C$16),1,$C143)),3,4)))),0)),IF(ISNUMBER($E142),IF($C143&gt;0,IF(($E143=INDEX(_xlfn.ANCHORARRAY(Sintesi!$C$14),1,$C143))*(INDEX(_xlfn.ANCHORARRAY(Sintesi!$C$15),1,$C143)&gt;0),0,IF(($E143=INDEX(_xlfn.ANCHORARRAY(Sintesi!$C$14),1,$C143))*(INDEX(_xlfn.ANCHORARRAY(Sintesi!$C$15),1,$C143)&lt;0)+($E143&gt;=$E142)*($E143&lt;=$E144)*($E143&gt;INDEX(_xlfn.ANCHORARRAY(Sintesi!$C$14),1,$C143))*($E143&lt;=INDEX(_xlfn.ANCHORARRAY(Sintesi!$C$15),1,$C143))*(INDEX(_xlfn.ANCHORARRAY(Sintesi!$C$15),1,$C143)&gt;0),1,IF(($E143&gt;=$E142)*($E143&lt;=$E144)*($E143&gt;INDEX(_xlfn.ANCHORARRAY(Sintesi!$C$14),1,$C143))*($E143&lt;INDEX(_xlfn.ANCHORARRAY(Sintesi!$C$16),1,$C143))*(INDEX(_xlfn.ANCHORARRAY(Sintesi!$C$15),1,$C143)&lt;0)+($E143&gt;=$E142)*($E143&lt;=$E144)*($E143&gt;INDEX(_xlfn.ANCHORARRAY(Sintesi!$C$15),1,$C143))*($E143&lt;INDEX(_xlfn.ANCHORARRAY(Sintesi!$C$16),1,$C143))*(INDEX(_xlfn.ANCHORARRAY(Sintesi!$C$15),1,$C143)&gt;0),2,IF($E143=(INDEX(_xlfn.ANCHORARRAY(Sintesi!$C$16),1,$C143)),3,4)))),0),IF($C143&gt;0,IF(($E143=INDEX(_xlfn.ANCHORARRAY(Sintesi!$C$14),1,$C143))*(INDEX(_xlfn.ANCHORARRAY(Sintesi!$C$15),1,$C143)&gt;0),0,IF(($E143=INDEX(_xlfn.ANCHORARRAY(Sintesi!$C$14),1,$C143))*(INDEX(_xlfn.ANCHORARRAY(Sintesi!$C$15),1,$C143)&lt;0)+($E143&gt;=LOOKUP(2,1/($E:$E&lt;&gt;""),$E:$E))*($E143&lt;=$E144)*($E143&gt;INDEX(_xlfn.ANCHORARRAY(Sintesi!$C$14),1,$C143))*($E143&lt;=INDEX(_xlfn.ANCHORARRAY(Sintesi!$C$15),1,$C143))*(INDEX(_xlfn.ANCHORARRAY(Sintesi!$C$15),1,$C143)&gt;0),1,IF(($E143&gt;=LOOKUP(2,1/($E:$E&lt;&gt;""),$E:$E))*($E143&lt;=$E144)*($E143&gt;INDEX(_xlfn.ANCHORARRAY(Sintesi!$C$14),1,$C143))*($E143&lt;INDEX(_xlfn.ANCHORARRAY(Sintesi!$C$16),1,$C143))*(INDEX(_xlfn.ANCHORARRAY(Sintesi!$C$15),1,$C143)&lt;0)+($E143&gt;=LOOKUP(2,1/($E:$E&lt;&gt;""),$E:$E))*($E143&lt;=$E144)*($E143&gt;INDEX(_xlfn.ANCHORARRAY(Sintesi!$C$15),1,$C143))*($E143&lt;INDEX(_xlfn.ANCHORARRAY(Sintesi!$C$16),1,$C143))*(INDEX(_xlfn.ANCHORARRAY(Sintesi!$C$15),1,$C143)&gt;0),2,IF($E143=(INDEX(_xlfn.ANCHORARRAY(Sintesi!$C$16),1,$C143)),3,4)))),0)))</f>
        <v/>
      </c>
      <c r="E143" s="1">
        <f>'Paste cell here'!F143</f>
        <v/>
      </c>
      <c r="F143" s="1">
        <f>'Paste cell here'!C143</f>
        <v/>
      </c>
      <c r="G143" s="1">
        <f>'Paste cell here'!D143</f>
        <v/>
      </c>
      <c r="H143" s="1">
        <f>'Paste cell here'!E143</f>
        <v/>
      </c>
      <c r="I143" s="1">
        <f>'Paste cell here'!X143</f>
        <v/>
      </c>
      <c r="J143" s="1">
        <f>'Paste cell here'!Y143+'Paste cell here'!S143</f>
        <v/>
      </c>
      <c r="K143" s="1">
        <f>I143/H143</f>
        <v/>
      </c>
      <c r="L143" s="1">
        <f>AVERAGE(($F143+$G143)/2-($F143-$G143)/2*COS(PI()*(8-VLOOKUP(MONTH(B143),$O$1:$Q$13,3))/(VLOOKUP(MONTH(B143),$O$1:$Q$13,2)-VLOOKUP(MONTH(B143),$O$1:$Q$13,3))),($F143+$G143)/2-($F143-$G143)/2*COS(PI()*(9-VLOOKUP(MONTH(B143),$O$1:$Q$13,3))/(VLOOKUP(MONTH(B143),$O$1:$Q$13,2)-VLOOKUP(MONTH(B143),$O$1:$Q$13,3))),($F143+$G143)/2-($F143-$G143)/2*COS(PI()*(10-VLOOKUP(MONTH(B143),$O$1:$Q$13,3))/(VLOOKUP(MONTH(B143),$O$1:$Q$13,2)-VLOOKUP(MONTH(B143),$O$1:$Q$13,3))),($F143+$G143)/2-($F143-$G143)/2*COS(PI()*(11-VLOOKUP(MONTH(B143),$O$1:$Q$13,3))/(VLOOKUP(MONTH(B143),$O$1:$Q$13,2)-VLOOKUP(MONTH(B143),$O$1:$Q$13,3))),($F143+$G143)/2-($F143-$G143)/2*COS(PI()*(12-VLOOKUP(MONTH(B143),$O$1:$Q$13,3))/(VLOOKUP(MONTH(B143),$O$1:$Q$13,2)-VLOOKUP(MONTH(B143),$O$1:$Q$13,3))),($F143+$G143)/2-($F143-$G143)/2*COS(PI()*(13-VLOOKUP(MONTH(B143),$O$1:$Q$13,3))/(VLOOKUP(MONTH(B143),$O$1:$Q$13,2)-VLOOKUP(MONTH(B143),$O$1:$Q$13,3))),($F143+$G143)/2-($F143-$G143)/2*COS(PI()*(14-VLOOKUP(MONTH(B143),$O$1:$Q$13,3))/(VLOOKUP(MONTH(B143),$O$1:$Q$13,2)-VLOOKUP(MONTH(B143),$O$1:$Q$13,3))))</f>
        <v/>
      </c>
      <c r="M143" s="1">
        <f t="array" ref="M143">IF(AND(A143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,A143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),IF(L143&lt;_xlfn.IFNA(INDEX(_xlfn.ANCHORARRAY(Sintesi!$C$17)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,1,IF(L143&gt;=_xlfn.IFNA(INDEX(_xlfn.ANCHORARRAY(Sintesi!$C$18)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,0,1-(L143-_xlfn.IFNA(INDEX(_xlfn.ANCHORARRAY(Sintesi!$C$17)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)/(_xlfn.IFNA(INDEX(_xlfn.ANCHORARRAY(Sintesi!$C$18)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-_xlfn.IFNA(INDEX(_xlfn.ANCHORARRAY(Sintesi!$C$17)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))),0)</f>
        <v/>
      </c>
    </row>
    <row r="144">
      <c r="A144" s="1">
        <f>'Paste cell here'!A144</f>
        <v/>
      </c>
      <c r="B144" s="2">
        <f>DATE(Sintesi!$C$4-1,12,31)+A144</f>
        <v/>
      </c>
      <c r="C144" s="34">
        <f t="array" ref="C144">_xlfn.IFNA(MATCH(1,(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)*(_xlfn.ANCHORARRAY(Sintesi!$C$15)&gt;=0)+(_xlfn.ANCHORARRAY(Sintesi!$C$15)&lt;0),0),0)</f>
        <v/>
      </c>
      <c r="D144" s="1">
        <f t="array" ref="D144">IF(ISBLANK($E145),IF(ISNUMBER($E143),IF($C144&gt;0,IF(($E144=INDEX(_xlfn.ANCHORARRAY(Sintesi!$C$14),1,$C144))*(INDEX(_xlfn.ANCHORARRAY(Sintesi!$C$15),1,$C144)&gt;0),0,IF(($E144=INDEX(_xlfn.ANCHORARRAY(Sintesi!$C$14),1,$C144))*(INDEX(_xlfn.ANCHORARRAY(Sintesi!$C$15),1,$C144)&lt;0)+($E144&gt;=$E143)*($E144&lt;=INDEX($E:$E,MATCH(TRUE,INDEX((ISNUMBER($E:$E)),0),0)))*($E144&gt;INDEX(_xlfn.ANCHORARRAY(Sintesi!$C$14),1,$C144))*($E144&lt;=INDEX(_xlfn.ANCHORARRAY(Sintesi!$C$15),1,$C144))*(INDEX(_xlfn.ANCHORARRAY(Sintesi!$C$15),1,$C144)&gt;0),1,IF(($E144&gt;=$E143)*($E144&lt;=INDEX($E:$E,MATCH(TRUE,INDEX((ISNUMBER($E:$E)),0),0)))*($E144&gt;INDEX(_xlfn.ANCHORARRAY(Sintesi!$C$14),1,$C144))*($E144&lt;INDEX(_xlfn.ANCHORARRAY(Sintesi!$C$16),1,$C144))*(INDEX(_xlfn.ANCHORARRAY(Sintesi!$C$15),1,$C144)&lt;0)+($E144&gt;=$E143)*($E144&lt;=INDEX($E:$E,MATCH(TRUE,INDEX((ISNUMBER($E:$E)),0),0)))*($E144&gt;INDEX(_xlfn.ANCHORARRAY(Sintesi!$C$15),1,$C144))*($E144&lt;INDEX(_xlfn.ANCHORARRAY(Sintesi!$C$16),1,$C144))*(INDEX(_xlfn.ANCHORARRAY(Sintesi!$C$15),1,$C144)&gt;0),2,IF($E144=(INDEX(_xlfn.ANCHORARRAY(Sintesi!$C$16),1,$C144)),3,4)))),0),IF($C144&gt;0,IF(($E144=INDEX(_xlfn.ANCHORARRAY(Sintesi!$C$14),1,$C144))*(INDEX(_xlfn.ANCHORARRAY(Sintesi!$C$15),1,$C144)&gt;0),0,IF(($E144=INDEX(_xlfn.ANCHORARRAY(Sintesi!$C$14),1,$C144))*(INDEX(_xlfn.ANCHORARRAY(Sintesi!$C$15),1,$C144)&lt;0)+($E144&gt;=LOOKUP(2,1/($E:$E&lt;&gt;""),$E:$E))*($E144&lt;=INDEX($E:$E,MATCH(TRUE,INDEX((ISNUMBER($E:$E)),0),0)))*($E144&gt;INDEX(_xlfn.ANCHORARRAY(Sintesi!$C$14),1,$C144))*($E144&lt;=INDEX(_xlfn.ANCHORARRAY(Sintesi!$C$15),1,$C144))*(INDEX(_xlfn.ANCHORARRAY(Sintesi!$C$15),1,$C144)&gt;0),1,IF(($E144&gt;=LOOKUP(2,1/($E:$E&lt;&gt;""),$E:$E))*($E144&lt;=INDEX($E:$E,MATCH(TRUE,INDEX((ISNUMBER($E:$E)),0),0)))*($E144&gt;INDEX(_xlfn.ANCHORARRAY(Sintesi!$C$14),1,$C144))*($E144&lt;INDEX(_xlfn.ANCHORARRAY(Sintesi!$C$16),1,$C144))*(INDEX(_xlfn.ANCHORARRAY(Sintesi!$C$15),1,$C144)&lt;0)+($E144&gt;=LOOKUP(2,1/($E:$E&lt;&gt;""),$E:$E))*($E144&lt;=INDEX($E:$E,MATCH(TRUE,INDEX((ISNUMBER($E:$E)),0),0)))*($E144&gt;INDEX(_xlfn.ANCHORARRAY(Sintesi!$C$15),1,$C144))*($E144&lt;INDEX(_xlfn.ANCHORARRAY(Sintesi!$C$16),1,$C144))*(INDEX(_xlfn.ANCHORARRAY(Sintesi!$C$15),1,$C144)&gt;0),2,IF($E144=(INDEX(_xlfn.ANCHORARRAY(Sintesi!$C$16),1,$C144)),3,4)))),0)),IF(ISNUMBER($E143),IF($C144&gt;0,IF(($E144=INDEX(_xlfn.ANCHORARRAY(Sintesi!$C$14),1,$C144))*(INDEX(_xlfn.ANCHORARRAY(Sintesi!$C$15),1,$C144)&gt;0),0,IF(($E144=INDEX(_xlfn.ANCHORARRAY(Sintesi!$C$14),1,$C144))*(INDEX(_xlfn.ANCHORARRAY(Sintesi!$C$15),1,$C144)&lt;0)+($E144&gt;=$E143)*($E144&lt;=$E145)*($E144&gt;INDEX(_xlfn.ANCHORARRAY(Sintesi!$C$14),1,$C144))*($E144&lt;=INDEX(_xlfn.ANCHORARRAY(Sintesi!$C$15),1,$C144))*(INDEX(_xlfn.ANCHORARRAY(Sintesi!$C$15),1,$C144)&gt;0),1,IF(($E144&gt;=$E143)*($E144&lt;=$E145)*($E144&gt;INDEX(_xlfn.ANCHORARRAY(Sintesi!$C$14),1,$C144))*($E144&lt;INDEX(_xlfn.ANCHORARRAY(Sintesi!$C$16),1,$C144))*(INDEX(_xlfn.ANCHORARRAY(Sintesi!$C$15),1,$C144)&lt;0)+($E144&gt;=$E143)*($E144&lt;=$E145)*($E144&gt;INDEX(_xlfn.ANCHORARRAY(Sintesi!$C$15),1,$C144))*($E144&lt;INDEX(_xlfn.ANCHORARRAY(Sintesi!$C$16),1,$C144))*(INDEX(_xlfn.ANCHORARRAY(Sintesi!$C$15),1,$C144)&gt;0),2,IF($E144=(INDEX(_xlfn.ANCHORARRAY(Sintesi!$C$16),1,$C144)),3,4)))),0),IF($C144&gt;0,IF(($E144=INDEX(_xlfn.ANCHORARRAY(Sintesi!$C$14),1,$C144))*(INDEX(_xlfn.ANCHORARRAY(Sintesi!$C$15),1,$C144)&gt;0),0,IF(($E144=INDEX(_xlfn.ANCHORARRAY(Sintesi!$C$14),1,$C144))*(INDEX(_xlfn.ANCHORARRAY(Sintesi!$C$15),1,$C144)&lt;0)+($E144&gt;=LOOKUP(2,1/($E:$E&lt;&gt;""),$E:$E))*($E144&lt;=$E145)*($E144&gt;INDEX(_xlfn.ANCHORARRAY(Sintesi!$C$14),1,$C144))*($E144&lt;=INDEX(_xlfn.ANCHORARRAY(Sintesi!$C$15),1,$C144))*(INDEX(_xlfn.ANCHORARRAY(Sintesi!$C$15),1,$C144)&gt;0),1,IF(($E144&gt;=LOOKUP(2,1/($E:$E&lt;&gt;""),$E:$E))*($E144&lt;=$E145)*($E144&gt;INDEX(_xlfn.ANCHORARRAY(Sintesi!$C$14),1,$C144))*($E144&lt;INDEX(_xlfn.ANCHORARRAY(Sintesi!$C$16),1,$C144))*(INDEX(_xlfn.ANCHORARRAY(Sintesi!$C$15),1,$C144)&lt;0)+($E144&gt;=LOOKUP(2,1/($E:$E&lt;&gt;""),$E:$E))*($E144&lt;=$E145)*($E144&gt;INDEX(_xlfn.ANCHORARRAY(Sintesi!$C$15),1,$C144))*($E144&lt;INDEX(_xlfn.ANCHORARRAY(Sintesi!$C$16),1,$C144))*(INDEX(_xlfn.ANCHORARRAY(Sintesi!$C$15),1,$C144)&gt;0),2,IF($E144=(INDEX(_xlfn.ANCHORARRAY(Sintesi!$C$16),1,$C144)),3,4)))),0)))</f>
        <v/>
      </c>
      <c r="E144" s="1">
        <f>'Paste cell here'!F144</f>
        <v/>
      </c>
      <c r="F144" s="1">
        <f>'Paste cell here'!C144</f>
        <v/>
      </c>
      <c r="G144" s="1">
        <f>'Paste cell here'!D144</f>
        <v/>
      </c>
      <c r="H144" s="1">
        <f>'Paste cell here'!E144</f>
        <v/>
      </c>
      <c r="I144" s="1">
        <f>'Paste cell here'!X144</f>
        <v/>
      </c>
      <c r="J144" s="1">
        <f>'Paste cell here'!Y144+'Paste cell here'!S144</f>
        <v/>
      </c>
      <c r="K144" s="1">
        <f>I144/H144</f>
        <v/>
      </c>
      <c r="L144" s="1">
        <f>AVERAGE(($F144+$G144)/2-($F144-$G144)/2*COS(PI()*(8-VLOOKUP(MONTH(B144),$O$1:$Q$13,3))/(VLOOKUP(MONTH(B144),$O$1:$Q$13,2)-VLOOKUP(MONTH(B144),$O$1:$Q$13,3))),($F144+$G144)/2-($F144-$G144)/2*COS(PI()*(9-VLOOKUP(MONTH(B144),$O$1:$Q$13,3))/(VLOOKUP(MONTH(B144),$O$1:$Q$13,2)-VLOOKUP(MONTH(B144),$O$1:$Q$13,3))),($F144+$G144)/2-($F144-$G144)/2*COS(PI()*(10-VLOOKUP(MONTH(B144),$O$1:$Q$13,3))/(VLOOKUP(MONTH(B144),$O$1:$Q$13,2)-VLOOKUP(MONTH(B144),$O$1:$Q$13,3))),($F144+$G144)/2-($F144-$G144)/2*COS(PI()*(11-VLOOKUP(MONTH(B144),$O$1:$Q$13,3))/(VLOOKUP(MONTH(B144),$O$1:$Q$13,2)-VLOOKUP(MONTH(B144),$O$1:$Q$13,3))),($F144+$G144)/2-($F144-$G144)/2*COS(PI()*(12-VLOOKUP(MONTH(B144),$O$1:$Q$13,3))/(VLOOKUP(MONTH(B144),$O$1:$Q$13,2)-VLOOKUP(MONTH(B144),$O$1:$Q$13,3))),($F144+$G144)/2-($F144-$G144)/2*COS(PI()*(13-VLOOKUP(MONTH(B144),$O$1:$Q$13,3))/(VLOOKUP(MONTH(B144),$O$1:$Q$13,2)-VLOOKUP(MONTH(B144),$O$1:$Q$13,3))),($F144+$G144)/2-($F144-$G144)/2*COS(PI()*(14-VLOOKUP(MONTH(B144),$O$1:$Q$13,3))/(VLOOKUP(MONTH(B144),$O$1:$Q$13,2)-VLOOKUP(MONTH(B144),$O$1:$Q$13,3))))</f>
        <v/>
      </c>
      <c r="M144" s="1">
        <f t="array" ref="M144">IF(AND(A144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,A144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),IF(L144&lt;_xlfn.IFNA(INDEX(_xlfn.ANCHORARRAY(Sintesi!$C$17)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,1,IF(L144&gt;=_xlfn.IFNA(INDEX(_xlfn.ANCHORARRAY(Sintesi!$C$18)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,0,1-(L144-_xlfn.IFNA(INDEX(_xlfn.ANCHORARRAY(Sintesi!$C$17)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)/(_xlfn.IFNA(INDEX(_xlfn.ANCHORARRAY(Sintesi!$C$18)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-_xlfn.IFNA(INDEX(_xlfn.ANCHORARRAY(Sintesi!$C$17)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))),0)</f>
        <v/>
      </c>
    </row>
    <row r="145">
      <c r="A145" s="1">
        <f>'Paste cell here'!A145</f>
        <v/>
      </c>
      <c r="B145" s="2">
        <f>DATE(Sintesi!$C$4-1,12,31)+A145</f>
        <v/>
      </c>
      <c r="C145" s="34">
        <f t="array" ref="C145">_xlfn.IFNA(MATCH(1,(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)*(_xlfn.ANCHORARRAY(Sintesi!$C$15)&gt;=0)+(_xlfn.ANCHORARRAY(Sintesi!$C$15)&lt;0),0),0)</f>
        <v/>
      </c>
      <c r="D145" s="1">
        <f t="array" ref="D145">IF(ISBLANK($E146),IF(ISNUMBER($E144),IF($C145&gt;0,IF(($E145=INDEX(_xlfn.ANCHORARRAY(Sintesi!$C$14),1,$C145))*(INDEX(_xlfn.ANCHORARRAY(Sintesi!$C$15),1,$C145)&gt;0),0,IF(($E145=INDEX(_xlfn.ANCHORARRAY(Sintesi!$C$14),1,$C145))*(INDEX(_xlfn.ANCHORARRAY(Sintesi!$C$15),1,$C145)&lt;0)+($E145&gt;=$E144)*($E145&lt;=INDEX($E:$E,MATCH(TRUE,INDEX((ISNUMBER($E:$E)),0),0)))*($E145&gt;INDEX(_xlfn.ANCHORARRAY(Sintesi!$C$14),1,$C145))*($E145&lt;=INDEX(_xlfn.ANCHORARRAY(Sintesi!$C$15),1,$C145))*(INDEX(_xlfn.ANCHORARRAY(Sintesi!$C$15),1,$C145)&gt;0),1,IF(($E145&gt;=$E144)*($E145&lt;=INDEX($E:$E,MATCH(TRUE,INDEX((ISNUMBER($E:$E)),0),0)))*($E145&gt;INDEX(_xlfn.ANCHORARRAY(Sintesi!$C$14),1,$C145))*($E145&lt;INDEX(_xlfn.ANCHORARRAY(Sintesi!$C$16),1,$C145))*(INDEX(_xlfn.ANCHORARRAY(Sintesi!$C$15),1,$C145)&lt;0)+($E145&gt;=$E144)*($E145&lt;=INDEX($E:$E,MATCH(TRUE,INDEX((ISNUMBER($E:$E)),0),0)))*($E145&gt;INDEX(_xlfn.ANCHORARRAY(Sintesi!$C$15),1,$C145))*($E145&lt;INDEX(_xlfn.ANCHORARRAY(Sintesi!$C$16),1,$C145))*(INDEX(_xlfn.ANCHORARRAY(Sintesi!$C$15),1,$C145)&gt;0),2,IF($E145=(INDEX(_xlfn.ANCHORARRAY(Sintesi!$C$16),1,$C145)),3,4)))),0),IF($C145&gt;0,IF(($E145=INDEX(_xlfn.ANCHORARRAY(Sintesi!$C$14),1,$C145))*(INDEX(_xlfn.ANCHORARRAY(Sintesi!$C$15),1,$C145)&gt;0),0,IF(($E145=INDEX(_xlfn.ANCHORARRAY(Sintesi!$C$14),1,$C145))*(INDEX(_xlfn.ANCHORARRAY(Sintesi!$C$15),1,$C145)&lt;0)+($E145&gt;=LOOKUP(2,1/($E:$E&lt;&gt;""),$E:$E))*($E145&lt;=INDEX($E:$E,MATCH(TRUE,INDEX((ISNUMBER($E:$E)),0),0)))*($E145&gt;INDEX(_xlfn.ANCHORARRAY(Sintesi!$C$14),1,$C145))*($E145&lt;=INDEX(_xlfn.ANCHORARRAY(Sintesi!$C$15),1,$C145))*(INDEX(_xlfn.ANCHORARRAY(Sintesi!$C$15),1,$C145)&gt;0),1,IF(($E145&gt;=LOOKUP(2,1/($E:$E&lt;&gt;""),$E:$E))*($E145&lt;=INDEX($E:$E,MATCH(TRUE,INDEX((ISNUMBER($E:$E)),0),0)))*($E145&gt;INDEX(_xlfn.ANCHORARRAY(Sintesi!$C$14),1,$C145))*($E145&lt;INDEX(_xlfn.ANCHORARRAY(Sintesi!$C$16),1,$C145))*(INDEX(_xlfn.ANCHORARRAY(Sintesi!$C$15),1,$C145)&lt;0)+($E145&gt;=LOOKUP(2,1/($E:$E&lt;&gt;""),$E:$E))*($E145&lt;=INDEX($E:$E,MATCH(TRUE,INDEX((ISNUMBER($E:$E)),0),0)))*($E145&gt;INDEX(_xlfn.ANCHORARRAY(Sintesi!$C$15),1,$C145))*($E145&lt;INDEX(_xlfn.ANCHORARRAY(Sintesi!$C$16),1,$C145))*(INDEX(_xlfn.ANCHORARRAY(Sintesi!$C$15),1,$C145)&gt;0),2,IF($E145=(INDEX(_xlfn.ANCHORARRAY(Sintesi!$C$16),1,$C145)),3,4)))),0)),IF(ISNUMBER($E144),IF($C145&gt;0,IF(($E145=INDEX(_xlfn.ANCHORARRAY(Sintesi!$C$14),1,$C145))*(INDEX(_xlfn.ANCHORARRAY(Sintesi!$C$15),1,$C145)&gt;0),0,IF(($E145=INDEX(_xlfn.ANCHORARRAY(Sintesi!$C$14),1,$C145))*(INDEX(_xlfn.ANCHORARRAY(Sintesi!$C$15),1,$C145)&lt;0)+($E145&gt;=$E144)*($E145&lt;=$E146)*($E145&gt;INDEX(_xlfn.ANCHORARRAY(Sintesi!$C$14),1,$C145))*($E145&lt;=INDEX(_xlfn.ANCHORARRAY(Sintesi!$C$15),1,$C145))*(INDEX(_xlfn.ANCHORARRAY(Sintesi!$C$15),1,$C145)&gt;0),1,IF(($E145&gt;=$E144)*($E145&lt;=$E146)*($E145&gt;INDEX(_xlfn.ANCHORARRAY(Sintesi!$C$14),1,$C145))*($E145&lt;INDEX(_xlfn.ANCHORARRAY(Sintesi!$C$16),1,$C145))*(INDEX(_xlfn.ANCHORARRAY(Sintesi!$C$15),1,$C145)&lt;0)+($E145&gt;=$E144)*($E145&lt;=$E146)*($E145&gt;INDEX(_xlfn.ANCHORARRAY(Sintesi!$C$15),1,$C145))*($E145&lt;INDEX(_xlfn.ANCHORARRAY(Sintesi!$C$16),1,$C145))*(INDEX(_xlfn.ANCHORARRAY(Sintesi!$C$15),1,$C145)&gt;0),2,IF($E145=(INDEX(_xlfn.ANCHORARRAY(Sintesi!$C$16),1,$C145)),3,4)))),0),IF($C145&gt;0,IF(($E145=INDEX(_xlfn.ANCHORARRAY(Sintesi!$C$14),1,$C145))*(INDEX(_xlfn.ANCHORARRAY(Sintesi!$C$15),1,$C145)&gt;0),0,IF(($E145=INDEX(_xlfn.ANCHORARRAY(Sintesi!$C$14),1,$C145))*(INDEX(_xlfn.ANCHORARRAY(Sintesi!$C$15),1,$C145)&lt;0)+($E145&gt;=LOOKUP(2,1/($E:$E&lt;&gt;""),$E:$E))*($E145&lt;=$E146)*($E145&gt;INDEX(_xlfn.ANCHORARRAY(Sintesi!$C$14),1,$C145))*($E145&lt;=INDEX(_xlfn.ANCHORARRAY(Sintesi!$C$15),1,$C145))*(INDEX(_xlfn.ANCHORARRAY(Sintesi!$C$15),1,$C145)&gt;0),1,IF(($E145&gt;=LOOKUP(2,1/($E:$E&lt;&gt;""),$E:$E))*($E145&lt;=$E146)*($E145&gt;INDEX(_xlfn.ANCHORARRAY(Sintesi!$C$14),1,$C145))*($E145&lt;INDEX(_xlfn.ANCHORARRAY(Sintesi!$C$16),1,$C145))*(INDEX(_xlfn.ANCHORARRAY(Sintesi!$C$15),1,$C145)&lt;0)+($E145&gt;=LOOKUP(2,1/($E:$E&lt;&gt;""),$E:$E))*($E145&lt;=$E146)*($E145&gt;INDEX(_xlfn.ANCHORARRAY(Sintesi!$C$15),1,$C145))*($E145&lt;INDEX(_xlfn.ANCHORARRAY(Sintesi!$C$16),1,$C145))*(INDEX(_xlfn.ANCHORARRAY(Sintesi!$C$15),1,$C145)&gt;0),2,IF($E145=(INDEX(_xlfn.ANCHORARRAY(Sintesi!$C$16),1,$C145)),3,4)))),0)))</f>
        <v/>
      </c>
      <c r="E145" s="1">
        <f>'Paste cell here'!F145</f>
        <v/>
      </c>
      <c r="F145" s="1">
        <f>'Paste cell here'!C145</f>
        <v/>
      </c>
      <c r="G145" s="1">
        <f>'Paste cell here'!D145</f>
        <v/>
      </c>
      <c r="H145" s="1">
        <f>'Paste cell here'!E145</f>
        <v/>
      </c>
      <c r="I145" s="1">
        <f>'Paste cell here'!X145</f>
        <v/>
      </c>
      <c r="J145" s="1">
        <f>'Paste cell here'!Y145+'Paste cell here'!S145</f>
        <v/>
      </c>
      <c r="K145" s="1">
        <f>I145/H145</f>
        <v/>
      </c>
      <c r="L145" s="1">
        <f>AVERAGE(($F145+$G145)/2-($F145-$G145)/2*COS(PI()*(8-VLOOKUP(MONTH(B145),$O$1:$Q$13,3))/(VLOOKUP(MONTH(B145),$O$1:$Q$13,2)-VLOOKUP(MONTH(B145),$O$1:$Q$13,3))),($F145+$G145)/2-($F145-$G145)/2*COS(PI()*(9-VLOOKUP(MONTH(B145),$O$1:$Q$13,3))/(VLOOKUP(MONTH(B145),$O$1:$Q$13,2)-VLOOKUP(MONTH(B145),$O$1:$Q$13,3))),($F145+$G145)/2-($F145-$G145)/2*COS(PI()*(10-VLOOKUP(MONTH(B145),$O$1:$Q$13,3))/(VLOOKUP(MONTH(B145),$O$1:$Q$13,2)-VLOOKUP(MONTH(B145),$O$1:$Q$13,3))),($F145+$G145)/2-($F145-$G145)/2*COS(PI()*(11-VLOOKUP(MONTH(B145),$O$1:$Q$13,3))/(VLOOKUP(MONTH(B145),$O$1:$Q$13,2)-VLOOKUP(MONTH(B145),$O$1:$Q$13,3))),($F145+$G145)/2-($F145-$G145)/2*COS(PI()*(12-VLOOKUP(MONTH(B145),$O$1:$Q$13,3))/(VLOOKUP(MONTH(B145),$O$1:$Q$13,2)-VLOOKUP(MONTH(B145),$O$1:$Q$13,3))),($F145+$G145)/2-($F145-$G145)/2*COS(PI()*(13-VLOOKUP(MONTH(B145),$O$1:$Q$13,3))/(VLOOKUP(MONTH(B145),$O$1:$Q$13,2)-VLOOKUP(MONTH(B145),$O$1:$Q$13,3))),($F145+$G145)/2-($F145-$G145)/2*COS(PI()*(14-VLOOKUP(MONTH(B145),$O$1:$Q$13,3))/(VLOOKUP(MONTH(B145),$O$1:$Q$13,2)-VLOOKUP(MONTH(B145),$O$1:$Q$13,3))))</f>
        <v/>
      </c>
      <c r="M145" s="1">
        <f t="array" ref="M145">IF(AND(A145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,A145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),IF(L145&lt;_xlfn.IFNA(INDEX(_xlfn.ANCHORARRAY(Sintesi!$C$17)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,1,IF(L145&gt;=_xlfn.IFNA(INDEX(_xlfn.ANCHORARRAY(Sintesi!$C$18)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,0,1-(L145-_xlfn.IFNA(INDEX(_xlfn.ANCHORARRAY(Sintesi!$C$17)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)/(_xlfn.IFNA(INDEX(_xlfn.ANCHORARRAY(Sintesi!$C$18)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-_xlfn.IFNA(INDEX(_xlfn.ANCHORARRAY(Sintesi!$C$17)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))),0)</f>
        <v/>
      </c>
    </row>
    <row r="146">
      <c r="A146" s="1">
        <f>'Paste cell here'!A146</f>
        <v/>
      </c>
      <c r="B146" s="2">
        <f>DATE(Sintesi!$C$4-1,12,31)+A146</f>
        <v/>
      </c>
      <c r="C146" s="34">
        <f t="array" ref="C146">_xlfn.IFNA(MATCH(1,(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)*(_xlfn.ANCHORARRAY(Sintesi!$C$15)&gt;=0)+(_xlfn.ANCHORARRAY(Sintesi!$C$15)&lt;0),0),0)</f>
        <v/>
      </c>
      <c r="D146" s="1">
        <f t="array" ref="D146">IF(ISBLANK($E147),IF(ISNUMBER($E145),IF($C146&gt;0,IF(($E146=INDEX(_xlfn.ANCHORARRAY(Sintesi!$C$14),1,$C146))*(INDEX(_xlfn.ANCHORARRAY(Sintesi!$C$15),1,$C146)&gt;0),0,IF(($E146=INDEX(_xlfn.ANCHORARRAY(Sintesi!$C$14),1,$C146))*(INDEX(_xlfn.ANCHORARRAY(Sintesi!$C$15),1,$C146)&lt;0)+($E146&gt;=$E145)*($E146&lt;=INDEX($E:$E,MATCH(TRUE,INDEX((ISNUMBER($E:$E)),0),0)))*($E146&gt;INDEX(_xlfn.ANCHORARRAY(Sintesi!$C$14),1,$C146))*($E146&lt;=INDEX(_xlfn.ANCHORARRAY(Sintesi!$C$15),1,$C146))*(INDEX(_xlfn.ANCHORARRAY(Sintesi!$C$15),1,$C146)&gt;0),1,IF(($E146&gt;=$E145)*($E146&lt;=INDEX($E:$E,MATCH(TRUE,INDEX((ISNUMBER($E:$E)),0),0)))*($E146&gt;INDEX(_xlfn.ANCHORARRAY(Sintesi!$C$14),1,$C146))*($E146&lt;INDEX(_xlfn.ANCHORARRAY(Sintesi!$C$16),1,$C146))*(INDEX(_xlfn.ANCHORARRAY(Sintesi!$C$15),1,$C146)&lt;0)+($E146&gt;=$E145)*($E146&lt;=INDEX($E:$E,MATCH(TRUE,INDEX((ISNUMBER($E:$E)),0),0)))*($E146&gt;INDEX(_xlfn.ANCHORARRAY(Sintesi!$C$15),1,$C146))*($E146&lt;INDEX(_xlfn.ANCHORARRAY(Sintesi!$C$16),1,$C146))*(INDEX(_xlfn.ANCHORARRAY(Sintesi!$C$15),1,$C146)&gt;0),2,IF($E146=(INDEX(_xlfn.ANCHORARRAY(Sintesi!$C$16),1,$C146)),3,4)))),0),IF($C146&gt;0,IF(($E146=INDEX(_xlfn.ANCHORARRAY(Sintesi!$C$14),1,$C146))*(INDEX(_xlfn.ANCHORARRAY(Sintesi!$C$15),1,$C146)&gt;0),0,IF(($E146=INDEX(_xlfn.ANCHORARRAY(Sintesi!$C$14),1,$C146))*(INDEX(_xlfn.ANCHORARRAY(Sintesi!$C$15),1,$C146)&lt;0)+($E146&gt;=LOOKUP(2,1/($E:$E&lt;&gt;""),$E:$E))*($E146&lt;=INDEX($E:$E,MATCH(TRUE,INDEX((ISNUMBER($E:$E)),0),0)))*($E146&gt;INDEX(_xlfn.ANCHORARRAY(Sintesi!$C$14),1,$C146))*($E146&lt;=INDEX(_xlfn.ANCHORARRAY(Sintesi!$C$15),1,$C146))*(INDEX(_xlfn.ANCHORARRAY(Sintesi!$C$15),1,$C146)&gt;0),1,IF(($E146&gt;=LOOKUP(2,1/($E:$E&lt;&gt;""),$E:$E))*($E146&lt;=INDEX($E:$E,MATCH(TRUE,INDEX((ISNUMBER($E:$E)),0),0)))*($E146&gt;INDEX(_xlfn.ANCHORARRAY(Sintesi!$C$14),1,$C146))*($E146&lt;INDEX(_xlfn.ANCHORARRAY(Sintesi!$C$16),1,$C146))*(INDEX(_xlfn.ANCHORARRAY(Sintesi!$C$15),1,$C146)&lt;0)+($E146&gt;=LOOKUP(2,1/($E:$E&lt;&gt;""),$E:$E))*($E146&lt;=INDEX($E:$E,MATCH(TRUE,INDEX((ISNUMBER($E:$E)),0),0)))*($E146&gt;INDEX(_xlfn.ANCHORARRAY(Sintesi!$C$15),1,$C146))*($E146&lt;INDEX(_xlfn.ANCHORARRAY(Sintesi!$C$16),1,$C146))*(INDEX(_xlfn.ANCHORARRAY(Sintesi!$C$15),1,$C146)&gt;0),2,IF($E146=(INDEX(_xlfn.ANCHORARRAY(Sintesi!$C$16),1,$C146)),3,4)))),0)),IF(ISNUMBER($E145),IF($C146&gt;0,IF(($E146=INDEX(_xlfn.ANCHORARRAY(Sintesi!$C$14),1,$C146))*(INDEX(_xlfn.ANCHORARRAY(Sintesi!$C$15),1,$C146)&gt;0),0,IF(($E146=INDEX(_xlfn.ANCHORARRAY(Sintesi!$C$14),1,$C146))*(INDEX(_xlfn.ANCHORARRAY(Sintesi!$C$15),1,$C146)&lt;0)+($E146&gt;=$E145)*($E146&lt;=$E147)*($E146&gt;INDEX(_xlfn.ANCHORARRAY(Sintesi!$C$14),1,$C146))*($E146&lt;=INDEX(_xlfn.ANCHORARRAY(Sintesi!$C$15),1,$C146))*(INDEX(_xlfn.ANCHORARRAY(Sintesi!$C$15),1,$C146)&gt;0),1,IF(($E146&gt;=$E145)*($E146&lt;=$E147)*($E146&gt;INDEX(_xlfn.ANCHORARRAY(Sintesi!$C$14),1,$C146))*($E146&lt;INDEX(_xlfn.ANCHORARRAY(Sintesi!$C$16),1,$C146))*(INDEX(_xlfn.ANCHORARRAY(Sintesi!$C$15),1,$C146)&lt;0)+($E146&gt;=$E145)*($E146&lt;=$E147)*($E146&gt;INDEX(_xlfn.ANCHORARRAY(Sintesi!$C$15),1,$C146))*($E146&lt;INDEX(_xlfn.ANCHORARRAY(Sintesi!$C$16),1,$C146))*(INDEX(_xlfn.ANCHORARRAY(Sintesi!$C$15),1,$C146)&gt;0),2,IF($E146=(INDEX(_xlfn.ANCHORARRAY(Sintesi!$C$16),1,$C146)),3,4)))),0),IF($C146&gt;0,IF(($E146=INDEX(_xlfn.ANCHORARRAY(Sintesi!$C$14),1,$C146))*(INDEX(_xlfn.ANCHORARRAY(Sintesi!$C$15),1,$C146)&gt;0),0,IF(($E146=INDEX(_xlfn.ANCHORARRAY(Sintesi!$C$14),1,$C146))*(INDEX(_xlfn.ANCHORARRAY(Sintesi!$C$15),1,$C146)&lt;0)+($E146&gt;=LOOKUP(2,1/($E:$E&lt;&gt;""),$E:$E))*($E146&lt;=$E147)*($E146&gt;INDEX(_xlfn.ANCHORARRAY(Sintesi!$C$14),1,$C146))*($E146&lt;=INDEX(_xlfn.ANCHORARRAY(Sintesi!$C$15),1,$C146))*(INDEX(_xlfn.ANCHORARRAY(Sintesi!$C$15),1,$C146)&gt;0),1,IF(($E146&gt;=LOOKUP(2,1/($E:$E&lt;&gt;""),$E:$E))*($E146&lt;=$E147)*($E146&gt;INDEX(_xlfn.ANCHORARRAY(Sintesi!$C$14),1,$C146))*($E146&lt;INDEX(_xlfn.ANCHORARRAY(Sintesi!$C$16),1,$C146))*(INDEX(_xlfn.ANCHORARRAY(Sintesi!$C$15),1,$C146)&lt;0)+($E146&gt;=LOOKUP(2,1/($E:$E&lt;&gt;""),$E:$E))*($E146&lt;=$E147)*($E146&gt;INDEX(_xlfn.ANCHORARRAY(Sintesi!$C$15),1,$C146))*($E146&lt;INDEX(_xlfn.ANCHORARRAY(Sintesi!$C$16),1,$C146))*(INDEX(_xlfn.ANCHORARRAY(Sintesi!$C$15),1,$C146)&gt;0),2,IF($E146=(INDEX(_xlfn.ANCHORARRAY(Sintesi!$C$16),1,$C146)),3,4)))),0)))</f>
        <v/>
      </c>
      <c r="E146" s="1">
        <f>'Paste cell here'!F146</f>
        <v/>
      </c>
      <c r="F146" s="1">
        <f>'Paste cell here'!C146</f>
        <v/>
      </c>
      <c r="G146" s="1">
        <f>'Paste cell here'!D146</f>
        <v/>
      </c>
      <c r="H146" s="1">
        <f>'Paste cell here'!E146</f>
        <v/>
      </c>
      <c r="I146" s="1">
        <f>'Paste cell here'!X146</f>
        <v/>
      </c>
      <c r="J146" s="1">
        <f>'Paste cell here'!Y146+'Paste cell here'!S146</f>
        <v/>
      </c>
      <c r="K146" s="1">
        <f>I146/H146</f>
        <v/>
      </c>
      <c r="L146" s="1">
        <f>AVERAGE(($F146+$G146)/2-($F146-$G146)/2*COS(PI()*(8-VLOOKUP(MONTH(B146),$O$1:$Q$13,3))/(VLOOKUP(MONTH(B146),$O$1:$Q$13,2)-VLOOKUP(MONTH(B146),$O$1:$Q$13,3))),($F146+$G146)/2-($F146-$G146)/2*COS(PI()*(9-VLOOKUP(MONTH(B146),$O$1:$Q$13,3))/(VLOOKUP(MONTH(B146),$O$1:$Q$13,2)-VLOOKUP(MONTH(B146),$O$1:$Q$13,3))),($F146+$G146)/2-($F146-$G146)/2*COS(PI()*(10-VLOOKUP(MONTH(B146),$O$1:$Q$13,3))/(VLOOKUP(MONTH(B146),$O$1:$Q$13,2)-VLOOKUP(MONTH(B146),$O$1:$Q$13,3))),($F146+$G146)/2-($F146-$G146)/2*COS(PI()*(11-VLOOKUP(MONTH(B146),$O$1:$Q$13,3))/(VLOOKUP(MONTH(B146),$O$1:$Q$13,2)-VLOOKUP(MONTH(B146),$O$1:$Q$13,3))),($F146+$G146)/2-($F146-$G146)/2*COS(PI()*(12-VLOOKUP(MONTH(B146),$O$1:$Q$13,3))/(VLOOKUP(MONTH(B146),$O$1:$Q$13,2)-VLOOKUP(MONTH(B146),$O$1:$Q$13,3))),($F146+$G146)/2-($F146-$G146)/2*COS(PI()*(13-VLOOKUP(MONTH(B146),$O$1:$Q$13,3))/(VLOOKUP(MONTH(B146),$O$1:$Q$13,2)-VLOOKUP(MONTH(B146),$O$1:$Q$13,3))),($F146+$G146)/2-($F146-$G146)/2*COS(PI()*(14-VLOOKUP(MONTH(B146),$O$1:$Q$13,3))/(VLOOKUP(MONTH(B146),$O$1:$Q$13,2)-VLOOKUP(MONTH(B146),$O$1:$Q$13,3))))</f>
        <v/>
      </c>
      <c r="M146" s="1">
        <f t="array" ref="M146">IF(AND(A146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,A146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),IF(L146&lt;_xlfn.IFNA(INDEX(_xlfn.ANCHORARRAY(Sintesi!$C$17)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,1,IF(L146&gt;=_xlfn.IFNA(INDEX(_xlfn.ANCHORARRAY(Sintesi!$C$18)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,0,1-(L146-_xlfn.IFNA(INDEX(_xlfn.ANCHORARRAY(Sintesi!$C$17)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)/(_xlfn.IFNA(INDEX(_xlfn.ANCHORARRAY(Sintesi!$C$18)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-_xlfn.IFNA(INDEX(_xlfn.ANCHORARRAY(Sintesi!$C$17)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))),0)</f>
        <v/>
      </c>
    </row>
    <row r="147">
      <c r="A147" s="1">
        <f>'Paste cell here'!A147</f>
        <v/>
      </c>
      <c r="B147" s="2">
        <f>DATE(Sintesi!$C$4-1,12,31)+A147</f>
        <v/>
      </c>
      <c r="C147" s="34">
        <f t="array" ref="C147">_xlfn.IFNA(MATCH(1,(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)*(_xlfn.ANCHORARRAY(Sintesi!$C$15)&gt;=0)+(_xlfn.ANCHORARRAY(Sintesi!$C$15)&lt;0),0),0)</f>
        <v/>
      </c>
      <c r="D147" s="1">
        <f t="array" ref="D147">IF(ISBLANK($E148),IF(ISNUMBER($E146),IF($C147&gt;0,IF(($E147=INDEX(_xlfn.ANCHORARRAY(Sintesi!$C$14),1,$C147))*(INDEX(_xlfn.ANCHORARRAY(Sintesi!$C$15),1,$C147)&gt;0),0,IF(($E147=INDEX(_xlfn.ANCHORARRAY(Sintesi!$C$14),1,$C147))*(INDEX(_xlfn.ANCHORARRAY(Sintesi!$C$15),1,$C147)&lt;0)+($E147&gt;=$E146)*($E147&lt;=INDEX($E:$E,MATCH(TRUE,INDEX((ISNUMBER($E:$E)),0),0)))*($E147&gt;INDEX(_xlfn.ANCHORARRAY(Sintesi!$C$14),1,$C147))*($E147&lt;=INDEX(_xlfn.ANCHORARRAY(Sintesi!$C$15),1,$C147))*(INDEX(_xlfn.ANCHORARRAY(Sintesi!$C$15),1,$C147)&gt;0),1,IF(($E147&gt;=$E146)*($E147&lt;=INDEX($E:$E,MATCH(TRUE,INDEX((ISNUMBER($E:$E)),0),0)))*($E147&gt;INDEX(_xlfn.ANCHORARRAY(Sintesi!$C$14),1,$C147))*($E147&lt;INDEX(_xlfn.ANCHORARRAY(Sintesi!$C$16),1,$C147))*(INDEX(_xlfn.ANCHORARRAY(Sintesi!$C$15),1,$C147)&lt;0)+($E147&gt;=$E146)*($E147&lt;=INDEX($E:$E,MATCH(TRUE,INDEX((ISNUMBER($E:$E)),0),0)))*($E147&gt;INDEX(_xlfn.ANCHORARRAY(Sintesi!$C$15),1,$C147))*($E147&lt;INDEX(_xlfn.ANCHORARRAY(Sintesi!$C$16),1,$C147))*(INDEX(_xlfn.ANCHORARRAY(Sintesi!$C$15),1,$C147)&gt;0),2,IF($E147=(INDEX(_xlfn.ANCHORARRAY(Sintesi!$C$16),1,$C147)),3,4)))),0),IF($C147&gt;0,IF(($E147=INDEX(_xlfn.ANCHORARRAY(Sintesi!$C$14),1,$C147))*(INDEX(_xlfn.ANCHORARRAY(Sintesi!$C$15),1,$C147)&gt;0),0,IF(($E147=INDEX(_xlfn.ANCHORARRAY(Sintesi!$C$14),1,$C147))*(INDEX(_xlfn.ANCHORARRAY(Sintesi!$C$15),1,$C147)&lt;0)+($E147&gt;=LOOKUP(2,1/($E:$E&lt;&gt;""),$E:$E))*($E147&lt;=INDEX($E:$E,MATCH(TRUE,INDEX((ISNUMBER($E:$E)),0),0)))*($E147&gt;INDEX(_xlfn.ANCHORARRAY(Sintesi!$C$14),1,$C147))*($E147&lt;=INDEX(_xlfn.ANCHORARRAY(Sintesi!$C$15),1,$C147))*(INDEX(_xlfn.ANCHORARRAY(Sintesi!$C$15),1,$C147)&gt;0),1,IF(($E147&gt;=LOOKUP(2,1/($E:$E&lt;&gt;""),$E:$E))*($E147&lt;=INDEX($E:$E,MATCH(TRUE,INDEX((ISNUMBER($E:$E)),0),0)))*($E147&gt;INDEX(_xlfn.ANCHORARRAY(Sintesi!$C$14),1,$C147))*($E147&lt;INDEX(_xlfn.ANCHORARRAY(Sintesi!$C$16),1,$C147))*(INDEX(_xlfn.ANCHORARRAY(Sintesi!$C$15),1,$C147)&lt;0)+($E147&gt;=LOOKUP(2,1/($E:$E&lt;&gt;""),$E:$E))*($E147&lt;=INDEX($E:$E,MATCH(TRUE,INDEX((ISNUMBER($E:$E)),0),0)))*($E147&gt;INDEX(_xlfn.ANCHORARRAY(Sintesi!$C$15),1,$C147))*($E147&lt;INDEX(_xlfn.ANCHORARRAY(Sintesi!$C$16),1,$C147))*(INDEX(_xlfn.ANCHORARRAY(Sintesi!$C$15),1,$C147)&gt;0),2,IF($E147=(INDEX(_xlfn.ANCHORARRAY(Sintesi!$C$16),1,$C147)),3,4)))),0)),IF(ISNUMBER($E146),IF($C147&gt;0,IF(($E147=INDEX(_xlfn.ANCHORARRAY(Sintesi!$C$14),1,$C147))*(INDEX(_xlfn.ANCHORARRAY(Sintesi!$C$15),1,$C147)&gt;0),0,IF(($E147=INDEX(_xlfn.ANCHORARRAY(Sintesi!$C$14),1,$C147))*(INDEX(_xlfn.ANCHORARRAY(Sintesi!$C$15),1,$C147)&lt;0)+($E147&gt;=$E146)*($E147&lt;=$E148)*($E147&gt;INDEX(_xlfn.ANCHORARRAY(Sintesi!$C$14),1,$C147))*($E147&lt;=INDEX(_xlfn.ANCHORARRAY(Sintesi!$C$15),1,$C147))*(INDEX(_xlfn.ANCHORARRAY(Sintesi!$C$15),1,$C147)&gt;0),1,IF(($E147&gt;=$E146)*($E147&lt;=$E148)*($E147&gt;INDEX(_xlfn.ANCHORARRAY(Sintesi!$C$14),1,$C147))*($E147&lt;INDEX(_xlfn.ANCHORARRAY(Sintesi!$C$16),1,$C147))*(INDEX(_xlfn.ANCHORARRAY(Sintesi!$C$15),1,$C147)&lt;0)+($E147&gt;=$E146)*($E147&lt;=$E148)*($E147&gt;INDEX(_xlfn.ANCHORARRAY(Sintesi!$C$15),1,$C147))*($E147&lt;INDEX(_xlfn.ANCHORARRAY(Sintesi!$C$16),1,$C147))*(INDEX(_xlfn.ANCHORARRAY(Sintesi!$C$15),1,$C147)&gt;0),2,IF($E147=(INDEX(_xlfn.ANCHORARRAY(Sintesi!$C$16),1,$C147)),3,4)))),0),IF($C147&gt;0,IF(($E147=INDEX(_xlfn.ANCHORARRAY(Sintesi!$C$14),1,$C147))*(INDEX(_xlfn.ANCHORARRAY(Sintesi!$C$15),1,$C147)&gt;0),0,IF(($E147=INDEX(_xlfn.ANCHORARRAY(Sintesi!$C$14),1,$C147))*(INDEX(_xlfn.ANCHORARRAY(Sintesi!$C$15),1,$C147)&lt;0)+($E147&gt;=LOOKUP(2,1/($E:$E&lt;&gt;""),$E:$E))*($E147&lt;=$E148)*($E147&gt;INDEX(_xlfn.ANCHORARRAY(Sintesi!$C$14),1,$C147))*($E147&lt;=INDEX(_xlfn.ANCHORARRAY(Sintesi!$C$15),1,$C147))*(INDEX(_xlfn.ANCHORARRAY(Sintesi!$C$15),1,$C147)&gt;0),1,IF(($E147&gt;=LOOKUP(2,1/($E:$E&lt;&gt;""),$E:$E))*($E147&lt;=$E148)*($E147&gt;INDEX(_xlfn.ANCHORARRAY(Sintesi!$C$14),1,$C147))*($E147&lt;INDEX(_xlfn.ANCHORARRAY(Sintesi!$C$16),1,$C147))*(INDEX(_xlfn.ANCHORARRAY(Sintesi!$C$15),1,$C147)&lt;0)+($E147&gt;=LOOKUP(2,1/($E:$E&lt;&gt;""),$E:$E))*($E147&lt;=$E148)*($E147&gt;INDEX(_xlfn.ANCHORARRAY(Sintesi!$C$15),1,$C147))*($E147&lt;INDEX(_xlfn.ANCHORARRAY(Sintesi!$C$16),1,$C147))*(INDEX(_xlfn.ANCHORARRAY(Sintesi!$C$15),1,$C147)&gt;0),2,IF($E147=(INDEX(_xlfn.ANCHORARRAY(Sintesi!$C$16),1,$C147)),3,4)))),0)))</f>
        <v/>
      </c>
      <c r="E147" s="1">
        <f>'Paste cell here'!F147</f>
        <v/>
      </c>
      <c r="F147" s="1">
        <f>'Paste cell here'!C147</f>
        <v/>
      </c>
      <c r="G147" s="1">
        <f>'Paste cell here'!D147</f>
        <v/>
      </c>
      <c r="H147" s="1">
        <f>'Paste cell here'!E147</f>
        <v/>
      </c>
      <c r="I147" s="1">
        <f>'Paste cell here'!X147</f>
        <v/>
      </c>
      <c r="J147" s="1">
        <f>'Paste cell here'!Y147+'Paste cell here'!S147</f>
        <v/>
      </c>
      <c r="K147" s="1">
        <f>I147/H147</f>
        <v/>
      </c>
      <c r="L147" s="1">
        <f>AVERAGE(($F147+$G147)/2-($F147-$G147)/2*COS(PI()*(8-VLOOKUP(MONTH(B147),$O$1:$Q$13,3))/(VLOOKUP(MONTH(B147),$O$1:$Q$13,2)-VLOOKUP(MONTH(B147),$O$1:$Q$13,3))),($F147+$G147)/2-($F147-$G147)/2*COS(PI()*(9-VLOOKUP(MONTH(B147),$O$1:$Q$13,3))/(VLOOKUP(MONTH(B147),$O$1:$Q$13,2)-VLOOKUP(MONTH(B147),$O$1:$Q$13,3))),($F147+$G147)/2-($F147-$G147)/2*COS(PI()*(10-VLOOKUP(MONTH(B147),$O$1:$Q$13,3))/(VLOOKUP(MONTH(B147),$O$1:$Q$13,2)-VLOOKUP(MONTH(B147),$O$1:$Q$13,3))),($F147+$G147)/2-($F147-$G147)/2*COS(PI()*(11-VLOOKUP(MONTH(B147),$O$1:$Q$13,3))/(VLOOKUP(MONTH(B147),$O$1:$Q$13,2)-VLOOKUP(MONTH(B147),$O$1:$Q$13,3))),($F147+$G147)/2-($F147-$G147)/2*COS(PI()*(12-VLOOKUP(MONTH(B147),$O$1:$Q$13,3))/(VLOOKUP(MONTH(B147),$O$1:$Q$13,2)-VLOOKUP(MONTH(B147),$O$1:$Q$13,3))),($F147+$G147)/2-($F147-$G147)/2*COS(PI()*(13-VLOOKUP(MONTH(B147),$O$1:$Q$13,3))/(VLOOKUP(MONTH(B147),$O$1:$Q$13,2)-VLOOKUP(MONTH(B147),$O$1:$Q$13,3))),($F147+$G147)/2-($F147-$G147)/2*COS(PI()*(14-VLOOKUP(MONTH(B147),$O$1:$Q$13,3))/(VLOOKUP(MONTH(B147),$O$1:$Q$13,2)-VLOOKUP(MONTH(B147),$O$1:$Q$13,3))))</f>
        <v/>
      </c>
      <c r="M147" s="1">
        <f t="array" ref="M147">IF(AND(A147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,A147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),IF(L147&lt;_xlfn.IFNA(INDEX(_xlfn.ANCHORARRAY(Sintesi!$C$17)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,1,IF(L147&gt;=_xlfn.IFNA(INDEX(_xlfn.ANCHORARRAY(Sintesi!$C$18)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,0,1-(L147-_xlfn.IFNA(INDEX(_xlfn.ANCHORARRAY(Sintesi!$C$17)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)/(_xlfn.IFNA(INDEX(_xlfn.ANCHORARRAY(Sintesi!$C$18)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-_xlfn.IFNA(INDEX(_xlfn.ANCHORARRAY(Sintesi!$C$17)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))),0)</f>
        <v/>
      </c>
    </row>
    <row r="148">
      <c r="A148" s="1">
        <f>'Paste cell here'!A148</f>
        <v/>
      </c>
      <c r="B148" s="2">
        <f>DATE(Sintesi!$C$4-1,12,31)+A148</f>
        <v/>
      </c>
      <c r="C148" s="34">
        <f t="array" ref="C148">_xlfn.IFNA(MATCH(1,(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)*(_xlfn.ANCHORARRAY(Sintesi!$C$15)&gt;=0)+(_xlfn.ANCHORARRAY(Sintesi!$C$15)&lt;0),0),0)</f>
        <v/>
      </c>
      <c r="D148" s="1">
        <f t="array" ref="D148">IF(ISBLANK($E149),IF(ISNUMBER($E147),IF($C148&gt;0,IF(($E148=INDEX(_xlfn.ANCHORARRAY(Sintesi!$C$14),1,$C148))*(INDEX(_xlfn.ANCHORARRAY(Sintesi!$C$15),1,$C148)&gt;0),0,IF(($E148=INDEX(_xlfn.ANCHORARRAY(Sintesi!$C$14),1,$C148))*(INDEX(_xlfn.ANCHORARRAY(Sintesi!$C$15),1,$C148)&lt;0)+($E148&gt;=$E147)*($E148&lt;=INDEX($E:$E,MATCH(TRUE,INDEX((ISNUMBER($E:$E)),0),0)))*($E148&gt;INDEX(_xlfn.ANCHORARRAY(Sintesi!$C$14),1,$C148))*($E148&lt;=INDEX(_xlfn.ANCHORARRAY(Sintesi!$C$15),1,$C148))*(INDEX(_xlfn.ANCHORARRAY(Sintesi!$C$15),1,$C148)&gt;0),1,IF(($E148&gt;=$E147)*($E148&lt;=INDEX($E:$E,MATCH(TRUE,INDEX((ISNUMBER($E:$E)),0),0)))*($E148&gt;INDEX(_xlfn.ANCHORARRAY(Sintesi!$C$14),1,$C148))*($E148&lt;INDEX(_xlfn.ANCHORARRAY(Sintesi!$C$16),1,$C148))*(INDEX(_xlfn.ANCHORARRAY(Sintesi!$C$15),1,$C148)&lt;0)+($E148&gt;=$E147)*($E148&lt;=INDEX($E:$E,MATCH(TRUE,INDEX((ISNUMBER($E:$E)),0),0)))*($E148&gt;INDEX(_xlfn.ANCHORARRAY(Sintesi!$C$15),1,$C148))*($E148&lt;INDEX(_xlfn.ANCHORARRAY(Sintesi!$C$16),1,$C148))*(INDEX(_xlfn.ANCHORARRAY(Sintesi!$C$15),1,$C148)&gt;0),2,IF($E148=(INDEX(_xlfn.ANCHORARRAY(Sintesi!$C$16),1,$C148)),3,4)))),0),IF($C148&gt;0,IF(($E148=INDEX(_xlfn.ANCHORARRAY(Sintesi!$C$14),1,$C148))*(INDEX(_xlfn.ANCHORARRAY(Sintesi!$C$15),1,$C148)&gt;0),0,IF(($E148=INDEX(_xlfn.ANCHORARRAY(Sintesi!$C$14),1,$C148))*(INDEX(_xlfn.ANCHORARRAY(Sintesi!$C$15),1,$C148)&lt;0)+($E148&gt;=LOOKUP(2,1/($E:$E&lt;&gt;""),$E:$E))*($E148&lt;=INDEX($E:$E,MATCH(TRUE,INDEX((ISNUMBER($E:$E)),0),0)))*($E148&gt;INDEX(_xlfn.ANCHORARRAY(Sintesi!$C$14),1,$C148))*($E148&lt;=INDEX(_xlfn.ANCHORARRAY(Sintesi!$C$15),1,$C148))*(INDEX(_xlfn.ANCHORARRAY(Sintesi!$C$15),1,$C148)&gt;0),1,IF(($E148&gt;=LOOKUP(2,1/($E:$E&lt;&gt;""),$E:$E))*($E148&lt;=INDEX($E:$E,MATCH(TRUE,INDEX((ISNUMBER($E:$E)),0),0)))*($E148&gt;INDEX(_xlfn.ANCHORARRAY(Sintesi!$C$14),1,$C148))*($E148&lt;INDEX(_xlfn.ANCHORARRAY(Sintesi!$C$16),1,$C148))*(INDEX(_xlfn.ANCHORARRAY(Sintesi!$C$15),1,$C148)&lt;0)+($E148&gt;=LOOKUP(2,1/($E:$E&lt;&gt;""),$E:$E))*($E148&lt;=INDEX($E:$E,MATCH(TRUE,INDEX((ISNUMBER($E:$E)),0),0)))*($E148&gt;INDEX(_xlfn.ANCHORARRAY(Sintesi!$C$15),1,$C148))*($E148&lt;INDEX(_xlfn.ANCHORARRAY(Sintesi!$C$16),1,$C148))*(INDEX(_xlfn.ANCHORARRAY(Sintesi!$C$15),1,$C148)&gt;0),2,IF($E148=(INDEX(_xlfn.ANCHORARRAY(Sintesi!$C$16),1,$C148)),3,4)))),0)),IF(ISNUMBER($E147),IF($C148&gt;0,IF(($E148=INDEX(_xlfn.ANCHORARRAY(Sintesi!$C$14),1,$C148))*(INDEX(_xlfn.ANCHORARRAY(Sintesi!$C$15),1,$C148)&gt;0),0,IF(($E148=INDEX(_xlfn.ANCHORARRAY(Sintesi!$C$14),1,$C148))*(INDEX(_xlfn.ANCHORARRAY(Sintesi!$C$15),1,$C148)&lt;0)+($E148&gt;=$E147)*($E148&lt;=$E149)*($E148&gt;INDEX(_xlfn.ANCHORARRAY(Sintesi!$C$14),1,$C148))*($E148&lt;=INDEX(_xlfn.ANCHORARRAY(Sintesi!$C$15),1,$C148))*(INDEX(_xlfn.ANCHORARRAY(Sintesi!$C$15),1,$C148)&gt;0),1,IF(($E148&gt;=$E147)*($E148&lt;=$E149)*($E148&gt;INDEX(_xlfn.ANCHORARRAY(Sintesi!$C$14),1,$C148))*($E148&lt;INDEX(_xlfn.ANCHORARRAY(Sintesi!$C$16),1,$C148))*(INDEX(_xlfn.ANCHORARRAY(Sintesi!$C$15),1,$C148)&lt;0)+($E148&gt;=$E147)*($E148&lt;=$E149)*($E148&gt;INDEX(_xlfn.ANCHORARRAY(Sintesi!$C$15),1,$C148))*($E148&lt;INDEX(_xlfn.ANCHORARRAY(Sintesi!$C$16),1,$C148))*(INDEX(_xlfn.ANCHORARRAY(Sintesi!$C$15),1,$C148)&gt;0),2,IF($E148=(INDEX(_xlfn.ANCHORARRAY(Sintesi!$C$16),1,$C148)),3,4)))),0),IF($C148&gt;0,IF(($E148=INDEX(_xlfn.ANCHORARRAY(Sintesi!$C$14),1,$C148))*(INDEX(_xlfn.ANCHORARRAY(Sintesi!$C$15),1,$C148)&gt;0),0,IF(($E148=INDEX(_xlfn.ANCHORARRAY(Sintesi!$C$14),1,$C148))*(INDEX(_xlfn.ANCHORARRAY(Sintesi!$C$15),1,$C148)&lt;0)+($E148&gt;=LOOKUP(2,1/($E:$E&lt;&gt;""),$E:$E))*($E148&lt;=$E149)*($E148&gt;INDEX(_xlfn.ANCHORARRAY(Sintesi!$C$14),1,$C148))*($E148&lt;=INDEX(_xlfn.ANCHORARRAY(Sintesi!$C$15),1,$C148))*(INDEX(_xlfn.ANCHORARRAY(Sintesi!$C$15),1,$C148)&gt;0),1,IF(($E148&gt;=LOOKUP(2,1/($E:$E&lt;&gt;""),$E:$E))*($E148&lt;=$E149)*($E148&gt;INDEX(_xlfn.ANCHORARRAY(Sintesi!$C$14),1,$C148))*($E148&lt;INDEX(_xlfn.ANCHORARRAY(Sintesi!$C$16),1,$C148))*(INDEX(_xlfn.ANCHORARRAY(Sintesi!$C$15),1,$C148)&lt;0)+($E148&gt;=LOOKUP(2,1/($E:$E&lt;&gt;""),$E:$E))*($E148&lt;=$E149)*($E148&gt;INDEX(_xlfn.ANCHORARRAY(Sintesi!$C$15),1,$C148))*($E148&lt;INDEX(_xlfn.ANCHORARRAY(Sintesi!$C$16),1,$C148))*(INDEX(_xlfn.ANCHORARRAY(Sintesi!$C$15),1,$C148)&gt;0),2,IF($E148=(INDEX(_xlfn.ANCHORARRAY(Sintesi!$C$16),1,$C148)),3,4)))),0)))</f>
        <v/>
      </c>
      <c r="E148" s="1">
        <f>'Paste cell here'!F148</f>
        <v/>
      </c>
      <c r="F148" s="1">
        <f>'Paste cell here'!C148</f>
        <v/>
      </c>
      <c r="G148" s="1">
        <f>'Paste cell here'!D148</f>
        <v/>
      </c>
      <c r="H148" s="1">
        <f>'Paste cell here'!E148</f>
        <v/>
      </c>
      <c r="I148" s="1">
        <f>'Paste cell here'!X148</f>
        <v/>
      </c>
      <c r="J148" s="1">
        <f>'Paste cell here'!Y148+'Paste cell here'!S148</f>
        <v/>
      </c>
      <c r="K148" s="1">
        <f>I148/H148</f>
        <v/>
      </c>
      <c r="L148" s="1">
        <f>AVERAGE(($F148+$G148)/2-($F148-$G148)/2*COS(PI()*(8-VLOOKUP(MONTH(B148),$O$1:$Q$13,3))/(VLOOKUP(MONTH(B148),$O$1:$Q$13,2)-VLOOKUP(MONTH(B148),$O$1:$Q$13,3))),($F148+$G148)/2-($F148-$G148)/2*COS(PI()*(9-VLOOKUP(MONTH(B148),$O$1:$Q$13,3))/(VLOOKUP(MONTH(B148),$O$1:$Q$13,2)-VLOOKUP(MONTH(B148),$O$1:$Q$13,3))),($F148+$G148)/2-($F148-$G148)/2*COS(PI()*(10-VLOOKUP(MONTH(B148),$O$1:$Q$13,3))/(VLOOKUP(MONTH(B148),$O$1:$Q$13,2)-VLOOKUP(MONTH(B148),$O$1:$Q$13,3))),($F148+$G148)/2-($F148-$G148)/2*COS(PI()*(11-VLOOKUP(MONTH(B148),$O$1:$Q$13,3))/(VLOOKUP(MONTH(B148),$O$1:$Q$13,2)-VLOOKUP(MONTH(B148),$O$1:$Q$13,3))),($F148+$G148)/2-($F148-$G148)/2*COS(PI()*(12-VLOOKUP(MONTH(B148),$O$1:$Q$13,3))/(VLOOKUP(MONTH(B148),$O$1:$Q$13,2)-VLOOKUP(MONTH(B148),$O$1:$Q$13,3))),($F148+$G148)/2-($F148-$G148)/2*COS(PI()*(13-VLOOKUP(MONTH(B148),$O$1:$Q$13,3))/(VLOOKUP(MONTH(B148),$O$1:$Q$13,2)-VLOOKUP(MONTH(B148),$O$1:$Q$13,3))),($F148+$G148)/2-($F148-$G148)/2*COS(PI()*(14-VLOOKUP(MONTH(B148),$O$1:$Q$13,3))/(VLOOKUP(MONTH(B148),$O$1:$Q$13,2)-VLOOKUP(MONTH(B148),$O$1:$Q$13,3))))</f>
        <v/>
      </c>
      <c r="M148" s="1">
        <f t="array" ref="M148">IF(AND(A148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,A148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),IF(L148&lt;_xlfn.IFNA(INDEX(_xlfn.ANCHORARRAY(Sintesi!$C$17)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,1,IF(L148&gt;=_xlfn.IFNA(INDEX(_xlfn.ANCHORARRAY(Sintesi!$C$18)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,0,1-(L148-_xlfn.IFNA(INDEX(_xlfn.ANCHORARRAY(Sintesi!$C$17)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)/(_xlfn.IFNA(INDEX(_xlfn.ANCHORARRAY(Sintesi!$C$18)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-_xlfn.IFNA(INDEX(_xlfn.ANCHORARRAY(Sintesi!$C$17)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))),0)</f>
        <v/>
      </c>
    </row>
    <row r="149">
      <c r="A149" s="1">
        <f>'Paste cell here'!A149</f>
        <v/>
      </c>
      <c r="B149" s="2">
        <f>DATE(Sintesi!$C$4-1,12,31)+A149</f>
        <v/>
      </c>
      <c r="C149" s="34">
        <f t="array" ref="C149">_xlfn.IFNA(MATCH(1,(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)*(_xlfn.ANCHORARRAY(Sintesi!$C$15)&gt;=0)+(_xlfn.ANCHORARRAY(Sintesi!$C$15)&lt;0),0),0)</f>
        <v/>
      </c>
      <c r="D149" s="1">
        <f t="array" ref="D149">IF(ISBLANK($E150),IF(ISNUMBER($E148),IF($C149&gt;0,IF(($E149=INDEX(_xlfn.ANCHORARRAY(Sintesi!$C$14),1,$C149))*(INDEX(_xlfn.ANCHORARRAY(Sintesi!$C$15),1,$C149)&gt;0),0,IF(($E149=INDEX(_xlfn.ANCHORARRAY(Sintesi!$C$14),1,$C149))*(INDEX(_xlfn.ANCHORARRAY(Sintesi!$C$15),1,$C149)&lt;0)+($E149&gt;=$E148)*($E149&lt;=INDEX($E:$E,MATCH(TRUE,INDEX((ISNUMBER($E:$E)),0),0)))*($E149&gt;INDEX(_xlfn.ANCHORARRAY(Sintesi!$C$14),1,$C149))*($E149&lt;=INDEX(_xlfn.ANCHORARRAY(Sintesi!$C$15),1,$C149))*(INDEX(_xlfn.ANCHORARRAY(Sintesi!$C$15),1,$C149)&gt;0),1,IF(($E149&gt;=$E148)*($E149&lt;=INDEX($E:$E,MATCH(TRUE,INDEX((ISNUMBER($E:$E)),0),0)))*($E149&gt;INDEX(_xlfn.ANCHORARRAY(Sintesi!$C$14),1,$C149))*($E149&lt;INDEX(_xlfn.ANCHORARRAY(Sintesi!$C$16),1,$C149))*(INDEX(_xlfn.ANCHORARRAY(Sintesi!$C$15),1,$C149)&lt;0)+($E149&gt;=$E148)*($E149&lt;=INDEX($E:$E,MATCH(TRUE,INDEX((ISNUMBER($E:$E)),0),0)))*($E149&gt;INDEX(_xlfn.ANCHORARRAY(Sintesi!$C$15),1,$C149))*($E149&lt;INDEX(_xlfn.ANCHORARRAY(Sintesi!$C$16),1,$C149))*(INDEX(_xlfn.ANCHORARRAY(Sintesi!$C$15),1,$C149)&gt;0),2,IF($E149=(INDEX(_xlfn.ANCHORARRAY(Sintesi!$C$16),1,$C149)),3,4)))),0),IF($C149&gt;0,IF(($E149=INDEX(_xlfn.ANCHORARRAY(Sintesi!$C$14),1,$C149))*(INDEX(_xlfn.ANCHORARRAY(Sintesi!$C$15),1,$C149)&gt;0),0,IF(($E149=INDEX(_xlfn.ANCHORARRAY(Sintesi!$C$14),1,$C149))*(INDEX(_xlfn.ANCHORARRAY(Sintesi!$C$15),1,$C149)&lt;0)+($E149&gt;=LOOKUP(2,1/($E:$E&lt;&gt;""),$E:$E))*($E149&lt;=INDEX($E:$E,MATCH(TRUE,INDEX((ISNUMBER($E:$E)),0),0)))*($E149&gt;INDEX(_xlfn.ANCHORARRAY(Sintesi!$C$14),1,$C149))*($E149&lt;=INDEX(_xlfn.ANCHORARRAY(Sintesi!$C$15),1,$C149))*(INDEX(_xlfn.ANCHORARRAY(Sintesi!$C$15),1,$C149)&gt;0),1,IF(($E149&gt;=LOOKUP(2,1/($E:$E&lt;&gt;""),$E:$E))*($E149&lt;=INDEX($E:$E,MATCH(TRUE,INDEX((ISNUMBER($E:$E)),0),0)))*($E149&gt;INDEX(_xlfn.ANCHORARRAY(Sintesi!$C$14),1,$C149))*($E149&lt;INDEX(_xlfn.ANCHORARRAY(Sintesi!$C$16),1,$C149))*(INDEX(_xlfn.ANCHORARRAY(Sintesi!$C$15),1,$C149)&lt;0)+($E149&gt;=LOOKUP(2,1/($E:$E&lt;&gt;""),$E:$E))*($E149&lt;=INDEX($E:$E,MATCH(TRUE,INDEX((ISNUMBER($E:$E)),0),0)))*($E149&gt;INDEX(_xlfn.ANCHORARRAY(Sintesi!$C$15),1,$C149))*($E149&lt;INDEX(_xlfn.ANCHORARRAY(Sintesi!$C$16),1,$C149))*(INDEX(_xlfn.ANCHORARRAY(Sintesi!$C$15),1,$C149)&gt;0),2,IF($E149=(INDEX(_xlfn.ANCHORARRAY(Sintesi!$C$16),1,$C149)),3,4)))),0)),IF(ISNUMBER($E148),IF($C149&gt;0,IF(($E149=INDEX(_xlfn.ANCHORARRAY(Sintesi!$C$14),1,$C149))*(INDEX(_xlfn.ANCHORARRAY(Sintesi!$C$15),1,$C149)&gt;0),0,IF(($E149=INDEX(_xlfn.ANCHORARRAY(Sintesi!$C$14),1,$C149))*(INDEX(_xlfn.ANCHORARRAY(Sintesi!$C$15),1,$C149)&lt;0)+($E149&gt;=$E148)*($E149&lt;=$E150)*($E149&gt;INDEX(_xlfn.ANCHORARRAY(Sintesi!$C$14),1,$C149))*($E149&lt;=INDEX(_xlfn.ANCHORARRAY(Sintesi!$C$15),1,$C149))*(INDEX(_xlfn.ANCHORARRAY(Sintesi!$C$15),1,$C149)&gt;0),1,IF(($E149&gt;=$E148)*($E149&lt;=$E150)*($E149&gt;INDEX(_xlfn.ANCHORARRAY(Sintesi!$C$14),1,$C149))*($E149&lt;INDEX(_xlfn.ANCHORARRAY(Sintesi!$C$16),1,$C149))*(INDEX(_xlfn.ANCHORARRAY(Sintesi!$C$15),1,$C149)&lt;0)+($E149&gt;=$E148)*($E149&lt;=$E150)*($E149&gt;INDEX(_xlfn.ANCHORARRAY(Sintesi!$C$15),1,$C149))*($E149&lt;INDEX(_xlfn.ANCHORARRAY(Sintesi!$C$16),1,$C149))*(INDEX(_xlfn.ANCHORARRAY(Sintesi!$C$15),1,$C149)&gt;0),2,IF($E149=(INDEX(_xlfn.ANCHORARRAY(Sintesi!$C$16),1,$C149)),3,4)))),0),IF($C149&gt;0,IF(($E149=INDEX(_xlfn.ANCHORARRAY(Sintesi!$C$14),1,$C149))*(INDEX(_xlfn.ANCHORARRAY(Sintesi!$C$15),1,$C149)&gt;0),0,IF(($E149=INDEX(_xlfn.ANCHORARRAY(Sintesi!$C$14),1,$C149))*(INDEX(_xlfn.ANCHORARRAY(Sintesi!$C$15),1,$C149)&lt;0)+($E149&gt;=LOOKUP(2,1/($E:$E&lt;&gt;""),$E:$E))*($E149&lt;=$E150)*($E149&gt;INDEX(_xlfn.ANCHORARRAY(Sintesi!$C$14),1,$C149))*($E149&lt;=INDEX(_xlfn.ANCHORARRAY(Sintesi!$C$15),1,$C149))*(INDEX(_xlfn.ANCHORARRAY(Sintesi!$C$15),1,$C149)&gt;0),1,IF(($E149&gt;=LOOKUP(2,1/($E:$E&lt;&gt;""),$E:$E))*($E149&lt;=$E150)*($E149&gt;INDEX(_xlfn.ANCHORARRAY(Sintesi!$C$14),1,$C149))*($E149&lt;INDEX(_xlfn.ANCHORARRAY(Sintesi!$C$16),1,$C149))*(INDEX(_xlfn.ANCHORARRAY(Sintesi!$C$15),1,$C149)&lt;0)+($E149&gt;=LOOKUP(2,1/($E:$E&lt;&gt;""),$E:$E))*($E149&lt;=$E150)*($E149&gt;INDEX(_xlfn.ANCHORARRAY(Sintesi!$C$15),1,$C149))*($E149&lt;INDEX(_xlfn.ANCHORARRAY(Sintesi!$C$16),1,$C149))*(INDEX(_xlfn.ANCHORARRAY(Sintesi!$C$15),1,$C149)&gt;0),2,IF($E149=(INDEX(_xlfn.ANCHORARRAY(Sintesi!$C$16),1,$C149)),3,4)))),0)))</f>
        <v/>
      </c>
      <c r="E149" s="1">
        <f>'Paste cell here'!F149</f>
        <v/>
      </c>
      <c r="F149" s="1">
        <f>'Paste cell here'!C149</f>
        <v/>
      </c>
      <c r="G149" s="1">
        <f>'Paste cell here'!D149</f>
        <v/>
      </c>
      <c r="H149" s="1">
        <f>'Paste cell here'!E149</f>
        <v/>
      </c>
      <c r="I149" s="1">
        <f>'Paste cell here'!X149</f>
        <v/>
      </c>
      <c r="J149" s="1">
        <f>'Paste cell here'!Y149+'Paste cell here'!S149</f>
        <v/>
      </c>
      <c r="K149" s="1">
        <f>I149/H149</f>
        <v/>
      </c>
      <c r="L149" s="1">
        <f>AVERAGE(($F149+$G149)/2-($F149-$G149)/2*COS(PI()*(8-VLOOKUP(MONTH(B149),$O$1:$Q$13,3))/(VLOOKUP(MONTH(B149),$O$1:$Q$13,2)-VLOOKUP(MONTH(B149),$O$1:$Q$13,3))),($F149+$G149)/2-($F149-$G149)/2*COS(PI()*(9-VLOOKUP(MONTH(B149),$O$1:$Q$13,3))/(VLOOKUP(MONTH(B149),$O$1:$Q$13,2)-VLOOKUP(MONTH(B149),$O$1:$Q$13,3))),($F149+$G149)/2-($F149-$G149)/2*COS(PI()*(10-VLOOKUP(MONTH(B149),$O$1:$Q$13,3))/(VLOOKUP(MONTH(B149),$O$1:$Q$13,2)-VLOOKUP(MONTH(B149),$O$1:$Q$13,3))),($F149+$G149)/2-($F149-$G149)/2*COS(PI()*(11-VLOOKUP(MONTH(B149),$O$1:$Q$13,3))/(VLOOKUP(MONTH(B149),$O$1:$Q$13,2)-VLOOKUP(MONTH(B149),$O$1:$Q$13,3))),($F149+$G149)/2-($F149-$G149)/2*COS(PI()*(12-VLOOKUP(MONTH(B149),$O$1:$Q$13,3))/(VLOOKUP(MONTH(B149),$O$1:$Q$13,2)-VLOOKUP(MONTH(B149),$O$1:$Q$13,3))),($F149+$G149)/2-($F149-$G149)/2*COS(PI()*(13-VLOOKUP(MONTH(B149),$O$1:$Q$13,3))/(VLOOKUP(MONTH(B149),$O$1:$Q$13,2)-VLOOKUP(MONTH(B149),$O$1:$Q$13,3))),($F149+$G149)/2-($F149-$G149)/2*COS(PI()*(14-VLOOKUP(MONTH(B149),$O$1:$Q$13,3))/(VLOOKUP(MONTH(B149),$O$1:$Q$13,2)-VLOOKUP(MONTH(B149),$O$1:$Q$13,3))))</f>
        <v/>
      </c>
      <c r="M149" s="1">
        <f t="array" ref="M149">IF(AND(A149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,A149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),IF(L149&lt;_xlfn.IFNA(INDEX(_xlfn.ANCHORARRAY(Sintesi!$C$17)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,1,IF(L149&gt;=_xlfn.IFNA(INDEX(_xlfn.ANCHORARRAY(Sintesi!$C$18)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,0,1-(L149-_xlfn.IFNA(INDEX(_xlfn.ANCHORARRAY(Sintesi!$C$17)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)/(_xlfn.IFNA(INDEX(_xlfn.ANCHORARRAY(Sintesi!$C$18)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-_xlfn.IFNA(INDEX(_xlfn.ANCHORARRAY(Sintesi!$C$17)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))),0)</f>
        <v/>
      </c>
    </row>
    <row r="150">
      <c r="A150" s="1">
        <f>'Paste cell here'!A150</f>
        <v/>
      </c>
      <c r="B150" s="2">
        <f>DATE(Sintesi!$C$4-1,12,31)+A150</f>
        <v/>
      </c>
      <c r="C150" s="34">
        <f t="array" ref="C150">_xlfn.IFNA(MATCH(1,(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)*(_xlfn.ANCHORARRAY(Sintesi!$C$15)&gt;=0)+(_xlfn.ANCHORARRAY(Sintesi!$C$15)&lt;0),0),0)</f>
        <v/>
      </c>
      <c r="D150" s="1">
        <f t="array" ref="D150">IF(ISBLANK($E151),IF(ISNUMBER($E149),IF($C150&gt;0,IF(($E150=INDEX(_xlfn.ANCHORARRAY(Sintesi!$C$14),1,$C150))*(INDEX(_xlfn.ANCHORARRAY(Sintesi!$C$15),1,$C150)&gt;0),0,IF(($E150=INDEX(_xlfn.ANCHORARRAY(Sintesi!$C$14),1,$C150))*(INDEX(_xlfn.ANCHORARRAY(Sintesi!$C$15),1,$C150)&lt;0)+($E150&gt;=$E149)*($E150&lt;=INDEX($E:$E,MATCH(TRUE,INDEX((ISNUMBER($E:$E)),0),0)))*($E150&gt;INDEX(_xlfn.ANCHORARRAY(Sintesi!$C$14),1,$C150))*($E150&lt;=INDEX(_xlfn.ANCHORARRAY(Sintesi!$C$15),1,$C150))*(INDEX(_xlfn.ANCHORARRAY(Sintesi!$C$15),1,$C150)&gt;0),1,IF(($E150&gt;=$E149)*($E150&lt;=INDEX($E:$E,MATCH(TRUE,INDEX((ISNUMBER($E:$E)),0),0)))*($E150&gt;INDEX(_xlfn.ANCHORARRAY(Sintesi!$C$14),1,$C150))*($E150&lt;INDEX(_xlfn.ANCHORARRAY(Sintesi!$C$16),1,$C150))*(INDEX(_xlfn.ANCHORARRAY(Sintesi!$C$15),1,$C150)&lt;0)+($E150&gt;=$E149)*($E150&lt;=INDEX($E:$E,MATCH(TRUE,INDEX((ISNUMBER($E:$E)),0),0)))*($E150&gt;INDEX(_xlfn.ANCHORARRAY(Sintesi!$C$15),1,$C150))*($E150&lt;INDEX(_xlfn.ANCHORARRAY(Sintesi!$C$16),1,$C150))*(INDEX(_xlfn.ANCHORARRAY(Sintesi!$C$15),1,$C150)&gt;0),2,IF($E150=(INDEX(_xlfn.ANCHORARRAY(Sintesi!$C$16),1,$C150)),3,4)))),0),IF($C150&gt;0,IF(($E150=INDEX(_xlfn.ANCHORARRAY(Sintesi!$C$14),1,$C150))*(INDEX(_xlfn.ANCHORARRAY(Sintesi!$C$15),1,$C150)&gt;0),0,IF(($E150=INDEX(_xlfn.ANCHORARRAY(Sintesi!$C$14),1,$C150))*(INDEX(_xlfn.ANCHORARRAY(Sintesi!$C$15),1,$C150)&lt;0)+($E150&gt;=LOOKUP(2,1/($E:$E&lt;&gt;""),$E:$E))*($E150&lt;=INDEX($E:$E,MATCH(TRUE,INDEX((ISNUMBER($E:$E)),0),0)))*($E150&gt;INDEX(_xlfn.ANCHORARRAY(Sintesi!$C$14),1,$C150))*($E150&lt;=INDEX(_xlfn.ANCHORARRAY(Sintesi!$C$15),1,$C150))*(INDEX(_xlfn.ANCHORARRAY(Sintesi!$C$15),1,$C150)&gt;0),1,IF(($E150&gt;=LOOKUP(2,1/($E:$E&lt;&gt;""),$E:$E))*($E150&lt;=INDEX($E:$E,MATCH(TRUE,INDEX((ISNUMBER($E:$E)),0),0)))*($E150&gt;INDEX(_xlfn.ANCHORARRAY(Sintesi!$C$14),1,$C150))*($E150&lt;INDEX(_xlfn.ANCHORARRAY(Sintesi!$C$16),1,$C150))*(INDEX(_xlfn.ANCHORARRAY(Sintesi!$C$15),1,$C150)&lt;0)+($E150&gt;=LOOKUP(2,1/($E:$E&lt;&gt;""),$E:$E))*($E150&lt;=INDEX($E:$E,MATCH(TRUE,INDEX((ISNUMBER($E:$E)),0),0)))*($E150&gt;INDEX(_xlfn.ANCHORARRAY(Sintesi!$C$15),1,$C150))*($E150&lt;INDEX(_xlfn.ANCHORARRAY(Sintesi!$C$16),1,$C150))*(INDEX(_xlfn.ANCHORARRAY(Sintesi!$C$15),1,$C150)&gt;0),2,IF($E150=(INDEX(_xlfn.ANCHORARRAY(Sintesi!$C$16),1,$C150)),3,4)))),0)),IF(ISNUMBER($E149),IF($C150&gt;0,IF(($E150=INDEX(_xlfn.ANCHORARRAY(Sintesi!$C$14),1,$C150))*(INDEX(_xlfn.ANCHORARRAY(Sintesi!$C$15),1,$C150)&gt;0),0,IF(($E150=INDEX(_xlfn.ANCHORARRAY(Sintesi!$C$14),1,$C150))*(INDEX(_xlfn.ANCHORARRAY(Sintesi!$C$15),1,$C150)&lt;0)+($E150&gt;=$E149)*($E150&lt;=$E151)*($E150&gt;INDEX(_xlfn.ANCHORARRAY(Sintesi!$C$14),1,$C150))*($E150&lt;=INDEX(_xlfn.ANCHORARRAY(Sintesi!$C$15),1,$C150))*(INDEX(_xlfn.ANCHORARRAY(Sintesi!$C$15),1,$C150)&gt;0),1,IF(($E150&gt;=$E149)*($E150&lt;=$E151)*($E150&gt;INDEX(_xlfn.ANCHORARRAY(Sintesi!$C$14),1,$C150))*($E150&lt;INDEX(_xlfn.ANCHORARRAY(Sintesi!$C$16),1,$C150))*(INDEX(_xlfn.ANCHORARRAY(Sintesi!$C$15),1,$C150)&lt;0)+($E150&gt;=$E149)*($E150&lt;=$E151)*($E150&gt;INDEX(_xlfn.ANCHORARRAY(Sintesi!$C$15),1,$C150))*($E150&lt;INDEX(_xlfn.ANCHORARRAY(Sintesi!$C$16),1,$C150))*(INDEX(_xlfn.ANCHORARRAY(Sintesi!$C$15),1,$C150)&gt;0),2,IF($E150=(INDEX(_xlfn.ANCHORARRAY(Sintesi!$C$16),1,$C150)),3,4)))),0),IF($C150&gt;0,IF(($E150=INDEX(_xlfn.ANCHORARRAY(Sintesi!$C$14),1,$C150))*(INDEX(_xlfn.ANCHORARRAY(Sintesi!$C$15),1,$C150)&gt;0),0,IF(($E150=INDEX(_xlfn.ANCHORARRAY(Sintesi!$C$14),1,$C150))*(INDEX(_xlfn.ANCHORARRAY(Sintesi!$C$15),1,$C150)&lt;0)+($E150&gt;=LOOKUP(2,1/($E:$E&lt;&gt;""),$E:$E))*($E150&lt;=$E151)*($E150&gt;INDEX(_xlfn.ANCHORARRAY(Sintesi!$C$14),1,$C150))*($E150&lt;=INDEX(_xlfn.ANCHORARRAY(Sintesi!$C$15),1,$C150))*(INDEX(_xlfn.ANCHORARRAY(Sintesi!$C$15),1,$C150)&gt;0),1,IF(($E150&gt;=LOOKUP(2,1/($E:$E&lt;&gt;""),$E:$E))*($E150&lt;=$E151)*($E150&gt;INDEX(_xlfn.ANCHORARRAY(Sintesi!$C$14),1,$C150))*($E150&lt;INDEX(_xlfn.ANCHORARRAY(Sintesi!$C$16),1,$C150))*(INDEX(_xlfn.ANCHORARRAY(Sintesi!$C$15),1,$C150)&lt;0)+($E150&gt;=LOOKUP(2,1/($E:$E&lt;&gt;""),$E:$E))*($E150&lt;=$E151)*($E150&gt;INDEX(_xlfn.ANCHORARRAY(Sintesi!$C$15),1,$C150))*($E150&lt;INDEX(_xlfn.ANCHORARRAY(Sintesi!$C$16),1,$C150))*(INDEX(_xlfn.ANCHORARRAY(Sintesi!$C$15),1,$C150)&gt;0),2,IF($E150=(INDEX(_xlfn.ANCHORARRAY(Sintesi!$C$16),1,$C150)),3,4)))),0)))</f>
        <v/>
      </c>
      <c r="E150" s="1">
        <f>'Paste cell here'!F150</f>
        <v/>
      </c>
      <c r="F150" s="1">
        <f>'Paste cell here'!C150</f>
        <v/>
      </c>
      <c r="G150" s="1">
        <f>'Paste cell here'!D150</f>
        <v/>
      </c>
      <c r="H150" s="1">
        <f>'Paste cell here'!E150</f>
        <v/>
      </c>
      <c r="I150" s="1">
        <f>'Paste cell here'!X150</f>
        <v/>
      </c>
      <c r="J150" s="1">
        <f>'Paste cell here'!Y150+'Paste cell here'!S150</f>
        <v/>
      </c>
      <c r="K150" s="1">
        <f>I150/H150</f>
        <v/>
      </c>
      <c r="L150" s="1">
        <f>AVERAGE(($F150+$G150)/2-($F150-$G150)/2*COS(PI()*(8-VLOOKUP(MONTH(B150),$O$1:$Q$13,3))/(VLOOKUP(MONTH(B150),$O$1:$Q$13,2)-VLOOKUP(MONTH(B150),$O$1:$Q$13,3))),($F150+$G150)/2-($F150-$G150)/2*COS(PI()*(9-VLOOKUP(MONTH(B150),$O$1:$Q$13,3))/(VLOOKUP(MONTH(B150),$O$1:$Q$13,2)-VLOOKUP(MONTH(B150),$O$1:$Q$13,3))),($F150+$G150)/2-($F150-$G150)/2*COS(PI()*(10-VLOOKUP(MONTH(B150),$O$1:$Q$13,3))/(VLOOKUP(MONTH(B150),$O$1:$Q$13,2)-VLOOKUP(MONTH(B150),$O$1:$Q$13,3))),($F150+$G150)/2-($F150-$G150)/2*COS(PI()*(11-VLOOKUP(MONTH(B150),$O$1:$Q$13,3))/(VLOOKUP(MONTH(B150),$O$1:$Q$13,2)-VLOOKUP(MONTH(B150),$O$1:$Q$13,3))),($F150+$G150)/2-($F150-$G150)/2*COS(PI()*(12-VLOOKUP(MONTH(B150),$O$1:$Q$13,3))/(VLOOKUP(MONTH(B150),$O$1:$Q$13,2)-VLOOKUP(MONTH(B150),$O$1:$Q$13,3))),($F150+$G150)/2-($F150-$G150)/2*COS(PI()*(13-VLOOKUP(MONTH(B150),$O$1:$Q$13,3))/(VLOOKUP(MONTH(B150),$O$1:$Q$13,2)-VLOOKUP(MONTH(B150),$O$1:$Q$13,3))),($F150+$G150)/2-($F150-$G150)/2*COS(PI()*(14-VLOOKUP(MONTH(B150),$O$1:$Q$13,3))/(VLOOKUP(MONTH(B150),$O$1:$Q$13,2)-VLOOKUP(MONTH(B150),$O$1:$Q$13,3))))</f>
        <v/>
      </c>
      <c r="M150" s="1">
        <f t="array" ref="M150">IF(AND(A150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,A150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),IF(L150&lt;_xlfn.IFNA(INDEX(_xlfn.ANCHORARRAY(Sintesi!$C$17)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,1,IF(L150&gt;=_xlfn.IFNA(INDEX(_xlfn.ANCHORARRAY(Sintesi!$C$18)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,0,1-(L150-_xlfn.IFNA(INDEX(_xlfn.ANCHORARRAY(Sintesi!$C$17)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)/(_xlfn.IFNA(INDEX(_xlfn.ANCHORARRAY(Sintesi!$C$18)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-_xlfn.IFNA(INDEX(_xlfn.ANCHORARRAY(Sintesi!$C$17)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))),0)</f>
        <v/>
      </c>
    </row>
    <row r="151">
      <c r="A151" s="1">
        <f>'Paste cell here'!A151</f>
        <v/>
      </c>
      <c r="B151" s="2">
        <f>DATE(Sintesi!$C$4-1,12,31)+A151</f>
        <v/>
      </c>
      <c r="C151" s="34">
        <f t="array" ref="C151">_xlfn.IFNA(MATCH(1,(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)*(_xlfn.ANCHORARRAY(Sintesi!$C$15)&gt;=0)+(_xlfn.ANCHORARRAY(Sintesi!$C$15)&lt;0),0),0)</f>
        <v/>
      </c>
      <c r="D151" s="1">
        <f t="array" ref="D151">IF(ISBLANK($E152),IF(ISNUMBER($E150),IF($C151&gt;0,IF(($E151=INDEX(_xlfn.ANCHORARRAY(Sintesi!$C$14),1,$C151))*(INDEX(_xlfn.ANCHORARRAY(Sintesi!$C$15),1,$C151)&gt;0),0,IF(($E151=INDEX(_xlfn.ANCHORARRAY(Sintesi!$C$14),1,$C151))*(INDEX(_xlfn.ANCHORARRAY(Sintesi!$C$15),1,$C151)&lt;0)+($E151&gt;=$E150)*($E151&lt;=INDEX($E:$E,MATCH(TRUE,INDEX((ISNUMBER($E:$E)),0),0)))*($E151&gt;INDEX(_xlfn.ANCHORARRAY(Sintesi!$C$14),1,$C151))*($E151&lt;=INDEX(_xlfn.ANCHORARRAY(Sintesi!$C$15),1,$C151))*(INDEX(_xlfn.ANCHORARRAY(Sintesi!$C$15),1,$C151)&gt;0),1,IF(($E151&gt;=$E150)*($E151&lt;=INDEX($E:$E,MATCH(TRUE,INDEX((ISNUMBER($E:$E)),0),0)))*($E151&gt;INDEX(_xlfn.ANCHORARRAY(Sintesi!$C$14),1,$C151))*($E151&lt;INDEX(_xlfn.ANCHORARRAY(Sintesi!$C$16),1,$C151))*(INDEX(_xlfn.ANCHORARRAY(Sintesi!$C$15),1,$C151)&lt;0)+($E151&gt;=$E150)*($E151&lt;=INDEX($E:$E,MATCH(TRUE,INDEX((ISNUMBER($E:$E)),0),0)))*($E151&gt;INDEX(_xlfn.ANCHORARRAY(Sintesi!$C$15),1,$C151))*($E151&lt;INDEX(_xlfn.ANCHORARRAY(Sintesi!$C$16),1,$C151))*(INDEX(_xlfn.ANCHORARRAY(Sintesi!$C$15),1,$C151)&gt;0),2,IF($E151=(INDEX(_xlfn.ANCHORARRAY(Sintesi!$C$16),1,$C151)),3,4)))),0),IF($C151&gt;0,IF(($E151=INDEX(_xlfn.ANCHORARRAY(Sintesi!$C$14),1,$C151))*(INDEX(_xlfn.ANCHORARRAY(Sintesi!$C$15),1,$C151)&gt;0),0,IF(($E151=INDEX(_xlfn.ANCHORARRAY(Sintesi!$C$14),1,$C151))*(INDEX(_xlfn.ANCHORARRAY(Sintesi!$C$15),1,$C151)&lt;0)+($E151&gt;=LOOKUP(2,1/($E:$E&lt;&gt;""),$E:$E))*($E151&lt;=INDEX($E:$E,MATCH(TRUE,INDEX((ISNUMBER($E:$E)),0),0)))*($E151&gt;INDEX(_xlfn.ANCHORARRAY(Sintesi!$C$14),1,$C151))*($E151&lt;=INDEX(_xlfn.ANCHORARRAY(Sintesi!$C$15),1,$C151))*(INDEX(_xlfn.ANCHORARRAY(Sintesi!$C$15),1,$C151)&gt;0),1,IF(($E151&gt;=LOOKUP(2,1/($E:$E&lt;&gt;""),$E:$E))*($E151&lt;=INDEX($E:$E,MATCH(TRUE,INDEX((ISNUMBER($E:$E)),0),0)))*($E151&gt;INDEX(_xlfn.ANCHORARRAY(Sintesi!$C$14),1,$C151))*($E151&lt;INDEX(_xlfn.ANCHORARRAY(Sintesi!$C$16),1,$C151))*(INDEX(_xlfn.ANCHORARRAY(Sintesi!$C$15),1,$C151)&lt;0)+($E151&gt;=LOOKUP(2,1/($E:$E&lt;&gt;""),$E:$E))*($E151&lt;=INDEX($E:$E,MATCH(TRUE,INDEX((ISNUMBER($E:$E)),0),0)))*($E151&gt;INDEX(_xlfn.ANCHORARRAY(Sintesi!$C$15),1,$C151))*($E151&lt;INDEX(_xlfn.ANCHORARRAY(Sintesi!$C$16),1,$C151))*(INDEX(_xlfn.ANCHORARRAY(Sintesi!$C$15),1,$C151)&gt;0),2,IF($E151=(INDEX(_xlfn.ANCHORARRAY(Sintesi!$C$16),1,$C151)),3,4)))),0)),IF(ISNUMBER($E150),IF($C151&gt;0,IF(($E151=INDEX(_xlfn.ANCHORARRAY(Sintesi!$C$14),1,$C151))*(INDEX(_xlfn.ANCHORARRAY(Sintesi!$C$15),1,$C151)&gt;0),0,IF(($E151=INDEX(_xlfn.ANCHORARRAY(Sintesi!$C$14),1,$C151))*(INDEX(_xlfn.ANCHORARRAY(Sintesi!$C$15),1,$C151)&lt;0)+($E151&gt;=$E150)*($E151&lt;=$E152)*($E151&gt;INDEX(_xlfn.ANCHORARRAY(Sintesi!$C$14),1,$C151))*($E151&lt;=INDEX(_xlfn.ANCHORARRAY(Sintesi!$C$15),1,$C151))*(INDEX(_xlfn.ANCHORARRAY(Sintesi!$C$15),1,$C151)&gt;0),1,IF(($E151&gt;=$E150)*($E151&lt;=$E152)*($E151&gt;INDEX(_xlfn.ANCHORARRAY(Sintesi!$C$14),1,$C151))*($E151&lt;INDEX(_xlfn.ANCHORARRAY(Sintesi!$C$16),1,$C151))*(INDEX(_xlfn.ANCHORARRAY(Sintesi!$C$15),1,$C151)&lt;0)+($E151&gt;=$E150)*($E151&lt;=$E152)*($E151&gt;INDEX(_xlfn.ANCHORARRAY(Sintesi!$C$15),1,$C151))*($E151&lt;INDEX(_xlfn.ANCHORARRAY(Sintesi!$C$16),1,$C151))*(INDEX(_xlfn.ANCHORARRAY(Sintesi!$C$15),1,$C151)&gt;0),2,IF($E151=(INDEX(_xlfn.ANCHORARRAY(Sintesi!$C$16),1,$C151)),3,4)))),0),IF($C151&gt;0,IF(($E151=INDEX(_xlfn.ANCHORARRAY(Sintesi!$C$14),1,$C151))*(INDEX(_xlfn.ANCHORARRAY(Sintesi!$C$15),1,$C151)&gt;0),0,IF(($E151=INDEX(_xlfn.ANCHORARRAY(Sintesi!$C$14),1,$C151))*(INDEX(_xlfn.ANCHORARRAY(Sintesi!$C$15),1,$C151)&lt;0)+($E151&gt;=LOOKUP(2,1/($E:$E&lt;&gt;""),$E:$E))*($E151&lt;=$E152)*($E151&gt;INDEX(_xlfn.ANCHORARRAY(Sintesi!$C$14),1,$C151))*($E151&lt;=INDEX(_xlfn.ANCHORARRAY(Sintesi!$C$15),1,$C151))*(INDEX(_xlfn.ANCHORARRAY(Sintesi!$C$15),1,$C151)&gt;0),1,IF(($E151&gt;=LOOKUP(2,1/($E:$E&lt;&gt;""),$E:$E))*($E151&lt;=$E152)*($E151&gt;INDEX(_xlfn.ANCHORARRAY(Sintesi!$C$14),1,$C151))*($E151&lt;INDEX(_xlfn.ANCHORARRAY(Sintesi!$C$16),1,$C151))*(INDEX(_xlfn.ANCHORARRAY(Sintesi!$C$15),1,$C151)&lt;0)+($E151&gt;=LOOKUP(2,1/($E:$E&lt;&gt;""),$E:$E))*($E151&lt;=$E152)*($E151&gt;INDEX(_xlfn.ANCHORARRAY(Sintesi!$C$15),1,$C151))*($E151&lt;INDEX(_xlfn.ANCHORARRAY(Sintesi!$C$16),1,$C151))*(INDEX(_xlfn.ANCHORARRAY(Sintesi!$C$15),1,$C151)&gt;0),2,IF($E151=(INDEX(_xlfn.ANCHORARRAY(Sintesi!$C$16),1,$C151)),3,4)))),0)))</f>
        <v/>
      </c>
      <c r="E151" s="1">
        <f>'Paste cell here'!F151</f>
        <v/>
      </c>
      <c r="F151" s="1">
        <f>'Paste cell here'!C151</f>
        <v/>
      </c>
      <c r="G151" s="1">
        <f>'Paste cell here'!D151</f>
        <v/>
      </c>
      <c r="H151" s="1">
        <f>'Paste cell here'!E151</f>
        <v/>
      </c>
      <c r="I151" s="1">
        <f>'Paste cell here'!X151</f>
        <v/>
      </c>
      <c r="J151" s="1">
        <f>'Paste cell here'!Y151+'Paste cell here'!S151</f>
        <v/>
      </c>
      <c r="K151" s="1">
        <f>I151/H151</f>
        <v/>
      </c>
      <c r="L151" s="1">
        <f>AVERAGE(($F151+$G151)/2-($F151-$G151)/2*COS(PI()*(8-VLOOKUP(MONTH(B151),$O$1:$Q$13,3))/(VLOOKUP(MONTH(B151),$O$1:$Q$13,2)-VLOOKUP(MONTH(B151),$O$1:$Q$13,3))),($F151+$G151)/2-($F151-$G151)/2*COS(PI()*(9-VLOOKUP(MONTH(B151),$O$1:$Q$13,3))/(VLOOKUP(MONTH(B151),$O$1:$Q$13,2)-VLOOKUP(MONTH(B151),$O$1:$Q$13,3))),($F151+$G151)/2-($F151-$G151)/2*COS(PI()*(10-VLOOKUP(MONTH(B151),$O$1:$Q$13,3))/(VLOOKUP(MONTH(B151),$O$1:$Q$13,2)-VLOOKUP(MONTH(B151),$O$1:$Q$13,3))),($F151+$G151)/2-($F151-$G151)/2*COS(PI()*(11-VLOOKUP(MONTH(B151),$O$1:$Q$13,3))/(VLOOKUP(MONTH(B151),$O$1:$Q$13,2)-VLOOKUP(MONTH(B151),$O$1:$Q$13,3))),($F151+$G151)/2-($F151-$G151)/2*COS(PI()*(12-VLOOKUP(MONTH(B151),$O$1:$Q$13,3))/(VLOOKUP(MONTH(B151),$O$1:$Q$13,2)-VLOOKUP(MONTH(B151),$O$1:$Q$13,3))),($F151+$G151)/2-($F151-$G151)/2*COS(PI()*(13-VLOOKUP(MONTH(B151),$O$1:$Q$13,3))/(VLOOKUP(MONTH(B151),$O$1:$Q$13,2)-VLOOKUP(MONTH(B151),$O$1:$Q$13,3))),($F151+$G151)/2-($F151-$G151)/2*COS(PI()*(14-VLOOKUP(MONTH(B151),$O$1:$Q$13,3))/(VLOOKUP(MONTH(B151),$O$1:$Q$13,2)-VLOOKUP(MONTH(B151),$O$1:$Q$13,3))))</f>
        <v/>
      </c>
      <c r="M151" s="1">
        <f t="array" ref="M151">IF(AND(A151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,A151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),IF(L151&lt;_xlfn.IFNA(INDEX(_xlfn.ANCHORARRAY(Sintesi!$C$17)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,1,IF(L151&gt;=_xlfn.IFNA(INDEX(_xlfn.ANCHORARRAY(Sintesi!$C$18)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,0,1-(L151-_xlfn.IFNA(INDEX(_xlfn.ANCHORARRAY(Sintesi!$C$17)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)/(_xlfn.IFNA(INDEX(_xlfn.ANCHORARRAY(Sintesi!$C$18)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-_xlfn.IFNA(INDEX(_xlfn.ANCHORARRAY(Sintesi!$C$17)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))),0)</f>
        <v/>
      </c>
    </row>
    <row r="152">
      <c r="A152" s="1">
        <f>'Paste cell here'!A152</f>
        <v/>
      </c>
      <c r="B152" s="2">
        <f>DATE(Sintesi!$C$4-1,12,31)+A152</f>
        <v/>
      </c>
      <c r="C152" s="34">
        <f t="array" ref="C152">_xlfn.IFNA(MATCH(1,(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)*(_xlfn.ANCHORARRAY(Sintesi!$C$15)&gt;=0)+(_xlfn.ANCHORARRAY(Sintesi!$C$15)&lt;0),0),0)</f>
        <v/>
      </c>
      <c r="D152" s="1">
        <f t="array" ref="D152">IF(ISBLANK($E153),IF(ISNUMBER($E151),IF($C152&gt;0,IF(($E152=INDEX(_xlfn.ANCHORARRAY(Sintesi!$C$14),1,$C152))*(INDEX(_xlfn.ANCHORARRAY(Sintesi!$C$15),1,$C152)&gt;0),0,IF(($E152=INDEX(_xlfn.ANCHORARRAY(Sintesi!$C$14),1,$C152))*(INDEX(_xlfn.ANCHORARRAY(Sintesi!$C$15),1,$C152)&lt;0)+($E152&gt;=$E151)*($E152&lt;=INDEX($E:$E,MATCH(TRUE,INDEX((ISNUMBER($E:$E)),0),0)))*($E152&gt;INDEX(_xlfn.ANCHORARRAY(Sintesi!$C$14),1,$C152))*($E152&lt;=INDEX(_xlfn.ANCHORARRAY(Sintesi!$C$15),1,$C152))*(INDEX(_xlfn.ANCHORARRAY(Sintesi!$C$15),1,$C152)&gt;0),1,IF(($E152&gt;=$E151)*($E152&lt;=INDEX($E:$E,MATCH(TRUE,INDEX((ISNUMBER($E:$E)),0),0)))*($E152&gt;INDEX(_xlfn.ANCHORARRAY(Sintesi!$C$14),1,$C152))*($E152&lt;INDEX(_xlfn.ANCHORARRAY(Sintesi!$C$16),1,$C152))*(INDEX(_xlfn.ANCHORARRAY(Sintesi!$C$15),1,$C152)&lt;0)+($E152&gt;=$E151)*($E152&lt;=INDEX($E:$E,MATCH(TRUE,INDEX((ISNUMBER($E:$E)),0),0)))*($E152&gt;INDEX(_xlfn.ANCHORARRAY(Sintesi!$C$15),1,$C152))*($E152&lt;INDEX(_xlfn.ANCHORARRAY(Sintesi!$C$16),1,$C152))*(INDEX(_xlfn.ANCHORARRAY(Sintesi!$C$15),1,$C152)&gt;0),2,IF($E152=(INDEX(_xlfn.ANCHORARRAY(Sintesi!$C$16),1,$C152)),3,4)))),0),IF($C152&gt;0,IF(($E152=INDEX(_xlfn.ANCHORARRAY(Sintesi!$C$14),1,$C152))*(INDEX(_xlfn.ANCHORARRAY(Sintesi!$C$15),1,$C152)&gt;0),0,IF(($E152=INDEX(_xlfn.ANCHORARRAY(Sintesi!$C$14),1,$C152))*(INDEX(_xlfn.ANCHORARRAY(Sintesi!$C$15),1,$C152)&lt;0)+($E152&gt;=LOOKUP(2,1/($E:$E&lt;&gt;""),$E:$E))*($E152&lt;=INDEX($E:$E,MATCH(TRUE,INDEX((ISNUMBER($E:$E)),0),0)))*($E152&gt;INDEX(_xlfn.ANCHORARRAY(Sintesi!$C$14),1,$C152))*($E152&lt;=INDEX(_xlfn.ANCHORARRAY(Sintesi!$C$15),1,$C152))*(INDEX(_xlfn.ANCHORARRAY(Sintesi!$C$15),1,$C152)&gt;0),1,IF(($E152&gt;=LOOKUP(2,1/($E:$E&lt;&gt;""),$E:$E))*($E152&lt;=INDEX($E:$E,MATCH(TRUE,INDEX((ISNUMBER($E:$E)),0),0)))*($E152&gt;INDEX(_xlfn.ANCHORARRAY(Sintesi!$C$14),1,$C152))*($E152&lt;INDEX(_xlfn.ANCHORARRAY(Sintesi!$C$16),1,$C152))*(INDEX(_xlfn.ANCHORARRAY(Sintesi!$C$15),1,$C152)&lt;0)+($E152&gt;=LOOKUP(2,1/($E:$E&lt;&gt;""),$E:$E))*($E152&lt;=INDEX($E:$E,MATCH(TRUE,INDEX((ISNUMBER($E:$E)),0),0)))*($E152&gt;INDEX(_xlfn.ANCHORARRAY(Sintesi!$C$15),1,$C152))*($E152&lt;INDEX(_xlfn.ANCHORARRAY(Sintesi!$C$16),1,$C152))*(INDEX(_xlfn.ANCHORARRAY(Sintesi!$C$15),1,$C152)&gt;0),2,IF($E152=(INDEX(_xlfn.ANCHORARRAY(Sintesi!$C$16),1,$C152)),3,4)))),0)),IF(ISNUMBER($E151),IF($C152&gt;0,IF(($E152=INDEX(_xlfn.ANCHORARRAY(Sintesi!$C$14),1,$C152))*(INDEX(_xlfn.ANCHORARRAY(Sintesi!$C$15),1,$C152)&gt;0),0,IF(($E152=INDEX(_xlfn.ANCHORARRAY(Sintesi!$C$14),1,$C152))*(INDEX(_xlfn.ANCHORARRAY(Sintesi!$C$15),1,$C152)&lt;0)+($E152&gt;=$E151)*($E152&lt;=$E153)*($E152&gt;INDEX(_xlfn.ANCHORARRAY(Sintesi!$C$14),1,$C152))*($E152&lt;=INDEX(_xlfn.ANCHORARRAY(Sintesi!$C$15),1,$C152))*(INDEX(_xlfn.ANCHORARRAY(Sintesi!$C$15),1,$C152)&gt;0),1,IF(($E152&gt;=$E151)*($E152&lt;=$E153)*($E152&gt;INDEX(_xlfn.ANCHORARRAY(Sintesi!$C$14),1,$C152))*($E152&lt;INDEX(_xlfn.ANCHORARRAY(Sintesi!$C$16),1,$C152))*(INDEX(_xlfn.ANCHORARRAY(Sintesi!$C$15),1,$C152)&lt;0)+($E152&gt;=$E151)*($E152&lt;=$E153)*($E152&gt;INDEX(_xlfn.ANCHORARRAY(Sintesi!$C$15),1,$C152))*($E152&lt;INDEX(_xlfn.ANCHORARRAY(Sintesi!$C$16),1,$C152))*(INDEX(_xlfn.ANCHORARRAY(Sintesi!$C$15),1,$C152)&gt;0),2,IF($E152=(INDEX(_xlfn.ANCHORARRAY(Sintesi!$C$16),1,$C152)),3,4)))),0),IF($C152&gt;0,IF(($E152=INDEX(_xlfn.ANCHORARRAY(Sintesi!$C$14),1,$C152))*(INDEX(_xlfn.ANCHORARRAY(Sintesi!$C$15),1,$C152)&gt;0),0,IF(($E152=INDEX(_xlfn.ANCHORARRAY(Sintesi!$C$14),1,$C152))*(INDEX(_xlfn.ANCHORARRAY(Sintesi!$C$15),1,$C152)&lt;0)+($E152&gt;=LOOKUP(2,1/($E:$E&lt;&gt;""),$E:$E))*($E152&lt;=$E153)*($E152&gt;INDEX(_xlfn.ANCHORARRAY(Sintesi!$C$14),1,$C152))*($E152&lt;=INDEX(_xlfn.ANCHORARRAY(Sintesi!$C$15),1,$C152))*(INDEX(_xlfn.ANCHORARRAY(Sintesi!$C$15),1,$C152)&gt;0),1,IF(($E152&gt;=LOOKUP(2,1/($E:$E&lt;&gt;""),$E:$E))*($E152&lt;=$E153)*($E152&gt;INDEX(_xlfn.ANCHORARRAY(Sintesi!$C$14),1,$C152))*($E152&lt;INDEX(_xlfn.ANCHORARRAY(Sintesi!$C$16),1,$C152))*(INDEX(_xlfn.ANCHORARRAY(Sintesi!$C$15),1,$C152)&lt;0)+($E152&gt;=LOOKUP(2,1/($E:$E&lt;&gt;""),$E:$E))*($E152&lt;=$E153)*($E152&gt;INDEX(_xlfn.ANCHORARRAY(Sintesi!$C$15),1,$C152))*($E152&lt;INDEX(_xlfn.ANCHORARRAY(Sintesi!$C$16),1,$C152))*(INDEX(_xlfn.ANCHORARRAY(Sintesi!$C$15),1,$C152)&gt;0),2,IF($E152=(INDEX(_xlfn.ANCHORARRAY(Sintesi!$C$16),1,$C152)),3,4)))),0)))</f>
        <v/>
      </c>
      <c r="E152" s="1">
        <f>'Paste cell here'!F152</f>
        <v/>
      </c>
      <c r="F152" s="1">
        <f>'Paste cell here'!C152</f>
        <v/>
      </c>
      <c r="G152" s="1">
        <f>'Paste cell here'!D152</f>
        <v/>
      </c>
      <c r="H152" s="1">
        <f>'Paste cell here'!E152</f>
        <v/>
      </c>
      <c r="I152" s="1">
        <f>'Paste cell here'!X152</f>
        <v/>
      </c>
      <c r="J152" s="1">
        <f>'Paste cell here'!Y152+'Paste cell here'!S152</f>
        <v/>
      </c>
      <c r="K152" s="1">
        <f>I152/H152</f>
        <v/>
      </c>
      <c r="L152" s="1">
        <f>AVERAGE(($F152+$G152)/2-($F152-$G152)/2*COS(PI()*(8-VLOOKUP(MONTH(B152),$O$1:$Q$13,3))/(VLOOKUP(MONTH(B152),$O$1:$Q$13,2)-VLOOKUP(MONTH(B152),$O$1:$Q$13,3))),($F152+$G152)/2-($F152-$G152)/2*COS(PI()*(9-VLOOKUP(MONTH(B152),$O$1:$Q$13,3))/(VLOOKUP(MONTH(B152),$O$1:$Q$13,2)-VLOOKUP(MONTH(B152),$O$1:$Q$13,3))),($F152+$G152)/2-($F152-$G152)/2*COS(PI()*(10-VLOOKUP(MONTH(B152),$O$1:$Q$13,3))/(VLOOKUP(MONTH(B152),$O$1:$Q$13,2)-VLOOKUP(MONTH(B152),$O$1:$Q$13,3))),($F152+$G152)/2-($F152-$G152)/2*COS(PI()*(11-VLOOKUP(MONTH(B152),$O$1:$Q$13,3))/(VLOOKUP(MONTH(B152),$O$1:$Q$13,2)-VLOOKUP(MONTH(B152),$O$1:$Q$13,3))),($F152+$G152)/2-($F152-$G152)/2*COS(PI()*(12-VLOOKUP(MONTH(B152),$O$1:$Q$13,3))/(VLOOKUP(MONTH(B152),$O$1:$Q$13,2)-VLOOKUP(MONTH(B152),$O$1:$Q$13,3))),($F152+$G152)/2-($F152-$G152)/2*COS(PI()*(13-VLOOKUP(MONTH(B152),$O$1:$Q$13,3))/(VLOOKUP(MONTH(B152),$O$1:$Q$13,2)-VLOOKUP(MONTH(B152),$O$1:$Q$13,3))),($F152+$G152)/2-($F152-$G152)/2*COS(PI()*(14-VLOOKUP(MONTH(B152),$O$1:$Q$13,3))/(VLOOKUP(MONTH(B152),$O$1:$Q$13,2)-VLOOKUP(MONTH(B152),$O$1:$Q$13,3))))</f>
        <v/>
      </c>
      <c r="M152" s="1">
        <f t="array" ref="M152">IF(AND(A152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,A152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),IF(L152&lt;_xlfn.IFNA(INDEX(_xlfn.ANCHORARRAY(Sintesi!$C$17)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,1,IF(L152&gt;=_xlfn.IFNA(INDEX(_xlfn.ANCHORARRAY(Sintesi!$C$18)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,0,1-(L152-_xlfn.IFNA(INDEX(_xlfn.ANCHORARRAY(Sintesi!$C$17)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)/(_xlfn.IFNA(INDEX(_xlfn.ANCHORARRAY(Sintesi!$C$18)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-_xlfn.IFNA(INDEX(_xlfn.ANCHORARRAY(Sintesi!$C$17)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))),0)</f>
        <v/>
      </c>
    </row>
    <row r="153">
      <c r="A153" s="1">
        <f>'Paste cell here'!A153</f>
        <v/>
      </c>
      <c r="B153" s="2">
        <f>DATE(Sintesi!$C$4-1,12,31)+A153</f>
        <v/>
      </c>
      <c r="C153" s="34">
        <f t="array" ref="C153">_xlfn.IFNA(MATCH(1,(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)*(_xlfn.ANCHORARRAY(Sintesi!$C$15)&gt;=0)+(_xlfn.ANCHORARRAY(Sintesi!$C$15)&lt;0),0),0)</f>
        <v/>
      </c>
      <c r="D153" s="1">
        <f t="array" ref="D153">IF(ISBLANK($E154),IF(ISNUMBER($E152),IF($C153&gt;0,IF(($E153=INDEX(_xlfn.ANCHORARRAY(Sintesi!$C$14),1,$C153))*(INDEX(_xlfn.ANCHORARRAY(Sintesi!$C$15),1,$C153)&gt;0),0,IF(($E153=INDEX(_xlfn.ANCHORARRAY(Sintesi!$C$14),1,$C153))*(INDEX(_xlfn.ANCHORARRAY(Sintesi!$C$15),1,$C153)&lt;0)+($E153&gt;=$E152)*($E153&lt;=INDEX($E:$E,MATCH(TRUE,INDEX((ISNUMBER($E:$E)),0),0)))*($E153&gt;INDEX(_xlfn.ANCHORARRAY(Sintesi!$C$14),1,$C153))*($E153&lt;=INDEX(_xlfn.ANCHORARRAY(Sintesi!$C$15),1,$C153))*(INDEX(_xlfn.ANCHORARRAY(Sintesi!$C$15),1,$C153)&gt;0),1,IF(($E153&gt;=$E152)*($E153&lt;=INDEX($E:$E,MATCH(TRUE,INDEX((ISNUMBER($E:$E)),0),0)))*($E153&gt;INDEX(_xlfn.ANCHORARRAY(Sintesi!$C$14),1,$C153))*($E153&lt;INDEX(_xlfn.ANCHORARRAY(Sintesi!$C$16),1,$C153))*(INDEX(_xlfn.ANCHORARRAY(Sintesi!$C$15),1,$C153)&lt;0)+($E153&gt;=$E152)*($E153&lt;=INDEX($E:$E,MATCH(TRUE,INDEX((ISNUMBER($E:$E)),0),0)))*($E153&gt;INDEX(_xlfn.ANCHORARRAY(Sintesi!$C$15),1,$C153))*($E153&lt;INDEX(_xlfn.ANCHORARRAY(Sintesi!$C$16),1,$C153))*(INDEX(_xlfn.ANCHORARRAY(Sintesi!$C$15),1,$C153)&gt;0),2,IF($E153=(INDEX(_xlfn.ANCHORARRAY(Sintesi!$C$16),1,$C153)),3,4)))),0),IF($C153&gt;0,IF(($E153=INDEX(_xlfn.ANCHORARRAY(Sintesi!$C$14),1,$C153))*(INDEX(_xlfn.ANCHORARRAY(Sintesi!$C$15),1,$C153)&gt;0),0,IF(($E153=INDEX(_xlfn.ANCHORARRAY(Sintesi!$C$14),1,$C153))*(INDEX(_xlfn.ANCHORARRAY(Sintesi!$C$15),1,$C153)&lt;0)+($E153&gt;=LOOKUP(2,1/($E:$E&lt;&gt;""),$E:$E))*($E153&lt;=INDEX($E:$E,MATCH(TRUE,INDEX((ISNUMBER($E:$E)),0),0)))*($E153&gt;INDEX(_xlfn.ANCHORARRAY(Sintesi!$C$14),1,$C153))*($E153&lt;=INDEX(_xlfn.ANCHORARRAY(Sintesi!$C$15),1,$C153))*(INDEX(_xlfn.ANCHORARRAY(Sintesi!$C$15),1,$C153)&gt;0),1,IF(($E153&gt;=LOOKUP(2,1/($E:$E&lt;&gt;""),$E:$E))*($E153&lt;=INDEX($E:$E,MATCH(TRUE,INDEX((ISNUMBER($E:$E)),0),0)))*($E153&gt;INDEX(_xlfn.ANCHORARRAY(Sintesi!$C$14),1,$C153))*($E153&lt;INDEX(_xlfn.ANCHORARRAY(Sintesi!$C$16),1,$C153))*(INDEX(_xlfn.ANCHORARRAY(Sintesi!$C$15),1,$C153)&lt;0)+($E153&gt;=LOOKUP(2,1/($E:$E&lt;&gt;""),$E:$E))*($E153&lt;=INDEX($E:$E,MATCH(TRUE,INDEX((ISNUMBER($E:$E)),0),0)))*($E153&gt;INDEX(_xlfn.ANCHORARRAY(Sintesi!$C$15),1,$C153))*($E153&lt;INDEX(_xlfn.ANCHORARRAY(Sintesi!$C$16),1,$C153))*(INDEX(_xlfn.ANCHORARRAY(Sintesi!$C$15),1,$C153)&gt;0),2,IF($E153=(INDEX(_xlfn.ANCHORARRAY(Sintesi!$C$16),1,$C153)),3,4)))),0)),IF(ISNUMBER($E152),IF($C153&gt;0,IF(($E153=INDEX(_xlfn.ANCHORARRAY(Sintesi!$C$14),1,$C153))*(INDEX(_xlfn.ANCHORARRAY(Sintesi!$C$15),1,$C153)&gt;0),0,IF(($E153=INDEX(_xlfn.ANCHORARRAY(Sintesi!$C$14),1,$C153))*(INDEX(_xlfn.ANCHORARRAY(Sintesi!$C$15),1,$C153)&lt;0)+($E153&gt;=$E152)*($E153&lt;=$E154)*($E153&gt;INDEX(_xlfn.ANCHORARRAY(Sintesi!$C$14),1,$C153))*($E153&lt;=INDEX(_xlfn.ANCHORARRAY(Sintesi!$C$15),1,$C153))*(INDEX(_xlfn.ANCHORARRAY(Sintesi!$C$15),1,$C153)&gt;0),1,IF(($E153&gt;=$E152)*($E153&lt;=$E154)*($E153&gt;INDEX(_xlfn.ANCHORARRAY(Sintesi!$C$14),1,$C153))*($E153&lt;INDEX(_xlfn.ANCHORARRAY(Sintesi!$C$16),1,$C153))*(INDEX(_xlfn.ANCHORARRAY(Sintesi!$C$15),1,$C153)&lt;0)+($E153&gt;=$E152)*($E153&lt;=$E154)*($E153&gt;INDEX(_xlfn.ANCHORARRAY(Sintesi!$C$15),1,$C153))*($E153&lt;INDEX(_xlfn.ANCHORARRAY(Sintesi!$C$16),1,$C153))*(INDEX(_xlfn.ANCHORARRAY(Sintesi!$C$15),1,$C153)&gt;0),2,IF($E153=(INDEX(_xlfn.ANCHORARRAY(Sintesi!$C$16),1,$C153)),3,4)))),0),IF($C153&gt;0,IF(($E153=INDEX(_xlfn.ANCHORARRAY(Sintesi!$C$14),1,$C153))*(INDEX(_xlfn.ANCHORARRAY(Sintesi!$C$15),1,$C153)&gt;0),0,IF(($E153=INDEX(_xlfn.ANCHORARRAY(Sintesi!$C$14),1,$C153))*(INDEX(_xlfn.ANCHORARRAY(Sintesi!$C$15),1,$C153)&lt;0)+($E153&gt;=LOOKUP(2,1/($E:$E&lt;&gt;""),$E:$E))*($E153&lt;=$E154)*($E153&gt;INDEX(_xlfn.ANCHORARRAY(Sintesi!$C$14),1,$C153))*($E153&lt;=INDEX(_xlfn.ANCHORARRAY(Sintesi!$C$15),1,$C153))*(INDEX(_xlfn.ANCHORARRAY(Sintesi!$C$15),1,$C153)&gt;0),1,IF(($E153&gt;=LOOKUP(2,1/($E:$E&lt;&gt;""),$E:$E))*($E153&lt;=$E154)*($E153&gt;INDEX(_xlfn.ANCHORARRAY(Sintesi!$C$14),1,$C153))*($E153&lt;INDEX(_xlfn.ANCHORARRAY(Sintesi!$C$16),1,$C153))*(INDEX(_xlfn.ANCHORARRAY(Sintesi!$C$15),1,$C153)&lt;0)+($E153&gt;=LOOKUP(2,1/($E:$E&lt;&gt;""),$E:$E))*($E153&lt;=$E154)*($E153&gt;INDEX(_xlfn.ANCHORARRAY(Sintesi!$C$15),1,$C153))*($E153&lt;INDEX(_xlfn.ANCHORARRAY(Sintesi!$C$16),1,$C153))*(INDEX(_xlfn.ANCHORARRAY(Sintesi!$C$15),1,$C153)&gt;0),2,IF($E153=(INDEX(_xlfn.ANCHORARRAY(Sintesi!$C$16),1,$C153)),3,4)))),0)))</f>
        <v/>
      </c>
      <c r="E153" s="1">
        <f>'Paste cell here'!F153</f>
        <v/>
      </c>
      <c r="F153" s="1">
        <f>'Paste cell here'!C153</f>
        <v/>
      </c>
      <c r="G153" s="1">
        <f>'Paste cell here'!D153</f>
        <v/>
      </c>
      <c r="H153" s="1">
        <f>'Paste cell here'!E153</f>
        <v/>
      </c>
      <c r="I153" s="1">
        <f>'Paste cell here'!X153</f>
        <v/>
      </c>
      <c r="J153" s="1">
        <f>'Paste cell here'!Y153+'Paste cell here'!S153</f>
        <v/>
      </c>
      <c r="K153" s="1">
        <f>I153/H153</f>
        <v/>
      </c>
      <c r="L153" s="1">
        <f>AVERAGE(($F153+$G153)/2-($F153-$G153)/2*COS(PI()*(8-VLOOKUP(MONTH(B153),$O$1:$Q$13,3))/(VLOOKUP(MONTH(B153),$O$1:$Q$13,2)-VLOOKUP(MONTH(B153),$O$1:$Q$13,3))),($F153+$G153)/2-($F153-$G153)/2*COS(PI()*(9-VLOOKUP(MONTH(B153),$O$1:$Q$13,3))/(VLOOKUP(MONTH(B153),$O$1:$Q$13,2)-VLOOKUP(MONTH(B153),$O$1:$Q$13,3))),($F153+$G153)/2-($F153-$G153)/2*COS(PI()*(10-VLOOKUP(MONTH(B153),$O$1:$Q$13,3))/(VLOOKUP(MONTH(B153),$O$1:$Q$13,2)-VLOOKUP(MONTH(B153),$O$1:$Q$13,3))),($F153+$G153)/2-($F153-$G153)/2*COS(PI()*(11-VLOOKUP(MONTH(B153),$O$1:$Q$13,3))/(VLOOKUP(MONTH(B153),$O$1:$Q$13,2)-VLOOKUP(MONTH(B153),$O$1:$Q$13,3))),($F153+$G153)/2-($F153-$G153)/2*COS(PI()*(12-VLOOKUP(MONTH(B153),$O$1:$Q$13,3))/(VLOOKUP(MONTH(B153),$O$1:$Q$13,2)-VLOOKUP(MONTH(B153),$O$1:$Q$13,3))),($F153+$G153)/2-($F153-$G153)/2*COS(PI()*(13-VLOOKUP(MONTH(B153),$O$1:$Q$13,3))/(VLOOKUP(MONTH(B153),$O$1:$Q$13,2)-VLOOKUP(MONTH(B153),$O$1:$Q$13,3))),($F153+$G153)/2-($F153-$G153)/2*COS(PI()*(14-VLOOKUP(MONTH(B153),$O$1:$Q$13,3))/(VLOOKUP(MONTH(B153),$O$1:$Q$13,2)-VLOOKUP(MONTH(B153),$O$1:$Q$13,3))))</f>
        <v/>
      </c>
      <c r="M153" s="1">
        <f t="array" ref="M153">IF(AND(A153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,A153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),IF(L153&lt;_xlfn.IFNA(INDEX(_xlfn.ANCHORARRAY(Sintesi!$C$17)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,1,IF(L153&gt;=_xlfn.IFNA(INDEX(_xlfn.ANCHORARRAY(Sintesi!$C$18)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,0,1-(L153-_xlfn.IFNA(INDEX(_xlfn.ANCHORARRAY(Sintesi!$C$17)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)/(_xlfn.IFNA(INDEX(_xlfn.ANCHORARRAY(Sintesi!$C$18)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-_xlfn.IFNA(INDEX(_xlfn.ANCHORARRAY(Sintesi!$C$17)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))),0)</f>
        <v/>
      </c>
    </row>
    <row r="154">
      <c r="A154" s="1">
        <f>'Paste cell here'!A154</f>
        <v/>
      </c>
      <c r="B154" s="2">
        <f>DATE(Sintesi!$C$4-1,12,31)+A154</f>
        <v/>
      </c>
      <c r="C154" s="34">
        <f t="array" ref="C154">_xlfn.IFNA(MATCH(1,(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)*(_xlfn.ANCHORARRAY(Sintesi!$C$15)&gt;=0)+(_xlfn.ANCHORARRAY(Sintesi!$C$15)&lt;0),0),0)</f>
        <v/>
      </c>
      <c r="D154" s="1">
        <f t="array" ref="D154">IF(ISBLANK($E155),IF(ISNUMBER($E153),IF($C154&gt;0,IF(($E154=INDEX(_xlfn.ANCHORARRAY(Sintesi!$C$14),1,$C154))*(INDEX(_xlfn.ANCHORARRAY(Sintesi!$C$15),1,$C154)&gt;0),0,IF(($E154=INDEX(_xlfn.ANCHORARRAY(Sintesi!$C$14),1,$C154))*(INDEX(_xlfn.ANCHORARRAY(Sintesi!$C$15),1,$C154)&lt;0)+($E154&gt;=$E153)*($E154&lt;=INDEX($E:$E,MATCH(TRUE,INDEX((ISNUMBER($E:$E)),0),0)))*($E154&gt;INDEX(_xlfn.ANCHORARRAY(Sintesi!$C$14),1,$C154))*($E154&lt;=INDEX(_xlfn.ANCHORARRAY(Sintesi!$C$15),1,$C154))*(INDEX(_xlfn.ANCHORARRAY(Sintesi!$C$15),1,$C154)&gt;0),1,IF(($E154&gt;=$E153)*($E154&lt;=INDEX($E:$E,MATCH(TRUE,INDEX((ISNUMBER($E:$E)),0),0)))*($E154&gt;INDEX(_xlfn.ANCHORARRAY(Sintesi!$C$14),1,$C154))*($E154&lt;INDEX(_xlfn.ANCHORARRAY(Sintesi!$C$16),1,$C154))*(INDEX(_xlfn.ANCHORARRAY(Sintesi!$C$15),1,$C154)&lt;0)+($E154&gt;=$E153)*($E154&lt;=INDEX($E:$E,MATCH(TRUE,INDEX((ISNUMBER($E:$E)),0),0)))*($E154&gt;INDEX(_xlfn.ANCHORARRAY(Sintesi!$C$15),1,$C154))*($E154&lt;INDEX(_xlfn.ANCHORARRAY(Sintesi!$C$16),1,$C154))*(INDEX(_xlfn.ANCHORARRAY(Sintesi!$C$15),1,$C154)&gt;0),2,IF($E154=(INDEX(_xlfn.ANCHORARRAY(Sintesi!$C$16),1,$C154)),3,4)))),0),IF($C154&gt;0,IF(($E154=INDEX(_xlfn.ANCHORARRAY(Sintesi!$C$14),1,$C154))*(INDEX(_xlfn.ANCHORARRAY(Sintesi!$C$15),1,$C154)&gt;0),0,IF(($E154=INDEX(_xlfn.ANCHORARRAY(Sintesi!$C$14),1,$C154))*(INDEX(_xlfn.ANCHORARRAY(Sintesi!$C$15),1,$C154)&lt;0)+($E154&gt;=LOOKUP(2,1/($E:$E&lt;&gt;""),$E:$E))*($E154&lt;=INDEX($E:$E,MATCH(TRUE,INDEX((ISNUMBER($E:$E)),0),0)))*($E154&gt;INDEX(_xlfn.ANCHORARRAY(Sintesi!$C$14),1,$C154))*($E154&lt;=INDEX(_xlfn.ANCHORARRAY(Sintesi!$C$15),1,$C154))*(INDEX(_xlfn.ANCHORARRAY(Sintesi!$C$15),1,$C154)&gt;0),1,IF(($E154&gt;=LOOKUP(2,1/($E:$E&lt;&gt;""),$E:$E))*($E154&lt;=INDEX($E:$E,MATCH(TRUE,INDEX((ISNUMBER($E:$E)),0),0)))*($E154&gt;INDEX(_xlfn.ANCHORARRAY(Sintesi!$C$14),1,$C154))*($E154&lt;INDEX(_xlfn.ANCHORARRAY(Sintesi!$C$16),1,$C154))*(INDEX(_xlfn.ANCHORARRAY(Sintesi!$C$15),1,$C154)&lt;0)+($E154&gt;=LOOKUP(2,1/($E:$E&lt;&gt;""),$E:$E))*($E154&lt;=INDEX($E:$E,MATCH(TRUE,INDEX((ISNUMBER($E:$E)),0),0)))*($E154&gt;INDEX(_xlfn.ANCHORARRAY(Sintesi!$C$15),1,$C154))*($E154&lt;INDEX(_xlfn.ANCHORARRAY(Sintesi!$C$16),1,$C154))*(INDEX(_xlfn.ANCHORARRAY(Sintesi!$C$15),1,$C154)&gt;0),2,IF($E154=(INDEX(_xlfn.ANCHORARRAY(Sintesi!$C$16),1,$C154)),3,4)))),0)),IF(ISNUMBER($E153),IF($C154&gt;0,IF(($E154=INDEX(_xlfn.ANCHORARRAY(Sintesi!$C$14),1,$C154))*(INDEX(_xlfn.ANCHORARRAY(Sintesi!$C$15),1,$C154)&gt;0),0,IF(($E154=INDEX(_xlfn.ANCHORARRAY(Sintesi!$C$14),1,$C154))*(INDEX(_xlfn.ANCHORARRAY(Sintesi!$C$15),1,$C154)&lt;0)+($E154&gt;=$E153)*($E154&lt;=$E155)*($E154&gt;INDEX(_xlfn.ANCHORARRAY(Sintesi!$C$14),1,$C154))*($E154&lt;=INDEX(_xlfn.ANCHORARRAY(Sintesi!$C$15),1,$C154))*(INDEX(_xlfn.ANCHORARRAY(Sintesi!$C$15),1,$C154)&gt;0),1,IF(($E154&gt;=$E153)*($E154&lt;=$E155)*($E154&gt;INDEX(_xlfn.ANCHORARRAY(Sintesi!$C$14),1,$C154))*($E154&lt;INDEX(_xlfn.ANCHORARRAY(Sintesi!$C$16),1,$C154))*(INDEX(_xlfn.ANCHORARRAY(Sintesi!$C$15),1,$C154)&lt;0)+($E154&gt;=$E153)*($E154&lt;=$E155)*($E154&gt;INDEX(_xlfn.ANCHORARRAY(Sintesi!$C$15),1,$C154))*($E154&lt;INDEX(_xlfn.ANCHORARRAY(Sintesi!$C$16),1,$C154))*(INDEX(_xlfn.ANCHORARRAY(Sintesi!$C$15),1,$C154)&gt;0),2,IF($E154=(INDEX(_xlfn.ANCHORARRAY(Sintesi!$C$16),1,$C154)),3,4)))),0),IF($C154&gt;0,IF(($E154=INDEX(_xlfn.ANCHORARRAY(Sintesi!$C$14),1,$C154))*(INDEX(_xlfn.ANCHORARRAY(Sintesi!$C$15),1,$C154)&gt;0),0,IF(($E154=INDEX(_xlfn.ANCHORARRAY(Sintesi!$C$14),1,$C154))*(INDEX(_xlfn.ANCHORARRAY(Sintesi!$C$15),1,$C154)&lt;0)+($E154&gt;=LOOKUP(2,1/($E:$E&lt;&gt;""),$E:$E))*($E154&lt;=$E155)*($E154&gt;INDEX(_xlfn.ANCHORARRAY(Sintesi!$C$14),1,$C154))*($E154&lt;=INDEX(_xlfn.ANCHORARRAY(Sintesi!$C$15),1,$C154))*(INDEX(_xlfn.ANCHORARRAY(Sintesi!$C$15),1,$C154)&gt;0),1,IF(($E154&gt;=LOOKUP(2,1/($E:$E&lt;&gt;""),$E:$E))*($E154&lt;=$E155)*($E154&gt;INDEX(_xlfn.ANCHORARRAY(Sintesi!$C$14),1,$C154))*($E154&lt;INDEX(_xlfn.ANCHORARRAY(Sintesi!$C$16),1,$C154))*(INDEX(_xlfn.ANCHORARRAY(Sintesi!$C$15),1,$C154)&lt;0)+($E154&gt;=LOOKUP(2,1/($E:$E&lt;&gt;""),$E:$E))*($E154&lt;=$E155)*($E154&gt;INDEX(_xlfn.ANCHORARRAY(Sintesi!$C$15),1,$C154))*($E154&lt;INDEX(_xlfn.ANCHORARRAY(Sintesi!$C$16),1,$C154))*(INDEX(_xlfn.ANCHORARRAY(Sintesi!$C$15),1,$C154)&gt;0),2,IF($E154=(INDEX(_xlfn.ANCHORARRAY(Sintesi!$C$16),1,$C154)),3,4)))),0)))</f>
        <v/>
      </c>
      <c r="E154" s="1">
        <f>'Paste cell here'!F154</f>
        <v/>
      </c>
      <c r="F154" s="1">
        <f>'Paste cell here'!C154</f>
        <v/>
      </c>
      <c r="G154" s="1">
        <f>'Paste cell here'!D154</f>
        <v/>
      </c>
      <c r="H154" s="1">
        <f>'Paste cell here'!E154</f>
        <v/>
      </c>
      <c r="I154" s="1">
        <f>'Paste cell here'!X154</f>
        <v/>
      </c>
      <c r="J154" s="1">
        <f>'Paste cell here'!Y154+'Paste cell here'!S154</f>
        <v/>
      </c>
      <c r="K154" s="1">
        <f>I154/H154</f>
        <v/>
      </c>
      <c r="L154" s="1">
        <f>AVERAGE(($F154+$G154)/2-($F154-$G154)/2*COS(PI()*(8-VLOOKUP(MONTH(B154),$O$1:$Q$13,3))/(VLOOKUP(MONTH(B154),$O$1:$Q$13,2)-VLOOKUP(MONTH(B154),$O$1:$Q$13,3))),($F154+$G154)/2-($F154-$G154)/2*COS(PI()*(9-VLOOKUP(MONTH(B154),$O$1:$Q$13,3))/(VLOOKUP(MONTH(B154),$O$1:$Q$13,2)-VLOOKUP(MONTH(B154),$O$1:$Q$13,3))),($F154+$G154)/2-($F154-$G154)/2*COS(PI()*(10-VLOOKUP(MONTH(B154),$O$1:$Q$13,3))/(VLOOKUP(MONTH(B154),$O$1:$Q$13,2)-VLOOKUP(MONTH(B154),$O$1:$Q$13,3))),($F154+$G154)/2-($F154-$G154)/2*COS(PI()*(11-VLOOKUP(MONTH(B154),$O$1:$Q$13,3))/(VLOOKUP(MONTH(B154),$O$1:$Q$13,2)-VLOOKUP(MONTH(B154),$O$1:$Q$13,3))),($F154+$G154)/2-($F154-$G154)/2*COS(PI()*(12-VLOOKUP(MONTH(B154),$O$1:$Q$13,3))/(VLOOKUP(MONTH(B154),$O$1:$Q$13,2)-VLOOKUP(MONTH(B154),$O$1:$Q$13,3))),($F154+$G154)/2-($F154-$G154)/2*COS(PI()*(13-VLOOKUP(MONTH(B154),$O$1:$Q$13,3))/(VLOOKUP(MONTH(B154),$O$1:$Q$13,2)-VLOOKUP(MONTH(B154),$O$1:$Q$13,3))),($F154+$G154)/2-($F154-$G154)/2*COS(PI()*(14-VLOOKUP(MONTH(B154),$O$1:$Q$13,3))/(VLOOKUP(MONTH(B154),$O$1:$Q$13,2)-VLOOKUP(MONTH(B154),$O$1:$Q$13,3))))</f>
        <v/>
      </c>
      <c r="M154" s="1">
        <f t="array" ref="M154">IF(AND(A154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,A154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),IF(L154&lt;_xlfn.IFNA(INDEX(_xlfn.ANCHORARRAY(Sintesi!$C$17)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,1,IF(L154&gt;=_xlfn.IFNA(INDEX(_xlfn.ANCHORARRAY(Sintesi!$C$18)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,0,1-(L154-_xlfn.IFNA(INDEX(_xlfn.ANCHORARRAY(Sintesi!$C$17)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)/(_xlfn.IFNA(INDEX(_xlfn.ANCHORARRAY(Sintesi!$C$18)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-_xlfn.IFNA(INDEX(_xlfn.ANCHORARRAY(Sintesi!$C$17)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))),0)</f>
        <v/>
      </c>
    </row>
    <row r="155">
      <c r="A155" s="1">
        <f>'Paste cell here'!A155</f>
        <v/>
      </c>
      <c r="B155" s="2">
        <f>DATE(Sintesi!$C$4-1,12,31)+A155</f>
        <v/>
      </c>
      <c r="C155" s="34">
        <f t="array" ref="C155">_xlfn.IFNA(MATCH(1,(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)*(_xlfn.ANCHORARRAY(Sintesi!$C$15)&gt;=0)+(_xlfn.ANCHORARRAY(Sintesi!$C$15)&lt;0),0),0)</f>
        <v/>
      </c>
      <c r="D155" s="1">
        <f t="array" ref="D155">IF(ISBLANK($E156),IF(ISNUMBER($E154),IF($C155&gt;0,IF(($E155=INDEX(_xlfn.ANCHORARRAY(Sintesi!$C$14),1,$C155))*(INDEX(_xlfn.ANCHORARRAY(Sintesi!$C$15),1,$C155)&gt;0),0,IF(($E155=INDEX(_xlfn.ANCHORARRAY(Sintesi!$C$14),1,$C155))*(INDEX(_xlfn.ANCHORARRAY(Sintesi!$C$15),1,$C155)&lt;0)+($E155&gt;=$E154)*($E155&lt;=INDEX($E:$E,MATCH(TRUE,INDEX((ISNUMBER($E:$E)),0),0)))*($E155&gt;INDEX(_xlfn.ANCHORARRAY(Sintesi!$C$14),1,$C155))*($E155&lt;=INDEX(_xlfn.ANCHORARRAY(Sintesi!$C$15),1,$C155))*(INDEX(_xlfn.ANCHORARRAY(Sintesi!$C$15),1,$C155)&gt;0),1,IF(($E155&gt;=$E154)*($E155&lt;=INDEX($E:$E,MATCH(TRUE,INDEX((ISNUMBER($E:$E)),0),0)))*($E155&gt;INDEX(_xlfn.ANCHORARRAY(Sintesi!$C$14),1,$C155))*($E155&lt;INDEX(_xlfn.ANCHORARRAY(Sintesi!$C$16),1,$C155))*(INDEX(_xlfn.ANCHORARRAY(Sintesi!$C$15),1,$C155)&lt;0)+($E155&gt;=$E154)*($E155&lt;=INDEX($E:$E,MATCH(TRUE,INDEX((ISNUMBER($E:$E)),0),0)))*($E155&gt;INDEX(_xlfn.ANCHORARRAY(Sintesi!$C$15),1,$C155))*($E155&lt;INDEX(_xlfn.ANCHORARRAY(Sintesi!$C$16),1,$C155))*(INDEX(_xlfn.ANCHORARRAY(Sintesi!$C$15),1,$C155)&gt;0),2,IF($E155=(INDEX(_xlfn.ANCHORARRAY(Sintesi!$C$16),1,$C155)),3,4)))),0),IF($C155&gt;0,IF(($E155=INDEX(_xlfn.ANCHORARRAY(Sintesi!$C$14),1,$C155))*(INDEX(_xlfn.ANCHORARRAY(Sintesi!$C$15),1,$C155)&gt;0),0,IF(($E155=INDEX(_xlfn.ANCHORARRAY(Sintesi!$C$14),1,$C155))*(INDEX(_xlfn.ANCHORARRAY(Sintesi!$C$15),1,$C155)&lt;0)+($E155&gt;=LOOKUP(2,1/($E:$E&lt;&gt;""),$E:$E))*($E155&lt;=INDEX($E:$E,MATCH(TRUE,INDEX((ISNUMBER($E:$E)),0),0)))*($E155&gt;INDEX(_xlfn.ANCHORARRAY(Sintesi!$C$14),1,$C155))*($E155&lt;=INDEX(_xlfn.ANCHORARRAY(Sintesi!$C$15),1,$C155))*(INDEX(_xlfn.ANCHORARRAY(Sintesi!$C$15),1,$C155)&gt;0),1,IF(($E155&gt;=LOOKUP(2,1/($E:$E&lt;&gt;""),$E:$E))*($E155&lt;=INDEX($E:$E,MATCH(TRUE,INDEX((ISNUMBER($E:$E)),0),0)))*($E155&gt;INDEX(_xlfn.ANCHORARRAY(Sintesi!$C$14),1,$C155))*($E155&lt;INDEX(_xlfn.ANCHORARRAY(Sintesi!$C$16),1,$C155))*(INDEX(_xlfn.ANCHORARRAY(Sintesi!$C$15),1,$C155)&lt;0)+($E155&gt;=LOOKUP(2,1/($E:$E&lt;&gt;""),$E:$E))*($E155&lt;=INDEX($E:$E,MATCH(TRUE,INDEX((ISNUMBER($E:$E)),0),0)))*($E155&gt;INDEX(_xlfn.ANCHORARRAY(Sintesi!$C$15),1,$C155))*($E155&lt;INDEX(_xlfn.ANCHORARRAY(Sintesi!$C$16),1,$C155))*(INDEX(_xlfn.ANCHORARRAY(Sintesi!$C$15),1,$C155)&gt;0),2,IF($E155=(INDEX(_xlfn.ANCHORARRAY(Sintesi!$C$16),1,$C155)),3,4)))),0)),IF(ISNUMBER($E154),IF($C155&gt;0,IF(($E155=INDEX(_xlfn.ANCHORARRAY(Sintesi!$C$14),1,$C155))*(INDEX(_xlfn.ANCHORARRAY(Sintesi!$C$15),1,$C155)&gt;0),0,IF(($E155=INDEX(_xlfn.ANCHORARRAY(Sintesi!$C$14),1,$C155))*(INDEX(_xlfn.ANCHORARRAY(Sintesi!$C$15),1,$C155)&lt;0)+($E155&gt;=$E154)*($E155&lt;=$E156)*($E155&gt;INDEX(_xlfn.ANCHORARRAY(Sintesi!$C$14),1,$C155))*($E155&lt;=INDEX(_xlfn.ANCHORARRAY(Sintesi!$C$15),1,$C155))*(INDEX(_xlfn.ANCHORARRAY(Sintesi!$C$15),1,$C155)&gt;0),1,IF(($E155&gt;=$E154)*($E155&lt;=$E156)*($E155&gt;INDEX(_xlfn.ANCHORARRAY(Sintesi!$C$14),1,$C155))*($E155&lt;INDEX(_xlfn.ANCHORARRAY(Sintesi!$C$16),1,$C155))*(INDEX(_xlfn.ANCHORARRAY(Sintesi!$C$15),1,$C155)&lt;0)+($E155&gt;=$E154)*($E155&lt;=$E156)*($E155&gt;INDEX(_xlfn.ANCHORARRAY(Sintesi!$C$15),1,$C155))*($E155&lt;INDEX(_xlfn.ANCHORARRAY(Sintesi!$C$16),1,$C155))*(INDEX(_xlfn.ANCHORARRAY(Sintesi!$C$15),1,$C155)&gt;0),2,IF($E155=(INDEX(_xlfn.ANCHORARRAY(Sintesi!$C$16),1,$C155)),3,4)))),0),IF($C155&gt;0,IF(($E155=INDEX(_xlfn.ANCHORARRAY(Sintesi!$C$14),1,$C155))*(INDEX(_xlfn.ANCHORARRAY(Sintesi!$C$15),1,$C155)&gt;0),0,IF(($E155=INDEX(_xlfn.ANCHORARRAY(Sintesi!$C$14),1,$C155))*(INDEX(_xlfn.ANCHORARRAY(Sintesi!$C$15),1,$C155)&lt;0)+($E155&gt;=LOOKUP(2,1/($E:$E&lt;&gt;""),$E:$E))*($E155&lt;=$E156)*($E155&gt;INDEX(_xlfn.ANCHORARRAY(Sintesi!$C$14),1,$C155))*($E155&lt;=INDEX(_xlfn.ANCHORARRAY(Sintesi!$C$15),1,$C155))*(INDEX(_xlfn.ANCHORARRAY(Sintesi!$C$15),1,$C155)&gt;0),1,IF(($E155&gt;=LOOKUP(2,1/($E:$E&lt;&gt;""),$E:$E))*($E155&lt;=$E156)*($E155&gt;INDEX(_xlfn.ANCHORARRAY(Sintesi!$C$14),1,$C155))*($E155&lt;INDEX(_xlfn.ANCHORARRAY(Sintesi!$C$16),1,$C155))*(INDEX(_xlfn.ANCHORARRAY(Sintesi!$C$15),1,$C155)&lt;0)+($E155&gt;=LOOKUP(2,1/($E:$E&lt;&gt;""),$E:$E))*($E155&lt;=$E156)*($E155&gt;INDEX(_xlfn.ANCHORARRAY(Sintesi!$C$15),1,$C155))*($E155&lt;INDEX(_xlfn.ANCHORARRAY(Sintesi!$C$16),1,$C155))*(INDEX(_xlfn.ANCHORARRAY(Sintesi!$C$15),1,$C155)&gt;0),2,IF($E155=(INDEX(_xlfn.ANCHORARRAY(Sintesi!$C$16),1,$C155)),3,4)))),0)))</f>
        <v/>
      </c>
      <c r="E155" s="1">
        <f>'Paste cell here'!F155</f>
        <v/>
      </c>
      <c r="F155" s="1">
        <f>'Paste cell here'!C155</f>
        <v/>
      </c>
      <c r="G155" s="1">
        <f>'Paste cell here'!D155</f>
        <v/>
      </c>
      <c r="H155" s="1">
        <f>'Paste cell here'!E155</f>
        <v/>
      </c>
      <c r="I155" s="1">
        <f>'Paste cell here'!X155</f>
        <v/>
      </c>
      <c r="J155" s="1">
        <f>'Paste cell here'!Y155+'Paste cell here'!S155</f>
        <v/>
      </c>
      <c r="K155" s="1">
        <f>I155/H155</f>
        <v/>
      </c>
      <c r="L155" s="1">
        <f>AVERAGE(($F155+$G155)/2-($F155-$G155)/2*COS(PI()*(8-VLOOKUP(MONTH(B155),$O$1:$Q$13,3))/(VLOOKUP(MONTH(B155),$O$1:$Q$13,2)-VLOOKUP(MONTH(B155),$O$1:$Q$13,3))),($F155+$G155)/2-($F155-$G155)/2*COS(PI()*(9-VLOOKUP(MONTH(B155),$O$1:$Q$13,3))/(VLOOKUP(MONTH(B155),$O$1:$Q$13,2)-VLOOKUP(MONTH(B155),$O$1:$Q$13,3))),($F155+$G155)/2-($F155-$G155)/2*COS(PI()*(10-VLOOKUP(MONTH(B155),$O$1:$Q$13,3))/(VLOOKUP(MONTH(B155),$O$1:$Q$13,2)-VLOOKUP(MONTH(B155),$O$1:$Q$13,3))),($F155+$G155)/2-($F155-$G155)/2*COS(PI()*(11-VLOOKUP(MONTH(B155),$O$1:$Q$13,3))/(VLOOKUP(MONTH(B155),$O$1:$Q$13,2)-VLOOKUP(MONTH(B155),$O$1:$Q$13,3))),($F155+$G155)/2-($F155-$G155)/2*COS(PI()*(12-VLOOKUP(MONTH(B155),$O$1:$Q$13,3))/(VLOOKUP(MONTH(B155),$O$1:$Q$13,2)-VLOOKUP(MONTH(B155),$O$1:$Q$13,3))),($F155+$G155)/2-($F155-$G155)/2*COS(PI()*(13-VLOOKUP(MONTH(B155),$O$1:$Q$13,3))/(VLOOKUP(MONTH(B155),$O$1:$Q$13,2)-VLOOKUP(MONTH(B155),$O$1:$Q$13,3))),($F155+$G155)/2-($F155-$G155)/2*COS(PI()*(14-VLOOKUP(MONTH(B155),$O$1:$Q$13,3))/(VLOOKUP(MONTH(B155),$O$1:$Q$13,2)-VLOOKUP(MONTH(B155),$O$1:$Q$13,3))))</f>
        <v/>
      </c>
      <c r="M155" s="1">
        <f t="array" ref="M155">IF(AND(A155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,A155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),IF(L155&lt;_xlfn.IFNA(INDEX(_xlfn.ANCHORARRAY(Sintesi!$C$17)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,1,IF(L155&gt;=_xlfn.IFNA(INDEX(_xlfn.ANCHORARRAY(Sintesi!$C$18)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,0,1-(L155-_xlfn.IFNA(INDEX(_xlfn.ANCHORARRAY(Sintesi!$C$17)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)/(_xlfn.IFNA(INDEX(_xlfn.ANCHORARRAY(Sintesi!$C$18)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-_xlfn.IFNA(INDEX(_xlfn.ANCHORARRAY(Sintesi!$C$17)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))),0)</f>
        <v/>
      </c>
    </row>
    <row r="156">
      <c r="A156" s="1">
        <f>'Paste cell here'!A156</f>
        <v/>
      </c>
      <c r="B156" s="2">
        <f>DATE(Sintesi!$C$4-1,12,31)+A156</f>
        <v/>
      </c>
      <c r="C156" s="34">
        <f t="array" ref="C156">_xlfn.IFNA(MATCH(1,(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)*(_xlfn.ANCHORARRAY(Sintesi!$C$15)&gt;=0)+(_xlfn.ANCHORARRAY(Sintesi!$C$15)&lt;0),0),0)</f>
        <v/>
      </c>
      <c r="D156" s="1">
        <f t="array" ref="D156">IF(ISBLANK($E157),IF(ISNUMBER($E155),IF($C156&gt;0,IF(($E156=INDEX(_xlfn.ANCHORARRAY(Sintesi!$C$14),1,$C156))*(INDEX(_xlfn.ANCHORARRAY(Sintesi!$C$15),1,$C156)&gt;0),0,IF(($E156=INDEX(_xlfn.ANCHORARRAY(Sintesi!$C$14),1,$C156))*(INDEX(_xlfn.ANCHORARRAY(Sintesi!$C$15),1,$C156)&lt;0)+($E156&gt;=$E155)*($E156&lt;=INDEX($E:$E,MATCH(TRUE,INDEX((ISNUMBER($E:$E)),0),0)))*($E156&gt;INDEX(_xlfn.ANCHORARRAY(Sintesi!$C$14),1,$C156))*($E156&lt;=INDEX(_xlfn.ANCHORARRAY(Sintesi!$C$15),1,$C156))*(INDEX(_xlfn.ANCHORARRAY(Sintesi!$C$15),1,$C156)&gt;0),1,IF(($E156&gt;=$E155)*($E156&lt;=INDEX($E:$E,MATCH(TRUE,INDEX((ISNUMBER($E:$E)),0),0)))*($E156&gt;INDEX(_xlfn.ANCHORARRAY(Sintesi!$C$14),1,$C156))*($E156&lt;INDEX(_xlfn.ANCHORARRAY(Sintesi!$C$16),1,$C156))*(INDEX(_xlfn.ANCHORARRAY(Sintesi!$C$15),1,$C156)&lt;0)+($E156&gt;=$E155)*($E156&lt;=INDEX($E:$E,MATCH(TRUE,INDEX((ISNUMBER($E:$E)),0),0)))*($E156&gt;INDEX(_xlfn.ANCHORARRAY(Sintesi!$C$15),1,$C156))*($E156&lt;INDEX(_xlfn.ANCHORARRAY(Sintesi!$C$16),1,$C156))*(INDEX(_xlfn.ANCHORARRAY(Sintesi!$C$15),1,$C156)&gt;0),2,IF($E156=(INDEX(_xlfn.ANCHORARRAY(Sintesi!$C$16),1,$C156)),3,4)))),0),IF($C156&gt;0,IF(($E156=INDEX(_xlfn.ANCHORARRAY(Sintesi!$C$14),1,$C156))*(INDEX(_xlfn.ANCHORARRAY(Sintesi!$C$15),1,$C156)&gt;0),0,IF(($E156=INDEX(_xlfn.ANCHORARRAY(Sintesi!$C$14),1,$C156))*(INDEX(_xlfn.ANCHORARRAY(Sintesi!$C$15),1,$C156)&lt;0)+($E156&gt;=LOOKUP(2,1/($E:$E&lt;&gt;""),$E:$E))*($E156&lt;=INDEX($E:$E,MATCH(TRUE,INDEX((ISNUMBER($E:$E)),0),0)))*($E156&gt;INDEX(_xlfn.ANCHORARRAY(Sintesi!$C$14),1,$C156))*($E156&lt;=INDEX(_xlfn.ANCHORARRAY(Sintesi!$C$15),1,$C156))*(INDEX(_xlfn.ANCHORARRAY(Sintesi!$C$15),1,$C156)&gt;0),1,IF(($E156&gt;=LOOKUP(2,1/($E:$E&lt;&gt;""),$E:$E))*($E156&lt;=INDEX($E:$E,MATCH(TRUE,INDEX((ISNUMBER($E:$E)),0),0)))*($E156&gt;INDEX(_xlfn.ANCHORARRAY(Sintesi!$C$14),1,$C156))*($E156&lt;INDEX(_xlfn.ANCHORARRAY(Sintesi!$C$16),1,$C156))*(INDEX(_xlfn.ANCHORARRAY(Sintesi!$C$15),1,$C156)&lt;0)+($E156&gt;=LOOKUP(2,1/($E:$E&lt;&gt;""),$E:$E))*($E156&lt;=INDEX($E:$E,MATCH(TRUE,INDEX((ISNUMBER($E:$E)),0),0)))*($E156&gt;INDEX(_xlfn.ANCHORARRAY(Sintesi!$C$15),1,$C156))*($E156&lt;INDEX(_xlfn.ANCHORARRAY(Sintesi!$C$16),1,$C156))*(INDEX(_xlfn.ANCHORARRAY(Sintesi!$C$15),1,$C156)&gt;0),2,IF($E156=(INDEX(_xlfn.ANCHORARRAY(Sintesi!$C$16),1,$C156)),3,4)))),0)),IF(ISNUMBER($E155),IF($C156&gt;0,IF(($E156=INDEX(_xlfn.ANCHORARRAY(Sintesi!$C$14),1,$C156))*(INDEX(_xlfn.ANCHORARRAY(Sintesi!$C$15),1,$C156)&gt;0),0,IF(($E156=INDEX(_xlfn.ANCHORARRAY(Sintesi!$C$14),1,$C156))*(INDEX(_xlfn.ANCHORARRAY(Sintesi!$C$15),1,$C156)&lt;0)+($E156&gt;=$E155)*($E156&lt;=$E157)*($E156&gt;INDEX(_xlfn.ANCHORARRAY(Sintesi!$C$14),1,$C156))*($E156&lt;=INDEX(_xlfn.ANCHORARRAY(Sintesi!$C$15),1,$C156))*(INDEX(_xlfn.ANCHORARRAY(Sintesi!$C$15),1,$C156)&gt;0),1,IF(($E156&gt;=$E155)*($E156&lt;=$E157)*($E156&gt;INDEX(_xlfn.ANCHORARRAY(Sintesi!$C$14),1,$C156))*($E156&lt;INDEX(_xlfn.ANCHORARRAY(Sintesi!$C$16),1,$C156))*(INDEX(_xlfn.ANCHORARRAY(Sintesi!$C$15),1,$C156)&lt;0)+($E156&gt;=$E155)*($E156&lt;=$E157)*($E156&gt;INDEX(_xlfn.ANCHORARRAY(Sintesi!$C$15),1,$C156))*($E156&lt;INDEX(_xlfn.ANCHORARRAY(Sintesi!$C$16),1,$C156))*(INDEX(_xlfn.ANCHORARRAY(Sintesi!$C$15),1,$C156)&gt;0),2,IF($E156=(INDEX(_xlfn.ANCHORARRAY(Sintesi!$C$16),1,$C156)),3,4)))),0),IF($C156&gt;0,IF(($E156=INDEX(_xlfn.ANCHORARRAY(Sintesi!$C$14),1,$C156))*(INDEX(_xlfn.ANCHORARRAY(Sintesi!$C$15),1,$C156)&gt;0),0,IF(($E156=INDEX(_xlfn.ANCHORARRAY(Sintesi!$C$14),1,$C156))*(INDEX(_xlfn.ANCHORARRAY(Sintesi!$C$15),1,$C156)&lt;0)+($E156&gt;=LOOKUP(2,1/($E:$E&lt;&gt;""),$E:$E))*($E156&lt;=$E157)*($E156&gt;INDEX(_xlfn.ANCHORARRAY(Sintesi!$C$14),1,$C156))*($E156&lt;=INDEX(_xlfn.ANCHORARRAY(Sintesi!$C$15),1,$C156))*(INDEX(_xlfn.ANCHORARRAY(Sintesi!$C$15),1,$C156)&gt;0),1,IF(($E156&gt;=LOOKUP(2,1/($E:$E&lt;&gt;""),$E:$E))*($E156&lt;=$E157)*($E156&gt;INDEX(_xlfn.ANCHORARRAY(Sintesi!$C$14),1,$C156))*($E156&lt;INDEX(_xlfn.ANCHORARRAY(Sintesi!$C$16),1,$C156))*(INDEX(_xlfn.ANCHORARRAY(Sintesi!$C$15),1,$C156)&lt;0)+($E156&gt;=LOOKUP(2,1/($E:$E&lt;&gt;""),$E:$E))*($E156&lt;=$E157)*($E156&gt;INDEX(_xlfn.ANCHORARRAY(Sintesi!$C$15),1,$C156))*($E156&lt;INDEX(_xlfn.ANCHORARRAY(Sintesi!$C$16),1,$C156))*(INDEX(_xlfn.ANCHORARRAY(Sintesi!$C$15),1,$C156)&gt;0),2,IF($E156=(INDEX(_xlfn.ANCHORARRAY(Sintesi!$C$16),1,$C156)),3,4)))),0)))</f>
        <v/>
      </c>
      <c r="E156" s="1">
        <f>'Paste cell here'!F156</f>
        <v/>
      </c>
      <c r="F156" s="1">
        <f>'Paste cell here'!C156</f>
        <v/>
      </c>
      <c r="G156" s="1">
        <f>'Paste cell here'!D156</f>
        <v/>
      </c>
      <c r="H156" s="1">
        <f>'Paste cell here'!E156</f>
        <v/>
      </c>
      <c r="I156" s="1">
        <f>'Paste cell here'!X156</f>
        <v/>
      </c>
      <c r="J156" s="1">
        <f>'Paste cell here'!Y156+'Paste cell here'!S156</f>
        <v/>
      </c>
      <c r="K156" s="1">
        <f>I156/H156</f>
        <v/>
      </c>
      <c r="L156" s="1">
        <f>AVERAGE(($F156+$G156)/2-($F156-$G156)/2*COS(PI()*(8-VLOOKUP(MONTH(B156),$O$1:$Q$13,3))/(VLOOKUP(MONTH(B156),$O$1:$Q$13,2)-VLOOKUP(MONTH(B156),$O$1:$Q$13,3))),($F156+$G156)/2-($F156-$G156)/2*COS(PI()*(9-VLOOKUP(MONTH(B156),$O$1:$Q$13,3))/(VLOOKUP(MONTH(B156),$O$1:$Q$13,2)-VLOOKUP(MONTH(B156),$O$1:$Q$13,3))),($F156+$G156)/2-($F156-$G156)/2*COS(PI()*(10-VLOOKUP(MONTH(B156),$O$1:$Q$13,3))/(VLOOKUP(MONTH(B156),$O$1:$Q$13,2)-VLOOKUP(MONTH(B156),$O$1:$Q$13,3))),($F156+$G156)/2-($F156-$G156)/2*COS(PI()*(11-VLOOKUP(MONTH(B156),$O$1:$Q$13,3))/(VLOOKUP(MONTH(B156),$O$1:$Q$13,2)-VLOOKUP(MONTH(B156),$O$1:$Q$13,3))),($F156+$G156)/2-($F156-$G156)/2*COS(PI()*(12-VLOOKUP(MONTH(B156),$O$1:$Q$13,3))/(VLOOKUP(MONTH(B156),$O$1:$Q$13,2)-VLOOKUP(MONTH(B156),$O$1:$Q$13,3))),($F156+$G156)/2-($F156-$G156)/2*COS(PI()*(13-VLOOKUP(MONTH(B156),$O$1:$Q$13,3))/(VLOOKUP(MONTH(B156),$O$1:$Q$13,2)-VLOOKUP(MONTH(B156),$O$1:$Q$13,3))),($F156+$G156)/2-($F156-$G156)/2*COS(PI()*(14-VLOOKUP(MONTH(B156),$O$1:$Q$13,3))/(VLOOKUP(MONTH(B156),$O$1:$Q$13,2)-VLOOKUP(MONTH(B156),$O$1:$Q$13,3))))</f>
        <v/>
      </c>
      <c r="M156" s="1">
        <f t="array" ref="M156">IF(AND(A156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,A156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),IF(L156&lt;_xlfn.IFNA(INDEX(_xlfn.ANCHORARRAY(Sintesi!$C$17)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,1,IF(L156&gt;=_xlfn.IFNA(INDEX(_xlfn.ANCHORARRAY(Sintesi!$C$18)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,0,1-(L156-_xlfn.IFNA(INDEX(_xlfn.ANCHORARRAY(Sintesi!$C$17)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)/(_xlfn.IFNA(INDEX(_xlfn.ANCHORARRAY(Sintesi!$C$18)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-_xlfn.IFNA(INDEX(_xlfn.ANCHORARRAY(Sintesi!$C$17)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))),0)</f>
        <v/>
      </c>
    </row>
    <row r="157">
      <c r="A157" s="1">
        <f>'Paste cell here'!A157</f>
        <v/>
      </c>
      <c r="B157" s="2">
        <f>DATE(Sintesi!$C$4-1,12,31)+A157</f>
        <v/>
      </c>
      <c r="C157" s="34">
        <f t="array" ref="C157">_xlfn.IFNA(MATCH(1,(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)*(_xlfn.ANCHORARRAY(Sintesi!$C$15)&gt;=0)+(_xlfn.ANCHORARRAY(Sintesi!$C$15)&lt;0),0),0)</f>
        <v/>
      </c>
      <c r="D157" s="1">
        <f t="array" ref="D157">IF(ISBLANK($E158),IF(ISNUMBER($E156),IF($C157&gt;0,IF(($E157=INDEX(_xlfn.ANCHORARRAY(Sintesi!$C$14),1,$C157))*(INDEX(_xlfn.ANCHORARRAY(Sintesi!$C$15),1,$C157)&gt;0),0,IF(($E157=INDEX(_xlfn.ANCHORARRAY(Sintesi!$C$14),1,$C157))*(INDEX(_xlfn.ANCHORARRAY(Sintesi!$C$15),1,$C157)&lt;0)+($E157&gt;=$E156)*($E157&lt;=INDEX($E:$E,MATCH(TRUE,INDEX((ISNUMBER($E:$E)),0),0)))*($E157&gt;INDEX(_xlfn.ANCHORARRAY(Sintesi!$C$14),1,$C157))*($E157&lt;=INDEX(_xlfn.ANCHORARRAY(Sintesi!$C$15),1,$C157))*(INDEX(_xlfn.ANCHORARRAY(Sintesi!$C$15),1,$C157)&gt;0),1,IF(($E157&gt;=$E156)*($E157&lt;=INDEX($E:$E,MATCH(TRUE,INDEX((ISNUMBER($E:$E)),0),0)))*($E157&gt;INDEX(_xlfn.ANCHORARRAY(Sintesi!$C$14),1,$C157))*($E157&lt;INDEX(_xlfn.ANCHORARRAY(Sintesi!$C$16),1,$C157))*(INDEX(_xlfn.ANCHORARRAY(Sintesi!$C$15),1,$C157)&lt;0)+($E157&gt;=$E156)*($E157&lt;=INDEX($E:$E,MATCH(TRUE,INDEX((ISNUMBER($E:$E)),0),0)))*($E157&gt;INDEX(_xlfn.ANCHORARRAY(Sintesi!$C$15),1,$C157))*($E157&lt;INDEX(_xlfn.ANCHORARRAY(Sintesi!$C$16),1,$C157))*(INDEX(_xlfn.ANCHORARRAY(Sintesi!$C$15),1,$C157)&gt;0),2,IF($E157=(INDEX(_xlfn.ANCHORARRAY(Sintesi!$C$16),1,$C157)),3,4)))),0),IF($C157&gt;0,IF(($E157=INDEX(_xlfn.ANCHORARRAY(Sintesi!$C$14),1,$C157))*(INDEX(_xlfn.ANCHORARRAY(Sintesi!$C$15),1,$C157)&gt;0),0,IF(($E157=INDEX(_xlfn.ANCHORARRAY(Sintesi!$C$14),1,$C157))*(INDEX(_xlfn.ANCHORARRAY(Sintesi!$C$15),1,$C157)&lt;0)+($E157&gt;=LOOKUP(2,1/($E:$E&lt;&gt;""),$E:$E))*($E157&lt;=INDEX($E:$E,MATCH(TRUE,INDEX((ISNUMBER($E:$E)),0),0)))*($E157&gt;INDEX(_xlfn.ANCHORARRAY(Sintesi!$C$14),1,$C157))*($E157&lt;=INDEX(_xlfn.ANCHORARRAY(Sintesi!$C$15),1,$C157))*(INDEX(_xlfn.ANCHORARRAY(Sintesi!$C$15),1,$C157)&gt;0),1,IF(($E157&gt;=LOOKUP(2,1/($E:$E&lt;&gt;""),$E:$E))*($E157&lt;=INDEX($E:$E,MATCH(TRUE,INDEX((ISNUMBER($E:$E)),0),0)))*($E157&gt;INDEX(_xlfn.ANCHORARRAY(Sintesi!$C$14),1,$C157))*($E157&lt;INDEX(_xlfn.ANCHORARRAY(Sintesi!$C$16),1,$C157))*(INDEX(_xlfn.ANCHORARRAY(Sintesi!$C$15),1,$C157)&lt;0)+($E157&gt;=LOOKUP(2,1/($E:$E&lt;&gt;""),$E:$E))*($E157&lt;=INDEX($E:$E,MATCH(TRUE,INDEX((ISNUMBER($E:$E)),0),0)))*($E157&gt;INDEX(_xlfn.ANCHORARRAY(Sintesi!$C$15),1,$C157))*($E157&lt;INDEX(_xlfn.ANCHORARRAY(Sintesi!$C$16),1,$C157))*(INDEX(_xlfn.ANCHORARRAY(Sintesi!$C$15),1,$C157)&gt;0),2,IF($E157=(INDEX(_xlfn.ANCHORARRAY(Sintesi!$C$16),1,$C157)),3,4)))),0)),IF(ISNUMBER($E156),IF($C157&gt;0,IF(($E157=INDEX(_xlfn.ANCHORARRAY(Sintesi!$C$14),1,$C157))*(INDEX(_xlfn.ANCHORARRAY(Sintesi!$C$15),1,$C157)&gt;0),0,IF(($E157=INDEX(_xlfn.ANCHORARRAY(Sintesi!$C$14),1,$C157))*(INDEX(_xlfn.ANCHORARRAY(Sintesi!$C$15),1,$C157)&lt;0)+($E157&gt;=$E156)*($E157&lt;=$E158)*($E157&gt;INDEX(_xlfn.ANCHORARRAY(Sintesi!$C$14),1,$C157))*($E157&lt;=INDEX(_xlfn.ANCHORARRAY(Sintesi!$C$15),1,$C157))*(INDEX(_xlfn.ANCHORARRAY(Sintesi!$C$15),1,$C157)&gt;0),1,IF(($E157&gt;=$E156)*($E157&lt;=$E158)*($E157&gt;INDEX(_xlfn.ANCHORARRAY(Sintesi!$C$14),1,$C157))*($E157&lt;INDEX(_xlfn.ANCHORARRAY(Sintesi!$C$16),1,$C157))*(INDEX(_xlfn.ANCHORARRAY(Sintesi!$C$15),1,$C157)&lt;0)+($E157&gt;=$E156)*($E157&lt;=$E158)*($E157&gt;INDEX(_xlfn.ANCHORARRAY(Sintesi!$C$15),1,$C157))*($E157&lt;INDEX(_xlfn.ANCHORARRAY(Sintesi!$C$16),1,$C157))*(INDEX(_xlfn.ANCHORARRAY(Sintesi!$C$15),1,$C157)&gt;0),2,IF($E157=(INDEX(_xlfn.ANCHORARRAY(Sintesi!$C$16),1,$C157)),3,4)))),0),IF($C157&gt;0,IF(($E157=INDEX(_xlfn.ANCHORARRAY(Sintesi!$C$14),1,$C157))*(INDEX(_xlfn.ANCHORARRAY(Sintesi!$C$15),1,$C157)&gt;0),0,IF(($E157=INDEX(_xlfn.ANCHORARRAY(Sintesi!$C$14),1,$C157))*(INDEX(_xlfn.ANCHORARRAY(Sintesi!$C$15),1,$C157)&lt;0)+($E157&gt;=LOOKUP(2,1/($E:$E&lt;&gt;""),$E:$E))*($E157&lt;=$E158)*($E157&gt;INDEX(_xlfn.ANCHORARRAY(Sintesi!$C$14),1,$C157))*($E157&lt;=INDEX(_xlfn.ANCHORARRAY(Sintesi!$C$15),1,$C157))*(INDEX(_xlfn.ANCHORARRAY(Sintesi!$C$15),1,$C157)&gt;0),1,IF(($E157&gt;=LOOKUP(2,1/($E:$E&lt;&gt;""),$E:$E))*($E157&lt;=$E158)*($E157&gt;INDEX(_xlfn.ANCHORARRAY(Sintesi!$C$14),1,$C157))*($E157&lt;INDEX(_xlfn.ANCHORARRAY(Sintesi!$C$16),1,$C157))*(INDEX(_xlfn.ANCHORARRAY(Sintesi!$C$15),1,$C157)&lt;0)+($E157&gt;=LOOKUP(2,1/($E:$E&lt;&gt;""),$E:$E))*($E157&lt;=$E158)*($E157&gt;INDEX(_xlfn.ANCHORARRAY(Sintesi!$C$15),1,$C157))*($E157&lt;INDEX(_xlfn.ANCHORARRAY(Sintesi!$C$16),1,$C157))*(INDEX(_xlfn.ANCHORARRAY(Sintesi!$C$15),1,$C157)&gt;0),2,IF($E157=(INDEX(_xlfn.ANCHORARRAY(Sintesi!$C$16),1,$C157)),3,4)))),0)))</f>
        <v/>
      </c>
      <c r="E157" s="1">
        <f>'Paste cell here'!F157</f>
        <v/>
      </c>
      <c r="F157" s="1">
        <f>'Paste cell here'!C157</f>
        <v/>
      </c>
      <c r="G157" s="1">
        <f>'Paste cell here'!D157</f>
        <v/>
      </c>
      <c r="H157" s="1">
        <f>'Paste cell here'!E157</f>
        <v/>
      </c>
      <c r="I157" s="1">
        <f>'Paste cell here'!X157</f>
        <v/>
      </c>
      <c r="J157" s="1">
        <f>'Paste cell here'!Y157+'Paste cell here'!S157</f>
        <v/>
      </c>
      <c r="K157" s="1">
        <f>I157/H157</f>
        <v/>
      </c>
      <c r="L157" s="1">
        <f>AVERAGE(($F157+$G157)/2-($F157-$G157)/2*COS(PI()*(8-VLOOKUP(MONTH(B157),$O$1:$Q$13,3))/(VLOOKUP(MONTH(B157),$O$1:$Q$13,2)-VLOOKUP(MONTH(B157),$O$1:$Q$13,3))),($F157+$G157)/2-($F157-$G157)/2*COS(PI()*(9-VLOOKUP(MONTH(B157),$O$1:$Q$13,3))/(VLOOKUP(MONTH(B157),$O$1:$Q$13,2)-VLOOKUP(MONTH(B157),$O$1:$Q$13,3))),($F157+$G157)/2-($F157-$G157)/2*COS(PI()*(10-VLOOKUP(MONTH(B157),$O$1:$Q$13,3))/(VLOOKUP(MONTH(B157),$O$1:$Q$13,2)-VLOOKUP(MONTH(B157),$O$1:$Q$13,3))),($F157+$G157)/2-($F157-$G157)/2*COS(PI()*(11-VLOOKUP(MONTH(B157),$O$1:$Q$13,3))/(VLOOKUP(MONTH(B157),$O$1:$Q$13,2)-VLOOKUP(MONTH(B157),$O$1:$Q$13,3))),($F157+$G157)/2-($F157-$G157)/2*COS(PI()*(12-VLOOKUP(MONTH(B157),$O$1:$Q$13,3))/(VLOOKUP(MONTH(B157),$O$1:$Q$13,2)-VLOOKUP(MONTH(B157),$O$1:$Q$13,3))),($F157+$G157)/2-($F157-$G157)/2*COS(PI()*(13-VLOOKUP(MONTH(B157),$O$1:$Q$13,3))/(VLOOKUP(MONTH(B157),$O$1:$Q$13,2)-VLOOKUP(MONTH(B157),$O$1:$Q$13,3))),($F157+$G157)/2-($F157-$G157)/2*COS(PI()*(14-VLOOKUP(MONTH(B157),$O$1:$Q$13,3))/(VLOOKUP(MONTH(B157),$O$1:$Q$13,2)-VLOOKUP(MONTH(B157),$O$1:$Q$13,3))))</f>
        <v/>
      </c>
      <c r="M157" s="1">
        <f t="array" ref="M157">IF(AND(A157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,A157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),IF(L157&lt;_xlfn.IFNA(INDEX(_xlfn.ANCHORARRAY(Sintesi!$C$17)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,1,IF(L157&gt;=_xlfn.IFNA(INDEX(_xlfn.ANCHORARRAY(Sintesi!$C$18)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,0,1-(L157-_xlfn.IFNA(INDEX(_xlfn.ANCHORARRAY(Sintesi!$C$17)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)/(_xlfn.IFNA(INDEX(_xlfn.ANCHORARRAY(Sintesi!$C$18)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-_xlfn.IFNA(INDEX(_xlfn.ANCHORARRAY(Sintesi!$C$17)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))),0)</f>
        <v/>
      </c>
    </row>
    <row r="158">
      <c r="A158" s="1">
        <f>'Paste cell here'!A158</f>
        <v/>
      </c>
      <c r="B158" s="2">
        <f>DATE(Sintesi!$C$4-1,12,31)+A158</f>
        <v/>
      </c>
      <c r="C158" s="34">
        <f t="array" ref="C158">_xlfn.IFNA(MATCH(1,(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)*(_xlfn.ANCHORARRAY(Sintesi!$C$15)&gt;=0)+(_xlfn.ANCHORARRAY(Sintesi!$C$15)&lt;0),0),0)</f>
        <v/>
      </c>
      <c r="D158" s="1">
        <f t="array" ref="D158">IF(ISBLANK($E159),IF(ISNUMBER($E157),IF($C158&gt;0,IF(($E158=INDEX(_xlfn.ANCHORARRAY(Sintesi!$C$14),1,$C158))*(INDEX(_xlfn.ANCHORARRAY(Sintesi!$C$15),1,$C158)&gt;0),0,IF(($E158=INDEX(_xlfn.ANCHORARRAY(Sintesi!$C$14),1,$C158))*(INDEX(_xlfn.ANCHORARRAY(Sintesi!$C$15),1,$C158)&lt;0)+($E158&gt;=$E157)*($E158&lt;=INDEX($E:$E,MATCH(TRUE,INDEX((ISNUMBER($E:$E)),0),0)))*($E158&gt;INDEX(_xlfn.ANCHORARRAY(Sintesi!$C$14),1,$C158))*($E158&lt;=INDEX(_xlfn.ANCHORARRAY(Sintesi!$C$15),1,$C158))*(INDEX(_xlfn.ANCHORARRAY(Sintesi!$C$15),1,$C158)&gt;0),1,IF(($E158&gt;=$E157)*($E158&lt;=INDEX($E:$E,MATCH(TRUE,INDEX((ISNUMBER($E:$E)),0),0)))*($E158&gt;INDEX(_xlfn.ANCHORARRAY(Sintesi!$C$14),1,$C158))*($E158&lt;INDEX(_xlfn.ANCHORARRAY(Sintesi!$C$16),1,$C158))*(INDEX(_xlfn.ANCHORARRAY(Sintesi!$C$15),1,$C158)&lt;0)+($E158&gt;=$E157)*($E158&lt;=INDEX($E:$E,MATCH(TRUE,INDEX((ISNUMBER($E:$E)),0),0)))*($E158&gt;INDEX(_xlfn.ANCHORARRAY(Sintesi!$C$15),1,$C158))*($E158&lt;INDEX(_xlfn.ANCHORARRAY(Sintesi!$C$16),1,$C158))*(INDEX(_xlfn.ANCHORARRAY(Sintesi!$C$15),1,$C158)&gt;0),2,IF($E158=(INDEX(_xlfn.ANCHORARRAY(Sintesi!$C$16),1,$C158)),3,4)))),0),IF($C158&gt;0,IF(($E158=INDEX(_xlfn.ANCHORARRAY(Sintesi!$C$14),1,$C158))*(INDEX(_xlfn.ANCHORARRAY(Sintesi!$C$15),1,$C158)&gt;0),0,IF(($E158=INDEX(_xlfn.ANCHORARRAY(Sintesi!$C$14),1,$C158))*(INDEX(_xlfn.ANCHORARRAY(Sintesi!$C$15),1,$C158)&lt;0)+($E158&gt;=LOOKUP(2,1/($E:$E&lt;&gt;""),$E:$E))*($E158&lt;=INDEX($E:$E,MATCH(TRUE,INDEX((ISNUMBER($E:$E)),0),0)))*($E158&gt;INDEX(_xlfn.ANCHORARRAY(Sintesi!$C$14),1,$C158))*($E158&lt;=INDEX(_xlfn.ANCHORARRAY(Sintesi!$C$15),1,$C158))*(INDEX(_xlfn.ANCHORARRAY(Sintesi!$C$15),1,$C158)&gt;0),1,IF(($E158&gt;=LOOKUP(2,1/($E:$E&lt;&gt;""),$E:$E))*($E158&lt;=INDEX($E:$E,MATCH(TRUE,INDEX((ISNUMBER($E:$E)),0),0)))*($E158&gt;INDEX(_xlfn.ANCHORARRAY(Sintesi!$C$14),1,$C158))*($E158&lt;INDEX(_xlfn.ANCHORARRAY(Sintesi!$C$16),1,$C158))*(INDEX(_xlfn.ANCHORARRAY(Sintesi!$C$15),1,$C158)&lt;0)+($E158&gt;=LOOKUP(2,1/($E:$E&lt;&gt;""),$E:$E))*($E158&lt;=INDEX($E:$E,MATCH(TRUE,INDEX((ISNUMBER($E:$E)),0),0)))*($E158&gt;INDEX(_xlfn.ANCHORARRAY(Sintesi!$C$15),1,$C158))*($E158&lt;INDEX(_xlfn.ANCHORARRAY(Sintesi!$C$16),1,$C158))*(INDEX(_xlfn.ANCHORARRAY(Sintesi!$C$15),1,$C158)&gt;0),2,IF($E158=(INDEX(_xlfn.ANCHORARRAY(Sintesi!$C$16),1,$C158)),3,4)))),0)),IF(ISNUMBER($E157),IF($C158&gt;0,IF(($E158=INDEX(_xlfn.ANCHORARRAY(Sintesi!$C$14),1,$C158))*(INDEX(_xlfn.ANCHORARRAY(Sintesi!$C$15),1,$C158)&gt;0),0,IF(($E158=INDEX(_xlfn.ANCHORARRAY(Sintesi!$C$14),1,$C158))*(INDEX(_xlfn.ANCHORARRAY(Sintesi!$C$15),1,$C158)&lt;0)+($E158&gt;=$E157)*($E158&lt;=$E159)*($E158&gt;INDEX(_xlfn.ANCHORARRAY(Sintesi!$C$14),1,$C158))*($E158&lt;=INDEX(_xlfn.ANCHORARRAY(Sintesi!$C$15),1,$C158))*(INDEX(_xlfn.ANCHORARRAY(Sintesi!$C$15),1,$C158)&gt;0),1,IF(($E158&gt;=$E157)*($E158&lt;=$E159)*($E158&gt;INDEX(_xlfn.ANCHORARRAY(Sintesi!$C$14),1,$C158))*($E158&lt;INDEX(_xlfn.ANCHORARRAY(Sintesi!$C$16),1,$C158))*(INDEX(_xlfn.ANCHORARRAY(Sintesi!$C$15),1,$C158)&lt;0)+($E158&gt;=$E157)*($E158&lt;=$E159)*($E158&gt;INDEX(_xlfn.ANCHORARRAY(Sintesi!$C$15),1,$C158))*($E158&lt;INDEX(_xlfn.ANCHORARRAY(Sintesi!$C$16),1,$C158))*(INDEX(_xlfn.ANCHORARRAY(Sintesi!$C$15),1,$C158)&gt;0),2,IF($E158=(INDEX(_xlfn.ANCHORARRAY(Sintesi!$C$16),1,$C158)),3,4)))),0),IF($C158&gt;0,IF(($E158=INDEX(_xlfn.ANCHORARRAY(Sintesi!$C$14),1,$C158))*(INDEX(_xlfn.ANCHORARRAY(Sintesi!$C$15),1,$C158)&gt;0),0,IF(($E158=INDEX(_xlfn.ANCHORARRAY(Sintesi!$C$14),1,$C158))*(INDEX(_xlfn.ANCHORARRAY(Sintesi!$C$15),1,$C158)&lt;0)+($E158&gt;=LOOKUP(2,1/($E:$E&lt;&gt;""),$E:$E))*($E158&lt;=$E159)*($E158&gt;INDEX(_xlfn.ANCHORARRAY(Sintesi!$C$14),1,$C158))*($E158&lt;=INDEX(_xlfn.ANCHORARRAY(Sintesi!$C$15),1,$C158))*(INDEX(_xlfn.ANCHORARRAY(Sintesi!$C$15),1,$C158)&gt;0),1,IF(($E158&gt;=LOOKUP(2,1/($E:$E&lt;&gt;""),$E:$E))*($E158&lt;=$E159)*($E158&gt;INDEX(_xlfn.ANCHORARRAY(Sintesi!$C$14),1,$C158))*($E158&lt;INDEX(_xlfn.ANCHORARRAY(Sintesi!$C$16),1,$C158))*(INDEX(_xlfn.ANCHORARRAY(Sintesi!$C$15),1,$C158)&lt;0)+($E158&gt;=LOOKUP(2,1/($E:$E&lt;&gt;""),$E:$E))*($E158&lt;=$E159)*($E158&gt;INDEX(_xlfn.ANCHORARRAY(Sintesi!$C$15),1,$C158))*($E158&lt;INDEX(_xlfn.ANCHORARRAY(Sintesi!$C$16),1,$C158))*(INDEX(_xlfn.ANCHORARRAY(Sintesi!$C$15),1,$C158)&gt;0),2,IF($E158=(INDEX(_xlfn.ANCHORARRAY(Sintesi!$C$16),1,$C158)),3,4)))),0)))</f>
        <v/>
      </c>
      <c r="E158" s="1">
        <f>'Paste cell here'!F158</f>
        <v/>
      </c>
      <c r="F158" s="1">
        <f>'Paste cell here'!C158</f>
        <v/>
      </c>
      <c r="G158" s="1">
        <f>'Paste cell here'!D158</f>
        <v/>
      </c>
      <c r="H158" s="1">
        <f>'Paste cell here'!E158</f>
        <v/>
      </c>
      <c r="I158" s="1">
        <f>'Paste cell here'!X158</f>
        <v/>
      </c>
      <c r="J158" s="1">
        <f>'Paste cell here'!Y158+'Paste cell here'!S158</f>
        <v/>
      </c>
      <c r="K158" s="1">
        <f>I158/H158</f>
        <v/>
      </c>
      <c r="L158" s="1">
        <f>AVERAGE(($F158+$G158)/2-($F158-$G158)/2*COS(PI()*(8-VLOOKUP(MONTH(B158),$O$1:$Q$13,3))/(VLOOKUP(MONTH(B158),$O$1:$Q$13,2)-VLOOKUP(MONTH(B158),$O$1:$Q$13,3))),($F158+$G158)/2-($F158-$G158)/2*COS(PI()*(9-VLOOKUP(MONTH(B158),$O$1:$Q$13,3))/(VLOOKUP(MONTH(B158),$O$1:$Q$13,2)-VLOOKUP(MONTH(B158),$O$1:$Q$13,3))),($F158+$G158)/2-($F158-$G158)/2*COS(PI()*(10-VLOOKUP(MONTH(B158),$O$1:$Q$13,3))/(VLOOKUP(MONTH(B158),$O$1:$Q$13,2)-VLOOKUP(MONTH(B158),$O$1:$Q$13,3))),($F158+$G158)/2-($F158-$G158)/2*COS(PI()*(11-VLOOKUP(MONTH(B158),$O$1:$Q$13,3))/(VLOOKUP(MONTH(B158),$O$1:$Q$13,2)-VLOOKUP(MONTH(B158),$O$1:$Q$13,3))),($F158+$G158)/2-($F158-$G158)/2*COS(PI()*(12-VLOOKUP(MONTH(B158),$O$1:$Q$13,3))/(VLOOKUP(MONTH(B158),$O$1:$Q$13,2)-VLOOKUP(MONTH(B158),$O$1:$Q$13,3))),($F158+$G158)/2-($F158-$G158)/2*COS(PI()*(13-VLOOKUP(MONTH(B158),$O$1:$Q$13,3))/(VLOOKUP(MONTH(B158),$O$1:$Q$13,2)-VLOOKUP(MONTH(B158),$O$1:$Q$13,3))),($F158+$G158)/2-($F158-$G158)/2*COS(PI()*(14-VLOOKUP(MONTH(B158),$O$1:$Q$13,3))/(VLOOKUP(MONTH(B158),$O$1:$Q$13,2)-VLOOKUP(MONTH(B158),$O$1:$Q$13,3))))</f>
        <v/>
      </c>
      <c r="M158" s="1">
        <f t="array" ref="M158">IF(AND(A158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,A158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),IF(L158&lt;_xlfn.IFNA(INDEX(_xlfn.ANCHORARRAY(Sintesi!$C$17)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,1,IF(L158&gt;=_xlfn.IFNA(INDEX(_xlfn.ANCHORARRAY(Sintesi!$C$18)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,0,1-(L158-_xlfn.IFNA(INDEX(_xlfn.ANCHORARRAY(Sintesi!$C$17)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)/(_xlfn.IFNA(INDEX(_xlfn.ANCHORARRAY(Sintesi!$C$18)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-_xlfn.IFNA(INDEX(_xlfn.ANCHORARRAY(Sintesi!$C$17)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))),0)</f>
        <v/>
      </c>
    </row>
    <row r="159">
      <c r="A159" s="1">
        <f>'Paste cell here'!A159</f>
        <v/>
      </c>
      <c r="B159" s="2">
        <f>DATE(Sintesi!$C$4-1,12,31)+A159</f>
        <v/>
      </c>
      <c r="C159" s="34">
        <f t="array" ref="C159">_xlfn.IFNA(MATCH(1,(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)*(_xlfn.ANCHORARRAY(Sintesi!$C$15)&gt;=0)+(_xlfn.ANCHORARRAY(Sintesi!$C$15)&lt;0),0),0)</f>
        <v/>
      </c>
      <c r="D159" s="1">
        <f t="array" ref="D159">IF(ISBLANK($E160),IF(ISNUMBER($E158),IF($C159&gt;0,IF(($E159=INDEX(_xlfn.ANCHORARRAY(Sintesi!$C$14),1,$C159))*(INDEX(_xlfn.ANCHORARRAY(Sintesi!$C$15),1,$C159)&gt;0),0,IF(($E159=INDEX(_xlfn.ANCHORARRAY(Sintesi!$C$14),1,$C159))*(INDEX(_xlfn.ANCHORARRAY(Sintesi!$C$15),1,$C159)&lt;0)+($E159&gt;=$E158)*($E159&lt;=INDEX($E:$E,MATCH(TRUE,INDEX((ISNUMBER($E:$E)),0),0)))*($E159&gt;INDEX(_xlfn.ANCHORARRAY(Sintesi!$C$14),1,$C159))*($E159&lt;=INDEX(_xlfn.ANCHORARRAY(Sintesi!$C$15),1,$C159))*(INDEX(_xlfn.ANCHORARRAY(Sintesi!$C$15),1,$C159)&gt;0),1,IF(($E159&gt;=$E158)*($E159&lt;=INDEX($E:$E,MATCH(TRUE,INDEX((ISNUMBER($E:$E)),0),0)))*($E159&gt;INDEX(_xlfn.ANCHORARRAY(Sintesi!$C$14),1,$C159))*($E159&lt;INDEX(_xlfn.ANCHORARRAY(Sintesi!$C$16),1,$C159))*(INDEX(_xlfn.ANCHORARRAY(Sintesi!$C$15),1,$C159)&lt;0)+($E159&gt;=$E158)*($E159&lt;=INDEX($E:$E,MATCH(TRUE,INDEX((ISNUMBER($E:$E)),0),0)))*($E159&gt;INDEX(_xlfn.ANCHORARRAY(Sintesi!$C$15),1,$C159))*($E159&lt;INDEX(_xlfn.ANCHORARRAY(Sintesi!$C$16),1,$C159))*(INDEX(_xlfn.ANCHORARRAY(Sintesi!$C$15),1,$C159)&gt;0),2,IF($E159=(INDEX(_xlfn.ANCHORARRAY(Sintesi!$C$16),1,$C159)),3,4)))),0),IF($C159&gt;0,IF(($E159=INDEX(_xlfn.ANCHORARRAY(Sintesi!$C$14),1,$C159))*(INDEX(_xlfn.ANCHORARRAY(Sintesi!$C$15),1,$C159)&gt;0),0,IF(($E159=INDEX(_xlfn.ANCHORARRAY(Sintesi!$C$14),1,$C159))*(INDEX(_xlfn.ANCHORARRAY(Sintesi!$C$15),1,$C159)&lt;0)+($E159&gt;=LOOKUP(2,1/($E:$E&lt;&gt;""),$E:$E))*($E159&lt;=INDEX($E:$E,MATCH(TRUE,INDEX((ISNUMBER($E:$E)),0),0)))*($E159&gt;INDEX(_xlfn.ANCHORARRAY(Sintesi!$C$14),1,$C159))*($E159&lt;=INDEX(_xlfn.ANCHORARRAY(Sintesi!$C$15),1,$C159))*(INDEX(_xlfn.ANCHORARRAY(Sintesi!$C$15),1,$C159)&gt;0),1,IF(($E159&gt;=LOOKUP(2,1/($E:$E&lt;&gt;""),$E:$E))*($E159&lt;=INDEX($E:$E,MATCH(TRUE,INDEX((ISNUMBER($E:$E)),0),0)))*($E159&gt;INDEX(_xlfn.ANCHORARRAY(Sintesi!$C$14),1,$C159))*($E159&lt;INDEX(_xlfn.ANCHORARRAY(Sintesi!$C$16),1,$C159))*(INDEX(_xlfn.ANCHORARRAY(Sintesi!$C$15),1,$C159)&lt;0)+($E159&gt;=LOOKUP(2,1/($E:$E&lt;&gt;""),$E:$E))*($E159&lt;=INDEX($E:$E,MATCH(TRUE,INDEX((ISNUMBER($E:$E)),0),0)))*($E159&gt;INDEX(_xlfn.ANCHORARRAY(Sintesi!$C$15),1,$C159))*($E159&lt;INDEX(_xlfn.ANCHORARRAY(Sintesi!$C$16),1,$C159))*(INDEX(_xlfn.ANCHORARRAY(Sintesi!$C$15),1,$C159)&gt;0),2,IF($E159=(INDEX(_xlfn.ANCHORARRAY(Sintesi!$C$16),1,$C159)),3,4)))),0)),IF(ISNUMBER($E158),IF($C159&gt;0,IF(($E159=INDEX(_xlfn.ANCHORARRAY(Sintesi!$C$14),1,$C159))*(INDEX(_xlfn.ANCHORARRAY(Sintesi!$C$15),1,$C159)&gt;0),0,IF(($E159=INDEX(_xlfn.ANCHORARRAY(Sintesi!$C$14),1,$C159))*(INDEX(_xlfn.ANCHORARRAY(Sintesi!$C$15),1,$C159)&lt;0)+($E159&gt;=$E158)*($E159&lt;=$E160)*($E159&gt;INDEX(_xlfn.ANCHORARRAY(Sintesi!$C$14),1,$C159))*($E159&lt;=INDEX(_xlfn.ANCHORARRAY(Sintesi!$C$15),1,$C159))*(INDEX(_xlfn.ANCHORARRAY(Sintesi!$C$15),1,$C159)&gt;0),1,IF(($E159&gt;=$E158)*($E159&lt;=$E160)*($E159&gt;INDEX(_xlfn.ANCHORARRAY(Sintesi!$C$14),1,$C159))*($E159&lt;INDEX(_xlfn.ANCHORARRAY(Sintesi!$C$16),1,$C159))*(INDEX(_xlfn.ANCHORARRAY(Sintesi!$C$15),1,$C159)&lt;0)+($E159&gt;=$E158)*($E159&lt;=$E160)*($E159&gt;INDEX(_xlfn.ANCHORARRAY(Sintesi!$C$15),1,$C159))*($E159&lt;INDEX(_xlfn.ANCHORARRAY(Sintesi!$C$16),1,$C159))*(INDEX(_xlfn.ANCHORARRAY(Sintesi!$C$15),1,$C159)&gt;0),2,IF($E159=(INDEX(_xlfn.ANCHORARRAY(Sintesi!$C$16),1,$C159)),3,4)))),0),IF($C159&gt;0,IF(($E159=INDEX(_xlfn.ANCHORARRAY(Sintesi!$C$14),1,$C159))*(INDEX(_xlfn.ANCHORARRAY(Sintesi!$C$15),1,$C159)&gt;0),0,IF(($E159=INDEX(_xlfn.ANCHORARRAY(Sintesi!$C$14),1,$C159))*(INDEX(_xlfn.ANCHORARRAY(Sintesi!$C$15),1,$C159)&lt;0)+($E159&gt;=LOOKUP(2,1/($E:$E&lt;&gt;""),$E:$E))*($E159&lt;=$E160)*($E159&gt;INDEX(_xlfn.ANCHORARRAY(Sintesi!$C$14),1,$C159))*($E159&lt;=INDEX(_xlfn.ANCHORARRAY(Sintesi!$C$15),1,$C159))*(INDEX(_xlfn.ANCHORARRAY(Sintesi!$C$15),1,$C159)&gt;0),1,IF(($E159&gt;=LOOKUP(2,1/($E:$E&lt;&gt;""),$E:$E))*($E159&lt;=$E160)*($E159&gt;INDEX(_xlfn.ANCHORARRAY(Sintesi!$C$14),1,$C159))*($E159&lt;INDEX(_xlfn.ANCHORARRAY(Sintesi!$C$16),1,$C159))*(INDEX(_xlfn.ANCHORARRAY(Sintesi!$C$15),1,$C159)&lt;0)+($E159&gt;=LOOKUP(2,1/($E:$E&lt;&gt;""),$E:$E))*($E159&lt;=$E160)*($E159&gt;INDEX(_xlfn.ANCHORARRAY(Sintesi!$C$15),1,$C159))*($E159&lt;INDEX(_xlfn.ANCHORARRAY(Sintesi!$C$16),1,$C159))*(INDEX(_xlfn.ANCHORARRAY(Sintesi!$C$15),1,$C159)&gt;0),2,IF($E159=(INDEX(_xlfn.ANCHORARRAY(Sintesi!$C$16),1,$C159)),3,4)))),0)))</f>
        <v/>
      </c>
      <c r="E159" s="1">
        <f>'Paste cell here'!F159</f>
        <v/>
      </c>
      <c r="F159" s="1">
        <f>'Paste cell here'!C159</f>
        <v/>
      </c>
      <c r="G159" s="1">
        <f>'Paste cell here'!D159</f>
        <v/>
      </c>
      <c r="H159" s="1">
        <f>'Paste cell here'!E159</f>
        <v/>
      </c>
      <c r="I159" s="1">
        <f>'Paste cell here'!X159</f>
        <v/>
      </c>
      <c r="J159" s="1">
        <f>'Paste cell here'!Y159+'Paste cell here'!S159</f>
        <v/>
      </c>
      <c r="K159" s="1">
        <f>I159/H159</f>
        <v/>
      </c>
      <c r="L159" s="1">
        <f>AVERAGE(($F159+$G159)/2-($F159-$G159)/2*COS(PI()*(8-VLOOKUP(MONTH(B159),$O$1:$Q$13,3))/(VLOOKUP(MONTH(B159),$O$1:$Q$13,2)-VLOOKUP(MONTH(B159),$O$1:$Q$13,3))),($F159+$G159)/2-($F159-$G159)/2*COS(PI()*(9-VLOOKUP(MONTH(B159),$O$1:$Q$13,3))/(VLOOKUP(MONTH(B159),$O$1:$Q$13,2)-VLOOKUP(MONTH(B159),$O$1:$Q$13,3))),($F159+$G159)/2-($F159-$G159)/2*COS(PI()*(10-VLOOKUP(MONTH(B159),$O$1:$Q$13,3))/(VLOOKUP(MONTH(B159),$O$1:$Q$13,2)-VLOOKUP(MONTH(B159),$O$1:$Q$13,3))),($F159+$G159)/2-($F159-$G159)/2*COS(PI()*(11-VLOOKUP(MONTH(B159),$O$1:$Q$13,3))/(VLOOKUP(MONTH(B159),$O$1:$Q$13,2)-VLOOKUP(MONTH(B159),$O$1:$Q$13,3))),($F159+$G159)/2-($F159-$G159)/2*COS(PI()*(12-VLOOKUP(MONTH(B159),$O$1:$Q$13,3))/(VLOOKUP(MONTH(B159),$O$1:$Q$13,2)-VLOOKUP(MONTH(B159),$O$1:$Q$13,3))),($F159+$G159)/2-($F159-$G159)/2*COS(PI()*(13-VLOOKUP(MONTH(B159),$O$1:$Q$13,3))/(VLOOKUP(MONTH(B159),$O$1:$Q$13,2)-VLOOKUP(MONTH(B159),$O$1:$Q$13,3))),($F159+$G159)/2-($F159-$G159)/2*COS(PI()*(14-VLOOKUP(MONTH(B159),$O$1:$Q$13,3))/(VLOOKUP(MONTH(B159),$O$1:$Q$13,2)-VLOOKUP(MONTH(B159),$O$1:$Q$13,3))))</f>
        <v/>
      </c>
      <c r="M159" s="1">
        <f t="array" ref="M159">IF(AND(A159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,A159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),IF(L159&lt;_xlfn.IFNA(INDEX(_xlfn.ANCHORARRAY(Sintesi!$C$17)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,1,IF(L159&gt;=_xlfn.IFNA(INDEX(_xlfn.ANCHORARRAY(Sintesi!$C$18)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,0,1-(L159-_xlfn.IFNA(INDEX(_xlfn.ANCHORARRAY(Sintesi!$C$17)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)/(_xlfn.IFNA(INDEX(_xlfn.ANCHORARRAY(Sintesi!$C$18)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-_xlfn.IFNA(INDEX(_xlfn.ANCHORARRAY(Sintesi!$C$17)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))),0)</f>
        <v/>
      </c>
    </row>
    <row r="160">
      <c r="A160" s="1">
        <f>'Paste cell here'!A160</f>
        <v/>
      </c>
      <c r="B160" s="2">
        <f>DATE(Sintesi!$C$4-1,12,31)+A160</f>
        <v/>
      </c>
      <c r="C160" s="34">
        <f t="array" ref="C160">_xlfn.IFNA(MATCH(1,(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)*(_xlfn.ANCHORARRAY(Sintesi!$C$15)&gt;=0)+(_xlfn.ANCHORARRAY(Sintesi!$C$15)&lt;0),0),0)</f>
        <v/>
      </c>
      <c r="D160" s="1">
        <f t="array" ref="D160">IF(ISBLANK($E161),IF(ISNUMBER($E159),IF($C160&gt;0,IF(($E160=INDEX(_xlfn.ANCHORARRAY(Sintesi!$C$14),1,$C160))*(INDEX(_xlfn.ANCHORARRAY(Sintesi!$C$15),1,$C160)&gt;0),0,IF(($E160=INDEX(_xlfn.ANCHORARRAY(Sintesi!$C$14),1,$C160))*(INDEX(_xlfn.ANCHORARRAY(Sintesi!$C$15),1,$C160)&lt;0)+($E160&gt;=$E159)*($E160&lt;=INDEX($E:$E,MATCH(TRUE,INDEX((ISNUMBER($E:$E)),0),0)))*($E160&gt;INDEX(_xlfn.ANCHORARRAY(Sintesi!$C$14),1,$C160))*($E160&lt;=INDEX(_xlfn.ANCHORARRAY(Sintesi!$C$15),1,$C160))*(INDEX(_xlfn.ANCHORARRAY(Sintesi!$C$15),1,$C160)&gt;0),1,IF(($E160&gt;=$E159)*($E160&lt;=INDEX($E:$E,MATCH(TRUE,INDEX((ISNUMBER($E:$E)),0),0)))*($E160&gt;INDEX(_xlfn.ANCHORARRAY(Sintesi!$C$14),1,$C160))*($E160&lt;INDEX(_xlfn.ANCHORARRAY(Sintesi!$C$16),1,$C160))*(INDEX(_xlfn.ANCHORARRAY(Sintesi!$C$15),1,$C160)&lt;0)+($E160&gt;=$E159)*($E160&lt;=INDEX($E:$E,MATCH(TRUE,INDEX((ISNUMBER($E:$E)),0),0)))*($E160&gt;INDEX(_xlfn.ANCHORARRAY(Sintesi!$C$15),1,$C160))*($E160&lt;INDEX(_xlfn.ANCHORARRAY(Sintesi!$C$16),1,$C160))*(INDEX(_xlfn.ANCHORARRAY(Sintesi!$C$15),1,$C160)&gt;0),2,IF($E160=(INDEX(_xlfn.ANCHORARRAY(Sintesi!$C$16),1,$C160)),3,4)))),0),IF($C160&gt;0,IF(($E160=INDEX(_xlfn.ANCHORARRAY(Sintesi!$C$14),1,$C160))*(INDEX(_xlfn.ANCHORARRAY(Sintesi!$C$15),1,$C160)&gt;0),0,IF(($E160=INDEX(_xlfn.ANCHORARRAY(Sintesi!$C$14),1,$C160))*(INDEX(_xlfn.ANCHORARRAY(Sintesi!$C$15),1,$C160)&lt;0)+($E160&gt;=LOOKUP(2,1/($E:$E&lt;&gt;""),$E:$E))*($E160&lt;=INDEX($E:$E,MATCH(TRUE,INDEX((ISNUMBER($E:$E)),0),0)))*($E160&gt;INDEX(_xlfn.ANCHORARRAY(Sintesi!$C$14),1,$C160))*($E160&lt;=INDEX(_xlfn.ANCHORARRAY(Sintesi!$C$15),1,$C160))*(INDEX(_xlfn.ANCHORARRAY(Sintesi!$C$15),1,$C160)&gt;0),1,IF(($E160&gt;=LOOKUP(2,1/($E:$E&lt;&gt;""),$E:$E))*($E160&lt;=INDEX($E:$E,MATCH(TRUE,INDEX((ISNUMBER($E:$E)),0),0)))*($E160&gt;INDEX(_xlfn.ANCHORARRAY(Sintesi!$C$14),1,$C160))*($E160&lt;INDEX(_xlfn.ANCHORARRAY(Sintesi!$C$16),1,$C160))*(INDEX(_xlfn.ANCHORARRAY(Sintesi!$C$15),1,$C160)&lt;0)+($E160&gt;=LOOKUP(2,1/($E:$E&lt;&gt;""),$E:$E))*($E160&lt;=INDEX($E:$E,MATCH(TRUE,INDEX((ISNUMBER($E:$E)),0),0)))*($E160&gt;INDEX(_xlfn.ANCHORARRAY(Sintesi!$C$15),1,$C160))*($E160&lt;INDEX(_xlfn.ANCHORARRAY(Sintesi!$C$16),1,$C160))*(INDEX(_xlfn.ANCHORARRAY(Sintesi!$C$15),1,$C160)&gt;0),2,IF($E160=(INDEX(_xlfn.ANCHORARRAY(Sintesi!$C$16),1,$C160)),3,4)))),0)),IF(ISNUMBER($E159),IF($C160&gt;0,IF(($E160=INDEX(_xlfn.ANCHORARRAY(Sintesi!$C$14),1,$C160))*(INDEX(_xlfn.ANCHORARRAY(Sintesi!$C$15),1,$C160)&gt;0),0,IF(($E160=INDEX(_xlfn.ANCHORARRAY(Sintesi!$C$14),1,$C160))*(INDEX(_xlfn.ANCHORARRAY(Sintesi!$C$15),1,$C160)&lt;0)+($E160&gt;=$E159)*($E160&lt;=$E161)*($E160&gt;INDEX(_xlfn.ANCHORARRAY(Sintesi!$C$14),1,$C160))*($E160&lt;=INDEX(_xlfn.ANCHORARRAY(Sintesi!$C$15),1,$C160))*(INDEX(_xlfn.ANCHORARRAY(Sintesi!$C$15),1,$C160)&gt;0),1,IF(($E160&gt;=$E159)*($E160&lt;=$E161)*($E160&gt;INDEX(_xlfn.ANCHORARRAY(Sintesi!$C$14),1,$C160))*($E160&lt;INDEX(_xlfn.ANCHORARRAY(Sintesi!$C$16),1,$C160))*(INDEX(_xlfn.ANCHORARRAY(Sintesi!$C$15),1,$C160)&lt;0)+($E160&gt;=$E159)*($E160&lt;=$E161)*($E160&gt;INDEX(_xlfn.ANCHORARRAY(Sintesi!$C$15),1,$C160))*($E160&lt;INDEX(_xlfn.ANCHORARRAY(Sintesi!$C$16),1,$C160))*(INDEX(_xlfn.ANCHORARRAY(Sintesi!$C$15),1,$C160)&gt;0),2,IF($E160=(INDEX(_xlfn.ANCHORARRAY(Sintesi!$C$16),1,$C160)),3,4)))),0),IF($C160&gt;0,IF(($E160=INDEX(_xlfn.ANCHORARRAY(Sintesi!$C$14),1,$C160))*(INDEX(_xlfn.ANCHORARRAY(Sintesi!$C$15),1,$C160)&gt;0),0,IF(($E160=INDEX(_xlfn.ANCHORARRAY(Sintesi!$C$14),1,$C160))*(INDEX(_xlfn.ANCHORARRAY(Sintesi!$C$15),1,$C160)&lt;0)+($E160&gt;=LOOKUP(2,1/($E:$E&lt;&gt;""),$E:$E))*($E160&lt;=$E161)*($E160&gt;INDEX(_xlfn.ANCHORARRAY(Sintesi!$C$14),1,$C160))*($E160&lt;=INDEX(_xlfn.ANCHORARRAY(Sintesi!$C$15),1,$C160))*(INDEX(_xlfn.ANCHORARRAY(Sintesi!$C$15),1,$C160)&gt;0),1,IF(($E160&gt;=LOOKUP(2,1/($E:$E&lt;&gt;""),$E:$E))*($E160&lt;=$E161)*($E160&gt;INDEX(_xlfn.ANCHORARRAY(Sintesi!$C$14),1,$C160))*($E160&lt;INDEX(_xlfn.ANCHORARRAY(Sintesi!$C$16),1,$C160))*(INDEX(_xlfn.ANCHORARRAY(Sintesi!$C$15),1,$C160)&lt;0)+($E160&gt;=LOOKUP(2,1/($E:$E&lt;&gt;""),$E:$E))*($E160&lt;=$E161)*($E160&gt;INDEX(_xlfn.ANCHORARRAY(Sintesi!$C$15),1,$C160))*($E160&lt;INDEX(_xlfn.ANCHORARRAY(Sintesi!$C$16),1,$C160))*(INDEX(_xlfn.ANCHORARRAY(Sintesi!$C$15),1,$C160)&gt;0),2,IF($E160=(INDEX(_xlfn.ANCHORARRAY(Sintesi!$C$16),1,$C160)),3,4)))),0)))</f>
        <v/>
      </c>
      <c r="E160" s="1">
        <f>'Paste cell here'!F160</f>
        <v/>
      </c>
      <c r="F160" s="1">
        <f>'Paste cell here'!C160</f>
        <v/>
      </c>
      <c r="G160" s="1">
        <f>'Paste cell here'!D160</f>
        <v/>
      </c>
      <c r="H160" s="1">
        <f>'Paste cell here'!E160</f>
        <v/>
      </c>
      <c r="I160" s="1">
        <f>'Paste cell here'!X160</f>
        <v/>
      </c>
      <c r="J160" s="1">
        <f>'Paste cell here'!Y160+'Paste cell here'!S160</f>
        <v/>
      </c>
      <c r="K160" s="1">
        <f>I160/H160</f>
        <v/>
      </c>
      <c r="L160" s="1">
        <f>AVERAGE(($F160+$G160)/2-($F160-$G160)/2*COS(PI()*(8-VLOOKUP(MONTH(B160),$O$1:$Q$13,3))/(VLOOKUP(MONTH(B160),$O$1:$Q$13,2)-VLOOKUP(MONTH(B160),$O$1:$Q$13,3))),($F160+$G160)/2-($F160-$G160)/2*COS(PI()*(9-VLOOKUP(MONTH(B160),$O$1:$Q$13,3))/(VLOOKUP(MONTH(B160),$O$1:$Q$13,2)-VLOOKUP(MONTH(B160),$O$1:$Q$13,3))),($F160+$G160)/2-($F160-$G160)/2*COS(PI()*(10-VLOOKUP(MONTH(B160),$O$1:$Q$13,3))/(VLOOKUP(MONTH(B160),$O$1:$Q$13,2)-VLOOKUP(MONTH(B160),$O$1:$Q$13,3))),($F160+$G160)/2-($F160-$G160)/2*COS(PI()*(11-VLOOKUP(MONTH(B160),$O$1:$Q$13,3))/(VLOOKUP(MONTH(B160),$O$1:$Q$13,2)-VLOOKUP(MONTH(B160),$O$1:$Q$13,3))),($F160+$G160)/2-($F160-$G160)/2*COS(PI()*(12-VLOOKUP(MONTH(B160),$O$1:$Q$13,3))/(VLOOKUP(MONTH(B160),$O$1:$Q$13,2)-VLOOKUP(MONTH(B160),$O$1:$Q$13,3))),($F160+$G160)/2-($F160-$G160)/2*COS(PI()*(13-VLOOKUP(MONTH(B160),$O$1:$Q$13,3))/(VLOOKUP(MONTH(B160),$O$1:$Q$13,2)-VLOOKUP(MONTH(B160),$O$1:$Q$13,3))),($F160+$G160)/2-($F160-$G160)/2*COS(PI()*(14-VLOOKUP(MONTH(B160),$O$1:$Q$13,3))/(VLOOKUP(MONTH(B160),$O$1:$Q$13,2)-VLOOKUP(MONTH(B160),$O$1:$Q$13,3))))</f>
        <v/>
      </c>
      <c r="M160" s="1">
        <f t="array" ref="M160">IF(AND(A160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,A160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),IF(L160&lt;_xlfn.IFNA(INDEX(_xlfn.ANCHORARRAY(Sintesi!$C$17)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,1,IF(L160&gt;=_xlfn.IFNA(INDEX(_xlfn.ANCHORARRAY(Sintesi!$C$18)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,0,1-(L160-_xlfn.IFNA(INDEX(_xlfn.ANCHORARRAY(Sintesi!$C$17)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)/(_xlfn.IFNA(INDEX(_xlfn.ANCHORARRAY(Sintesi!$C$18)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-_xlfn.IFNA(INDEX(_xlfn.ANCHORARRAY(Sintesi!$C$17)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))),0)</f>
        <v/>
      </c>
    </row>
    <row r="161">
      <c r="A161" s="1">
        <f>'Paste cell here'!A161</f>
        <v/>
      </c>
      <c r="B161" s="2">
        <f>DATE(Sintesi!$C$4-1,12,31)+A161</f>
        <v/>
      </c>
      <c r="C161" s="34">
        <f t="array" ref="C161">_xlfn.IFNA(MATCH(1,(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)*(_xlfn.ANCHORARRAY(Sintesi!$C$15)&gt;=0)+(_xlfn.ANCHORARRAY(Sintesi!$C$15)&lt;0),0),0)</f>
        <v/>
      </c>
      <c r="D161" s="1">
        <f t="array" ref="D161">IF(ISBLANK($E162),IF(ISNUMBER($E160),IF($C161&gt;0,IF(($E161=INDEX(_xlfn.ANCHORARRAY(Sintesi!$C$14),1,$C161))*(INDEX(_xlfn.ANCHORARRAY(Sintesi!$C$15),1,$C161)&gt;0),0,IF(($E161=INDEX(_xlfn.ANCHORARRAY(Sintesi!$C$14),1,$C161))*(INDEX(_xlfn.ANCHORARRAY(Sintesi!$C$15),1,$C161)&lt;0)+($E161&gt;=$E160)*($E161&lt;=INDEX($E:$E,MATCH(TRUE,INDEX((ISNUMBER($E:$E)),0),0)))*($E161&gt;INDEX(_xlfn.ANCHORARRAY(Sintesi!$C$14),1,$C161))*($E161&lt;=INDEX(_xlfn.ANCHORARRAY(Sintesi!$C$15),1,$C161))*(INDEX(_xlfn.ANCHORARRAY(Sintesi!$C$15),1,$C161)&gt;0),1,IF(($E161&gt;=$E160)*($E161&lt;=INDEX($E:$E,MATCH(TRUE,INDEX((ISNUMBER($E:$E)),0),0)))*($E161&gt;INDEX(_xlfn.ANCHORARRAY(Sintesi!$C$14),1,$C161))*($E161&lt;INDEX(_xlfn.ANCHORARRAY(Sintesi!$C$16),1,$C161))*(INDEX(_xlfn.ANCHORARRAY(Sintesi!$C$15),1,$C161)&lt;0)+($E161&gt;=$E160)*($E161&lt;=INDEX($E:$E,MATCH(TRUE,INDEX((ISNUMBER($E:$E)),0),0)))*($E161&gt;INDEX(_xlfn.ANCHORARRAY(Sintesi!$C$15),1,$C161))*($E161&lt;INDEX(_xlfn.ANCHORARRAY(Sintesi!$C$16),1,$C161))*(INDEX(_xlfn.ANCHORARRAY(Sintesi!$C$15),1,$C161)&gt;0),2,IF($E161=(INDEX(_xlfn.ANCHORARRAY(Sintesi!$C$16),1,$C161)),3,4)))),0),IF($C161&gt;0,IF(($E161=INDEX(_xlfn.ANCHORARRAY(Sintesi!$C$14),1,$C161))*(INDEX(_xlfn.ANCHORARRAY(Sintesi!$C$15),1,$C161)&gt;0),0,IF(($E161=INDEX(_xlfn.ANCHORARRAY(Sintesi!$C$14),1,$C161))*(INDEX(_xlfn.ANCHORARRAY(Sintesi!$C$15),1,$C161)&lt;0)+($E161&gt;=LOOKUP(2,1/($E:$E&lt;&gt;""),$E:$E))*($E161&lt;=INDEX($E:$E,MATCH(TRUE,INDEX((ISNUMBER($E:$E)),0),0)))*($E161&gt;INDEX(_xlfn.ANCHORARRAY(Sintesi!$C$14),1,$C161))*($E161&lt;=INDEX(_xlfn.ANCHORARRAY(Sintesi!$C$15),1,$C161))*(INDEX(_xlfn.ANCHORARRAY(Sintesi!$C$15),1,$C161)&gt;0),1,IF(($E161&gt;=LOOKUP(2,1/($E:$E&lt;&gt;""),$E:$E))*($E161&lt;=INDEX($E:$E,MATCH(TRUE,INDEX((ISNUMBER($E:$E)),0),0)))*($E161&gt;INDEX(_xlfn.ANCHORARRAY(Sintesi!$C$14),1,$C161))*($E161&lt;INDEX(_xlfn.ANCHORARRAY(Sintesi!$C$16),1,$C161))*(INDEX(_xlfn.ANCHORARRAY(Sintesi!$C$15),1,$C161)&lt;0)+($E161&gt;=LOOKUP(2,1/($E:$E&lt;&gt;""),$E:$E))*($E161&lt;=INDEX($E:$E,MATCH(TRUE,INDEX((ISNUMBER($E:$E)),0),0)))*($E161&gt;INDEX(_xlfn.ANCHORARRAY(Sintesi!$C$15),1,$C161))*($E161&lt;INDEX(_xlfn.ANCHORARRAY(Sintesi!$C$16),1,$C161))*(INDEX(_xlfn.ANCHORARRAY(Sintesi!$C$15),1,$C161)&gt;0),2,IF($E161=(INDEX(_xlfn.ANCHORARRAY(Sintesi!$C$16),1,$C161)),3,4)))),0)),IF(ISNUMBER($E160),IF($C161&gt;0,IF(($E161=INDEX(_xlfn.ANCHORARRAY(Sintesi!$C$14),1,$C161))*(INDEX(_xlfn.ANCHORARRAY(Sintesi!$C$15),1,$C161)&gt;0),0,IF(($E161=INDEX(_xlfn.ANCHORARRAY(Sintesi!$C$14),1,$C161))*(INDEX(_xlfn.ANCHORARRAY(Sintesi!$C$15),1,$C161)&lt;0)+($E161&gt;=$E160)*($E161&lt;=$E162)*($E161&gt;INDEX(_xlfn.ANCHORARRAY(Sintesi!$C$14),1,$C161))*($E161&lt;=INDEX(_xlfn.ANCHORARRAY(Sintesi!$C$15),1,$C161))*(INDEX(_xlfn.ANCHORARRAY(Sintesi!$C$15),1,$C161)&gt;0),1,IF(($E161&gt;=$E160)*($E161&lt;=$E162)*($E161&gt;INDEX(_xlfn.ANCHORARRAY(Sintesi!$C$14),1,$C161))*($E161&lt;INDEX(_xlfn.ANCHORARRAY(Sintesi!$C$16),1,$C161))*(INDEX(_xlfn.ANCHORARRAY(Sintesi!$C$15),1,$C161)&lt;0)+($E161&gt;=$E160)*($E161&lt;=$E162)*($E161&gt;INDEX(_xlfn.ANCHORARRAY(Sintesi!$C$15),1,$C161))*($E161&lt;INDEX(_xlfn.ANCHORARRAY(Sintesi!$C$16),1,$C161))*(INDEX(_xlfn.ANCHORARRAY(Sintesi!$C$15),1,$C161)&gt;0),2,IF($E161=(INDEX(_xlfn.ANCHORARRAY(Sintesi!$C$16),1,$C161)),3,4)))),0),IF($C161&gt;0,IF(($E161=INDEX(_xlfn.ANCHORARRAY(Sintesi!$C$14),1,$C161))*(INDEX(_xlfn.ANCHORARRAY(Sintesi!$C$15),1,$C161)&gt;0),0,IF(($E161=INDEX(_xlfn.ANCHORARRAY(Sintesi!$C$14),1,$C161))*(INDEX(_xlfn.ANCHORARRAY(Sintesi!$C$15),1,$C161)&lt;0)+($E161&gt;=LOOKUP(2,1/($E:$E&lt;&gt;""),$E:$E))*($E161&lt;=$E162)*($E161&gt;INDEX(_xlfn.ANCHORARRAY(Sintesi!$C$14),1,$C161))*($E161&lt;=INDEX(_xlfn.ANCHORARRAY(Sintesi!$C$15),1,$C161))*(INDEX(_xlfn.ANCHORARRAY(Sintesi!$C$15),1,$C161)&gt;0),1,IF(($E161&gt;=LOOKUP(2,1/($E:$E&lt;&gt;""),$E:$E))*($E161&lt;=$E162)*($E161&gt;INDEX(_xlfn.ANCHORARRAY(Sintesi!$C$14),1,$C161))*($E161&lt;INDEX(_xlfn.ANCHORARRAY(Sintesi!$C$16),1,$C161))*(INDEX(_xlfn.ANCHORARRAY(Sintesi!$C$15),1,$C161)&lt;0)+($E161&gt;=LOOKUP(2,1/($E:$E&lt;&gt;""),$E:$E))*($E161&lt;=$E162)*($E161&gt;INDEX(_xlfn.ANCHORARRAY(Sintesi!$C$15),1,$C161))*($E161&lt;INDEX(_xlfn.ANCHORARRAY(Sintesi!$C$16),1,$C161))*(INDEX(_xlfn.ANCHORARRAY(Sintesi!$C$15),1,$C161)&gt;0),2,IF($E161=(INDEX(_xlfn.ANCHORARRAY(Sintesi!$C$16),1,$C161)),3,4)))),0)))</f>
        <v/>
      </c>
      <c r="E161" s="1">
        <f>'Paste cell here'!F161</f>
        <v/>
      </c>
      <c r="F161" s="1">
        <f>'Paste cell here'!C161</f>
        <v/>
      </c>
      <c r="G161" s="1">
        <f>'Paste cell here'!D161</f>
        <v/>
      </c>
      <c r="H161" s="1">
        <f>'Paste cell here'!E161</f>
        <v/>
      </c>
      <c r="I161" s="1">
        <f>'Paste cell here'!X161</f>
        <v/>
      </c>
      <c r="J161" s="1">
        <f>'Paste cell here'!Y161+'Paste cell here'!S161</f>
        <v/>
      </c>
      <c r="K161" s="1">
        <f>I161/H161</f>
        <v/>
      </c>
      <c r="L161" s="1">
        <f>AVERAGE(($F161+$G161)/2-($F161-$G161)/2*COS(PI()*(8-VLOOKUP(MONTH(B161),$O$1:$Q$13,3))/(VLOOKUP(MONTH(B161),$O$1:$Q$13,2)-VLOOKUP(MONTH(B161),$O$1:$Q$13,3))),($F161+$G161)/2-($F161-$G161)/2*COS(PI()*(9-VLOOKUP(MONTH(B161),$O$1:$Q$13,3))/(VLOOKUP(MONTH(B161),$O$1:$Q$13,2)-VLOOKUP(MONTH(B161),$O$1:$Q$13,3))),($F161+$G161)/2-($F161-$G161)/2*COS(PI()*(10-VLOOKUP(MONTH(B161),$O$1:$Q$13,3))/(VLOOKUP(MONTH(B161),$O$1:$Q$13,2)-VLOOKUP(MONTH(B161),$O$1:$Q$13,3))),($F161+$G161)/2-($F161-$G161)/2*COS(PI()*(11-VLOOKUP(MONTH(B161),$O$1:$Q$13,3))/(VLOOKUP(MONTH(B161),$O$1:$Q$13,2)-VLOOKUP(MONTH(B161),$O$1:$Q$13,3))),($F161+$G161)/2-($F161-$G161)/2*COS(PI()*(12-VLOOKUP(MONTH(B161),$O$1:$Q$13,3))/(VLOOKUP(MONTH(B161),$O$1:$Q$13,2)-VLOOKUP(MONTH(B161),$O$1:$Q$13,3))),($F161+$G161)/2-($F161-$G161)/2*COS(PI()*(13-VLOOKUP(MONTH(B161),$O$1:$Q$13,3))/(VLOOKUP(MONTH(B161),$O$1:$Q$13,2)-VLOOKUP(MONTH(B161),$O$1:$Q$13,3))),($F161+$G161)/2-($F161-$G161)/2*COS(PI()*(14-VLOOKUP(MONTH(B161),$O$1:$Q$13,3))/(VLOOKUP(MONTH(B161),$O$1:$Q$13,2)-VLOOKUP(MONTH(B161),$O$1:$Q$13,3))))</f>
        <v/>
      </c>
      <c r="M161" s="1">
        <f t="array" ref="M161">IF(AND(A161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,A161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),IF(L161&lt;_xlfn.IFNA(INDEX(_xlfn.ANCHORARRAY(Sintesi!$C$17)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,1,IF(L161&gt;=_xlfn.IFNA(INDEX(_xlfn.ANCHORARRAY(Sintesi!$C$18)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,0,1-(L161-_xlfn.IFNA(INDEX(_xlfn.ANCHORARRAY(Sintesi!$C$17)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)/(_xlfn.IFNA(INDEX(_xlfn.ANCHORARRAY(Sintesi!$C$18)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-_xlfn.IFNA(INDEX(_xlfn.ANCHORARRAY(Sintesi!$C$17)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))),0)</f>
        <v/>
      </c>
    </row>
    <row r="162">
      <c r="A162" s="1">
        <f>'Paste cell here'!A162</f>
        <v/>
      </c>
      <c r="B162" s="2">
        <f>DATE(Sintesi!$C$4-1,12,31)+A162</f>
        <v/>
      </c>
      <c r="C162" s="34">
        <f t="array" ref="C162">_xlfn.IFNA(MATCH(1,(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)*(_xlfn.ANCHORARRAY(Sintesi!$C$15)&gt;=0)+(_xlfn.ANCHORARRAY(Sintesi!$C$15)&lt;0),0),0)</f>
        <v/>
      </c>
      <c r="D162" s="1">
        <f t="array" ref="D162">IF(ISBLANK($E163),IF(ISNUMBER($E161),IF($C162&gt;0,IF(($E162=INDEX(_xlfn.ANCHORARRAY(Sintesi!$C$14),1,$C162))*(INDEX(_xlfn.ANCHORARRAY(Sintesi!$C$15),1,$C162)&gt;0),0,IF(($E162=INDEX(_xlfn.ANCHORARRAY(Sintesi!$C$14),1,$C162))*(INDEX(_xlfn.ANCHORARRAY(Sintesi!$C$15),1,$C162)&lt;0)+($E162&gt;=$E161)*($E162&lt;=INDEX($E:$E,MATCH(TRUE,INDEX((ISNUMBER($E:$E)),0),0)))*($E162&gt;INDEX(_xlfn.ANCHORARRAY(Sintesi!$C$14),1,$C162))*($E162&lt;=INDEX(_xlfn.ANCHORARRAY(Sintesi!$C$15),1,$C162))*(INDEX(_xlfn.ANCHORARRAY(Sintesi!$C$15),1,$C162)&gt;0),1,IF(($E162&gt;=$E161)*($E162&lt;=INDEX($E:$E,MATCH(TRUE,INDEX((ISNUMBER($E:$E)),0),0)))*($E162&gt;INDEX(_xlfn.ANCHORARRAY(Sintesi!$C$14),1,$C162))*($E162&lt;INDEX(_xlfn.ANCHORARRAY(Sintesi!$C$16),1,$C162))*(INDEX(_xlfn.ANCHORARRAY(Sintesi!$C$15),1,$C162)&lt;0)+($E162&gt;=$E161)*($E162&lt;=INDEX($E:$E,MATCH(TRUE,INDEX((ISNUMBER($E:$E)),0),0)))*($E162&gt;INDEX(_xlfn.ANCHORARRAY(Sintesi!$C$15),1,$C162))*($E162&lt;INDEX(_xlfn.ANCHORARRAY(Sintesi!$C$16),1,$C162))*(INDEX(_xlfn.ANCHORARRAY(Sintesi!$C$15),1,$C162)&gt;0),2,IF($E162=(INDEX(_xlfn.ANCHORARRAY(Sintesi!$C$16),1,$C162)),3,4)))),0),IF($C162&gt;0,IF(($E162=INDEX(_xlfn.ANCHORARRAY(Sintesi!$C$14),1,$C162))*(INDEX(_xlfn.ANCHORARRAY(Sintesi!$C$15),1,$C162)&gt;0),0,IF(($E162=INDEX(_xlfn.ANCHORARRAY(Sintesi!$C$14),1,$C162))*(INDEX(_xlfn.ANCHORARRAY(Sintesi!$C$15),1,$C162)&lt;0)+($E162&gt;=LOOKUP(2,1/($E:$E&lt;&gt;""),$E:$E))*($E162&lt;=INDEX($E:$E,MATCH(TRUE,INDEX((ISNUMBER($E:$E)),0),0)))*($E162&gt;INDEX(_xlfn.ANCHORARRAY(Sintesi!$C$14),1,$C162))*($E162&lt;=INDEX(_xlfn.ANCHORARRAY(Sintesi!$C$15),1,$C162))*(INDEX(_xlfn.ANCHORARRAY(Sintesi!$C$15),1,$C162)&gt;0),1,IF(($E162&gt;=LOOKUP(2,1/($E:$E&lt;&gt;""),$E:$E))*($E162&lt;=INDEX($E:$E,MATCH(TRUE,INDEX((ISNUMBER($E:$E)),0),0)))*($E162&gt;INDEX(_xlfn.ANCHORARRAY(Sintesi!$C$14),1,$C162))*($E162&lt;INDEX(_xlfn.ANCHORARRAY(Sintesi!$C$16),1,$C162))*(INDEX(_xlfn.ANCHORARRAY(Sintesi!$C$15),1,$C162)&lt;0)+($E162&gt;=LOOKUP(2,1/($E:$E&lt;&gt;""),$E:$E))*($E162&lt;=INDEX($E:$E,MATCH(TRUE,INDEX((ISNUMBER($E:$E)),0),0)))*($E162&gt;INDEX(_xlfn.ANCHORARRAY(Sintesi!$C$15),1,$C162))*($E162&lt;INDEX(_xlfn.ANCHORARRAY(Sintesi!$C$16),1,$C162))*(INDEX(_xlfn.ANCHORARRAY(Sintesi!$C$15),1,$C162)&gt;0),2,IF($E162=(INDEX(_xlfn.ANCHORARRAY(Sintesi!$C$16),1,$C162)),3,4)))),0)),IF(ISNUMBER($E161),IF($C162&gt;0,IF(($E162=INDEX(_xlfn.ANCHORARRAY(Sintesi!$C$14),1,$C162))*(INDEX(_xlfn.ANCHORARRAY(Sintesi!$C$15),1,$C162)&gt;0),0,IF(($E162=INDEX(_xlfn.ANCHORARRAY(Sintesi!$C$14),1,$C162))*(INDEX(_xlfn.ANCHORARRAY(Sintesi!$C$15),1,$C162)&lt;0)+($E162&gt;=$E161)*($E162&lt;=$E163)*($E162&gt;INDEX(_xlfn.ANCHORARRAY(Sintesi!$C$14),1,$C162))*($E162&lt;=INDEX(_xlfn.ANCHORARRAY(Sintesi!$C$15),1,$C162))*(INDEX(_xlfn.ANCHORARRAY(Sintesi!$C$15),1,$C162)&gt;0),1,IF(($E162&gt;=$E161)*($E162&lt;=$E163)*($E162&gt;INDEX(_xlfn.ANCHORARRAY(Sintesi!$C$14),1,$C162))*($E162&lt;INDEX(_xlfn.ANCHORARRAY(Sintesi!$C$16),1,$C162))*(INDEX(_xlfn.ANCHORARRAY(Sintesi!$C$15),1,$C162)&lt;0)+($E162&gt;=$E161)*($E162&lt;=$E163)*($E162&gt;INDEX(_xlfn.ANCHORARRAY(Sintesi!$C$15),1,$C162))*($E162&lt;INDEX(_xlfn.ANCHORARRAY(Sintesi!$C$16),1,$C162))*(INDEX(_xlfn.ANCHORARRAY(Sintesi!$C$15),1,$C162)&gt;0),2,IF($E162=(INDEX(_xlfn.ANCHORARRAY(Sintesi!$C$16),1,$C162)),3,4)))),0),IF($C162&gt;0,IF(($E162=INDEX(_xlfn.ANCHORARRAY(Sintesi!$C$14),1,$C162))*(INDEX(_xlfn.ANCHORARRAY(Sintesi!$C$15),1,$C162)&gt;0),0,IF(($E162=INDEX(_xlfn.ANCHORARRAY(Sintesi!$C$14),1,$C162))*(INDEX(_xlfn.ANCHORARRAY(Sintesi!$C$15),1,$C162)&lt;0)+($E162&gt;=LOOKUP(2,1/($E:$E&lt;&gt;""),$E:$E))*($E162&lt;=$E163)*($E162&gt;INDEX(_xlfn.ANCHORARRAY(Sintesi!$C$14),1,$C162))*($E162&lt;=INDEX(_xlfn.ANCHORARRAY(Sintesi!$C$15),1,$C162))*(INDEX(_xlfn.ANCHORARRAY(Sintesi!$C$15),1,$C162)&gt;0),1,IF(($E162&gt;=LOOKUP(2,1/($E:$E&lt;&gt;""),$E:$E))*($E162&lt;=$E163)*($E162&gt;INDEX(_xlfn.ANCHORARRAY(Sintesi!$C$14),1,$C162))*($E162&lt;INDEX(_xlfn.ANCHORARRAY(Sintesi!$C$16),1,$C162))*(INDEX(_xlfn.ANCHORARRAY(Sintesi!$C$15),1,$C162)&lt;0)+($E162&gt;=LOOKUP(2,1/($E:$E&lt;&gt;""),$E:$E))*($E162&lt;=$E163)*($E162&gt;INDEX(_xlfn.ANCHORARRAY(Sintesi!$C$15),1,$C162))*($E162&lt;INDEX(_xlfn.ANCHORARRAY(Sintesi!$C$16),1,$C162))*(INDEX(_xlfn.ANCHORARRAY(Sintesi!$C$15),1,$C162)&gt;0),2,IF($E162=(INDEX(_xlfn.ANCHORARRAY(Sintesi!$C$16),1,$C162)),3,4)))),0)))</f>
        <v/>
      </c>
      <c r="E162" s="1">
        <f>'Paste cell here'!F162</f>
        <v/>
      </c>
      <c r="F162" s="1">
        <f>'Paste cell here'!C162</f>
        <v/>
      </c>
      <c r="G162" s="1">
        <f>'Paste cell here'!D162</f>
        <v/>
      </c>
      <c r="H162" s="1">
        <f>'Paste cell here'!E162</f>
        <v/>
      </c>
      <c r="I162" s="1">
        <f>'Paste cell here'!X162</f>
        <v/>
      </c>
      <c r="J162" s="1">
        <f>'Paste cell here'!Y162+'Paste cell here'!S162</f>
        <v/>
      </c>
      <c r="K162" s="1">
        <f>I162/H162</f>
        <v/>
      </c>
      <c r="L162" s="1">
        <f>AVERAGE(($F162+$G162)/2-($F162-$G162)/2*COS(PI()*(8-VLOOKUP(MONTH(B162),$O$1:$Q$13,3))/(VLOOKUP(MONTH(B162),$O$1:$Q$13,2)-VLOOKUP(MONTH(B162),$O$1:$Q$13,3))),($F162+$G162)/2-($F162-$G162)/2*COS(PI()*(9-VLOOKUP(MONTH(B162),$O$1:$Q$13,3))/(VLOOKUP(MONTH(B162),$O$1:$Q$13,2)-VLOOKUP(MONTH(B162),$O$1:$Q$13,3))),($F162+$G162)/2-($F162-$G162)/2*COS(PI()*(10-VLOOKUP(MONTH(B162),$O$1:$Q$13,3))/(VLOOKUP(MONTH(B162),$O$1:$Q$13,2)-VLOOKUP(MONTH(B162),$O$1:$Q$13,3))),($F162+$G162)/2-($F162-$G162)/2*COS(PI()*(11-VLOOKUP(MONTH(B162),$O$1:$Q$13,3))/(VLOOKUP(MONTH(B162),$O$1:$Q$13,2)-VLOOKUP(MONTH(B162),$O$1:$Q$13,3))),($F162+$G162)/2-($F162-$G162)/2*COS(PI()*(12-VLOOKUP(MONTH(B162),$O$1:$Q$13,3))/(VLOOKUP(MONTH(B162),$O$1:$Q$13,2)-VLOOKUP(MONTH(B162),$O$1:$Q$13,3))),($F162+$G162)/2-($F162-$G162)/2*COS(PI()*(13-VLOOKUP(MONTH(B162),$O$1:$Q$13,3))/(VLOOKUP(MONTH(B162),$O$1:$Q$13,2)-VLOOKUP(MONTH(B162),$O$1:$Q$13,3))),($F162+$G162)/2-($F162-$G162)/2*COS(PI()*(14-VLOOKUP(MONTH(B162),$O$1:$Q$13,3))/(VLOOKUP(MONTH(B162),$O$1:$Q$13,2)-VLOOKUP(MONTH(B162),$O$1:$Q$13,3))))</f>
        <v/>
      </c>
      <c r="M162" s="1">
        <f t="array" ref="M162">IF(AND(A162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,A162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),IF(L162&lt;_xlfn.IFNA(INDEX(_xlfn.ANCHORARRAY(Sintesi!$C$17)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,1,IF(L162&gt;=_xlfn.IFNA(INDEX(_xlfn.ANCHORARRAY(Sintesi!$C$18)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,0,1-(L162-_xlfn.IFNA(INDEX(_xlfn.ANCHORARRAY(Sintesi!$C$17)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)/(_xlfn.IFNA(INDEX(_xlfn.ANCHORARRAY(Sintesi!$C$18)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-_xlfn.IFNA(INDEX(_xlfn.ANCHORARRAY(Sintesi!$C$17)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))),0)</f>
        <v/>
      </c>
    </row>
    <row r="163">
      <c r="A163" s="1">
        <f>'Paste cell here'!A163</f>
        <v/>
      </c>
      <c r="B163" s="2">
        <f>DATE(Sintesi!$C$4-1,12,31)+A163</f>
        <v/>
      </c>
      <c r="C163" s="34">
        <f t="array" ref="C163">_xlfn.IFNA(MATCH(1,(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)*(_xlfn.ANCHORARRAY(Sintesi!$C$15)&gt;=0)+(_xlfn.ANCHORARRAY(Sintesi!$C$15)&lt;0),0),0)</f>
        <v/>
      </c>
      <c r="D163" s="1">
        <f t="array" ref="D163">IF(ISBLANK($E164),IF(ISNUMBER($E162),IF($C163&gt;0,IF(($E163=INDEX(_xlfn.ANCHORARRAY(Sintesi!$C$14),1,$C163))*(INDEX(_xlfn.ANCHORARRAY(Sintesi!$C$15),1,$C163)&gt;0),0,IF(($E163=INDEX(_xlfn.ANCHORARRAY(Sintesi!$C$14),1,$C163))*(INDEX(_xlfn.ANCHORARRAY(Sintesi!$C$15),1,$C163)&lt;0)+($E163&gt;=$E162)*($E163&lt;=INDEX($E:$E,MATCH(TRUE,INDEX((ISNUMBER($E:$E)),0),0)))*($E163&gt;INDEX(_xlfn.ANCHORARRAY(Sintesi!$C$14),1,$C163))*($E163&lt;=INDEX(_xlfn.ANCHORARRAY(Sintesi!$C$15),1,$C163))*(INDEX(_xlfn.ANCHORARRAY(Sintesi!$C$15),1,$C163)&gt;0),1,IF(($E163&gt;=$E162)*($E163&lt;=INDEX($E:$E,MATCH(TRUE,INDEX((ISNUMBER($E:$E)),0),0)))*($E163&gt;INDEX(_xlfn.ANCHORARRAY(Sintesi!$C$14),1,$C163))*($E163&lt;INDEX(_xlfn.ANCHORARRAY(Sintesi!$C$16),1,$C163))*(INDEX(_xlfn.ANCHORARRAY(Sintesi!$C$15),1,$C163)&lt;0)+($E163&gt;=$E162)*($E163&lt;=INDEX($E:$E,MATCH(TRUE,INDEX((ISNUMBER($E:$E)),0),0)))*($E163&gt;INDEX(_xlfn.ANCHORARRAY(Sintesi!$C$15),1,$C163))*($E163&lt;INDEX(_xlfn.ANCHORARRAY(Sintesi!$C$16),1,$C163))*(INDEX(_xlfn.ANCHORARRAY(Sintesi!$C$15),1,$C163)&gt;0),2,IF($E163=(INDEX(_xlfn.ANCHORARRAY(Sintesi!$C$16),1,$C163)),3,4)))),0),IF($C163&gt;0,IF(($E163=INDEX(_xlfn.ANCHORARRAY(Sintesi!$C$14),1,$C163))*(INDEX(_xlfn.ANCHORARRAY(Sintesi!$C$15),1,$C163)&gt;0),0,IF(($E163=INDEX(_xlfn.ANCHORARRAY(Sintesi!$C$14),1,$C163))*(INDEX(_xlfn.ANCHORARRAY(Sintesi!$C$15),1,$C163)&lt;0)+($E163&gt;=LOOKUP(2,1/($E:$E&lt;&gt;""),$E:$E))*($E163&lt;=INDEX($E:$E,MATCH(TRUE,INDEX((ISNUMBER($E:$E)),0),0)))*($E163&gt;INDEX(_xlfn.ANCHORARRAY(Sintesi!$C$14),1,$C163))*($E163&lt;=INDEX(_xlfn.ANCHORARRAY(Sintesi!$C$15),1,$C163))*(INDEX(_xlfn.ANCHORARRAY(Sintesi!$C$15),1,$C163)&gt;0),1,IF(($E163&gt;=LOOKUP(2,1/($E:$E&lt;&gt;""),$E:$E))*($E163&lt;=INDEX($E:$E,MATCH(TRUE,INDEX((ISNUMBER($E:$E)),0),0)))*($E163&gt;INDEX(_xlfn.ANCHORARRAY(Sintesi!$C$14),1,$C163))*($E163&lt;INDEX(_xlfn.ANCHORARRAY(Sintesi!$C$16),1,$C163))*(INDEX(_xlfn.ANCHORARRAY(Sintesi!$C$15),1,$C163)&lt;0)+($E163&gt;=LOOKUP(2,1/($E:$E&lt;&gt;""),$E:$E))*($E163&lt;=INDEX($E:$E,MATCH(TRUE,INDEX((ISNUMBER($E:$E)),0),0)))*($E163&gt;INDEX(_xlfn.ANCHORARRAY(Sintesi!$C$15),1,$C163))*($E163&lt;INDEX(_xlfn.ANCHORARRAY(Sintesi!$C$16),1,$C163))*(INDEX(_xlfn.ANCHORARRAY(Sintesi!$C$15),1,$C163)&gt;0),2,IF($E163=(INDEX(_xlfn.ANCHORARRAY(Sintesi!$C$16),1,$C163)),3,4)))),0)),IF(ISNUMBER($E162),IF($C163&gt;0,IF(($E163=INDEX(_xlfn.ANCHORARRAY(Sintesi!$C$14),1,$C163))*(INDEX(_xlfn.ANCHORARRAY(Sintesi!$C$15),1,$C163)&gt;0),0,IF(($E163=INDEX(_xlfn.ANCHORARRAY(Sintesi!$C$14),1,$C163))*(INDEX(_xlfn.ANCHORARRAY(Sintesi!$C$15),1,$C163)&lt;0)+($E163&gt;=$E162)*($E163&lt;=$E164)*($E163&gt;INDEX(_xlfn.ANCHORARRAY(Sintesi!$C$14),1,$C163))*($E163&lt;=INDEX(_xlfn.ANCHORARRAY(Sintesi!$C$15),1,$C163))*(INDEX(_xlfn.ANCHORARRAY(Sintesi!$C$15),1,$C163)&gt;0),1,IF(($E163&gt;=$E162)*($E163&lt;=$E164)*($E163&gt;INDEX(_xlfn.ANCHORARRAY(Sintesi!$C$14),1,$C163))*($E163&lt;INDEX(_xlfn.ANCHORARRAY(Sintesi!$C$16),1,$C163))*(INDEX(_xlfn.ANCHORARRAY(Sintesi!$C$15),1,$C163)&lt;0)+($E163&gt;=$E162)*($E163&lt;=$E164)*($E163&gt;INDEX(_xlfn.ANCHORARRAY(Sintesi!$C$15),1,$C163))*($E163&lt;INDEX(_xlfn.ANCHORARRAY(Sintesi!$C$16),1,$C163))*(INDEX(_xlfn.ANCHORARRAY(Sintesi!$C$15),1,$C163)&gt;0),2,IF($E163=(INDEX(_xlfn.ANCHORARRAY(Sintesi!$C$16),1,$C163)),3,4)))),0),IF($C163&gt;0,IF(($E163=INDEX(_xlfn.ANCHORARRAY(Sintesi!$C$14),1,$C163))*(INDEX(_xlfn.ANCHORARRAY(Sintesi!$C$15),1,$C163)&gt;0),0,IF(($E163=INDEX(_xlfn.ANCHORARRAY(Sintesi!$C$14),1,$C163))*(INDEX(_xlfn.ANCHORARRAY(Sintesi!$C$15),1,$C163)&lt;0)+($E163&gt;=LOOKUP(2,1/($E:$E&lt;&gt;""),$E:$E))*($E163&lt;=$E164)*($E163&gt;INDEX(_xlfn.ANCHORARRAY(Sintesi!$C$14),1,$C163))*($E163&lt;=INDEX(_xlfn.ANCHORARRAY(Sintesi!$C$15),1,$C163))*(INDEX(_xlfn.ANCHORARRAY(Sintesi!$C$15),1,$C163)&gt;0),1,IF(($E163&gt;=LOOKUP(2,1/($E:$E&lt;&gt;""),$E:$E))*($E163&lt;=$E164)*($E163&gt;INDEX(_xlfn.ANCHORARRAY(Sintesi!$C$14),1,$C163))*($E163&lt;INDEX(_xlfn.ANCHORARRAY(Sintesi!$C$16),1,$C163))*(INDEX(_xlfn.ANCHORARRAY(Sintesi!$C$15),1,$C163)&lt;0)+($E163&gt;=LOOKUP(2,1/($E:$E&lt;&gt;""),$E:$E))*($E163&lt;=$E164)*($E163&gt;INDEX(_xlfn.ANCHORARRAY(Sintesi!$C$15),1,$C163))*($E163&lt;INDEX(_xlfn.ANCHORARRAY(Sintesi!$C$16),1,$C163))*(INDEX(_xlfn.ANCHORARRAY(Sintesi!$C$15),1,$C163)&gt;0),2,IF($E163=(INDEX(_xlfn.ANCHORARRAY(Sintesi!$C$16),1,$C163)),3,4)))),0)))</f>
        <v/>
      </c>
      <c r="E163" s="1">
        <f>'Paste cell here'!F163</f>
        <v/>
      </c>
      <c r="F163" s="1">
        <f>'Paste cell here'!C163</f>
        <v/>
      </c>
      <c r="G163" s="1">
        <f>'Paste cell here'!D163</f>
        <v/>
      </c>
      <c r="H163" s="1">
        <f>'Paste cell here'!E163</f>
        <v/>
      </c>
      <c r="I163" s="1">
        <f>'Paste cell here'!X163</f>
        <v/>
      </c>
      <c r="J163" s="1">
        <f>'Paste cell here'!Y163+'Paste cell here'!S163</f>
        <v/>
      </c>
      <c r="K163" s="1">
        <f>I163/H163</f>
        <v/>
      </c>
      <c r="L163" s="1">
        <f>AVERAGE(($F163+$G163)/2-($F163-$G163)/2*COS(PI()*(8-VLOOKUP(MONTH(B163),$O$1:$Q$13,3))/(VLOOKUP(MONTH(B163),$O$1:$Q$13,2)-VLOOKUP(MONTH(B163),$O$1:$Q$13,3))),($F163+$G163)/2-($F163-$G163)/2*COS(PI()*(9-VLOOKUP(MONTH(B163),$O$1:$Q$13,3))/(VLOOKUP(MONTH(B163),$O$1:$Q$13,2)-VLOOKUP(MONTH(B163),$O$1:$Q$13,3))),($F163+$G163)/2-($F163-$G163)/2*COS(PI()*(10-VLOOKUP(MONTH(B163),$O$1:$Q$13,3))/(VLOOKUP(MONTH(B163),$O$1:$Q$13,2)-VLOOKUP(MONTH(B163),$O$1:$Q$13,3))),($F163+$G163)/2-($F163-$G163)/2*COS(PI()*(11-VLOOKUP(MONTH(B163),$O$1:$Q$13,3))/(VLOOKUP(MONTH(B163),$O$1:$Q$13,2)-VLOOKUP(MONTH(B163),$O$1:$Q$13,3))),($F163+$G163)/2-($F163-$G163)/2*COS(PI()*(12-VLOOKUP(MONTH(B163),$O$1:$Q$13,3))/(VLOOKUP(MONTH(B163),$O$1:$Q$13,2)-VLOOKUP(MONTH(B163),$O$1:$Q$13,3))),($F163+$G163)/2-($F163-$G163)/2*COS(PI()*(13-VLOOKUP(MONTH(B163),$O$1:$Q$13,3))/(VLOOKUP(MONTH(B163),$O$1:$Q$13,2)-VLOOKUP(MONTH(B163),$O$1:$Q$13,3))),($F163+$G163)/2-($F163-$G163)/2*COS(PI()*(14-VLOOKUP(MONTH(B163),$O$1:$Q$13,3))/(VLOOKUP(MONTH(B163),$O$1:$Q$13,2)-VLOOKUP(MONTH(B163),$O$1:$Q$13,3))))</f>
        <v/>
      </c>
      <c r="M163" s="1">
        <f t="array" ref="M163">IF(AND(A163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,A163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),IF(L163&lt;_xlfn.IFNA(INDEX(_xlfn.ANCHORARRAY(Sintesi!$C$17)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,1,IF(L163&gt;=_xlfn.IFNA(INDEX(_xlfn.ANCHORARRAY(Sintesi!$C$18)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,0,1-(L163-_xlfn.IFNA(INDEX(_xlfn.ANCHORARRAY(Sintesi!$C$17)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)/(_xlfn.IFNA(INDEX(_xlfn.ANCHORARRAY(Sintesi!$C$18)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-_xlfn.IFNA(INDEX(_xlfn.ANCHORARRAY(Sintesi!$C$17)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))),0)</f>
        <v/>
      </c>
    </row>
    <row r="164">
      <c r="A164" s="1">
        <f>'Paste cell here'!A164</f>
        <v/>
      </c>
      <c r="B164" s="2">
        <f>DATE(Sintesi!$C$4-1,12,31)+A164</f>
        <v/>
      </c>
      <c r="C164" s="34">
        <f t="array" ref="C164">_xlfn.IFNA(MATCH(1,(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)*(_xlfn.ANCHORARRAY(Sintesi!$C$15)&gt;=0)+(_xlfn.ANCHORARRAY(Sintesi!$C$15)&lt;0),0),0)</f>
        <v/>
      </c>
      <c r="D164" s="1">
        <f t="array" ref="D164">IF(ISBLANK($E165),IF(ISNUMBER($E163),IF($C164&gt;0,IF(($E164=INDEX(_xlfn.ANCHORARRAY(Sintesi!$C$14),1,$C164))*(INDEX(_xlfn.ANCHORARRAY(Sintesi!$C$15),1,$C164)&gt;0),0,IF(($E164=INDEX(_xlfn.ANCHORARRAY(Sintesi!$C$14),1,$C164))*(INDEX(_xlfn.ANCHORARRAY(Sintesi!$C$15),1,$C164)&lt;0)+($E164&gt;=$E163)*($E164&lt;=INDEX($E:$E,MATCH(TRUE,INDEX((ISNUMBER($E:$E)),0),0)))*($E164&gt;INDEX(_xlfn.ANCHORARRAY(Sintesi!$C$14),1,$C164))*($E164&lt;=INDEX(_xlfn.ANCHORARRAY(Sintesi!$C$15),1,$C164))*(INDEX(_xlfn.ANCHORARRAY(Sintesi!$C$15),1,$C164)&gt;0),1,IF(($E164&gt;=$E163)*($E164&lt;=INDEX($E:$E,MATCH(TRUE,INDEX((ISNUMBER($E:$E)),0),0)))*($E164&gt;INDEX(_xlfn.ANCHORARRAY(Sintesi!$C$14),1,$C164))*($E164&lt;INDEX(_xlfn.ANCHORARRAY(Sintesi!$C$16),1,$C164))*(INDEX(_xlfn.ANCHORARRAY(Sintesi!$C$15),1,$C164)&lt;0)+($E164&gt;=$E163)*($E164&lt;=INDEX($E:$E,MATCH(TRUE,INDEX((ISNUMBER($E:$E)),0),0)))*($E164&gt;INDEX(_xlfn.ANCHORARRAY(Sintesi!$C$15),1,$C164))*($E164&lt;INDEX(_xlfn.ANCHORARRAY(Sintesi!$C$16),1,$C164))*(INDEX(_xlfn.ANCHORARRAY(Sintesi!$C$15),1,$C164)&gt;0),2,IF($E164=(INDEX(_xlfn.ANCHORARRAY(Sintesi!$C$16),1,$C164)),3,4)))),0),IF($C164&gt;0,IF(($E164=INDEX(_xlfn.ANCHORARRAY(Sintesi!$C$14),1,$C164))*(INDEX(_xlfn.ANCHORARRAY(Sintesi!$C$15),1,$C164)&gt;0),0,IF(($E164=INDEX(_xlfn.ANCHORARRAY(Sintesi!$C$14),1,$C164))*(INDEX(_xlfn.ANCHORARRAY(Sintesi!$C$15),1,$C164)&lt;0)+($E164&gt;=LOOKUP(2,1/($E:$E&lt;&gt;""),$E:$E))*($E164&lt;=INDEX($E:$E,MATCH(TRUE,INDEX((ISNUMBER($E:$E)),0),0)))*($E164&gt;INDEX(_xlfn.ANCHORARRAY(Sintesi!$C$14),1,$C164))*($E164&lt;=INDEX(_xlfn.ANCHORARRAY(Sintesi!$C$15),1,$C164))*(INDEX(_xlfn.ANCHORARRAY(Sintesi!$C$15),1,$C164)&gt;0),1,IF(($E164&gt;=LOOKUP(2,1/($E:$E&lt;&gt;""),$E:$E))*($E164&lt;=INDEX($E:$E,MATCH(TRUE,INDEX((ISNUMBER($E:$E)),0),0)))*($E164&gt;INDEX(_xlfn.ANCHORARRAY(Sintesi!$C$14),1,$C164))*($E164&lt;INDEX(_xlfn.ANCHORARRAY(Sintesi!$C$16),1,$C164))*(INDEX(_xlfn.ANCHORARRAY(Sintesi!$C$15),1,$C164)&lt;0)+($E164&gt;=LOOKUP(2,1/($E:$E&lt;&gt;""),$E:$E))*($E164&lt;=INDEX($E:$E,MATCH(TRUE,INDEX((ISNUMBER($E:$E)),0),0)))*($E164&gt;INDEX(_xlfn.ANCHORARRAY(Sintesi!$C$15),1,$C164))*($E164&lt;INDEX(_xlfn.ANCHORARRAY(Sintesi!$C$16),1,$C164))*(INDEX(_xlfn.ANCHORARRAY(Sintesi!$C$15),1,$C164)&gt;0),2,IF($E164=(INDEX(_xlfn.ANCHORARRAY(Sintesi!$C$16),1,$C164)),3,4)))),0)),IF(ISNUMBER($E163),IF($C164&gt;0,IF(($E164=INDEX(_xlfn.ANCHORARRAY(Sintesi!$C$14),1,$C164))*(INDEX(_xlfn.ANCHORARRAY(Sintesi!$C$15),1,$C164)&gt;0),0,IF(($E164=INDEX(_xlfn.ANCHORARRAY(Sintesi!$C$14),1,$C164))*(INDEX(_xlfn.ANCHORARRAY(Sintesi!$C$15),1,$C164)&lt;0)+($E164&gt;=$E163)*($E164&lt;=$E165)*($E164&gt;INDEX(_xlfn.ANCHORARRAY(Sintesi!$C$14),1,$C164))*($E164&lt;=INDEX(_xlfn.ANCHORARRAY(Sintesi!$C$15),1,$C164))*(INDEX(_xlfn.ANCHORARRAY(Sintesi!$C$15),1,$C164)&gt;0),1,IF(($E164&gt;=$E163)*($E164&lt;=$E165)*($E164&gt;INDEX(_xlfn.ANCHORARRAY(Sintesi!$C$14),1,$C164))*($E164&lt;INDEX(_xlfn.ANCHORARRAY(Sintesi!$C$16),1,$C164))*(INDEX(_xlfn.ANCHORARRAY(Sintesi!$C$15),1,$C164)&lt;0)+($E164&gt;=$E163)*($E164&lt;=$E165)*($E164&gt;INDEX(_xlfn.ANCHORARRAY(Sintesi!$C$15),1,$C164))*($E164&lt;INDEX(_xlfn.ANCHORARRAY(Sintesi!$C$16),1,$C164))*(INDEX(_xlfn.ANCHORARRAY(Sintesi!$C$15),1,$C164)&gt;0),2,IF($E164=(INDEX(_xlfn.ANCHORARRAY(Sintesi!$C$16),1,$C164)),3,4)))),0),IF($C164&gt;0,IF(($E164=INDEX(_xlfn.ANCHORARRAY(Sintesi!$C$14),1,$C164))*(INDEX(_xlfn.ANCHORARRAY(Sintesi!$C$15),1,$C164)&gt;0),0,IF(($E164=INDEX(_xlfn.ANCHORARRAY(Sintesi!$C$14),1,$C164))*(INDEX(_xlfn.ANCHORARRAY(Sintesi!$C$15),1,$C164)&lt;0)+($E164&gt;=LOOKUP(2,1/($E:$E&lt;&gt;""),$E:$E))*($E164&lt;=$E165)*($E164&gt;INDEX(_xlfn.ANCHORARRAY(Sintesi!$C$14),1,$C164))*($E164&lt;=INDEX(_xlfn.ANCHORARRAY(Sintesi!$C$15),1,$C164))*(INDEX(_xlfn.ANCHORARRAY(Sintesi!$C$15),1,$C164)&gt;0),1,IF(($E164&gt;=LOOKUP(2,1/($E:$E&lt;&gt;""),$E:$E))*($E164&lt;=$E165)*($E164&gt;INDEX(_xlfn.ANCHORARRAY(Sintesi!$C$14),1,$C164))*($E164&lt;INDEX(_xlfn.ANCHORARRAY(Sintesi!$C$16),1,$C164))*(INDEX(_xlfn.ANCHORARRAY(Sintesi!$C$15),1,$C164)&lt;0)+($E164&gt;=LOOKUP(2,1/($E:$E&lt;&gt;""),$E:$E))*($E164&lt;=$E165)*($E164&gt;INDEX(_xlfn.ANCHORARRAY(Sintesi!$C$15),1,$C164))*($E164&lt;INDEX(_xlfn.ANCHORARRAY(Sintesi!$C$16),1,$C164))*(INDEX(_xlfn.ANCHORARRAY(Sintesi!$C$15),1,$C164)&gt;0),2,IF($E164=(INDEX(_xlfn.ANCHORARRAY(Sintesi!$C$16),1,$C164)),3,4)))),0)))</f>
        <v/>
      </c>
      <c r="E164" s="1">
        <f>'Paste cell here'!F164</f>
        <v/>
      </c>
      <c r="F164" s="1">
        <f>'Paste cell here'!C164</f>
        <v/>
      </c>
      <c r="G164" s="1">
        <f>'Paste cell here'!D164</f>
        <v/>
      </c>
      <c r="H164" s="1">
        <f>'Paste cell here'!E164</f>
        <v/>
      </c>
      <c r="I164" s="1">
        <f>'Paste cell here'!X164</f>
        <v/>
      </c>
      <c r="J164" s="1">
        <f>'Paste cell here'!Y164+'Paste cell here'!S164</f>
        <v/>
      </c>
      <c r="K164" s="1">
        <f>I164/H164</f>
        <v/>
      </c>
      <c r="L164" s="1">
        <f>AVERAGE(($F164+$G164)/2-($F164-$G164)/2*COS(PI()*(8-VLOOKUP(MONTH(B164),$O$1:$Q$13,3))/(VLOOKUP(MONTH(B164),$O$1:$Q$13,2)-VLOOKUP(MONTH(B164),$O$1:$Q$13,3))),($F164+$G164)/2-($F164-$G164)/2*COS(PI()*(9-VLOOKUP(MONTH(B164),$O$1:$Q$13,3))/(VLOOKUP(MONTH(B164),$O$1:$Q$13,2)-VLOOKUP(MONTH(B164),$O$1:$Q$13,3))),($F164+$G164)/2-($F164-$G164)/2*COS(PI()*(10-VLOOKUP(MONTH(B164),$O$1:$Q$13,3))/(VLOOKUP(MONTH(B164),$O$1:$Q$13,2)-VLOOKUP(MONTH(B164),$O$1:$Q$13,3))),($F164+$G164)/2-($F164-$G164)/2*COS(PI()*(11-VLOOKUP(MONTH(B164),$O$1:$Q$13,3))/(VLOOKUP(MONTH(B164),$O$1:$Q$13,2)-VLOOKUP(MONTH(B164),$O$1:$Q$13,3))),($F164+$G164)/2-($F164-$G164)/2*COS(PI()*(12-VLOOKUP(MONTH(B164),$O$1:$Q$13,3))/(VLOOKUP(MONTH(B164),$O$1:$Q$13,2)-VLOOKUP(MONTH(B164),$O$1:$Q$13,3))),($F164+$G164)/2-($F164-$G164)/2*COS(PI()*(13-VLOOKUP(MONTH(B164),$O$1:$Q$13,3))/(VLOOKUP(MONTH(B164),$O$1:$Q$13,2)-VLOOKUP(MONTH(B164),$O$1:$Q$13,3))),($F164+$G164)/2-($F164-$G164)/2*COS(PI()*(14-VLOOKUP(MONTH(B164),$O$1:$Q$13,3))/(VLOOKUP(MONTH(B164),$O$1:$Q$13,2)-VLOOKUP(MONTH(B164),$O$1:$Q$13,3))))</f>
        <v/>
      </c>
      <c r="M164" s="1">
        <f t="array" ref="M164">IF(AND(A164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,A164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),IF(L164&lt;_xlfn.IFNA(INDEX(_xlfn.ANCHORARRAY(Sintesi!$C$17)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,1,IF(L164&gt;=_xlfn.IFNA(INDEX(_xlfn.ANCHORARRAY(Sintesi!$C$18)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,0,1-(L164-_xlfn.IFNA(INDEX(_xlfn.ANCHORARRAY(Sintesi!$C$17)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)/(_xlfn.IFNA(INDEX(_xlfn.ANCHORARRAY(Sintesi!$C$18)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-_xlfn.IFNA(INDEX(_xlfn.ANCHORARRAY(Sintesi!$C$17)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))),0)</f>
        <v/>
      </c>
    </row>
    <row r="165">
      <c r="A165" s="1">
        <f>'Paste cell here'!A165</f>
        <v/>
      </c>
      <c r="B165" s="2">
        <f>DATE(Sintesi!$C$4-1,12,31)+A165</f>
        <v/>
      </c>
      <c r="C165" s="34">
        <f t="array" ref="C165">_xlfn.IFNA(MATCH(1,(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)*(_xlfn.ANCHORARRAY(Sintesi!$C$15)&gt;=0)+(_xlfn.ANCHORARRAY(Sintesi!$C$15)&lt;0),0),0)</f>
        <v/>
      </c>
      <c r="D165" s="1">
        <f t="array" ref="D165">IF(ISBLANK($E166),IF(ISNUMBER($E164),IF($C165&gt;0,IF(($E165=INDEX(_xlfn.ANCHORARRAY(Sintesi!$C$14),1,$C165))*(INDEX(_xlfn.ANCHORARRAY(Sintesi!$C$15),1,$C165)&gt;0),0,IF(($E165=INDEX(_xlfn.ANCHORARRAY(Sintesi!$C$14),1,$C165))*(INDEX(_xlfn.ANCHORARRAY(Sintesi!$C$15),1,$C165)&lt;0)+($E165&gt;=$E164)*($E165&lt;=INDEX($E:$E,MATCH(TRUE,INDEX((ISNUMBER($E:$E)),0),0)))*($E165&gt;INDEX(_xlfn.ANCHORARRAY(Sintesi!$C$14),1,$C165))*($E165&lt;=INDEX(_xlfn.ANCHORARRAY(Sintesi!$C$15),1,$C165))*(INDEX(_xlfn.ANCHORARRAY(Sintesi!$C$15),1,$C165)&gt;0),1,IF(($E165&gt;=$E164)*($E165&lt;=INDEX($E:$E,MATCH(TRUE,INDEX((ISNUMBER($E:$E)),0),0)))*($E165&gt;INDEX(_xlfn.ANCHORARRAY(Sintesi!$C$14),1,$C165))*($E165&lt;INDEX(_xlfn.ANCHORARRAY(Sintesi!$C$16),1,$C165))*(INDEX(_xlfn.ANCHORARRAY(Sintesi!$C$15),1,$C165)&lt;0)+($E165&gt;=$E164)*($E165&lt;=INDEX($E:$E,MATCH(TRUE,INDEX((ISNUMBER($E:$E)),0),0)))*($E165&gt;INDEX(_xlfn.ANCHORARRAY(Sintesi!$C$15),1,$C165))*($E165&lt;INDEX(_xlfn.ANCHORARRAY(Sintesi!$C$16),1,$C165))*(INDEX(_xlfn.ANCHORARRAY(Sintesi!$C$15),1,$C165)&gt;0),2,IF($E165=(INDEX(_xlfn.ANCHORARRAY(Sintesi!$C$16),1,$C165)),3,4)))),0),IF($C165&gt;0,IF(($E165=INDEX(_xlfn.ANCHORARRAY(Sintesi!$C$14),1,$C165))*(INDEX(_xlfn.ANCHORARRAY(Sintesi!$C$15),1,$C165)&gt;0),0,IF(($E165=INDEX(_xlfn.ANCHORARRAY(Sintesi!$C$14),1,$C165))*(INDEX(_xlfn.ANCHORARRAY(Sintesi!$C$15),1,$C165)&lt;0)+($E165&gt;=LOOKUP(2,1/($E:$E&lt;&gt;""),$E:$E))*($E165&lt;=INDEX($E:$E,MATCH(TRUE,INDEX((ISNUMBER($E:$E)),0),0)))*($E165&gt;INDEX(_xlfn.ANCHORARRAY(Sintesi!$C$14),1,$C165))*($E165&lt;=INDEX(_xlfn.ANCHORARRAY(Sintesi!$C$15),1,$C165))*(INDEX(_xlfn.ANCHORARRAY(Sintesi!$C$15),1,$C165)&gt;0),1,IF(($E165&gt;=LOOKUP(2,1/($E:$E&lt;&gt;""),$E:$E))*($E165&lt;=INDEX($E:$E,MATCH(TRUE,INDEX((ISNUMBER($E:$E)),0),0)))*($E165&gt;INDEX(_xlfn.ANCHORARRAY(Sintesi!$C$14),1,$C165))*($E165&lt;INDEX(_xlfn.ANCHORARRAY(Sintesi!$C$16),1,$C165))*(INDEX(_xlfn.ANCHORARRAY(Sintesi!$C$15),1,$C165)&lt;0)+($E165&gt;=LOOKUP(2,1/($E:$E&lt;&gt;""),$E:$E))*($E165&lt;=INDEX($E:$E,MATCH(TRUE,INDEX((ISNUMBER($E:$E)),0),0)))*($E165&gt;INDEX(_xlfn.ANCHORARRAY(Sintesi!$C$15),1,$C165))*($E165&lt;INDEX(_xlfn.ANCHORARRAY(Sintesi!$C$16),1,$C165))*(INDEX(_xlfn.ANCHORARRAY(Sintesi!$C$15),1,$C165)&gt;0),2,IF($E165=(INDEX(_xlfn.ANCHORARRAY(Sintesi!$C$16),1,$C165)),3,4)))),0)),IF(ISNUMBER($E164),IF($C165&gt;0,IF(($E165=INDEX(_xlfn.ANCHORARRAY(Sintesi!$C$14),1,$C165))*(INDEX(_xlfn.ANCHORARRAY(Sintesi!$C$15),1,$C165)&gt;0),0,IF(($E165=INDEX(_xlfn.ANCHORARRAY(Sintesi!$C$14),1,$C165))*(INDEX(_xlfn.ANCHORARRAY(Sintesi!$C$15),1,$C165)&lt;0)+($E165&gt;=$E164)*($E165&lt;=$E166)*($E165&gt;INDEX(_xlfn.ANCHORARRAY(Sintesi!$C$14),1,$C165))*($E165&lt;=INDEX(_xlfn.ANCHORARRAY(Sintesi!$C$15),1,$C165))*(INDEX(_xlfn.ANCHORARRAY(Sintesi!$C$15),1,$C165)&gt;0),1,IF(($E165&gt;=$E164)*($E165&lt;=$E166)*($E165&gt;INDEX(_xlfn.ANCHORARRAY(Sintesi!$C$14),1,$C165))*($E165&lt;INDEX(_xlfn.ANCHORARRAY(Sintesi!$C$16),1,$C165))*(INDEX(_xlfn.ANCHORARRAY(Sintesi!$C$15),1,$C165)&lt;0)+($E165&gt;=$E164)*($E165&lt;=$E166)*($E165&gt;INDEX(_xlfn.ANCHORARRAY(Sintesi!$C$15),1,$C165))*($E165&lt;INDEX(_xlfn.ANCHORARRAY(Sintesi!$C$16),1,$C165))*(INDEX(_xlfn.ANCHORARRAY(Sintesi!$C$15),1,$C165)&gt;0),2,IF($E165=(INDEX(_xlfn.ANCHORARRAY(Sintesi!$C$16),1,$C165)),3,4)))),0),IF($C165&gt;0,IF(($E165=INDEX(_xlfn.ANCHORARRAY(Sintesi!$C$14),1,$C165))*(INDEX(_xlfn.ANCHORARRAY(Sintesi!$C$15),1,$C165)&gt;0),0,IF(($E165=INDEX(_xlfn.ANCHORARRAY(Sintesi!$C$14),1,$C165))*(INDEX(_xlfn.ANCHORARRAY(Sintesi!$C$15),1,$C165)&lt;0)+($E165&gt;=LOOKUP(2,1/($E:$E&lt;&gt;""),$E:$E))*($E165&lt;=$E166)*($E165&gt;INDEX(_xlfn.ANCHORARRAY(Sintesi!$C$14),1,$C165))*($E165&lt;=INDEX(_xlfn.ANCHORARRAY(Sintesi!$C$15),1,$C165))*(INDEX(_xlfn.ANCHORARRAY(Sintesi!$C$15),1,$C165)&gt;0),1,IF(($E165&gt;=LOOKUP(2,1/($E:$E&lt;&gt;""),$E:$E))*($E165&lt;=$E166)*($E165&gt;INDEX(_xlfn.ANCHORARRAY(Sintesi!$C$14),1,$C165))*($E165&lt;INDEX(_xlfn.ANCHORARRAY(Sintesi!$C$16),1,$C165))*(INDEX(_xlfn.ANCHORARRAY(Sintesi!$C$15),1,$C165)&lt;0)+($E165&gt;=LOOKUP(2,1/($E:$E&lt;&gt;""),$E:$E))*($E165&lt;=$E166)*($E165&gt;INDEX(_xlfn.ANCHORARRAY(Sintesi!$C$15),1,$C165))*($E165&lt;INDEX(_xlfn.ANCHORARRAY(Sintesi!$C$16),1,$C165))*(INDEX(_xlfn.ANCHORARRAY(Sintesi!$C$15),1,$C165)&gt;0),2,IF($E165=(INDEX(_xlfn.ANCHORARRAY(Sintesi!$C$16),1,$C165)),3,4)))),0)))</f>
        <v/>
      </c>
      <c r="E165" s="1">
        <f>'Paste cell here'!F165</f>
        <v/>
      </c>
      <c r="F165" s="1">
        <f>'Paste cell here'!C165</f>
        <v/>
      </c>
      <c r="G165" s="1">
        <f>'Paste cell here'!D165</f>
        <v/>
      </c>
      <c r="H165" s="1">
        <f>'Paste cell here'!E165</f>
        <v/>
      </c>
      <c r="I165" s="1">
        <f>'Paste cell here'!X165</f>
        <v/>
      </c>
      <c r="J165" s="1">
        <f>'Paste cell here'!Y165+'Paste cell here'!S165</f>
        <v/>
      </c>
      <c r="K165" s="1">
        <f>I165/H165</f>
        <v/>
      </c>
      <c r="L165" s="1">
        <f>AVERAGE(($F165+$G165)/2-($F165-$G165)/2*COS(PI()*(8-VLOOKUP(MONTH(B165),$O$1:$Q$13,3))/(VLOOKUP(MONTH(B165),$O$1:$Q$13,2)-VLOOKUP(MONTH(B165),$O$1:$Q$13,3))),($F165+$G165)/2-($F165-$G165)/2*COS(PI()*(9-VLOOKUP(MONTH(B165),$O$1:$Q$13,3))/(VLOOKUP(MONTH(B165),$O$1:$Q$13,2)-VLOOKUP(MONTH(B165),$O$1:$Q$13,3))),($F165+$G165)/2-($F165-$G165)/2*COS(PI()*(10-VLOOKUP(MONTH(B165),$O$1:$Q$13,3))/(VLOOKUP(MONTH(B165),$O$1:$Q$13,2)-VLOOKUP(MONTH(B165),$O$1:$Q$13,3))),($F165+$G165)/2-($F165-$G165)/2*COS(PI()*(11-VLOOKUP(MONTH(B165),$O$1:$Q$13,3))/(VLOOKUP(MONTH(B165),$O$1:$Q$13,2)-VLOOKUP(MONTH(B165),$O$1:$Q$13,3))),($F165+$G165)/2-($F165-$G165)/2*COS(PI()*(12-VLOOKUP(MONTH(B165),$O$1:$Q$13,3))/(VLOOKUP(MONTH(B165),$O$1:$Q$13,2)-VLOOKUP(MONTH(B165),$O$1:$Q$13,3))),($F165+$G165)/2-($F165-$G165)/2*COS(PI()*(13-VLOOKUP(MONTH(B165),$O$1:$Q$13,3))/(VLOOKUP(MONTH(B165),$O$1:$Q$13,2)-VLOOKUP(MONTH(B165),$O$1:$Q$13,3))),($F165+$G165)/2-($F165-$G165)/2*COS(PI()*(14-VLOOKUP(MONTH(B165),$O$1:$Q$13,3))/(VLOOKUP(MONTH(B165),$O$1:$Q$13,2)-VLOOKUP(MONTH(B165),$O$1:$Q$13,3))))</f>
        <v/>
      </c>
      <c r="M165" s="1">
        <f t="array" ref="M165">IF(AND(A165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,A165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),IF(L165&lt;_xlfn.IFNA(INDEX(_xlfn.ANCHORARRAY(Sintesi!$C$17)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,1,IF(L165&gt;=_xlfn.IFNA(INDEX(_xlfn.ANCHORARRAY(Sintesi!$C$18)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,0,1-(L165-_xlfn.IFNA(INDEX(_xlfn.ANCHORARRAY(Sintesi!$C$17)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)/(_xlfn.IFNA(INDEX(_xlfn.ANCHORARRAY(Sintesi!$C$18)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-_xlfn.IFNA(INDEX(_xlfn.ANCHORARRAY(Sintesi!$C$17)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))),0)</f>
        <v/>
      </c>
    </row>
    <row r="166">
      <c r="A166" s="1">
        <f>'Paste cell here'!A166</f>
        <v/>
      </c>
      <c r="B166" s="2">
        <f>DATE(Sintesi!$C$4-1,12,31)+A166</f>
        <v/>
      </c>
      <c r="C166" s="34">
        <f t="array" ref="C166">_xlfn.IFNA(MATCH(1,(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)*(_xlfn.ANCHORARRAY(Sintesi!$C$15)&gt;=0)+(_xlfn.ANCHORARRAY(Sintesi!$C$15)&lt;0),0),0)</f>
        <v/>
      </c>
      <c r="D166" s="1">
        <f t="array" ref="D166">IF(ISBLANK($E167),IF(ISNUMBER($E165),IF($C166&gt;0,IF(($E166=INDEX(_xlfn.ANCHORARRAY(Sintesi!$C$14),1,$C166))*(INDEX(_xlfn.ANCHORARRAY(Sintesi!$C$15),1,$C166)&gt;0),0,IF(($E166=INDEX(_xlfn.ANCHORARRAY(Sintesi!$C$14),1,$C166))*(INDEX(_xlfn.ANCHORARRAY(Sintesi!$C$15),1,$C166)&lt;0)+($E166&gt;=$E165)*($E166&lt;=INDEX($E:$E,MATCH(TRUE,INDEX((ISNUMBER($E:$E)),0),0)))*($E166&gt;INDEX(_xlfn.ANCHORARRAY(Sintesi!$C$14),1,$C166))*($E166&lt;=INDEX(_xlfn.ANCHORARRAY(Sintesi!$C$15),1,$C166))*(INDEX(_xlfn.ANCHORARRAY(Sintesi!$C$15),1,$C166)&gt;0),1,IF(($E166&gt;=$E165)*($E166&lt;=INDEX($E:$E,MATCH(TRUE,INDEX((ISNUMBER($E:$E)),0),0)))*($E166&gt;INDEX(_xlfn.ANCHORARRAY(Sintesi!$C$14),1,$C166))*($E166&lt;INDEX(_xlfn.ANCHORARRAY(Sintesi!$C$16),1,$C166))*(INDEX(_xlfn.ANCHORARRAY(Sintesi!$C$15),1,$C166)&lt;0)+($E166&gt;=$E165)*($E166&lt;=INDEX($E:$E,MATCH(TRUE,INDEX((ISNUMBER($E:$E)),0),0)))*($E166&gt;INDEX(_xlfn.ANCHORARRAY(Sintesi!$C$15),1,$C166))*($E166&lt;INDEX(_xlfn.ANCHORARRAY(Sintesi!$C$16),1,$C166))*(INDEX(_xlfn.ANCHORARRAY(Sintesi!$C$15),1,$C166)&gt;0),2,IF($E166=(INDEX(_xlfn.ANCHORARRAY(Sintesi!$C$16),1,$C166)),3,4)))),0),IF($C166&gt;0,IF(($E166=INDEX(_xlfn.ANCHORARRAY(Sintesi!$C$14),1,$C166))*(INDEX(_xlfn.ANCHORARRAY(Sintesi!$C$15),1,$C166)&gt;0),0,IF(($E166=INDEX(_xlfn.ANCHORARRAY(Sintesi!$C$14),1,$C166))*(INDEX(_xlfn.ANCHORARRAY(Sintesi!$C$15),1,$C166)&lt;0)+($E166&gt;=LOOKUP(2,1/($E:$E&lt;&gt;""),$E:$E))*($E166&lt;=INDEX($E:$E,MATCH(TRUE,INDEX((ISNUMBER($E:$E)),0),0)))*($E166&gt;INDEX(_xlfn.ANCHORARRAY(Sintesi!$C$14),1,$C166))*($E166&lt;=INDEX(_xlfn.ANCHORARRAY(Sintesi!$C$15),1,$C166))*(INDEX(_xlfn.ANCHORARRAY(Sintesi!$C$15),1,$C166)&gt;0),1,IF(($E166&gt;=LOOKUP(2,1/($E:$E&lt;&gt;""),$E:$E))*($E166&lt;=INDEX($E:$E,MATCH(TRUE,INDEX((ISNUMBER($E:$E)),0),0)))*($E166&gt;INDEX(_xlfn.ANCHORARRAY(Sintesi!$C$14),1,$C166))*($E166&lt;INDEX(_xlfn.ANCHORARRAY(Sintesi!$C$16),1,$C166))*(INDEX(_xlfn.ANCHORARRAY(Sintesi!$C$15),1,$C166)&lt;0)+($E166&gt;=LOOKUP(2,1/($E:$E&lt;&gt;""),$E:$E))*($E166&lt;=INDEX($E:$E,MATCH(TRUE,INDEX((ISNUMBER($E:$E)),0),0)))*($E166&gt;INDEX(_xlfn.ANCHORARRAY(Sintesi!$C$15),1,$C166))*($E166&lt;INDEX(_xlfn.ANCHORARRAY(Sintesi!$C$16),1,$C166))*(INDEX(_xlfn.ANCHORARRAY(Sintesi!$C$15),1,$C166)&gt;0),2,IF($E166=(INDEX(_xlfn.ANCHORARRAY(Sintesi!$C$16),1,$C166)),3,4)))),0)),IF(ISNUMBER($E165),IF($C166&gt;0,IF(($E166=INDEX(_xlfn.ANCHORARRAY(Sintesi!$C$14),1,$C166))*(INDEX(_xlfn.ANCHORARRAY(Sintesi!$C$15),1,$C166)&gt;0),0,IF(($E166=INDEX(_xlfn.ANCHORARRAY(Sintesi!$C$14),1,$C166))*(INDEX(_xlfn.ANCHORARRAY(Sintesi!$C$15),1,$C166)&lt;0)+($E166&gt;=$E165)*($E166&lt;=$E167)*($E166&gt;INDEX(_xlfn.ANCHORARRAY(Sintesi!$C$14),1,$C166))*($E166&lt;=INDEX(_xlfn.ANCHORARRAY(Sintesi!$C$15),1,$C166))*(INDEX(_xlfn.ANCHORARRAY(Sintesi!$C$15),1,$C166)&gt;0),1,IF(($E166&gt;=$E165)*($E166&lt;=$E167)*($E166&gt;INDEX(_xlfn.ANCHORARRAY(Sintesi!$C$14),1,$C166))*($E166&lt;INDEX(_xlfn.ANCHORARRAY(Sintesi!$C$16),1,$C166))*(INDEX(_xlfn.ANCHORARRAY(Sintesi!$C$15),1,$C166)&lt;0)+($E166&gt;=$E165)*($E166&lt;=$E167)*($E166&gt;INDEX(_xlfn.ANCHORARRAY(Sintesi!$C$15),1,$C166))*($E166&lt;INDEX(_xlfn.ANCHORARRAY(Sintesi!$C$16),1,$C166))*(INDEX(_xlfn.ANCHORARRAY(Sintesi!$C$15),1,$C166)&gt;0),2,IF($E166=(INDEX(_xlfn.ANCHORARRAY(Sintesi!$C$16),1,$C166)),3,4)))),0),IF($C166&gt;0,IF(($E166=INDEX(_xlfn.ANCHORARRAY(Sintesi!$C$14),1,$C166))*(INDEX(_xlfn.ANCHORARRAY(Sintesi!$C$15),1,$C166)&gt;0),0,IF(($E166=INDEX(_xlfn.ANCHORARRAY(Sintesi!$C$14),1,$C166))*(INDEX(_xlfn.ANCHORARRAY(Sintesi!$C$15),1,$C166)&lt;0)+($E166&gt;=LOOKUP(2,1/($E:$E&lt;&gt;""),$E:$E))*($E166&lt;=$E167)*($E166&gt;INDEX(_xlfn.ANCHORARRAY(Sintesi!$C$14),1,$C166))*($E166&lt;=INDEX(_xlfn.ANCHORARRAY(Sintesi!$C$15),1,$C166))*(INDEX(_xlfn.ANCHORARRAY(Sintesi!$C$15),1,$C166)&gt;0),1,IF(($E166&gt;=LOOKUP(2,1/($E:$E&lt;&gt;""),$E:$E))*($E166&lt;=$E167)*($E166&gt;INDEX(_xlfn.ANCHORARRAY(Sintesi!$C$14),1,$C166))*($E166&lt;INDEX(_xlfn.ANCHORARRAY(Sintesi!$C$16),1,$C166))*(INDEX(_xlfn.ANCHORARRAY(Sintesi!$C$15),1,$C166)&lt;0)+($E166&gt;=LOOKUP(2,1/($E:$E&lt;&gt;""),$E:$E))*($E166&lt;=$E167)*($E166&gt;INDEX(_xlfn.ANCHORARRAY(Sintesi!$C$15),1,$C166))*($E166&lt;INDEX(_xlfn.ANCHORARRAY(Sintesi!$C$16),1,$C166))*(INDEX(_xlfn.ANCHORARRAY(Sintesi!$C$15),1,$C166)&gt;0),2,IF($E166=(INDEX(_xlfn.ANCHORARRAY(Sintesi!$C$16),1,$C166)),3,4)))),0)))</f>
        <v/>
      </c>
      <c r="E166" s="1">
        <f>'Paste cell here'!F166</f>
        <v/>
      </c>
      <c r="F166" s="1">
        <f>'Paste cell here'!C166</f>
        <v/>
      </c>
      <c r="G166" s="1">
        <f>'Paste cell here'!D166</f>
        <v/>
      </c>
      <c r="H166" s="1">
        <f>'Paste cell here'!E166</f>
        <v/>
      </c>
      <c r="I166" s="1">
        <f>'Paste cell here'!X166</f>
        <v/>
      </c>
      <c r="J166" s="1">
        <f>'Paste cell here'!Y166+'Paste cell here'!S166</f>
        <v/>
      </c>
      <c r="K166" s="1">
        <f>I166/H166</f>
        <v/>
      </c>
      <c r="L166" s="1">
        <f>AVERAGE(($F166+$G166)/2-($F166-$G166)/2*COS(PI()*(8-VLOOKUP(MONTH(B166),$O$1:$Q$13,3))/(VLOOKUP(MONTH(B166),$O$1:$Q$13,2)-VLOOKUP(MONTH(B166),$O$1:$Q$13,3))),($F166+$G166)/2-($F166-$G166)/2*COS(PI()*(9-VLOOKUP(MONTH(B166),$O$1:$Q$13,3))/(VLOOKUP(MONTH(B166),$O$1:$Q$13,2)-VLOOKUP(MONTH(B166),$O$1:$Q$13,3))),($F166+$G166)/2-($F166-$G166)/2*COS(PI()*(10-VLOOKUP(MONTH(B166),$O$1:$Q$13,3))/(VLOOKUP(MONTH(B166),$O$1:$Q$13,2)-VLOOKUP(MONTH(B166),$O$1:$Q$13,3))),($F166+$G166)/2-($F166-$G166)/2*COS(PI()*(11-VLOOKUP(MONTH(B166),$O$1:$Q$13,3))/(VLOOKUP(MONTH(B166),$O$1:$Q$13,2)-VLOOKUP(MONTH(B166),$O$1:$Q$13,3))),($F166+$G166)/2-($F166-$G166)/2*COS(PI()*(12-VLOOKUP(MONTH(B166),$O$1:$Q$13,3))/(VLOOKUP(MONTH(B166),$O$1:$Q$13,2)-VLOOKUP(MONTH(B166),$O$1:$Q$13,3))),($F166+$G166)/2-($F166-$G166)/2*COS(PI()*(13-VLOOKUP(MONTH(B166),$O$1:$Q$13,3))/(VLOOKUP(MONTH(B166),$O$1:$Q$13,2)-VLOOKUP(MONTH(B166),$O$1:$Q$13,3))),($F166+$G166)/2-($F166-$G166)/2*COS(PI()*(14-VLOOKUP(MONTH(B166),$O$1:$Q$13,3))/(VLOOKUP(MONTH(B166),$O$1:$Q$13,2)-VLOOKUP(MONTH(B166),$O$1:$Q$13,3))))</f>
        <v/>
      </c>
      <c r="M166" s="1">
        <f t="array" ref="M166">IF(AND(A166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,A166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),IF(L166&lt;_xlfn.IFNA(INDEX(_xlfn.ANCHORARRAY(Sintesi!$C$17)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,1,IF(L166&gt;=_xlfn.IFNA(INDEX(_xlfn.ANCHORARRAY(Sintesi!$C$18)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,0,1-(L166-_xlfn.IFNA(INDEX(_xlfn.ANCHORARRAY(Sintesi!$C$17)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)/(_xlfn.IFNA(INDEX(_xlfn.ANCHORARRAY(Sintesi!$C$18)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-_xlfn.IFNA(INDEX(_xlfn.ANCHORARRAY(Sintesi!$C$17)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))),0)</f>
        <v/>
      </c>
    </row>
    <row r="167">
      <c r="A167" s="1">
        <f>'Paste cell here'!A167</f>
        <v/>
      </c>
      <c r="B167" s="2">
        <f>DATE(Sintesi!$C$4-1,12,31)+A167</f>
        <v/>
      </c>
      <c r="C167" s="34">
        <f t="array" ref="C167">_xlfn.IFNA(MATCH(1,(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)*(_xlfn.ANCHORARRAY(Sintesi!$C$15)&gt;=0)+(_xlfn.ANCHORARRAY(Sintesi!$C$15)&lt;0),0),0)</f>
        <v/>
      </c>
      <c r="D167" s="1">
        <f t="array" ref="D167">IF(ISBLANK($E168),IF(ISNUMBER($E166),IF($C167&gt;0,IF(($E167=INDEX(_xlfn.ANCHORARRAY(Sintesi!$C$14),1,$C167))*(INDEX(_xlfn.ANCHORARRAY(Sintesi!$C$15),1,$C167)&gt;0),0,IF(($E167=INDEX(_xlfn.ANCHORARRAY(Sintesi!$C$14),1,$C167))*(INDEX(_xlfn.ANCHORARRAY(Sintesi!$C$15),1,$C167)&lt;0)+($E167&gt;=$E166)*($E167&lt;=INDEX($E:$E,MATCH(TRUE,INDEX((ISNUMBER($E:$E)),0),0)))*($E167&gt;INDEX(_xlfn.ANCHORARRAY(Sintesi!$C$14),1,$C167))*($E167&lt;=INDEX(_xlfn.ANCHORARRAY(Sintesi!$C$15),1,$C167))*(INDEX(_xlfn.ANCHORARRAY(Sintesi!$C$15),1,$C167)&gt;0),1,IF(($E167&gt;=$E166)*($E167&lt;=INDEX($E:$E,MATCH(TRUE,INDEX((ISNUMBER($E:$E)),0),0)))*($E167&gt;INDEX(_xlfn.ANCHORARRAY(Sintesi!$C$14),1,$C167))*($E167&lt;INDEX(_xlfn.ANCHORARRAY(Sintesi!$C$16),1,$C167))*(INDEX(_xlfn.ANCHORARRAY(Sintesi!$C$15),1,$C167)&lt;0)+($E167&gt;=$E166)*($E167&lt;=INDEX($E:$E,MATCH(TRUE,INDEX((ISNUMBER($E:$E)),0),0)))*($E167&gt;INDEX(_xlfn.ANCHORARRAY(Sintesi!$C$15),1,$C167))*($E167&lt;INDEX(_xlfn.ANCHORARRAY(Sintesi!$C$16),1,$C167))*(INDEX(_xlfn.ANCHORARRAY(Sintesi!$C$15),1,$C167)&gt;0),2,IF($E167=(INDEX(_xlfn.ANCHORARRAY(Sintesi!$C$16),1,$C167)),3,4)))),0),IF($C167&gt;0,IF(($E167=INDEX(_xlfn.ANCHORARRAY(Sintesi!$C$14),1,$C167))*(INDEX(_xlfn.ANCHORARRAY(Sintesi!$C$15),1,$C167)&gt;0),0,IF(($E167=INDEX(_xlfn.ANCHORARRAY(Sintesi!$C$14),1,$C167))*(INDEX(_xlfn.ANCHORARRAY(Sintesi!$C$15),1,$C167)&lt;0)+($E167&gt;=LOOKUP(2,1/($E:$E&lt;&gt;""),$E:$E))*($E167&lt;=INDEX($E:$E,MATCH(TRUE,INDEX((ISNUMBER($E:$E)),0),0)))*($E167&gt;INDEX(_xlfn.ANCHORARRAY(Sintesi!$C$14),1,$C167))*($E167&lt;=INDEX(_xlfn.ANCHORARRAY(Sintesi!$C$15),1,$C167))*(INDEX(_xlfn.ANCHORARRAY(Sintesi!$C$15),1,$C167)&gt;0),1,IF(($E167&gt;=LOOKUP(2,1/($E:$E&lt;&gt;""),$E:$E))*($E167&lt;=INDEX($E:$E,MATCH(TRUE,INDEX((ISNUMBER($E:$E)),0),0)))*($E167&gt;INDEX(_xlfn.ANCHORARRAY(Sintesi!$C$14),1,$C167))*($E167&lt;INDEX(_xlfn.ANCHORARRAY(Sintesi!$C$16),1,$C167))*(INDEX(_xlfn.ANCHORARRAY(Sintesi!$C$15),1,$C167)&lt;0)+($E167&gt;=LOOKUP(2,1/($E:$E&lt;&gt;""),$E:$E))*($E167&lt;=INDEX($E:$E,MATCH(TRUE,INDEX((ISNUMBER($E:$E)),0),0)))*($E167&gt;INDEX(_xlfn.ANCHORARRAY(Sintesi!$C$15),1,$C167))*($E167&lt;INDEX(_xlfn.ANCHORARRAY(Sintesi!$C$16),1,$C167))*(INDEX(_xlfn.ANCHORARRAY(Sintesi!$C$15),1,$C167)&gt;0),2,IF($E167=(INDEX(_xlfn.ANCHORARRAY(Sintesi!$C$16),1,$C167)),3,4)))),0)),IF(ISNUMBER($E166),IF($C167&gt;0,IF(($E167=INDEX(_xlfn.ANCHORARRAY(Sintesi!$C$14),1,$C167))*(INDEX(_xlfn.ANCHORARRAY(Sintesi!$C$15),1,$C167)&gt;0),0,IF(($E167=INDEX(_xlfn.ANCHORARRAY(Sintesi!$C$14),1,$C167))*(INDEX(_xlfn.ANCHORARRAY(Sintesi!$C$15),1,$C167)&lt;0)+($E167&gt;=$E166)*($E167&lt;=$E168)*($E167&gt;INDEX(_xlfn.ANCHORARRAY(Sintesi!$C$14),1,$C167))*($E167&lt;=INDEX(_xlfn.ANCHORARRAY(Sintesi!$C$15),1,$C167))*(INDEX(_xlfn.ANCHORARRAY(Sintesi!$C$15),1,$C167)&gt;0),1,IF(($E167&gt;=$E166)*($E167&lt;=$E168)*($E167&gt;INDEX(_xlfn.ANCHORARRAY(Sintesi!$C$14),1,$C167))*($E167&lt;INDEX(_xlfn.ANCHORARRAY(Sintesi!$C$16),1,$C167))*(INDEX(_xlfn.ANCHORARRAY(Sintesi!$C$15),1,$C167)&lt;0)+($E167&gt;=$E166)*($E167&lt;=$E168)*($E167&gt;INDEX(_xlfn.ANCHORARRAY(Sintesi!$C$15),1,$C167))*($E167&lt;INDEX(_xlfn.ANCHORARRAY(Sintesi!$C$16),1,$C167))*(INDEX(_xlfn.ANCHORARRAY(Sintesi!$C$15),1,$C167)&gt;0),2,IF($E167=(INDEX(_xlfn.ANCHORARRAY(Sintesi!$C$16),1,$C167)),3,4)))),0),IF($C167&gt;0,IF(($E167=INDEX(_xlfn.ANCHORARRAY(Sintesi!$C$14),1,$C167))*(INDEX(_xlfn.ANCHORARRAY(Sintesi!$C$15),1,$C167)&gt;0),0,IF(($E167=INDEX(_xlfn.ANCHORARRAY(Sintesi!$C$14),1,$C167))*(INDEX(_xlfn.ANCHORARRAY(Sintesi!$C$15),1,$C167)&lt;0)+($E167&gt;=LOOKUP(2,1/($E:$E&lt;&gt;""),$E:$E))*($E167&lt;=$E168)*($E167&gt;INDEX(_xlfn.ANCHORARRAY(Sintesi!$C$14),1,$C167))*($E167&lt;=INDEX(_xlfn.ANCHORARRAY(Sintesi!$C$15),1,$C167))*(INDEX(_xlfn.ANCHORARRAY(Sintesi!$C$15),1,$C167)&gt;0),1,IF(($E167&gt;=LOOKUP(2,1/($E:$E&lt;&gt;""),$E:$E))*($E167&lt;=$E168)*($E167&gt;INDEX(_xlfn.ANCHORARRAY(Sintesi!$C$14),1,$C167))*($E167&lt;INDEX(_xlfn.ANCHORARRAY(Sintesi!$C$16),1,$C167))*(INDEX(_xlfn.ANCHORARRAY(Sintesi!$C$15),1,$C167)&lt;0)+($E167&gt;=LOOKUP(2,1/($E:$E&lt;&gt;""),$E:$E))*($E167&lt;=$E168)*($E167&gt;INDEX(_xlfn.ANCHORARRAY(Sintesi!$C$15),1,$C167))*($E167&lt;INDEX(_xlfn.ANCHORARRAY(Sintesi!$C$16),1,$C167))*(INDEX(_xlfn.ANCHORARRAY(Sintesi!$C$15),1,$C167)&gt;0),2,IF($E167=(INDEX(_xlfn.ANCHORARRAY(Sintesi!$C$16),1,$C167)),3,4)))),0)))</f>
        <v/>
      </c>
      <c r="E167" s="1">
        <f>'Paste cell here'!F167</f>
        <v/>
      </c>
      <c r="F167" s="1">
        <f>'Paste cell here'!C167</f>
        <v/>
      </c>
      <c r="G167" s="1">
        <f>'Paste cell here'!D167</f>
        <v/>
      </c>
      <c r="H167" s="1">
        <f>'Paste cell here'!E167</f>
        <v/>
      </c>
      <c r="I167" s="1">
        <f>'Paste cell here'!X167</f>
        <v/>
      </c>
      <c r="J167" s="1">
        <f>'Paste cell here'!Y167+'Paste cell here'!S167</f>
        <v/>
      </c>
      <c r="K167" s="1">
        <f>I167/H167</f>
        <v/>
      </c>
      <c r="L167" s="1">
        <f>AVERAGE(($F167+$G167)/2-($F167-$G167)/2*COS(PI()*(8-VLOOKUP(MONTH(B167),$O$1:$Q$13,3))/(VLOOKUP(MONTH(B167),$O$1:$Q$13,2)-VLOOKUP(MONTH(B167),$O$1:$Q$13,3))),($F167+$G167)/2-($F167-$G167)/2*COS(PI()*(9-VLOOKUP(MONTH(B167),$O$1:$Q$13,3))/(VLOOKUP(MONTH(B167),$O$1:$Q$13,2)-VLOOKUP(MONTH(B167),$O$1:$Q$13,3))),($F167+$G167)/2-($F167-$G167)/2*COS(PI()*(10-VLOOKUP(MONTH(B167),$O$1:$Q$13,3))/(VLOOKUP(MONTH(B167),$O$1:$Q$13,2)-VLOOKUP(MONTH(B167),$O$1:$Q$13,3))),($F167+$G167)/2-($F167-$G167)/2*COS(PI()*(11-VLOOKUP(MONTH(B167),$O$1:$Q$13,3))/(VLOOKUP(MONTH(B167),$O$1:$Q$13,2)-VLOOKUP(MONTH(B167),$O$1:$Q$13,3))),($F167+$G167)/2-($F167-$G167)/2*COS(PI()*(12-VLOOKUP(MONTH(B167),$O$1:$Q$13,3))/(VLOOKUP(MONTH(B167),$O$1:$Q$13,2)-VLOOKUP(MONTH(B167),$O$1:$Q$13,3))),($F167+$G167)/2-($F167-$G167)/2*COS(PI()*(13-VLOOKUP(MONTH(B167),$O$1:$Q$13,3))/(VLOOKUP(MONTH(B167),$O$1:$Q$13,2)-VLOOKUP(MONTH(B167),$O$1:$Q$13,3))),($F167+$G167)/2-($F167-$G167)/2*COS(PI()*(14-VLOOKUP(MONTH(B167),$O$1:$Q$13,3))/(VLOOKUP(MONTH(B167),$O$1:$Q$13,2)-VLOOKUP(MONTH(B167),$O$1:$Q$13,3))))</f>
        <v/>
      </c>
      <c r="M167" s="1">
        <f t="array" ref="M167">IF(AND(A167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,A167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),IF(L167&lt;_xlfn.IFNA(INDEX(_xlfn.ANCHORARRAY(Sintesi!$C$17)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,1,IF(L167&gt;=_xlfn.IFNA(INDEX(_xlfn.ANCHORARRAY(Sintesi!$C$18)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,0,1-(L167-_xlfn.IFNA(INDEX(_xlfn.ANCHORARRAY(Sintesi!$C$17)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)/(_xlfn.IFNA(INDEX(_xlfn.ANCHORARRAY(Sintesi!$C$18)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-_xlfn.IFNA(INDEX(_xlfn.ANCHORARRAY(Sintesi!$C$17)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))),0)</f>
        <v/>
      </c>
    </row>
    <row r="168">
      <c r="A168" s="1">
        <f>'Paste cell here'!A168</f>
        <v/>
      </c>
      <c r="B168" s="2">
        <f>DATE(Sintesi!$C$4-1,12,31)+A168</f>
        <v/>
      </c>
      <c r="C168" s="34">
        <f t="array" ref="C168">_xlfn.IFNA(MATCH(1,(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)*(_xlfn.ANCHORARRAY(Sintesi!$C$15)&gt;=0)+(_xlfn.ANCHORARRAY(Sintesi!$C$15)&lt;0),0),0)</f>
        <v/>
      </c>
      <c r="D168" s="1">
        <f t="array" ref="D168">IF(ISBLANK($E169),IF(ISNUMBER($E167),IF($C168&gt;0,IF(($E168=INDEX(_xlfn.ANCHORARRAY(Sintesi!$C$14),1,$C168))*(INDEX(_xlfn.ANCHORARRAY(Sintesi!$C$15),1,$C168)&gt;0),0,IF(($E168=INDEX(_xlfn.ANCHORARRAY(Sintesi!$C$14),1,$C168))*(INDEX(_xlfn.ANCHORARRAY(Sintesi!$C$15),1,$C168)&lt;0)+($E168&gt;=$E167)*($E168&lt;=INDEX($E:$E,MATCH(TRUE,INDEX((ISNUMBER($E:$E)),0),0)))*($E168&gt;INDEX(_xlfn.ANCHORARRAY(Sintesi!$C$14),1,$C168))*($E168&lt;=INDEX(_xlfn.ANCHORARRAY(Sintesi!$C$15),1,$C168))*(INDEX(_xlfn.ANCHORARRAY(Sintesi!$C$15),1,$C168)&gt;0),1,IF(($E168&gt;=$E167)*($E168&lt;=INDEX($E:$E,MATCH(TRUE,INDEX((ISNUMBER($E:$E)),0),0)))*($E168&gt;INDEX(_xlfn.ANCHORARRAY(Sintesi!$C$14),1,$C168))*($E168&lt;INDEX(_xlfn.ANCHORARRAY(Sintesi!$C$16),1,$C168))*(INDEX(_xlfn.ANCHORARRAY(Sintesi!$C$15),1,$C168)&lt;0)+($E168&gt;=$E167)*($E168&lt;=INDEX($E:$E,MATCH(TRUE,INDEX((ISNUMBER($E:$E)),0),0)))*($E168&gt;INDEX(_xlfn.ANCHORARRAY(Sintesi!$C$15),1,$C168))*($E168&lt;INDEX(_xlfn.ANCHORARRAY(Sintesi!$C$16),1,$C168))*(INDEX(_xlfn.ANCHORARRAY(Sintesi!$C$15),1,$C168)&gt;0),2,IF($E168=(INDEX(_xlfn.ANCHORARRAY(Sintesi!$C$16),1,$C168)),3,4)))),0),IF($C168&gt;0,IF(($E168=INDEX(_xlfn.ANCHORARRAY(Sintesi!$C$14),1,$C168))*(INDEX(_xlfn.ANCHORARRAY(Sintesi!$C$15),1,$C168)&gt;0),0,IF(($E168=INDEX(_xlfn.ANCHORARRAY(Sintesi!$C$14),1,$C168))*(INDEX(_xlfn.ANCHORARRAY(Sintesi!$C$15),1,$C168)&lt;0)+($E168&gt;=LOOKUP(2,1/($E:$E&lt;&gt;""),$E:$E))*($E168&lt;=INDEX($E:$E,MATCH(TRUE,INDEX((ISNUMBER($E:$E)),0),0)))*($E168&gt;INDEX(_xlfn.ANCHORARRAY(Sintesi!$C$14),1,$C168))*($E168&lt;=INDEX(_xlfn.ANCHORARRAY(Sintesi!$C$15),1,$C168))*(INDEX(_xlfn.ANCHORARRAY(Sintesi!$C$15),1,$C168)&gt;0),1,IF(($E168&gt;=LOOKUP(2,1/($E:$E&lt;&gt;""),$E:$E))*($E168&lt;=INDEX($E:$E,MATCH(TRUE,INDEX((ISNUMBER($E:$E)),0),0)))*($E168&gt;INDEX(_xlfn.ANCHORARRAY(Sintesi!$C$14),1,$C168))*($E168&lt;INDEX(_xlfn.ANCHORARRAY(Sintesi!$C$16),1,$C168))*(INDEX(_xlfn.ANCHORARRAY(Sintesi!$C$15),1,$C168)&lt;0)+($E168&gt;=LOOKUP(2,1/($E:$E&lt;&gt;""),$E:$E))*($E168&lt;=INDEX($E:$E,MATCH(TRUE,INDEX((ISNUMBER($E:$E)),0),0)))*($E168&gt;INDEX(_xlfn.ANCHORARRAY(Sintesi!$C$15),1,$C168))*($E168&lt;INDEX(_xlfn.ANCHORARRAY(Sintesi!$C$16),1,$C168))*(INDEX(_xlfn.ANCHORARRAY(Sintesi!$C$15),1,$C168)&gt;0),2,IF($E168=(INDEX(_xlfn.ANCHORARRAY(Sintesi!$C$16),1,$C168)),3,4)))),0)),IF(ISNUMBER($E167),IF($C168&gt;0,IF(($E168=INDEX(_xlfn.ANCHORARRAY(Sintesi!$C$14),1,$C168))*(INDEX(_xlfn.ANCHORARRAY(Sintesi!$C$15),1,$C168)&gt;0),0,IF(($E168=INDEX(_xlfn.ANCHORARRAY(Sintesi!$C$14),1,$C168))*(INDEX(_xlfn.ANCHORARRAY(Sintesi!$C$15),1,$C168)&lt;0)+($E168&gt;=$E167)*($E168&lt;=$E169)*($E168&gt;INDEX(_xlfn.ANCHORARRAY(Sintesi!$C$14),1,$C168))*($E168&lt;=INDEX(_xlfn.ANCHORARRAY(Sintesi!$C$15),1,$C168))*(INDEX(_xlfn.ANCHORARRAY(Sintesi!$C$15),1,$C168)&gt;0),1,IF(($E168&gt;=$E167)*($E168&lt;=$E169)*($E168&gt;INDEX(_xlfn.ANCHORARRAY(Sintesi!$C$14),1,$C168))*($E168&lt;INDEX(_xlfn.ANCHORARRAY(Sintesi!$C$16),1,$C168))*(INDEX(_xlfn.ANCHORARRAY(Sintesi!$C$15),1,$C168)&lt;0)+($E168&gt;=$E167)*($E168&lt;=$E169)*($E168&gt;INDEX(_xlfn.ANCHORARRAY(Sintesi!$C$15),1,$C168))*($E168&lt;INDEX(_xlfn.ANCHORARRAY(Sintesi!$C$16),1,$C168))*(INDEX(_xlfn.ANCHORARRAY(Sintesi!$C$15),1,$C168)&gt;0),2,IF($E168=(INDEX(_xlfn.ANCHORARRAY(Sintesi!$C$16),1,$C168)),3,4)))),0),IF($C168&gt;0,IF(($E168=INDEX(_xlfn.ANCHORARRAY(Sintesi!$C$14),1,$C168))*(INDEX(_xlfn.ANCHORARRAY(Sintesi!$C$15),1,$C168)&gt;0),0,IF(($E168=INDEX(_xlfn.ANCHORARRAY(Sintesi!$C$14),1,$C168))*(INDEX(_xlfn.ANCHORARRAY(Sintesi!$C$15),1,$C168)&lt;0)+($E168&gt;=LOOKUP(2,1/($E:$E&lt;&gt;""),$E:$E))*($E168&lt;=$E169)*($E168&gt;INDEX(_xlfn.ANCHORARRAY(Sintesi!$C$14),1,$C168))*($E168&lt;=INDEX(_xlfn.ANCHORARRAY(Sintesi!$C$15),1,$C168))*(INDEX(_xlfn.ANCHORARRAY(Sintesi!$C$15),1,$C168)&gt;0),1,IF(($E168&gt;=LOOKUP(2,1/($E:$E&lt;&gt;""),$E:$E))*($E168&lt;=$E169)*($E168&gt;INDEX(_xlfn.ANCHORARRAY(Sintesi!$C$14),1,$C168))*($E168&lt;INDEX(_xlfn.ANCHORARRAY(Sintesi!$C$16),1,$C168))*(INDEX(_xlfn.ANCHORARRAY(Sintesi!$C$15),1,$C168)&lt;0)+($E168&gt;=LOOKUP(2,1/($E:$E&lt;&gt;""),$E:$E))*($E168&lt;=$E169)*($E168&gt;INDEX(_xlfn.ANCHORARRAY(Sintesi!$C$15),1,$C168))*($E168&lt;INDEX(_xlfn.ANCHORARRAY(Sintesi!$C$16),1,$C168))*(INDEX(_xlfn.ANCHORARRAY(Sintesi!$C$15),1,$C168)&gt;0),2,IF($E168=(INDEX(_xlfn.ANCHORARRAY(Sintesi!$C$16),1,$C168)),3,4)))),0)))</f>
        <v/>
      </c>
      <c r="E168" s="1">
        <f>'Paste cell here'!F168</f>
        <v/>
      </c>
      <c r="F168" s="1">
        <f>'Paste cell here'!C168</f>
        <v/>
      </c>
      <c r="G168" s="1">
        <f>'Paste cell here'!D168</f>
        <v/>
      </c>
      <c r="H168" s="1">
        <f>'Paste cell here'!E168</f>
        <v/>
      </c>
      <c r="I168" s="1">
        <f>'Paste cell here'!X168</f>
        <v/>
      </c>
      <c r="J168" s="1">
        <f>'Paste cell here'!Y168+'Paste cell here'!S168</f>
        <v/>
      </c>
      <c r="K168" s="1">
        <f>I168/H168</f>
        <v/>
      </c>
      <c r="L168" s="1">
        <f>AVERAGE(($F168+$G168)/2-($F168-$G168)/2*COS(PI()*(8-VLOOKUP(MONTH(B168),$O$1:$Q$13,3))/(VLOOKUP(MONTH(B168),$O$1:$Q$13,2)-VLOOKUP(MONTH(B168),$O$1:$Q$13,3))),($F168+$G168)/2-($F168-$G168)/2*COS(PI()*(9-VLOOKUP(MONTH(B168),$O$1:$Q$13,3))/(VLOOKUP(MONTH(B168),$O$1:$Q$13,2)-VLOOKUP(MONTH(B168),$O$1:$Q$13,3))),($F168+$G168)/2-($F168-$G168)/2*COS(PI()*(10-VLOOKUP(MONTH(B168),$O$1:$Q$13,3))/(VLOOKUP(MONTH(B168),$O$1:$Q$13,2)-VLOOKUP(MONTH(B168),$O$1:$Q$13,3))),($F168+$G168)/2-($F168-$G168)/2*COS(PI()*(11-VLOOKUP(MONTH(B168),$O$1:$Q$13,3))/(VLOOKUP(MONTH(B168),$O$1:$Q$13,2)-VLOOKUP(MONTH(B168),$O$1:$Q$13,3))),($F168+$G168)/2-($F168-$G168)/2*COS(PI()*(12-VLOOKUP(MONTH(B168),$O$1:$Q$13,3))/(VLOOKUP(MONTH(B168),$O$1:$Q$13,2)-VLOOKUP(MONTH(B168),$O$1:$Q$13,3))),($F168+$G168)/2-($F168-$G168)/2*COS(PI()*(13-VLOOKUP(MONTH(B168),$O$1:$Q$13,3))/(VLOOKUP(MONTH(B168),$O$1:$Q$13,2)-VLOOKUP(MONTH(B168),$O$1:$Q$13,3))),($F168+$G168)/2-($F168-$G168)/2*COS(PI()*(14-VLOOKUP(MONTH(B168),$O$1:$Q$13,3))/(VLOOKUP(MONTH(B168),$O$1:$Q$13,2)-VLOOKUP(MONTH(B168),$O$1:$Q$13,3))))</f>
        <v/>
      </c>
      <c r="M168" s="1">
        <f t="array" ref="M168">IF(AND(A168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,A168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),IF(L168&lt;_xlfn.IFNA(INDEX(_xlfn.ANCHORARRAY(Sintesi!$C$17)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,1,IF(L168&gt;=_xlfn.IFNA(INDEX(_xlfn.ANCHORARRAY(Sintesi!$C$18)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,0,1-(L168-_xlfn.IFNA(INDEX(_xlfn.ANCHORARRAY(Sintesi!$C$17)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)/(_xlfn.IFNA(INDEX(_xlfn.ANCHORARRAY(Sintesi!$C$18)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-_xlfn.IFNA(INDEX(_xlfn.ANCHORARRAY(Sintesi!$C$17)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))),0)</f>
        <v/>
      </c>
    </row>
    <row r="169">
      <c r="A169" s="1">
        <f>'Paste cell here'!A169</f>
        <v/>
      </c>
      <c r="B169" s="2">
        <f>DATE(Sintesi!$C$4-1,12,31)+A169</f>
        <v/>
      </c>
      <c r="C169" s="34">
        <f t="array" ref="C169">_xlfn.IFNA(MATCH(1,(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)*(_xlfn.ANCHORARRAY(Sintesi!$C$15)&gt;=0)+(_xlfn.ANCHORARRAY(Sintesi!$C$15)&lt;0),0),0)</f>
        <v/>
      </c>
      <c r="D169" s="1">
        <f t="array" ref="D169">IF(ISBLANK($E170),IF(ISNUMBER($E168),IF($C169&gt;0,IF(($E169=INDEX(_xlfn.ANCHORARRAY(Sintesi!$C$14),1,$C169))*(INDEX(_xlfn.ANCHORARRAY(Sintesi!$C$15),1,$C169)&gt;0),0,IF(($E169=INDEX(_xlfn.ANCHORARRAY(Sintesi!$C$14),1,$C169))*(INDEX(_xlfn.ANCHORARRAY(Sintesi!$C$15),1,$C169)&lt;0)+($E169&gt;=$E168)*($E169&lt;=INDEX($E:$E,MATCH(TRUE,INDEX((ISNUMBER($E:$E)),0),0)))*($E169&gt;INDEX(_xlfn.ANCHORARRAY(Sintesi!$C$14),1,$C169))*($E169&lt;=INDEX(_xlfn.ANCHORARRAY(Sintesi!$C$15),1,$C169))*(INDEX(_xlfn.ANCHORARRAY(Sintesi!$C$15),1,$C169)&gt;0),1,IF(($E169&gt;=$E168)*($E169&lt;=INDEX($E:$E,MATCH(TRUE,INDEX((ISNUMBER($E:$E)),0),0)))*($E169&gt;INDEX(_xlfn.ANCHORARRAY(Sintesi!$C$14),1,$C169))*($E169&lt;INDEX(_xlfn.ANCHORARRAY(Sintesi!$C$16),1,$C169))*(INDEX(_xlfn.ANCHORARRAY(Sintesi!$C$15),1,$C169)&lt;0)+($E169&gt;=$E168)*($E169&lt;=INDEX($E:$E,MATCH(TRUE,INDEX((ISNUMBER($E:$E)),0),0)))*($E169&gt;INDEX(_xlfn.ANCHORARRAY(Sintesi!$C$15),1,$C169))*($E169&lt;INDEX(_xlfn.ANCHORARRAY(Sintesi!$C$16),1,$C169))*(INDEX(_xlfn.ANCHORARRAY(Sintesi!$C$15),1,$C169)&gt;0),2,IF($E169=(INDEX(_xlfn.ANCHORARRAY(Sintesi!$C$16),1,$C169)),3,4)))),0),IF($C169&gt;0,IF(($E169=INDEX(_xlfn.ANCHORARRAY(Sintesi!$C$14),1,$C169))*(INDEX(_xlfn.ANCHORARRAY(Sintesi!$C$15),1,$C169)&gt;0),0,IF(($E169=INDEX(_xlfn.ANCHORARRAY(Sintesi!$C$14),1,$C169))*(INDEX(_xlfn.ANCHORARRAY(Sintesi!$C$15),1,$C169)&lt;0)+($E169&gt;=LOOKUP(2,1/($E:$E&lt;&gt;""),$E:$E))*($E169&lt;=INDEX($E:$E,MATCH(TRUE,INDEX((ISNUMBER($E:$E)),0),0)))*($E169&gt;INDEX(_xlfn.ANCHORARRAY(Sintesi!$C$14),1,$C169))*($E169&lt;=INDEX(_xlfn.ANCHORARRAY(Sintesi!$C$15),1,$C169))*(INDEX(_xlfn.ANCHORARRAY(Sintesi!$C$15),1,$C169)&gt;0),1,IF(($E169&gt;=LOOKUP(2,1/($E:$E&lt;&gt;""),$E:$E))*($E169&lt;=INDEX($E:$E,MATCH(TRUE,INDEX((ISNUMBER($E:$E)),0),0)))*($E169&gt;INDEX(_xlfn.ANCHORARRAY(Sintesi!$C$14),1,$C169))*($E169&lt;INDEX(_xlfn.ANCHORARRAY(Sintesi!$C$16),1,$C169))*(INDEX(_xlfn.ANCHORARRAY(Sintesi!$C$15),1,$C169)&lt;0)+($E169&gt;=LOOKUP(2,1/($E:$E&lt;&gt;""),$E:$E))*($E169&lt;=INDEX($E:$E,MATCH(TRUE,INDEX((ISNUMBER($E:$E)),0),0)))*($E169&gt;INDEX(_xlfn.ANCHORARRAY(Sintesi!$C$15),1,$C169))*($E169&lt;INDEX(_xlfn.ANCHORARRAY(Sintesi!$C$16),1,$C169))*(INDEX(_xlfn.ANCHORARRAY(Sintesi!$C$15),1,$C169)&gt;0),2,IF($E169=(INDEX(_xlfn.ANCHORARRAY(Sintesi!$C$16),1,$C169)),3,4)))),0)),IF(ISNUMBER($E168),IF($C169&gt;0,IF(($E169=INDEX(_xlfn.ANCHORARRAY(Sintesi!$C$14),1,$C169))*(INDEX(_xlfn.ANCHORARRAY(Sintesi!$C$15),1,$C169)&gt;0),0,IF(($E169=INDEX(_xlfn.ANCHORARRAY(Sintesi!$C$14),1,$C169))*(INDEX(_xlfn.ANCHORARRAY(Sintesi!$C$15),1,$C169)&lt;0)+($E169&gt;=$E168)*($E169&lt;=$E170)*($E169&gt;INDEX(_xlfn.ANCHORARRAY(Sintesi!$C$14),1,$C169))*($E169&lt;=INDEX(_xlfn.ANCHORARRAY(Sintesi!$C$15),1,$C169))*(INDEX(_xlfn.ANCHORARRAY(Sintesi!$C$15),1,$C169)&gt;0),1,IF(($E169&gt;=$E168)*($E169&lt;=$E170)*($E169&gt;INDEX(_xlfn.ANCHORARRAY(Sintesi!$C$14),1,$C169))*($E169&lt;INDEX(_xlfn.ANCHORARRAY(Sintesi!$C$16),1,$C169))*(INDEX(_xlfn.ANCHORARRAY(Sintesi!$C$15),1,$C169)&lt;0)+($E169&gt;=$E168)*($E169&lt;=$E170)*($E169&gt;INDEX(_xlfn.ANCHORARRAY(Sintesi!$C$15),1,$C169))*($E169&lt;INDEX(_xlfn.ANCHORARRAY(Sintesi!$C$16),1,$C169))*(INDEX(_xlfn.ANCHORARRAY(Sintesi!$C$15),1,$C169)&gt;0),2,IF($E169=(INDEX(_xlfn.ANCHORARRAY(Sintesi!$C$16),1,$C169)),3,4)))),0),IF($C169&gt;0,IF(($E169=INDEX(_xlfn.ANCHORARRAY(Sintesi!$C$14),1,$C169))*(INDEX(_xlfn.ANCHORARRAY(Sintesi!$C$15),1,$C169)&gt;0),0,IF(($E169=INDEX(_xlfn.ANCHORARRAY(Sintesi!$C$14),1,$C169))*(INDEX(_xlfn.ANCHORARRAY(Sintesi!$C$15),1,$C169)&lt;0)+($E169&gt;=LOOKUP(2,1/($E:$E&lt;&gt;""),$E:$E))*($E169&lt;=$E170)*($E169&gt;INDEX(_xlfn.ANCHORARRAY(Sintesi!$C$14),1,$C169))*($E169&lt;=INDEX(_xlfn.ANCHORARRAY(Sintesi!$C$15),1,$C169))*(INDEX(_xlfn.ANCHORARRAY(Sintesi!$C$15),1,$C169)&gt;0),1,IF(($E169&gt;=LOOKUP(2,1/($E:$E&lt;&gt;""),$E:$E))*($E169&lt;=$E170)*($E169&gt;INDEX(_xlfn.ANCHORARRAY(Sintesi!$C$14),1,$C169))*($E169&lt;INDEX(_xlfn.ANCHORARRAY(Sintesi!$C$16),1,$C169))*(INDEX(_xlfn.ANCHORARRAY(Sintesi!$C$15),1,$C169)&lt;0)+($E169&gt;=LOOKUP(2,1/($E:$E&lt;&gt;""),$E:$E))*($E169&lt;=$E170)*($E169&gt;INDEX(_xlfn.ANCHORARRAY(Sintesi!$C$15),1,$C169))*($E169&lt;INDEX(_xlfn.ANCHORARRAY(Sintesi!$C$16),1,$C169))*(INDEX(_xlfn.ANCHORARRAY(Sintesi!$C$15),1,$C169)&gt;0),2,IF($E169=(INDEX(_xlfn.ANCHORARRAY(Sintesi!$C$16),1,$C169)),3,4)))),0)))</f>
        <v/>
      </c>
      <c r="E169" s="1">
        <f>'Paste cell here'!F169</f>
        <v/>
      </c>
      <c r="F169" s="1">
        <f>'Paste cell here'!C169</f>
        <v/>
      </c>
      <c r="G169" s="1">
        <f>'Paste cell here'!D169</f>
        <v/>
      </c>
      <c r="H169" s="1">
        <f>'Paste cell here'!E169</f>
        <v/>
      </c>
      <c r="I169" s="1">
        <f>'Paste cell here'!X169</f>
        <v/>
      </c>
      <c r="J169" s="1">
        <f>'Paste cell here'!Y169+'Paste cell here'!S169</f>
        <v/>
      </c>
      <c r="K169" s="1">
        <f>I169/H169</f>
        <v/>
      </c>
      <c r="L169" s="1">
        <f>AVERAGE(($F169+$G169)/2-($F169-$G169)/2*COS(PI()*(8-VLOOKUP(MONTH(B169),$O$1:$Q$13,3))/(VLOOKUP(MONTH(B169),$O$1:$Q$13,2)-VLOOKUP(MONTH(B169),$O$1:$Q$13,3))),($F169+$G169)/2-($F169-$G169)/2*COS(PI()*(9-VLOOKUP(MONTH(B169),$O$1:$Q$13,3))/(VLOOKUP(MONTH(B169),$O$1:$Q$13,2)-VLOOKUP(MONTH(B169),$O$1:$Q$13,3))),($F169+$G169)/2-($F169-$G169)/2*COS(PI()*(10-VLOOKUP(MONTH(B169),$O$1:$Q$13,3))/(VLOOKUP(MONTH(B169),$O$1:$Q$13,2)-VLOOKUP(MONTH(B169),$O$1:$Q$13,3))),($F169+$G169)/2-($F169-$G169)/2*COS(PI()*(11-VLOOKUP(MONTH(B169),$O$1:$Q$13,3))/(VLOOKUP(MONTH(B169),$O$1:$Q$13,2)-VLOOKUP(MONTH(B169),$O$1:$Q$13,3))),($F169+$G169)/2-($F169-$G169)/2*COS(PI()*(12-VLOOKUP(MONTH(B169),$O$1:$Q$13,3))/(VLOOKUP(MONTH(B169),$O$1:$Q$13,2)-VLOOKUP(MONTH(B169),$O$1:$Q$13,3))),($F169+$G169)/2-($F169-$G169)/2*COS(PI()*(13-VLOOKUP(MONTH(B169),$O$1:$Q$13,3))/(VLOOKUP(MONTH(B169),$O$1:$Q$13,2)-VLOOKUP(MONTH(B169),$O$1:$Q$13,3))),($F169+$G169)/2-($F169-$G169)/2*COS(PI()*(14-VLOOKUP(MONTH(B169),$O$1:$Q$13,3))/(VLOOKUP(MONTH(B169),$O$1:$Q$13,2)-VLOOKUP(MONTH(B169),$O$1:$Q$13,3))))</f>
        <v/>
      </c>
      <c r="M169" s="1">
        <f t="array" ref="M169">IF(AND(A169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,A169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),IF(L169&lt;_xlfn.IFNA(INDEX(_xlfn.ANCHORARRAY(Sintesi!$C$17)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,1,IF(L169&gt;=_xlfn.IFNA(INDEX(_xlfn.ANCHORARRAY(Sintesi!$C$18)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,0,1-(L169-_xlfn.IFNA(INDEX(_xlfn.ANCHORARRAY(Sintesi!$C$17)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)/(_xlfn.IFNA(INDEX(_xlfn.ANCHORARRAY(Sintesi!$C$18)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-_xlfn.IFNA(INDEX(_xlfn.ANCHORARRAY(Sintesi!$C$17)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))),0)</f>
        <v/>
      </c>
    </row>
    <row r="170">
      <c r="A170" s="1">
        <f>'Paste cell here'!A170</f>
        <v/>
      </c>
      <c r="B170" s="2">
        <f>DATE(Sintesi!$C$4-1,12,31)+A170</f>
        <v/>
      </c>
      <c r="C170" s="34">
        <f t="array" ref="C170">_xlfn.IFNA(MATCH(1,(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)*(_xlfn.ANCHORARRAY(Sintesi!$C$15)&gt;=0)+(_xlfn.ANCHORARRAY(Sintesi!$C$15)&lt;0),0),0)</f>
        <v/>
      </c>
      <c r="D170" s="1">
        <f t="array" ref="D170">IF(ISBLANK($E171),IF(ISNUMBER($E169),IF($C170&gt;0,IF(($E170=INDEX(_xlfn.ANCHORARRAY(Sintesi!$C$14),1,$C170))*(INDEX(_xlfn.ANCHORARRAY(Sintesi!$C$15),1,$C170)&gt;0),0,IF(($E170=INDEX(_xlfn.ANCHORARRAY(Sintesi!$C$14),1,$C170))*(INDEX(_xlfn.ANCHORARRAY(Sintesi!$C$15),1,$C170)&lt;0)+($E170&gt;=$E169)*($E170&lt;=INDEX($E:$E,MATCH(TRUE,INDEX((ISNUMBER($E:$E)),0),0)))*($E170&gt;INDEX(_xlfn.ANCHORARRAY(Sintesi!$C$14),1,$C170))*($E170&lt;=INDEX(_xlfn.ANCHORARRAY(Sintesi!$C$15),1,$C170))*(INDEX(_xlfn.ANCHORARRAY(Sintesi!$C$15),1,$C170)&gt;0),1,IF(($E170&gt;=$E169)*($E170&lt;=INDEX($E:$E,MATCH(TRUE,INDEX((ISNUMBER($E:$E)),0),0)))*($E170&gt;INDEX(_xlfn.ANCHORARRAY(Sintesi!$C$14),1,$C170))*($E170&lt;INDEX(_xlfn.ANCHORARRAY(Sintesi!$C$16),1,$C170))*(INDEX(_xlfn.ANCHORARRAY(Sintesi!$C$15),1,$C170)&lt;0)+($E170&gt;=$E169)*($E170&lt;=INDEX($E:$E,MATCH(TRUE,INDEX((ISNUMBER($E:$E)),0),0)))*($E170&gt;INDEX(_xlfn.ANCHORARRAY(Sintesi!$C$15),1,$C170))*($E170&lt;INDEX(_xlfn.ANCHORARRAY(Sintesi!$C$16),1,$C170))*(INDEX(_xlfn.ANCHORARRAY(Sintesi!$C$15),1,$C170)&gt;0),2,IF($E170=(INDEX(_xlfn.ANCHORARRAY(Sintesi!$C$16),1,$C170)),3,4)))),0),IF($C170&gt;0,IF(($E170=INDEX(_xlfn.ANCHORARRAY(Sintesi!$C$14),1,$C170))*(INDEX(_xlfn.ANCHORARRAY(Sintesi!$C$15),1,$C170)&gt;0),0,IF(($E170=INDEX(_xlfn.ANCHORARRAY(Sintesi!$C$14),1,$C170))*(INDEX(_xlfn.ANCHORARRAY(Sintesi!$C$15),1,$C170)&lt;0)+($E170&gt;=LOOKUP(2,1/($E:$E&lt;&gt;""),$E:$E))*($E170&lt;=INDEX($E:$E,MATCH(TRUE,INDEX((ISNUMBER($E:$E)),0),0)))*($E170&gt;INDEX(_xlfn.ANCHORARRAY(Sintesi!$C$14),1,$C170))*($E170&lt;=INDEX(_xlfn.ANCHORARRAY(Sintesi!$C$15),1,$C170))*(INDEX(_xlfn.ANCHORARRAY(Sintesi!$C$15),1,$C170)&gt;0),1,IF(($E170&gt;=LOOKUP(2,1/($E:$E&lt;&gt;""),$E:$E))*($E170&lt;=INDEX($E:$E,MATCH(TRUE,INDEX((ISNUMBER($E:$E)),0),0)))*($E170&gt;INDEX(_xlfn.ANCHORARRAY(Sintesi!$C$14),1,$C170))*($E170&lt;INDEX(_xlfn.ANCHORARRAY(Sintesi!$C$16),1,$C170))*(INDEX(_xlfn.ANCHORARRAY(Sintesi!$C$15),1,$C170)&lt;0)+($E170&gt;=LOOKUP(2,1/($E:$E&lt;&gt;""),$E:$E))*($E170&lt;=INDEX($E:$E,MATCH(TRUE,INDEX((ISNUMBER($E:$E)),0),0)))*($E170&gt;INDEX(_xlfn.ANCHORARRAY(Sintesi!$C$15),1,$C170))*($E170&lt;INDEX(_xlfn.ANCHORARRAY(Sintesi!$C$16),1,$C170))*(INDEX(_xlfn.ANCHORARRAY(Sintesi!$C$15),1,$C170)&gt;0),2,IF($E170=(INDEX(_xlfn.ANCHORARRAY(Sintesi!$C$16),1,$C170)),3,4)))),0)),IF(ISNUMBER($E169),IF($C170&gt;0,IF(($E170=INDEX(_xlfn.ANCHORARRAY(Sintesi!$C$14),1,$C170))*(INDEX(_xlfn.ANCHORARRAY(Sintesi!$C$15),1,$C170)&gt;0),0,IF(($E170=INDEX(_xlfn.ANCHORARRAY(Sintesi!$C$14),1,$C170))*(INDEX(_xlfn.ANCHORARRAY(Sintesi!$C$15),1,$C170)&lt;0)+($E170&gt;=$E169)*($E170&lt;=$E171)*($E170&gt;INDEX(_xlfn.ANCHORARRAY(Sintesi!$C$14),1,$C170))*($E170&lt;=INDEX(_xlfn.ANCHORARRAY(Sintesi!$C$15),1,$C170))*(INDEX(_xlfn.ANCHORARRAY(Sintesi!$C$15),1,$C170)&gt;0),1,IF(($E170&gt;=$E169)*($E170&lt;=$E171)*($E170&gt;INDEX(_xlfn.ANCHORARRAY(Sintesi!$C$14),1,$C170))*($E170&lt;INDEX(_xlfn.ANCHORARRAY(Sintesi!$C$16),1,$C170))*(INDEX(_xlfn.ANCHORARRAY(Sintesi!$C$15),1,$C170)&lt;0)+($E170&gt;=$E169)*($E170&lt;=$E171)*($E170&gt;INDEX(_xlfn.ANCHORARRAY(Sintesi!$C$15),1,$C170))*($E170&lt;INDEX(_xlfn.ANCHORARRAY(Sintesi!$C$16),1,$C170))*(INDEX(_xlfn.ANCHORARRAY(Sintesi!$C$15),1,$C170)&gt;0),2,IF($E170=(INDEX(_xlfn.ANCHORARRAY(Sintesi!$C$16),1,$C170)),3,4)))),0),IF($C170&gt;0,IF(($E170=INDEX(_xlfn.ANCHORARRAY(Sintesi!$C$14),1,$C170))*(INDEX(_xlfn.ANCHORARRAY(Sintesi!$C$15),1,$C170)&gt;0),0,IF(($E170=INDEX(_xlfn.ANCHORARRAY(Sintesi!$C$14),1,$C170))*(INDEX(_xlfn.ANCHORARRAY(Sintesi!$C$15),1,$C170)&lt;0)+($E170&gt;=LOOKUP(2,1/($E:$E&lt;&gt;""),$E:$E))*($E170&lt;=$E171)*($E170&gt;INDEX(_xlfn.ANCHORARRAY(Sintesi!$C$14),1,$C170))*($E170&lt;=INDEX(_xlfn.ANCHORARRAY(Sintesi!$C$15),1,$C170))*(INDEX(_xlfn.ANCHORARRAY(Sintesi!$C$15),1,$C170)&gt;0),1,IF(($E170&gt;=LOOKUP(2,1/($E:$E&lt;&gt;""),$E:$E))*($E170&lt;=$E171)*($E170&gt;INDEX(_xlfn.ANCHORARRAY(Sintesi!$C$14),1,$C170))*($E170&lt;INDEX(_xlfn.ANCHORARRAY(Sintesi!$C$16),1,$C170))*(INDEX(_xlfn.ANCHORARRAY(Sintesi!$C$15),1,$C170)&lt;0)+($E170&gt;=LOOKUP(2,1/($E:$E&lt;&gt;""),$E:$E))*($E170&lt;=$E171)*($E170&gt;INDEX(_xlfn.ANCHORARRAY(Sintesi!$C$15),1,$C170))*($E170&lt;INDEX(_xlfn.ANCHORARRAY(Sintesi!$C$16),1,$C170))*(INDEX(_xlfn.ANCHORARRAY(Sintesi!$C$15),1,$C170)&gt;0),2,IF($E170=(INDEX(_xlfn.ANCHORARRAY(Sintesi!$C$16),1,$C170)),3,4)))),0)))</f>
        <v/>
      </c>
      <c r="E170" s="1">
        <f>'Paste cell here'!F170</f>
        <v/>
      </c>
      <c r="F170" s="1">
        <f>'Paste cell here'!C170</f>
        <v/>
      </c>
      <c r="G170" s="1">
        <f>'Paste cell here'!D170</f>
        <v/>
      </c>
      <c r="H170" s="1">
        <f>'Paste cell here'!E170</f>
        <v/>
      </c>
      <c r="I170" s="1">
        <f>'Paste cell here'!X170</f>
        <v/>
      </c>
      <c r="J170" s="1">
        <f>'Paste cell here'!Y170+'Paste cell here'!S170</f>
        <v/>
      </c>
      <c r="K170" s="1">
        <f>I170/H170</f>
        <v/>
      </c>
      <c r="L170" s="1">
        <f>AVERAGE(($F170+$G170)/2-($F170-$G170)/2*COS(PI()*(8-VLOOKUP(MONTH(B170),$O$1:$Q$13,3))/(VLOOKUP(MONTH(B170),$O$1:$Q$13,2)-VLOOKUP(MONTH(B170),$O$1:$Q$13,3))),($F170+$G170)/2-($F170-$G170)/2*COS(PI()*(9-VLOOKUP(MONTH(B170),$O$1:$Q$13,3))/(VLOOKUP(MONTH(B170),$O$1:$Q$13,2)-VLOOKUP(MONTH(B170),$O$1:$Q$13,3))),($F170+$G170)/2-($F170-$G170)/2*COS(PI()*(10-VLOOKUP(MONTH(B170),$O$1:$Q$13,3))/(VLOOKUP(MONTH(B170),$O$1:$Q$13,2)-VLOOKUP(MONTH(B170),$O$1:$Q$13,3))),($F170+$G170)/2-($F170-$G170)/2*COS(PI()*(11-VLOOKUP(MONTH(B170),$O$1:$Q$13,3))/(VLOOKUP(MONTH(B170),$O$1:$Q$13,2)-VLOOKUP(MONTH(B170),$O$1:$Q$13,3))),($F170+$G170)/2-($F170-$G170)/2*COS(PI()*(12-VLOOKUP(MONTH(B170),$O$1:$Q$13,3))/(VLOOKUP(MONTH(B170),$O$1:$Q$13,2)-VLOOKUP(MONTH(B170),$O$1:$Q$13,3))),($F170+$G170)/2-($F170-$G170)/2*COS(PI()*(13-VLOOKUP(MONTH(B170),$O$1:$Q$13,3))/(VLOOKUP(MONTH(B170),$O$1:$Q$13,2)-VLOOKUP(MONTH(B170),$O$1:$Q$13,3))),($F170+$G170)/2-($F170-$G170)/2*COS(PI()*(14-VLOOKUP(MONTH(B170),$O$1:$Q$13,3))/(VLOOKUP(MONTH(B170),$O$1:$Q$13,2)-VLOOKUP(MONTH(B170),$O$1:$Q$13,3))))</f>
        <v/>
      </c>
      <c r="M170" s="1">
        <f t="array" ref="M170">IF(AND(A170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,A170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),IF(L170&lt;_xlfn.IFNA(INDEX(_xlfn.ANCHORARRAY(Sintesi!$C$17)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,1,IF(L170&gt;=_xlfn.IFNA(INDEX(_xlfn.ANCHORARRAY(Sintesi!$C$18)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,0,1-(L170-_xlfn.IFNA(INDEX(_xlfn.ANCHORARRAY(Sintesi!$C$17)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)/(_xlfn.IFNA(INDEX(_xlfn.ANCHORARRAY(Sintesi!$C$18)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-_xlfn.IFNA(INDEX(_xlfn.ANCHORARRAY(Sintesi!$C$17)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))),0)</f>
        <v/>
      </c>
    </row>
    <row r="171">
      <c r="A171" s="1">
        <f>'Paste cell here'!A171</f>
        <v/>
      </c>
      <c r="B171" s="2">
        <f>DATE(Sintesi!$C$4-1,12,31)+A171</f>
        <v/>
      </c>
      <c r="C171" s="34">
        <f t="array" ref="C171">_xlfn.IFNA(MATCH(1,(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)*(_xlfn.ANCHORARRAY(Sintesi!$C$15)&gt;=0)+(_xlfn.ANCHORARRAY(Sintesi!$C$15)&lt;0),0),0)</f>
        <v/>
      </c>
      <c r="D171" s="1">
        <f t="array" ref="D171">IF(ISBLANK($E172),IF(ISNUMBER($E170),IF($C171&gt;0,IF(($E171=INDEX(_xlfn.ANCHORARRAY(Sintesi!$C$14),1,$C171))*(INDEX(_xlfn.ANCHORARRAY(Sintesi!$C$15),1,$C171)&gt;0),0,IF(($E171=INDEX(_xlfn.ANCHORARRAY(Sintesi!$C$14),1,$C171))*(INDEX(_xlfn.ANCHORARRAY(Sintesi!$C$15),1,$C171)&lt;0)+($E171&gt;=$E170)*($E171&lt;=INDEX($E:$E,MATCH(TRUE,INDEX((ISNUMBER($E:$E)),0),0)))*($E171&gt;INDEX(_xlfn.ANCHORARRAY(Sintesi!$C$14),1,$C171))*($E171&lt;=INDEX(_xlfn.ANCHORARRAY(Sintesi!$C$15),1,$C171))*(INDEX(_xlfn.ANCHORARRAY(Sintesi!$C$15),1,$C171)&gt;0),1,IF(($E171&gt;=$E170)*($E171&lt;=INDEX($E:$E,MATCH(TRUE,INDEX((ISNUMBER($E:$E)),0),0)))*($E171&gt;INDEX(_xlfn.ANCHORARRAY(Sintesi!$C$14),1,$C171))*($E171&lt;INDEX(_xlfn.ANCHORARRAY(Sintesi!$C$16),1,$C171))*(INDEX(_xlfn.ANCHORARRAY(Sintesi!$C$15),1,$C171)&lt;0)+($E171&gt;=$E170)*($E171&lt;=INDEX($E:$E,MATCH(TRUE,INDEX((ISNUMBER($E:$E)),0),0)))*($E171&gt;INDEX(_xlfn.ANCHORARRAY(Sintesi!$C$15),1,$C171))*($E171&lt;INDEX(_xlfn.ANCHORARRAY(Sintesi!$C$16),1,$C171))*(INDEX(_xlfn.ANCHORARRAY(Sintesi!$C$15),1,$C171)&gt;0),2,IF($E171=(INDEX(_xlfn.ANCHORARRAY(Sintesi!$C$16),1,$C171)),3,4)))),0),IF($C171&gt;0,IF(($E171=INDEX(_xlfn.ANCHORARRAY(Sintesi!$C$14),1,$C171))*(INDEX(_xlfn.ANCHORARRAY(Sintesi!$C$15),1,$C171)&gt;0),0,IF(($E171=INDEX(_xlfn.ANCHORARRAY(Sintesi!$C$14),1,$C171))*(INDEX(_xlfn.ANCHORARRAY(Sintesi!$C$15),1,$C171)&lt;0)+($E171&gt;=LOOKUP(2,1/($E:$E&lt;&gt;""),$E:$E))*($E171&lt;=INDEX($E:$E,MATCH(TRUE,INDEX((ISNUMBER($E:$E)),0),0)))*($E171&gt;INDEX(_xlfn.ANCHORARRAY(Sintesi!$C$14),1,$C171))*($E171&lt;=INDEX(_xlfn.ANCHORARRAY(Sintesi!$C$15),1,$C171))*(INDEX(_xlfn.ANCHORARRAY(Sintesi!$C$15),1,$C171)&gt;0),1,IF(($E171&gt;=LOOKUP(2,1/($E:$E&lt;&gt;""),$E:$E))*($E171&lt;=INDEX($E:$E,MATCH(TRUE,INDEX((ISNUMBER($E:$E)),0),0)))*($E171&gt;INDEX(_xlfn.ANCHORARRAY(Sintesi!$C$14),1,$C171))*($E171&lt;INDEX(_xlfn.ANCHORARRAY(Sintesi!$C$16),1,$C171))*(INDEX(_xlfn.ANCHORARRAY(Sintesi!$C$15),1,$C171)&lt;0)+($E171&gt;=LOOKUP(2,1/($E:$E&lt;&gt;""),$E:$E))*($E171&lt;=INDEX($E:$E,MATCH(TRUE,INDEX((ISNUMBER($E:$E)),0),0)))*($E171&gt;INDEX(_xlfn.ANCHORARRAY(Sintesi!$C$15),1,$C171))*($E171&lt;INDEX(_xlfn.ANCHORARRAY(Sintesi!$C$16),1,$C171))*(INDEX(_xlfn.ANCHORARRAY(Sintesi!$C$15),1,$C171)&gt;0),2,IF($E171=(INDEX(_xlfn.ANCHORARRAY(Sintesi!$C$16),1,$C171)),3,4)))),0)),IF(ISNUMBER($E170),IF($C171&gt;0,IF(($E171=INDEX(_xlfn.ANCHORARRAY(Sintesi!$C$14),1,$C171))*(INDEX(_xlfn.ANCHORARRAY(Sintesi!$C$15),1,$C171)&gt;0),0,IF(($E171=INDEX(_xlfn.ANCHORARRAY(Sintesi!$C$14),1,$C171))*(INDEX(_xlfn.ANCHORARRAY(Sintesi!$C$15),1,$C171)&lt;0)+($E171&gt;=$E170)*($E171&lt;=$E172)*($E171&gt;INDEX(_xlfn.ANCHORARRAY(Sintesi!$C$14),1,$C171))*($E171&lt;=INDEX(_xlfn.ANCHORARRAY(Sintesi!$C$15),1,$C171))*(INDEX(_xlfn.ANCHORARRAY(Sintesi!$C$15),1,$C171)&gt;0),1,IF(($E171&gt;=$E170)*($E171&lt;=$E172)*($E171&gt;INDEX(_xlfn.ANCHORARRAY(Sintesi!$C$14),1,$C171))*($E171&lt;INDEX(_xlfn.ANCHORARRAY(Sintesi!$C$16),1,$C171))*(INDEX(_xlfn.ANCHORARRAY(Sintesi!$C$15),1,$C171)&lt;0)+($E171&gt;=$E170)*($E171&lt;=$E172)*($E171&gt;INDEX(_xlfn.ANCHORARRAY(Sintesi!$C$15),1,$C171))*($E171&lt;INDEX(_xlfn.ANCHORARRAY(Sintesi!$C$16),1,$C171))*(INDEX(_xlfn.ANCHORARRAY(Sintesi!$C$15),1,$C171)&gt;0),2,IF($E171=(INDEX(_xlfn.ANCHORARRAY(Sintesi!$C$16),1,$C171)),3,4)))),0),IF($C171&gt;0,IF(($E171=INDEX(_xlfn.ANCHORARRAY(Sintesi!$C$14),1,$C171))*(INDEX(_xlfn.ANCHORARRAY(Sintesi!$C$15),1,$C171)&gt;0),0,IF(($E171=INDEX(_xlfn.ANCHORARRAY(Sintesi!$C$14),1,$C171))*(INDEX(_xlfn.ANCHORARRAY(Sintesi!$C$15),1,$C171)&lt;0)+($E171&gt;=LOOKUP(2,1/($E:$E&lt;&gt;""),$E:$E))*($E171&lt;=$E172)*($E171&gt;INDEX(_xlfn.ANCHORARRAY(Sintesi!$C$14),1,$C171))*($E171&lt;=INDEX(_xlfn.ANCHORARRAY(Sintesi!$C$15),1,$C171))*(INDEX(_xlfn.ANCHORARRAY(Sintesi!$C$15),1,$C171)&gt;0),1,IF(($E171&gt;=LOOKUP(2,1/($E:$E&lt;&gt;""),$E:$E))*($E171&lt;=$E172)*($E171&gt;INDEX(_xlfn.ANCHORARRAY(Sintesi!$C$14),1,$C171))*($E171&lt;INDEX(_xlfn.ANCHORARRAY(Sintesi!$C$16),1,$C171))*(INDEX(_xlfn.ANCHORARRAY(Sintesi!$C$15),1,$C171)&lt;0)+($E171&gt;=LOOKUP(2,1/($E:$E&lt;&gt;""),$E:$E))*($E171&lt;=$E172)*($E171&gt;INDEX(_xlfn.ANCHORARRAY(Sintesi!$C$15),1,$C171))*($E171&lt;INDEX(_xlfn.ANCHORARRAY(Sintesi!$C$16),1,$C171))*(INDEX(_xlfn.ANCHORARRAY(Sintesi!$C$15),1,$C171)&gt;0),2,IF($E171=(INDEX(_xlfn.ANCHORARRAY(Sintesi!$C$16),1,$C171)),3,4)))),0)))</f>
        <v/>
      </c>
      <c r="E171" s="1">
        <f>'Paste cell here'!F171</f>
        <v/>
      </c>
      <c r="F171" s="1">
        <f>'Paste cell here'!C171</f>
        <v/>
      </c>
      <c r="G171" s="1">
        <f>'Paste cell here'!D171</f>
        <v/>
      </c>
      <c r="H171" s="1">
        <f>'Paste cell here'!E171</f>
        <v/>
      </c>
      <c r="I171" s="1">
        <f>'Paste cell here'!X171</f>
        <v/>
      </c>
      <c r="J171" s="1">
        <f>'Paste cell here'!Y171+'Paste cell here'!S171</f>
        <v/>
      </c>
      <c r="K171" s="1">
        <f>I171/H171</f>
        <v/>
      </c>
      <c r="L171" s="1">
        <f>AVERAGE(($F171+$G171)/2-($F171-$G171)/2*COS(PI()*(8-VLOOKUP(MONTH(B171),$O$1:$Q$13,3))/(VLOOKUP(MONTH(B171),$O$1:$Q$13,2)-VLOOKUP(MONTH(B171),$O$1:$Q$13,3))),($F171+$G171)/2-($F171-$G171)/2*COS(PI()*(9-VLOOKUP(MONTH(B171),$O$1:$Q$13,3))/(VLOOKUP(MONTH(B171),$O$1:$Q$13,2)-VLOOKUP(MONTH(B171),$O$1:$Q$13,3))),($F171+$G171)/2-($F171-$G171)/2*COS(PI()*(10-VLOOKUP(MONTH(B171),$O$1:$Q$13,3))/(VLOOKUP(MONTH(B171),$O$1:$Q$13,2)-VLOOKUP(MONTH(B171),$O$1:$Q$13,3))),($F171+$G171)/2-($F171-$G171)/2*COS(PI()*(11-VLOOKUP(MONTH(B171),$O$1:$Q$13,3))/(VLOOKUP(MONTH(B171),$O$1:$Q$13,2)-VLOOKUP(MONTH(B171),$O$1:$Q$13,3))),($F171+$G171)/2-($F171-$G171)/2*COS(PI()*(12-VLOOKUP(MONTH(B171),$O$1:$Q$13,3))/(VLOOKUP(MONTH(B171),$O$1:$Q$13,2)-VLOOKUP(MONTH(B171),$O$1:$Q$13,3))),($F171+$G171)/2-($F171-$G171)/2*COS(PI()*(13-VLOOKUP(MONTH(B171),$O$1:$Q$13,3))/(VLOOKUP(MONTH(B171),$O$1:$Q$13,2)-VLOOKUP(MONTH(B171),$O$1:$Q$13,3))),($F171+$G171)/2-($F171-$G171)/2*COS(PI()*(14-VLOOKUP(MONTH(B171),$O$1:$Q$13,3))/(VLOOKUP(MONTH(B171),$O$1:$Q$13,2)-VLOOKUP(MONTH(B171),$O$1:$Q$13,3))))</f>
        <v/>
      </c>
      <c r="M171" s="1">
        <f t="array" ref="M171">IF(AND(A171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,A171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),IF(L171&lt;_xlfn.IFNA(INDEX(_xlfn.ANCHORARRAY(Sintesi!$C$17)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,1,IF(L171&gt;=_xlfn.IFNA(INDEX(_xlfn.ANCHORARRAY(Sintesi!$C$18)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,0,1-(L171-_xlfn.IFNA(INDEX(_xlfn.ANCHORARRAY(Sintesi!$C$17)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)/(_xlfn.IFNA(INDEX(_xlfn.ANCHORARRAY(Sintesi!$C$18)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-_xlfn.IFNA(INDEX(_xlfn.ANCHORARRAY(Sintesi!$C$17)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))),0)</f>
        <v/>
      </c>
    </row>
    <row r="172">
      <c r="A172" s="1">
        <f>'Paste cell here'!A172</f>
        <v/>
      </c>
      <c r="B172" s="2">
        <f>DATE(Sintesi!$C$4-1,12,31)+A172</f>
        <v/>
      </c>
      <c r="C172" s="34">
        <f t="array" ref="C172">_xlfn.IFNA(MATCH(1,(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)*(_xlfn.ANCHORARRAY(Sintesi!$C$15)&gt;=0)+(_xlfn.ANCHORARRAY(Sintesi!$C$15)&lt;0),0),0)</f>
        <v/>
      </c>
      <c r="D172" s="1">
        <f t="array" ref="D172">IF(ISBLANK($E173),IF(ISNUMBER($E171),IF($C172&gt;0,IF(($E172=INDEX(_xlfn.ANCHORARRAY(Sintesi!$C$14),1,$C172))*(INDEX(_xlfn.ANCHORARRAY(Sintesi!$C$15),1,$C172)&gt;0),0,IF(($E172=INDEX(_xlfn.ANCHORARRAY(Sintesi!$C$14),1,$C172))*(INDEX(_xlfn.ANCHORARRAY(Sintesi!$C$15),1,$C172)&lt;0)+($E172&gt;=$E171)*($E172&lt;=INDEX($E:$E,MATCH(TRUE,INDEX((ISNUMBER($E:$E)),0),0)))*($E172&gt;INDEX(_xlfn.ANCHORARRAY(Sintesi!$C$14),1,$C172))*($E172&lt;=INDEX(_xlfn.ANCHORARRAY(Sintesi!$C$15),1,$C172))*(INDEX(_xlfn.ANCHORARRAY(Sintesi!$C$15),1,$C172)&gt;0),1,IF(($E172&gt;=$E171)*($E172&lt;=INDEX($E:$E,MATCH(TRUE,INDEX((ISNUMBER($E:$E)),0),0)))*($E172&gt;INDEX(_xlfn.ANCHORARRAY(Sintesi!$C$14),1,$C172))*($E172&lt;INDEX(_xlfn.ANCHORARRAY(Sintesi!$C$16),1,$C172))*(INDEX(_xlfn.ANCHORARRAY(Sintesi!$C$15),1,$C172)&lt;0)+($E172&gt;=$E171)*($E172&lt;=INDEX($E:$E,MATCH(TRUE,INDEX((ISNUMBER($E:$E)),0),0)))*($E172&gt;INDEX(_xlfn.ANCHORARRAY(Sintesi!$C$15),1,$C172))*($E172&lt;INDEX(_xlfn.ANCHORARRAY(Sintesi!$C$16),1,$C172))*(INDEX(_xlfn.ANCHORARRAY(Sintesi!$C$15),1,$C172)&gt;0),2,IF($E172=(INDEX(_xlfn.ANCHORARRAY(Sintesi!$C$16),1,$C172)),3,4)))),0),IF($C172&gt;0,IF(($E172=INDEX(_xlfn.ANCHORARRAY(Sintesi!$C$14),1,$C172))*(INDEX(_xlfn.ANCHORARRAY(Sintesi!$C$15),1,$C172)&gt;0),0,IF(($E172=INDEX(_xlfn.ANCHORARRAY(Sintesi!$C$14),1,$C172))*(INDEX(_xlfn.ANCHORARRAY(Sintesi!$C$15),1,$C172)&lt;0)+($E172&gt;=LOOKUP(2,1/($E:$E&lt;&gt;""),$E:$E))*($E172&lt;=INDEX($E:$E,MATCH(TRUE,INDEX((ISNUMBER($E:$E)),0),0)))*($E172&gt;INDEX(_xlfn.ANCHORARRAY(Sintesi!$C$14),1,$C172))*($E172&lt;=INDEX(_xlfn.ANCHORARRAY(Sintesi!$C$15),1,$C172))*(INDEX(_xlfn.ANCHORARRAY(Sintesi!$C$15),1,$C172)&gt;0),1,IF(($E172&gt;=LOOKUP(2,1/($E:$E&lt;&gt;""),$E:$E))*($E172&lt;=INDEX($E:$E,MATCH(TRUE,INDEX((ISNUMBER($E:$E)),0),0)))*($E172&gt;INDEX(_xlfn.ANCHORARRAY(Sintesi!$C$14),1,$C172))*($E172&lt;INDEX(_xlfn.ANCHORARRAY(Sintesi!$C$16),1,$C172))*(INDEX(_xlfn.ANCHORARRAY(Sintesi!$C$15),1,$C172)&lt;0)+($E172&gt;=LOOKUP(2,1/($E:$E&lt;&gt;""),$E:$E))*($E172&lt;=INDEX($E:$E,MATCH(TRUE,INDEX((ISNUMBER($E:$E)),0),0)))*($E172&gt;INDEX(_xlfn.ANCHORARRAY(Sintesi!$C$15),1,$C172))*($E172&lt;INDEX(_xlfn.ANCHORARRAY(Sintesi!$C$16),1,$C172))*(INDEX(_xlfn.ANCHORARRAY(Sintesi!$C$15),1,$C172)&gt;0),2,IF($E172=(INDEX(_xlfn.ANCHORARRAY(Sintesi!$C$16),1,$C172)),3,4)))),0)),IF(ISNUMBER($E171),IF($C172&gt;0,IF(($E172=INDEX(_xlfn.ANCHORARRAY(Sintesi!$C$14),1,$C172))*(INDEX(_xlfn.ANCHORARRAY(Sintesi!$C$15),1,$C172)&gt;0),0,IF(($E172=INDEX(_xlfn.ANCHORARRAY(Sintesi!$C$14),1,$C172))*(INDEX(_xlfn.ANCHORARRAY(Sintesi!$C$15),1,$C172)&lt;0)+($E172&gt;=$E171)*($E172&lt;=$E173)*($E172&gt;INDEX(_xlfn.ANCHORARRAY(Sintesi!$C$14),1,$C172))*($E172&lt;=INDEX(_xlfn.ANCHORARRAY(Sintesi!$C$15),1,$C172))*(INDEX(_xlfn.ANCHORARRAY(Sintesi!$C$15),1,$C172)&gt;0),1,IF(($E172&gt;=$E171)*($E172&lt;=$E173)*($E172&gt;INDEX(_xlfn.ANCHORARRAY(Sintesi!$C$14),1,$C172))*($E172&lt;INDEX(_xlfn.ANCHORARRAY(Sintesi!$C$16),1,$C172))*(INDEX(_xlfn.ANCHORARRAY(Sintesi!$C$15),1,$C172)&lt;0)+($E172&gt;=$E171)*($E172&lt;=$E173)*($E172&gt;INDEX(_xlfn.ANCHORARRAY(Sintesi!$C$15),1,$C172))*($E172&lt;INDEX(_xlfn.ANCHORARRAY(Sintesi!$C$16),1,$C172))*(INDEX(_xlfn.ANCHORARRAY(Sintesi!$C$15),1,$C172)&gt;0),2,IF($E172=(INDEX(_xlfn.ANCHORARRAY(Sintesi!$C$16),1,$C172)),3,4)))),0),IF($C172&gt;0,IF(($E172=INDEX(_xlfn.ANCHORARRAY(Sintesi!$C$14),1,$C172))*(INDEX(_xlfn.ANCHORARRAY(Sintesi!$C$15),1,$C172)&gt;0),0,IF(($E172=INDEX(_xlfn.ANCHORARRAY(Sintesi!$C$14),1,$C172))*(INDEX(_xlfn.ANCHORARRAY(Sintesi!$C$15),1,$C172)&lt;0)+($E172&gt;=LOOKUP(2,1/($E:$E&lt;&gt;""),$E:$E))*($E172&lt;=$E173)*($E172&gt;INDEX(_xlfn.ANCHORARRAY(Sintesi!$C$14),1,$C172))*($E172&lt;=INDEX(_xlfn.ANCHORARRAY(Sintesi!$C$15),1,$C172))*(INDEX(_xlfn.ANCHORARRAY(Sintesi!$C$15),1,$C172)&gt;0),1,IF(($E172&gt;=LOOKUP(2,1/($E:$E&lt;&gt;""),$E:$E))*($E172&lt;=$E173)*($E172&gt;INDEX(_xlfn.ANCHORARRAY(Sintesi!$C$14),1,$C172))*($E172&lt;INDEX(_xlfn.ANCHORARRAY(Sintesi!$C$16),1,$C172))*(INDEX(_xlfn.ANCHORARRAY(Sintesi!$C$15),1,$C172)&lt;0)+($E172&gt;=LOOKUP(2,1/($E:$E&lt;&gt;""),$E:$E))*($E172&lt;=$E173)*($E172&gt;INDEX(_xlfn.ANCHORARRAY(Sintesi!$C$15),1,$C172))*($E172&lt;INDEX(_xlfn.ANCHORARRAY(Sintesi!$C$16),1,$C172))*(INDEX(_xlfn.ANCHORARRAY(Sintesi!$C$15),1,$C172)&gt;0),2,IF($E172=(INDEX(_xlfn.ANCHORARRAY(Sintesi!$C$16),1,$C172)),3,4)))),0)))</f>
        <v/>
      </c>
      <c r="E172" s="1">
        <f>'Paste cell here'!F172</f>
        <v/>
      </c>
      <c r="F172" s="1">
        <f>'Paste cell here'!C172</f>
        <v/>
      </c>
      <c r="G172" s="1">
        <f>'Paste cell here'!D172</f>
        <v/>
      </c>
      <c r="H172" s="1">
        <f>'Paste cell here'!E172</f>
        <v/>
      </c>
      <c r="I172" s="1">
        <f>'Paste cell here'!X172</f>
        <v/>
      </c>
      <c r="J172" s="1">
        <f>'Paste cell here'!Y172+'Paste cell here'!S172</f>
        <v/>
      </c>
      <c r="K172" s="1">
        <f>I172/H172</f>
        <v/>
      </c>
      <c r="L172" s="1">
        <f>AVERAGE(($F172+$G172)/2-($F172-$G172)/2*COS(PI()*(8-VLOOKUP(MONTH(B172),$O$1:$Q$13,3))/(VLOOKUP(MONTH(B172),$O$1:$Q$13,2)-VLOOKUP(MONTH(B172),$O$1:$Q$13,3))),($F172+$G172)/2-($F172-$G172)/2*COS(PI()*(9-VLOOKUP(MONTH(B172),$O$1:$Q$13,3))/(VLOOKUP(MONTH(B172),$O$1:$Q$13,2)-VLOOKUP(MONTH(B172),$O$1:$Q$13,3))),($F172+$G172)/2-($F172-$G172)/2*COS(PI()*(10-VLOOKUP(MONTH(B172),$O$1:$Q$13,3))/(VLOOKUP(MONTH(B172),$O$1:$Q$13,2)-VLOOKUP(MONTH(B172),$O$1:$Q$13,3))),($F172+$G172)/2-($F172-$G172)/2*COS(PI()*(11-VLOOKUP(MONTH(B172),$O$1:$Q$13,3))/(VLOOKUP(MONTH(B172),$O$1:$Q$13,2)-VLOOKUP(MONTH(B172),$O$1:$Q$13,3))),($F172+$G172)/2-($F172-$G172)/2*COS(PI()*(12-VLOOKUP(MONTH(B172),$O$1:$Q$13,3))/(VLOOKUP(MONTH(B172),$O$1:$Q$13,2)-VLOOKUP(MONTH(B172),$O$1:$Q$13,3))),($F172+$G172)/2-($F172-$G172)/2*COS(PI()*(13-VLOOKUP(MONTH(B172),$O$1:$Q$13,3))/(VLOOKUP(MONTH(B172),$O$1:$Q$13,2)-VLOOKUP(MONTH(B172),$O$1:$Q$13,3))),($F172+$G172)/2-($F172-$G172)/2*COS(PI()*(14-VLOOKUP(MONTH(B172),$O$1:$Q$13,3))/(VLOOKUP(MONTH(B172),$O$1:$Q$13,2)-VLOOKUP(MONTH(B172),$O$1:$Q$13,3))))</f>
        <v/>
      </c>
      <c r="M172" s="1">
        <f t="array" ref="M172">IF(AND(A172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,A172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),IF(L172&lt;_xlfn.IFNA(INDEX(_xlfn.ANCHORARRAY(Sintesi!$C$17)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,1,IF(L172&gt;=_xlfn.IFNA(INDEX(_xlfn.ANCHORARRAY(Sintesi!$C$18)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,0,1-(L172-_xlfn.IFNA(INDEX(_xlfn.ANCHORARRAY(Sintesi!$C$17)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)/(_xlfn.IFNA(INDEX(_xlfn.ANCHORARRAY(Sintesi!$C$18)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-_xlfn.IFNA(INDEX(_xlfn.ANCHORARRAY(Sintesi!$C$17)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))),0)</f>
        <v/>
      </c>
    </row>
    <row r="173">
      <c r="A173" s="1">
        <f>'Paste cell here'!A173</f>
        <v/>
      </c>
      <c r="B173" s="2">
        <f>DATE(Sintesi!$C$4-1,12,31)+A173</f>
        <v/>
      </c>
      <c r="C173" s="34">
        <f t="array" ref="C173">_xlfn.IFNA(MATCH(1,(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)*(_xlfn.ANCHORARRAY(Sintesi!$C$15)&gt;=0)+(_xlfn.ANCHORARRAY(Sintesi!$C$15)&lt;0),0),0)</f>
        <v/>
      </c>
      <c r="D173" s="1">
        <f t="array" ref="D173">IF(ISBLANK($E174),IF(ISNUMBER($E172),IF($C173&gt;0,IF(($E173=INDEX(_xlfn.ANCHORARRAY(Sintesi!$C$14),1,$C173))*(INDEX(_xlfn.ANCHORARRAY(Sintesi!$C$15),1,$C173)&gt;0),0,IF(($E173=INDEX(_xlfn.ANCHORARRAY(Sintesi!$C$14),1,$C173))*(INDEX(_xlfn.ANCHORARRAY(Sintesi!$C$15),1,$C173)&lt;0)+($E173&gt;=$E172)*($E173&lt;=INDEX($E:$E,MATCH(TRUE,INDEX((ISNUMBER($E:$E)),0),0)))*($E173&gt;INDEX(_xlfn.ANCHORARRAY(Sintesi!$C$14),1,$C173))*($E173&lt;=INDEX(_xlfn.ANCHORARRAY(Sintesi!$C$15),1,$C173))*(INDEX(_xlfn.ANCHORARRAY(Sintesi!$C$15),1,$C173)&gt;0),1,IF(($E173&gt;=$E172)*($E173&lt;=INDEX($E:$E,MATCH(TRUE,INDEX((ISNUMBER($E:$E)),0),0)))*($E173&gt;INDEX(_xlfn.ANCHORARRAY(Sintesi!$C$14),1,$C173))*($E173&lt;INDEX(_xlfn.ANCHORARRAY(Sintesi!$C$16),1,$C173))*(INDEX(_xlfn.ANCHORARRAY(Sintesi!$C$15),1,$C173)&lt;0)+($E173&gt;=$E172)*($E173&lt;=INDEX($E:$E,MATCH(TRUE,INDEX((ISNUMBER($E:$E)),0),0)))*($E173&gt;INDEX(_xlfn.ANCHORARRAY(Sintesi!$C$15),1,$C173))*($E173&lt;INDEX(_xlfn.ANCHORARRAY(Sintesi!$C$16),1,$C173))*(INDEX(_xlfn.ANCHORARRAY(Sintesi!$C$15),1,$C173)&gt;0),2,IF($E173=(INDEX(_xlfn.ANCHORARRAY(Sintesi!$C$16),1,$C173)),3,4)))),0),IF($C173&gt;0,IF(($E173=INDEX(_xlfn.ANCHORARRAY(Sintesi!$C$14),1,$C173))*(INDEX(_xlfn.ANCHORARRAY(Sintesi!$C$15),1,$C173)&gt;0),0,IF(($E173=INDEX(_xlfn.ANCHORARRAY(Sintesi!$C$14),1,$C173))*(INDEX(_xlfn.ANCHORARRAY(Sintesi!$C$15),1,$C173)&lt;0)+($E173&gt;=LOOKUP(2,1/($E:$E&lt;&gt;""),$E:$E))*($E173&lt;=INDEX($E:$E,MATCH(TRUE,INDEX((ISNUMBER($E:$E)),0),0)))*($E173&gt;INDEX(_xlfn.ANCHORARRAY(Sintesi!$C$14),1,$C173))*($E173&lt;=INDEX(_xlfn.ANCHORARRAY(Sintesi!$C$15),1,$C173))*(INDEX(_xlfn.ANCHORARRAY(Sintesi!$C$15),1,$C173)&gt;0),1,IF(($E173&gt;=LOOKUP(2,1/($E:$E&lt;&gt;""),$E:$E))*($E173&lt;=INDEX($E:$E,MATCH(TRUE,INDEX((ISNUMBER($E:$E)),0),0)))*($E173&gt;INDEX(_xlfn.ANCHORARRAY(Sintesi!$C$14),1,$C173))*($E173&lt;INDEX(_xlfn.ANCHORARRAY(Sintesi!$C$16),1,$C173))*(INDEX(_xlfn.ANCHORARRAY(Sintesi!$C$15),1,$C173)&lt;0)+($E173&gt;=LOOKUP(2,1/($E:$E&lt;&gt;""),$E:$E))*($E173&lt;=INDEX($E:$E,MATCH(TRUE,INDEX((ISNUMBER($E:$E)),0),0)))*($E173&gt;INDEX(_xlfn.ANCHORARRAY(Sintesi!$C$15),1,$C173))*($E173&lt;INDEX(_xlfn.ANCHORARRAY(Sintesi!$C$16),1,$C173))*(INDEX(_xlfn.ANCHORARRAY(Sintesi!$C$15),1,$C173)&gt;0),2,IF($E173=(INDEX(_xlfn.ANCHORARRAY(Sintesi!$C$16),1,$C173)),3,4)))),0)),IF(ISNUMBER($E172),IF($C173&gt;0,IF(($E173=INDEX(_xlfn.ANCHORARRAY(Sintesi!$C$14),1,$C173))*(INDEX(_xlfn.ANCHORARRAY(Sintesi!$C$15),1,$C173)&gt;0),0,IF(($E173=INDEX(_xlfn.ANCHORARRAY(Sintesi!$C$14),1,$C173))*(INDEX(_xlfn.ANCHORARRAY(Sintesi!$C$15),1,$C173)&lt;0)+($E173&gt;=$E172)*($E173&lt;=$E174)*($E173&gt;INDEX(_xlfn.ANCHORARRAY(Sintesi!$C$14),1,$C173))*($E173&lt;=INDEX(_xlfn.ANCHORARRAY(Sintesi!$C$15),1,$C173))*(INDEX(_xlfn.ANCHORARRAY(Sintesi!$C$15),1,$C173)&gt;0),1,IF(($E173&gt;=$E172)*($E173&lt;=$E174)*($E173&gt;INDEX(_xlfn.ANCHORARRAY(Sintesi!$C$14),1,$C173))*($E173&lt;INDEX(_xlfn.ANCHORARRAY(Sintesi!$C$16),1,$C173))*(INDEX(_xlfn.ANCHORARRAY(Sintesi!$C$15),1,$C173)&lt;0)+($E173&gt;=$E172)*($E173&lt;=$E174)*($E173&gt;INDEX(_xlfn.ANCHORARRAY(Sintesi!$C$15),1,$C173))*($E173&lt;INDEX(_xlfn.ANCHORARRAY(Sintesi!$C$16),1,$C173))*(INDEX(_xlfn.ANCHORARRAY(Sintesi!$C$15),1,$C173)&gt;0),2,IF($E173=(INDEX(_xlfn.ANCHORARRAY(Sintesi!$C$16),1,$C173)),3,4)))),0),IF($C173&gt;0,IF(($E173=INDEX(_xlfn.ANCHORARRAY(Sintesi!$C$14),1,$C173))*(INDEX(_xlfn.ANCHORARRAY(Sintesi!$C$15),1,$C173)&gt;0),0,IF(($E173=INDEX(_xlfn.ANCHORARRAY(Sintesi!$C$14),1,$C173))*(INDEX(_xlfn.ANCHORARRAY(Sintesi!$C$15),1,$C173)&lt;0)+($E173&gt;=LOOKUP(2,1/($E:$E&lt;&gt;""),$E:$E))*($E173&lt;=$E174)*($E173&gt;INDEX(_xlfn.ANCHORARRAY(Sintesi!$C$14),1,$C173))*($E173&lt;=INDEX(_xlfn.ANCHORARRAY(Sintesi!$C$15),1,$C173))*(INDEX(_xlfn.ANCHORARRAY(Sintesi!$C$15),1,$C173)&gt;0),1,IF(($E173&gt;=LOOKUP(2,1/($E:$E&lt;&gt;""),$E:$E))*($E173&lt;=$E174)*($E173&gt;INDEX(_xlfn.ANCHORARRAY(Sintesi!$C$14),1,$C173))*($E173&lt;INDEX(_xlfn.ANCHORARRAY(Sintesi!$C$16),1,$C173))*(INDEX(_xlfn.ANCHORARRAY(Sintesi!$C$15),1,$C173)&lt;0)+($E173&gt;=LOOKUP(2,1/($E:$E&lt;&gt;""),$E:$E))*($E173&lt;=$E174)*($E173&gt;INDEX(_xlfn.ANCHORARRAY(Sintesi!$C$15),1,$C173))*($E173&lt;INDEX(_xlfn.ANCHORARRAY(Sintesi!$C$16),1,$C173))*(INDEX(_xlfn.ANCHORARRAY(Sintesi!$C$15),1,$C173)&gt;0),2,IF($E173=(INDEX(_xlfn.ANCHORARRAY(Sintesi!$C$16),1,$C173)),3,4)))),0)))</f>
        <v/>
      </c>
      <c r="E173" s="1">
        <f>'Paste cell here'!F173</f>
        <v/>
      </c>
      <c r="F173" s="1">
        <f>'Paste cell here'!C173</f>
        <v/>
      </c>
      <c r="G173" s="1">
        <f>'Paste cell here'!D173</f>
        <v/>
      </c>
      <c r="H173" s="1">
        <f>'Paste cell here'!E173</f>
        <v/>
      </c>
      <c r="I173" s="1">
        <f>'Paste cell here'!X173</f>
        <v/>
      </c>
      <c r="J173" s="1">
        <f>'Paste cell here'!Y173+'Paste cell here'!S173</f>
        <v/>
      </c>
      <c r="K173" s="1">
        <f>I173/H173</f>
        <v/>
      </c>
      <c r="L173" s="1">
        <f>AVERAGE(($F173+$G173)/2-($F173-$G173)/2*COS(PI()*(8-VLOOKUP(MONTH(B173),$O$1:$Q$13,3))/(VLOOKUP(MONTH(B173),$O$1:$Q$13,2)-VLOOKUP(MONTH(B173),$O$1:$Q$13,3))),($F173+$G173)/2-($F173-$G173)/2*COS(PI()*(9-VLOOKUP(MONTH(B173),$O$1:$Q$13,3))/(VLOOKUP(MONTH(B173),$O$1:$Q$13,2)-VLOOKUP(MONTH(B173),$O$1:$Q$13,3))),($F173+$G173)/2-($F173-$G173)/2*COS(PI()*(10-VLOOKUP(MONTH(B173),$O$1:$Q$13,3))/(VLOOKUP(MONTH(B173),$O$1:$Q$13,2)-VLOOKUP(MONTH(B173),$O$1:$Q$13,3))),($F173+$G173)/2-($F173-$G173)/2*COS(PI()*(11-VLOOKUP(MONTH(B173),$O$1:$Q$13,3))/(VLOOKUP(MONTH(B173),$O$1:$Q$13,2)-VLOOKUP(MONTH(B173),$O$1:$Q$13,3))),($F173+$G173)/2-($F173-$G173)/2*COS(PI()*(12-VLOOKUP(MONTH(B173),$O$1:$Q$13,3))/(VLOOKUP(MONTH(B173),$O$1:$Q$13,2)-VLOOKUP(MONTH(B173),$O$1:$Q$13,3))),($F173+$G173)/2-($F173-$G173)/2*COS(PI()*(13-VLOOKUP(MONTH(B173),$O$1:$Q$13,3))/(VLOOKUP(MONTH(B173),$O$1:$Q$13,2)-VLOOKUP(MONTH(B173),$O$1:$Q$13,3))),($F173+$G173)/2-($F173-$G173)/2*COS(PI()*(14-VLOOKUP(MONTH(B173),$O$1:$Q$13,3))/(VLOOKUP(MONTH(B173),$O$1:$Q$13,2)-VLOOKUP(MONTH(B173),$O$1:$Q$13,3))))</f>
        <v/>
      </c>
      <c r="M173" s="1">
        <f t="array" ref="M173">IF(AND(A173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,A173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),IF(L173&lt;_xlfn.IFNA(INDEX(_xlfn.ANCHORARRAY(Sintesi!$C$17)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,1,IF(L173&gt;=_xlfn.IFNA(INDEX(_xlfn.ANCHORARRAY(Sintesi!$C$18)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,0,1-(L173-_xlfn.IFNA(INDEX(_xlfn.ANCHORARRAY(Sintesi!$C$17)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)/(_xlfn.IFNA(INDEX(_xlfn.ANCHORARRAY(Sintesi!$C$18)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-_xlfn.IFNA(INDEX(_xlfn.ANCHORARRAY(Sintesi!$C$17)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))),0)</f>
        <v/>
      </c>
    </row>
    <row r="174">
      <c r="A174" s="1">
        <f>'Paste cell here'!A174</f>
        <v/>
      </c>
      <c r="B174" s="2">
        <f>DATE(Sintesi!$C$4-1,12,31)+A174</f>
        <v/>
      </c>
      <c r="C174" s="34">
        <f t="array" ref="C174">_xlfn.IFNA(MATCH(1,(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)*(_xlfn.ANCHORARRAY(Sintesi!$C$15)&gt;=0)+(_xlfn.ANCHORARRAY(Sintesi!$C$15)&lt;0),0),0)</f>
        <v/>
      </c>
      <c r="D174" s="1">
        <f t="array" ref="D174">IF(ISBLANK($E175),IF(ISNUMBER($E173),IF($C174&gt;0,IF(($E174=INDEX(_xlfn.ANCHORARRAY(Sintesi!$C$14),1,$C174))*(INDEX(_xlfn.ANCHORARRAY(Sintesi!$C$15),1,$C174)&gt;0),0,IF(($E174=INDEX(_xlfn.ANCHORARRAY(Sintesi!$C$14),1,$C174))*(INDEX(_xlfn.ANCHORARRAY(Sintesi!$C$15),1,$C174)&lt;0)+($E174&gt;=$E173)*($E174&lt;=INDEX($E:$E,MATCH(TRUE,INDEX((ISNUMBER($E:$E)),0),0)))*($E174&gt;INDEX(_xlfn.ANCHORARRAY(Sintesi!$C$14),1,$C174))*($E174&lt;=INDEX(_xlfn.ANCHORARRAY(Sintesi!$C$15),1,$C174))*(INDEX(_xlfn.ANCHORARRAY(Sintesi!$C$15),1,$C174)&gt;0),1,IF(($E174&gt;=$E173)*($E174&lt;=INDEX($E:$E,MATCH(TRUE,INDEX((ISNUMBER($E:$E)),0),0)))*($E174&gt;INDEX(_xlfn.ANCHORARRAY(Sintesi!$C$14),1,$C174))*($E174&lt;INDEX(_xlfn.ANCHORARRAY(Sintesi!$C$16),1,$C174))*(INDEX(_xlfn.ANCHORARRAY(Sintesi!$C$15),1,$C174)&lt;0)+($E174&gt;=$E173)*($E174&lt;=INDEX($E:$E,MATCH(TRUE,INDEX((ISNUMBER($E:$E)),0),0)))*($E174&gt;INDEX(_xlfn.ANCHORARRAY(Sintesi!$C$15),1,$C174))*($E174&lt;INDEX(_xlfn.ANCHORARRAY(Sintesi!$C$16),1,$C174))*(INDEX(_xlfn.ANCHORARRAY(Sintesi!$C$15),1,$C174)&gt;0),2,IF($E174=(INDEX(_xlfn.ANCHORARRAY(Sintesi!$C$16),1,$C174)),3,4)))),0),IF($C174&gt;0,IF(($E174=INDEX(_xlfn.ANCHORARRAY(Sintesi!$C$14),1,$C174))*(INDEX(_xlfn.ANCHORARRAY(Sintesi!$C$15),1,$C174)&gt;0),0,IF(($E174=INDEX(_xlfn.ANCHORARRAY(Sintesi!$C$14),1,$C174))*(INDEX(_xlfn.ANCHORARRAY(Sintesi!$C$15),1,$C174)&lt;0)+($E174&gt;=LOOKUP(2,1/($E:$E&lt;&gt;""),$E:$E))*($E174&lt;=INDEX($E:$E,MATCH(TRUE,INDEX((ISNUMBER($E:$E)),0),0)))*($E174&gt;INDEX(_xlfn.ANCHORARRAY(Sintesi!$C$14),1,$C174))*($E174&lt;=INDEX(_xlfn.ANCHORARRAY(Sintesi!$C$15),1,$C174))*(INDEX(_xlfn.ANCHORARRAY(Sintesi!$C$15),1,$C174)&gt;0),1,IF(($E174&gt;=LOOKUP(2,1/($E:$E&lt;&gt;""),$E:$E))*($E174&lt;=INDEX($E:$E,MATCH(TRUE,INDEX((ISNUMBER($E:$E)),0),0)))*($E174&gt;INDEX(_xlfn.ANCHORARRAY(Sintesi!$C$14),1,$C174))*($E174&lt;INDEX(_xlfn.ANCHORARRAY(Sintesi!$C$16),1,$C174))*(INDEX(_xlfn.ANCHORARRAY(Sintesi!$C$15),1,$C174)&lt;0)+($E174&gt;=LOOKUP(2,1/($E:$E&lt;&gt;""),$E:$E))*($E174&lt;=INDEX($E:$E,MATCH(TRUE,INDEX((ISNUMBER($E:$E)),0),0)))*($E174&gt;INDEX(_xlfn.ANCHORARRAY(Sintesi!$C$15),1,$C174))*($E174&lt;INDEX(_xlfn.ANCHORARRAY(Sintesi!$C$16),1,$C174))*(INDEX(_xlfn.ANCHORARRAY(Sintesi!$C$15),1,$C174)&gt;0),2,IF($E174=(INDEX(_xlfn.ANCHORARRAY(Sintesi!$C$16),1,$C174)),3,4)))),0)),IF(ISNUMBER($E173),IF($C174&gt;0,IF(($E174=INDEX(_xlfn.ANCHORARRAY(Sintesi!$C$14),1,$C174))*(INDEX(_xlfn.ANCHORARRAY(Sintesi!$C$15),1,$C174)&gt;0),0,IF(($E174=INDEX(_xlfn.ANCHORARRAY(Sintesi!$C$14),1,$C174))*(INDEX(_xlfn.ANCHORARRAY(Sintesi!$C$15),1,$C174)&lt;0)+($E174&gt;=$E173)*($E174&lt;=$E175)*($E174&gt;INDEX(_xlfn.ANCHORARRAY(Sintesi!$C$14),1,$C174))*($E174&lt;=INDEX(_xlfn.ANCHORARRAY(Sintesi!$C$15),1,$C174))*(INDEX(_xlfn.ANCHORARRAY(Sintesi!$C$15),1,$C174)&gt;0),1,IF(($E174&gt;=$E173)*($E174&lt;=$E175)*($E174&gt;INDEX(_xlfn.ANCHORARRAY(Sintesi!$C$14),1,$C174))*($E174&lt;INDEX(_xlfn.ANCHORARRAY(Sintesi!$C$16),1,$C174))*(INDEX(_xlfn.ANCHORARRAY(Sintesi!$C$15),1,$C174)&lt;0)+($E174&gt;=$E173)*($E174&lt;=$E175)*($E174&gt;INDEX(_xlfn.ANCHORARRAY(Sintesi!$C$15),1,$C174))*($E174&lt;INDEX(_xlfn.ANCHORARRAY(Sintesi!$C$16),1,$C174))*(INDEX(_xlfn.ANCHORARRAY(Sintesi!$C$15),1,$C174)&gt;0),2,IF($E174=(INDEX(_xlfn.ANCHORARRAY(Sintesi!$C$16),1,$C174)),3,4)))),0),IF($C174&gt;0,IF(($E174=INDEX(_xlfn.ANCHORARRAY(Sintesi!$C$14),1,$C174))*(INDEX(_xlfn.ANCHORARRAY(Sintesi!$C$15),1,$C174)&gt;0),0,IF(($E174=INDEX(_xlfn.ANCHORARRAY(Sintesi!$C$14),1,$C174))*(INDEX(_xlfn.ANCHORARRAY(Sintesi!$C$15),1,$C174)&lt;0)+($E174&gt;=LOOKUP(2,1/($E:$E&lt;&gt;""),$E:$E))*($E174&lt;=$E175)*($E174&gt;INDEX(_xlfn.ANCHORARRAY(Sintesi!$C$14),1,$C174))*($E174&lt;=INDEX(_xlfn.ANCHORARRAY(Sintesi!$C$15),1,$C174))*(INDEX(_xlfn.ANCHORARRAY(Sintesi!$C$15),1,$C174)&gt;0),1,IF(($E174&gt;=LOOKUP(2,1/($E:$E&lt;&gt;""),$E:$E))*($E174&lt;=$E175)*($E174&gt;INDEX(_xlfn.ANCHORARRAY(Sintesi!$C$14),1,$C174))*($E174&lt;INDEX(_xlfn.ANCHORARRAY(Sintesi!$C$16),1,$C174))*(INDEX(_xlfn.ANCHORARRAY(Sintesi!$C$15),1,$C174)&lt;0)+($E174&gt;=LOOKUP(2,1/($E:$E&lt;&gt;""),$E:$E))*($E174&lt;=$E175)*($E174&gt;INDEX(_xlfn.ANCHORARRAY(Sintesi!$C$15),1,$C174))*($E174&lt;INDEX(_xlfn.ANCHORARRAY(Sintesi!$C$16),1,$C174))*(INDEX(_xlfn.ANCHORARRAY(Sintesi!$C$15),1,$C174)&gt;0),2,IF($E174=(INDEX(_xlfn.ANCHORARRAY(Sintesi!$C$16),1,$C174)),3,4)))),0)))</f>
        <v/>
      </c>
      <c r="E174" s="1">
        <f>'Paste cell here'!F174</f>
        <v/>
      </c>
      <c r="F174" s="1">
        <f>'Paste cell here'!C174</f>
        <v/>
      </c>
      <c r="G174" s="1">
        <f>'Paste cell here'!D174</f>
        <v/>
      </c>
      <c r="H174" s="1">
        <f>'Paste cell here'!E174</f>
        <v/>
      </c>
      <c r="I174" s="1">
        <f>'Paste cell here'!X174</f>
        <v/>
      </c>
      <c r="J174" s="1">
        <f>'Paste cell here'!Y174+'Paste cell here'!S174</f>
        <v/>
      </c>
      <c r="K174" s="1">
        <f>I174/H174</f>
        <v/>
      </c>
      <c r="L174" s="1">
        <f>AVERAGE(($F174+$G174)/2-($F174-$G174)/2*COS(PI()*(8-VLOOKUP(MONTH(B174),$O$1:$Q$13,3))/(VLOOKUP(MONTH(B174),$O$1:$Q$13,2)-VLOOKUP(MONTH(B174),$O$1:$Q$13,3))),($F174+$G174)/2-($F174-$G174)/2*COS(PI()*(9-VLOOKUP(MONTH(B174),$O$1:$Q$13,3))/(VLOOKUP(MONTH(B174),$O$1:$Q$13,2)-VLOOKUP(MONTH(B174),$O$1:$Q$13,3))),($F174+$G174)/2-($F174-$G174)/2*COS(PI()*(10-VLOOKUP(MONTH(B174),$O$1:$Q$13,3))/(VLOOKUP(MONTH(B174),$O$1:$Q$13,2)-VLOOKUP(MONTH(B174),$O$1:$Q$13,3))),($F174+$G174)/2-($F174-$G174)/2*COS(PI()*(11-VLOOKUP(MONTH(B174),$O$1:$Q$13,3))/(VLOOKUP(MONTH(B174),$O$1:$Q$13,2)-VLOOKUP(MONTH(B174),$O$1:$Q$13,3))),($F174+$G174)/2-($F174-$G174)/2*COS(PI()*(12-VLOOKUP(MONTH(B174),$O$1:$Q$13,3))/(VLOOKUP(MONTH(B174),$O$1:$Q$13,2)-VLOOKUP(MONTH(B174),$O$1:$Q$13,3))),($F174+$G174)/2-($F174-$G174)/2*COS(PI()*(13-VLOOKUP(MONTH(B174),$O$1:$Q$13,3))/(VLOOKUP(MONTH(B174),$O$1:$Q$13,2)-VLOOKUP(MONTH(B174),$O$1:$Q$13,3))),($F174+$G174)/2-($F174-$G174)/2*COS(PI()*(14-VLOOKUP(MONTH(B174),$O$1:$Q$13,3))/(VLOOKUP(MONTH(B174),$O$1:$Q$13,2)-VLOOKUP(MONTH(B174),$O$1:$Q$13,3))))</f>
        <v/>
      </c>
      <c r="M174" s="1">
        <f t="array" ref="M174">IF(AND(A174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,A174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),IF(L174&lt;_xlfn.IFNA(INDEX(_xlfn.ANCHORARRAY(Sintesi!$C$17)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,1,IF(L174&gt;=_xlfn.IFNA(INDEX(_xlfn.ANCHORARRAY(Sintesi!$C$18)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,0,1-(L174-_xlfn.IFNA(INDEX(_xlfn.ANCHORARRAY(Sintesi!$C$17)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)/(_xlfn.IFNA(INDEX(_xlfn.ANCHORARRAY(Sintesi!$C$18)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-_xlfn.IFNA(INDEX(_xlfn.ANCHORARRAY(Sintesi!$C$17)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))),0)</f>
        <v/>
      </c>
    </row>
    <row r="175">
      <c r="A175" s="1">
        <f>'Paste cell here'!A175</f>
        <v/>
      </c>
      <c r="B175" s="2">
        <f>DATE(Sintesi!$C$4-1,12,31)+A175</f>
        <v/>
      </c>
      <c r="C175" s="34">
        <f t="array" ref="C175">_xlfn.IFNA(MATCH(1,(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)*(_xlfn.ANCHORARRAY(Sintesi!$C$15)&gt;=0)+(_xlfn.ANCHORARRAY(Sintesi!$C$15)&lt;0),0),0)</f>
        <v/>
      </c>
      <c r="D175" s="1">
        <f t="array" ref="D175">IF(ISBLANK($E176),IF(ISNUMBER($E174),IF($C175&gt;0,IF(($E175=INDEX(_xlfn.ANCHORARRAY(Sintesi!$C$14),1,$C175))*(INDEX(_xlfn.ANCHORARRAY(Sintesi!$C$15),1,$C175)&gt;0),0,IF(($E175=INDEX(_xlfn.ANCHORARRAY(Sintesi!$C$14),1,$C175))*(INDEX(_xlfn.ANCHORARRAY(Sintesi!$C$15),1,$C175)&lt;0)+($E175&gt;=$E174)*($E175&lt;=INDEX($E:$E,MATCH(TRUE,INDEX((ISNUMBER($E:$E)),0),0)))*($E175&gt;INDEX(_xlfn.ANCHORARRAY(Sintesi!$C$14),1,$C175))*($E175&lt;=INDEX(_xlfn.ANCHORARRAY(Sintesi!$C$15),1,$C175))*(INDEX(_xlfn.ANCHORARRAY(Sintesi!$C$15),1,$C175)&gt;0),1,IF(($E175&gt;=$E174)*($E175&lt;=INDEX($E:$E,MATCH(TRUE,INDEX((ISNUMBER($E:$E)),0),0)))*($E175&gt;INDEX(_xlfn.ANCHORARRAY(Sintesi!$C$14),1,$C175))*($E175&lt;INDEX(_xlfn.ANCHORARRAY(Sintesi!$C$16),1,$C175))*(INDEX(_xlfn.ANCHORARRAY(Sintesi!$C$15),1,$C175)&lt;0)+($E175&gt;=$E174)*($E175&lt;=INDEX($E:$E,MATCH(TRUE,INDEX((ISNUMBER($E:$E)),0),0)))*($E175&gt;INDEX(_xlfn.ANCHORARRAY(Sintesi!$C$15),1,$C175))*($E175&lt;INDEX(_xlfn.ANCHORARRAY(Sintesi!$C$16),1,$C175))*(INDEX(_xlfn.ANCHORARRAY(Sintesi!$C$15),1,$C175)&gt;0),2,IF($E175=(INDEX(_xlfn.ANCHORARRAY(Sintesi!$C$16),1,$C175)),3,4)))),0),IF($C175&gt;0,IF(($E175=INDEX(_xlfn.ANCHORARRAY(Sintesi!$C$14),1,$C175))*(INDEX(_xlfn.ANCHORARRAY(Sintesi!$C$15),1,$C175)&gt;0),0,IF(($E175=INDEX(_xlfn.ANCHORARRAY(Sintesi!$C$14),1,$C175))*(INDEX(_xlfn.ANCHORARRAY(Sintesi!$C$15),1,$C175)&lt;0)+($E175&gt;=LOOKUP(2,1/($E:$E&lt;&gt;""),$E:$E))*($E175&lt;=INDEX($E:$E,MATCH(TRUE,INDEX((ISNUMBER($E:$E)),0),0)))*($E175&gt;INDEX(_xlfn.ANCHORARRAY(Sintesi!$C$14),1,$C175))*($E175&lt;=INDEX(_xlfn.ANCHORARRAY(Sintesi!$C$15),1,$C175))*(INDEX(_xlfn.ANCHORARRAY(Sintesi!$C$15),1,$C175)&gt;0),1,IF(($E175&gt;=LOOKUP(2,1/($E:$E&lt;&gt;""),$E:$E))*($E175&lt;=INDEX($E:$E,MATCH(TRUE,INDEX((ISNUMBER($E:$E)),0),0)))*($E175&gt;INDEX(_xlfn.ANCHORARRAY(Sintesi!$C$14),1,$C175))*($E175&lt;INDEX(_xlfn.ANCHORARRAY(Sintesi!$C$16),1,$C175))*(INDEX(_xlfn.ANCHORARRAY(Sintesi!$C$15),1,$C175)&lt;0)+($E175&gt;=LOOKUP(2,1/($E:$E&lt;&gt;""),$E:$E))*($E175&lt;=INDEX($E:$E,MATCH(TRUE,INDEX((ISNUMBER($E:$E)),0),0)))*($E175&gt;INDEX(_xlfn.ANCHORARRAY(Sintesi!$C$15),1,$C175))*($E175&lt;INDEX(_xlfn.ANCHORARRAY(Sintesi!$C$16),1,$C175))*(INDEX(_xlfn.ANCHORARRAY(Sintesi!$C$15),1,$C175)&gt;0),2,IF($E175=(INDEX(_xlfn.ANCHORARRAY(Sintesi!$C$16),1,$C175)),3,4)))),0)),IF(ISNUMBER($E174),IF($C175&gt;0,IF(($E175=INDEX(_xlfn.ANCHORARRAY(Sintesi!$C$14),1,$C175))*(INDEX(_xlfn.ANCHORARRAY(Sintesi!$C$15),1,$C175)&gt;0),0,IF(($E175=INDEX(_xlfn.ANCHORARRAY(Sintesi!$C$14),1,$C175))*(INDEX(_xlfn.ANCHORARRAY(Sintesi!$C$15),1,$C175)&lt;0)+($E175&gt;=$E174)*($E175&lt;=$E176)*($E175&gt;INDEX(_xlfn.ANCHORARRAY(Sintesi!$C$14),1,$C175))*($E175&lt;=INDEX(_xlfn.ANCHORARRAY(Sintesi!$C$15),1,$C175))*(INDEX(_xlfn.ANCHORARRAY(Sintesi!$C$15),1,$C175)&gt;0),1,IF(($E175&gt;=$E174)*($E175&lt;=$E176)*($E175&gt;INDEX(_xlfn.ANCHORARRAY(Sintesi!$C$14),1,$C175))*($E175&lt;INDEX(_xlfn.ANCHORARRAY(Sintesi!$C$16),1,$C175))*(INDEX(_xlfn.ANCHORARRAY(Sintesi!$C$15),1,$C175)&lt;0)+($E175&gt;=$E174)*($E175&lt;=$E176)*($E175&gt;INDEX(_xlfn.ANCHORARRAY(Sintesi!$C$15),1,$C175))*($E175&lt;INDEX(_xlfn.ANCHORARRAY(Sintesi!$C$16),1,$C175))*(INDEX(_xlfn.ANCHORARRAY(Sintesi!$C$15),1,$C175)&gt;0),2,IF($E175=(INDEX(_xlfn.ANCHORARRAY(Sintesi!$C$16),1,$C175)),3,4)))),0),IF($C175&gt;0,IF(($E175=INDEX(_xlfn.ANCHORARRAY(Sintesi!$C$14),1,$C175))*(INDEX(_xlfn.ANCHORARRAY(Sintesi!$C$15),1,$C175)&gt;0),0,IF(($E175=INDEX(_xlfn.ANCHORARRAY(Sintesi!$C$14),1,$C175))*(INDEX(_xlfn.ANCHORARRAY(Sintesi!$C$15),1,$C175)&lt;0)+($E175&gt;=LOOKUP(2,1/($E:$E&lt;&gt;""),$E:$E))*($E175&lt;=$E176)*($E175&gt;INDEX(_xlfn.ANCHORARRAY(Sintesi!$C$14),1,$C175))*($E175&lt;=INDEX(_xlfn.ANCHORARRAY(Sintesi!$C$15),1,$C175))*(INDEX(_xlfn.ANCHORARRAY(Sintesi!$C$15),1,$C175)&gt;0),1,IF(($E175&gt;=LOOKUP(2,1/($E:$E&lt;&gt;""),$E:$E))*($E175&lt;=$E176)*($E175&gt;INDEX(_xlfn.ANCHORARRAY(Sintesi!$C$14),1,$C175))*($E175&lt;INDEX(_xlfn.ANCHORARRAY(Sintesi!$C$16),1,$C175))*(INDEX(_xlfn.ANCHORARRAY(Sintesi!$C$15),1,$C175)&lt;0)+($E175&gt;=LOOKUP(2,1/($E:$E&lt;&gt;""),$E:$E))*($E175&lt;=$E176)*($E175&gt;INDEX(_xlfn.ANCHORARRAY(Sintesi!$C$15),1,$C175))*($E175&lt;INDEX(_xlfn.ANCHORARRAY(Sintesi!$C$16),1,$C175))*(INDEX(_xlfn.ANCHORARRAY(Sintesi!$C$15),1,$C175)&gt;0),2,IF($E175=(INDEX(_xlfn.ANCHORARRAY(Sintesi!$C$16),1,$C175)),3,4)))),0)))</f>
        <v/>
      </c>
      <c r="E175" s="1">
        <f>'Paste cell here'!F175</f>
        <v/>
      </c>
      <c r="F175" s="1">
        <f>'Paste cell here'!C175</f>
        <v/>
      </c>
      <c r="G175" s="1">
        <f>'Paste cell here'!D175</f>
        <v/>
      </c>
      <c r="H175" s="1">
        <f>'Paste cell here'!E175</f>
        <v/>
      </c>
      <c r="I175" s="1">
        <f>'Paste cell here'!X175</f>
        <v/>
      </c>
      <c r="J175" s="1">
        <f>'Paste cell here'!Y175+'Paste cell here'!S175</f>
        <v/>
      </c>
      <c r="K175" s="1">
        <f>I175/H175</f>
        <v/>
      </c>
      <c r="L175" s="1">
        <f>AVERAGE(($F175+$G175)/2-($F175-$G175)/2*COS(PI()*(8-VLOOKUP(MONTH(B175),$O$1:$Q$13,3))/(VLOOKUP(MONTH(B175),$O$1:$Q$13,2)-VLOOKUP(MONTH(B175),$O$1:$Q$13,3))),($F175+$G175)/2-($F175-$G175)/2*COS(PI()*(9-VLOOKUP(MONTH(B175),$O$1:$Q$13,3))/(VLOOKUP(MONTH(B175),$O$1:$Q$13,2)-VLOOKUP(MONTH(B175),$O$1:$Q$13,3))),($F175+$G175)/2-($F175-$G175)/2*COS(PI()*(10-VLOOKUP(MONTH(B175),$O$1:$Q$13,3))/(VLOOKUP(MONTH(B175),$O$1:$Q$13,2)-VLOOKUP(MONTH(B175),$O$1:$Q$13,3))),($F175+$G175)/2-($F175-$G175)/2*COS(PI()*(11-VLOOKUP(MONTH(B175),$O$1:$Q$13,3))/(VLOOKUP(MONTH(B175),$O$1:$Q$13,2)-VLOOKUP(MONTH(B175),$O$1:$Q$13,3))),($F175+$G175)/2-($F175-$G175)/2*COS(PI()*(12-VLOOKUP(MONTH(B175),$O$1:$Q$13,3))/(VLOOKUP(MONTH(B175),$O$1:$Q$13,2)-VLOOKUP(MONTH(B175),$O$1:$Q$13,3))),($F175+$G175)/2-($F175-$G175)/2*COS(PI()*(13-VLOOKUP(MONTH(B175),$O$1:$Q$13,3))/(VLOOKUP(MONTH(B175),$O$1:$Q$13,2)-VLOOKUP(MONTH(B175),$O$1:$Q$13,3))),($F175+$G175)/2-($F175-$G175)/2*COS(PI()*(14-VLOOKUP(MONTH(B175),$O$1:$Q$13,3))/(VLOOKUP(MONTH(B175),$O$1:$Q$13,2)-VLOOKUP(MONTH(B175),$O$1:$Q$13,3))))</f>
        <v/>
      </c>
      <c r="M175" s="1">
        <f t="array" ref="M175">IF(AND(A175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,A175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),IF(L175&lt;_xlfn.IFNA(INDEX(_xlfn.ANCHORARRAY(Sintesi!$C$17)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,1,IF(L175&gt;=_xlfn.IFNA(INDEX(_xlfn.ANCHORARRAY(Sintesi!$C$18)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,0,1-(L175-_xlfn.IFNA(INDEX(_xlfn.ANCHORARRAY(Sintesi!$C$17)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)/(_xlfn.IFNA(INDEX(_xlfn.ANCHORARRAY(Sintesi!$C$18)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-_xlfn.IFNA(INDEX(_xlfn.ANCHORARRAY(Sintesi!$C$17)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))),0)</f>
        <v/>
      </c>
    </row>
    <row r="176">
      <c r="A176" s="1">
        <f>'Paste cell here'!A176</f>
        <v/>
      </c>
      <c r="B176" s="2">
        <f>DATE(Sintesi!$C$4-1,12,31)+A176</f>
        <v/>
      </c>
      <c r="C176" s="34">
        <f t="array" ref="C176">_xlfn.IFNA(MATCH(1,(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)*(_xlfn.ANCHORARRAY(Sintesi!$C$15)&gt;=0)+(_xlfn.ANCHORARRAY(Sintesi!$C$15)&lt;0),0),0)</f>
        <v/>
      </c>
      <c r="D176" s="1">
        <f t="array" ref="D176">IF(ISBLANK($E177),IF(ISNUMBER($E175),IF($C176&gt;0,IF(($E176=INDEX(_xlfn.ANCHORARRAY(Sintesi!$C$14),1,$C176))*(INDEX(_xlfn.ANCHORARRAY(Sintesi!$C$15),1,$C176)&gt;0),0,IF(($E176=INDEX(_xlfn.ANCHORARRAY(Sintesi!$C$14),1,$C176))*(INDEX(_xlfn.ANCHORARRAY(Sintesi!$C$15),1,$C176)&lt;0)+($E176&gt;=$E175)*($E176&lt;=INDEX($E:$E,MATCH(TRUE,INDEX((ISNUMBER($E:$E)),0),0)))*($E176&gt;INDEX(_xlfn.ANCHORARRAY(Sintesi!$C$14),1,$C176))*($E176&lt;=INDEX(_xlfn.ANCHORARRAY(Sintesi!$C$15),1,$C176))*(INDEX(_xlfn.ANCHORARRAY(Sintesi!$C$15),1,$C176)&gt;0),1,IF(($E176&gt;=$E175)*($E176&lt;=INDEX($E:$E,MATCH(TRUE,INDEX((ISNUMBER($E:$E)),0),0)))*($E176&gt;INDEX(_xlfn.ANCHORARRAY(Sintesi!$C$14),1,$C176))*($E176&lt;INDEX(_xlfn.ANCHORARRAY(Sintesi!$C$16),1,$C176))*(INDEX(_xlfn.ANCHORARRAY(Sintesi!$C$15),1,$C176)&lt;0)+($E176&gt;=$E175)*($E176&lt;=INDEX($E:$E,MATCH(TRUE,INDEX((ISNUMBER($E:$E)),0),0)))*($E176&gt;INDEX(_xlfn.ANCHORARRAY(Sintesi!$C$15),1,$C176))*($E176&lt;INDEX(_xlfn.ANCHORARRAY(Sintesi!$C$16),1,$C176))*(INDEX(_xlfn.ANCHORARRAY(Sintesi!$C$15),1,$C176)&gt;0),2,IF($E176=(INDEX(_xlfn.ANCHORARRAY(Sintesi!$C$16),1,$C176)),3,4)))),0),IF($C176&gt;0,IF(($E176=INDEX(_xlfn.ANCHORARRAY(Sintesi!$C$14),1,$C176))*(INDEX(_xlfn.ANCHORARRAY(Sintesi!$C$15),1,$C176)&gt;0),0,IF(($E176=INDEX(_xlfn.ANCHORARRAY(Sintesi!$C$14),1,$C176))*(INDEX(_xlfn.ANCHORARRAY(Sintesi!$C$15),1,$C176)&lt;0)+($E176&gt;=LOOKUP(2,1/($E:$E&lt;&gt;""),$E:$E))*($E176&lt;=INDEX($E:$E,MATCH(TRUE,INDEX((ISNUMBER($E:$E)),0),0)))*($E176&gt;INDEX(_xlfn.ANCHORARRAY(Sintesi!$C$14),1,$C176))*($E176&lt;=INDEX(_xlfn.ANCHORARRAY(Sintesi!$C$15),1,$C176))*(INDEX(_xlfn.ANCHORARRAY(Sintesi!$C$15),1,$C176)&gt;0),1,IF(($E176&gt;=LOOKUP(2,1/($E:$E&lt;&gt;""),$E:$E))*($E176&lt;=INDEX($E:$E,MATCH(TRUE,INDEX((ISNUMBER($E:$E)),0),0)))*($E176&gt;INDEX(_xlfn.ANCHORARRAY(Sintesi!$C$14),1,$C176))*($E176&lt;INDEX(_xlfn.ANCHORARRAY(Sintesi!$C$16),1,$C176))*(INDEX(_xlfn.ANCHORARRAY(Sintesi!$C$15),1,$C176)&lt;0)+($E176&gt;=LOOKUP(2,1/($E:$E&lt;&gt;""),$E:$E))*($E176&lt;=INDEX($E:$E,MATCH(TRUE,INDEX((ISNUMBER($E:$E)),0),0)))*($E176&gt;INDEX(_xlfn.ANCHORARRAY(Sintesi!$C$15),1,$C176))*($E176&lt;INDEX(_xlfn.ANCHORARRAY(Sintesi!$C$16),1,$C176))*(INDEX(_xlfn.ANCHORARRAY(Sintesi!$C$15),1,$C176)&gt;0),2,IF($E176=(INDEX(_xlfn.ANCHORARRAY(Sintesi!$C$16),1,$C176)),3,4)))),0)),IF(ISNUMBER($E175),IF($C176&gt;0,IF(($E176=INDEX(_xlfn.ANCHORARRAY(Sintesi!$C$14),1,$C176))*(INDEX(_xlfn.ANCHORARRAY(Sintesi!$C$15),1,$C176)&gt;0),0,IF(($E176=INDEX(_xlfn.ANCHORARRAY(Sintesi!$C$14),1,$C176))*(INDEX(_xlfn.ANCHORARRAY(Sintesi!$C$15),1,$C176)&lt;0)+($E176&gt;=$E175)*($E176&lt;=$E177)*($E176&gt;INDEX(_xlfn.ANCHORARRAY(Sintesi!$C$14),1,$C176))*($E176&lt;=INDEX(_xlfn.ANCHORARRAY(Sintesi!$C$15),1,$C176))*(INDEX(_xlfn.ANCHORARRAY(Sintesi!$C$15),1,$C176)&gt;0),1,IF(($E176&gt;=$E175)*($E176&lt;=$E177)*($E176&gt;INDEX(_xlfn.ANCHORARRAY(Sintesi!$C$14),1,$C176))*($E176&lt;INDEX(_xlfn.ANCHORARRAY(Sintesi!$C$16),1,$C176))*(INDEX(_xlfn.ANCHORARRAY(Sintesi!$C$15),1,$C176)&lt;0)+($E176&gt;=$E175)*($E176&lt;=$E177)*($E176&gt;INDEX(_xlfn.ANCHORARRAY(Sintesi!$C$15),1,$C176))*($E176&lt;INDEX(_xlfn.ANCHORARRAY(Sintesi!$C$16),1,$C176))*(INDEX(_xlfn.ANCHORARRAY(Sintesi!$C$15),1,$C176)&gt;0),2,IF($E176=(INDEX(_xlfn.ANCHORARRAY(Sintesi!$C$16),1,$C176)),3,4)))),0),IF($C176&gt;0,IF(($E176=INDEX(_xlfn.ANCHORARRAY(Sintesi!$C$14),1,$C176))*(INDEX(_xlfn.ANCHORARRAY(Sintesi!$C$15),1,$C176)&gt;0),0,IF(($E176=INDEX(_xlfn.ANCHORARRAY(Sintesi!$C$14),1,$C176))*(INDEX(_xlfn.ANCHORARRAY(Sintesi!$C$15),1,$C176)&lt;0)+($E176&gt;=LOOKUP(2,1/($E:$E&lt;&gt;""),$E:$E))*($E176&lt;=$E177)*($E176&gt;INDEX(_xlfn.ANCHORARRAY(Sintesi!$C$14),1,$C176))*($E176&lt;=INDEX(_xlfn.ANCHORARRAY(Sintesi!$C$15),1,$C176))*(INDEX(_xlfn.ANCHORARRAY(Sintesi!$C$15),1,$C176)&gt;0),1,IF(($E176&gt;=LOOKUP(2,1/($E:$E&lt;&gt;""),$E:$E))*($E176&lt;=$E177)*($E176&gt;INDEX(_xlfn.ANCHORARRAY(Sintesi!$C$14),1,$C176))*($E176&lt;INDEX(_xlfn.ANCHORARRAY(Sintesi!$C$16),1,$C176))*(INDEX(_xlfn.ANCHORARRAY(Sintesi!$C$15),1,$C176)&lt;0)+($E176&gt;=LOOKUP(2,1/($E:$E&lt;&gt;""),$E:$E))*($E176&lt;=$E177)*($E176&gt;INDEX(_xlfn.ANCHORARRAY(Sintesi!$C$15),1,$C176))*($E176&lt;INDEX(_xlfn.ANCHORARRAY(Sintesi!$C$16),1,$C176))*(INDEX(_xlfn.ANCHORARRAY(Sintesi!$C$15),1,$C176)&gt;0),2,IF($E176=(INDEX(_xlfn.ANCHORARRAY(Sintesi!$C$16),1,$C176)),3,4)))),0)))</f>
        <v/>
      </c>
      <c r="E176" s="1">
        <f>'Paste cell here'!F176</f>
        <v/>
      </c>
      <c r="F176" s="1">
        <f>'Paste cell here'!C176</f>
        <v/>
      </c>
      <c r="G176" s="1">
        <f>'Paste cell here'!D176</f>
        <v/>
      </c>
      <c r="H176" s="1">
        <f>'Paste cell here'!E176</f>
        <v/>
      </c>
      <c r="I176" s="1">
        <f>'Paste cell here'!X176</f>
        <v/>
      </c>
      <c r="J176" s="1">
        <f>'Paste cell here'!Y176+'Paste cell here'!S176</f>
        <v/>
      </c>
      <c r="K176" s="1">
        <f>I176/H176</f>
        <v/>
      </c>
      <c r="L176" s="1">
        <f>AVERAGE(($F176+$G176)/2-($F176-$G176)/2*COS(PI()*(8-VLOOKUP(MONTH(B176),$O$1:$Q$13,3))/(VLOOKUP(MONTH(B176),$O$1:$Q$13,2)-VLOOKUP(MONTH(B176),$O$1:$Q$13,3))),($F176+$G176)/2-($F176-$G176)/2*COS(PI()*(9-VLOOKUP(MONTH(B176),$O$1:$Q$13,3))/(VLOOKUP(MONTH(B176),$O$1:$Q$13,2)-VLOOKUP(MONTH(B176),$O$1:$Q$13,3))),($F176+$G176)/2-($F176-$G176)/2*COS(PI()*(10-VLOOKUP(MONTH(B176),$O$1:$Q$13,3))/(VLOOKUP(MONTH(B176),$O$1:$Q$13,2)-VLOOKUP(MONTH(B176),$O$1:$Q$13,3))),($F176+$G176)/2-($F176-$G176)/2*COS(PI()*(11-VLOOKUP(MONTH(B176),$O$1:$Q$13,3))/(VLOOKUP(MONTH(B176),$O$1:$Q$13,2)-VLOOKUP(MONTH(B176),$O$1:$Q$13,3))),($F176+$G176)/2-($F176-$G176)/2*COS(PI()*(12-VLOOKUP(MONTH(B176),$O$1:$Q$13,3))/(VLOOKUP(MONTH(B176),$O$1:$Q$13,2)-VLOOKUP(MONTH(B176),$O$1:$Q$13,3))),($F176+$G176)/2-($F176-$G176)/2*COS(PI()*(13-VLOOKUP(MONTH(B176),$O$1:$Q$13,3))/(VLOOKUP(MONTH(B176),$O$1:$Q$13,2)-VLOOKUP(MONTH(B176),$O$1:$Q$13,3))),($F176+$G176)/2-($F176-$G176)/2*COS(PI()*(14-VLOOKUP(MONTH(B176),$O$1:$Q$13,3))/(VLOOKUP(MONTH(B176),$O$1:$Q$13,2)-VLOOKUP(MONTH(B176),$O$1:$Q$13,3))))</f>
        <v/>
      </c>
      <c r="M176" s="1">
        <f t="array" ref="M176">IF(AND(A176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,A176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),IF(L176&lt;_xlfn.IFNA(INDEX(_xlfn.ANCHORARRAY(Sintesi!$C$17)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,1,IF(L176&gt;=_xlfn.IFNA(INDEX(_xlfn.ANCHORARRAY(Sintesi!$C$18)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,0,1-(L176-_xlfn.IFNA(INDEX(_xlfn.ANCHORARRAY(Sintesi!$C$17)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)/(_xlfn.IFNA(INDEX(_xlfn.ANCHORARRAY(Sintesi!$C$18)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-_xlfn.IFNA(INDEX(_xlfn.ANCHORARRAY(Sintesi!$C$17)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))),0)</f>
        <v/>
      </c>
    </row>
    <row r="177">
      <c r="A177" s="1">
        <f>'Paste cell here'!A177</f>
        <v/>
      </c>
      <c r="B177" s="2">
        <f>DATE(Sintesi!$C$4-1,12,31)+A177</f>
        <v/>
      </c>
      <c r="C177" s="34">
        <f t="array" ref="C177">_xlfn.IFNA(MATCH(1,(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)*(_xlfn.ANCHORARRAY(Sintesi!$C$15)&gt;=0)+(_xlfn.ANCHORARRAY(Sintesi!$C$15)&lt;0),0),0)</f>
        <v/>
      </c>
      <c r="D177" s="1">
        <f t="array" ref="D177">IF(ISBLANK($E178),IF(ISNUMBER($E176),IF($C177&gt;0,IF(($E177=INDEX(_xlfn.ANCHORARRAY(Sintesi!$C$14),1,$C177))*(INDEX(_xlfn.ANCHORARRAY(Sintesi!$C$15),1,$C177)&gt;0),0,IF(($E177=INDEX(_xlfn.ANCHORARRAY(Sintesi!$C$14),1,$C177))*(INDEX(_xlfn.ANCHORARRAY(Sintesi!$C$15),1,$C177)&lt;0)+($E177&gt;=$E176)*($E177&lt;=INDEX($E:$E,MATCH(TRUE,INDEX((ISNUMBER($E:$E)),0),0)))*($E177&gt;INDEX(_xlfn.ANCHORARRAY(Sintesi!$C$14),1,$C177))*($E177&lt;=INDEX(_xlfn.ANCHORARRAY(Sintesi!$C$15),1,$C177))*(INDEX(_xlfn.ANCHORARRAY(Sintesi!$C$15),1,$C177)&gt;0),1,IF(($E177&gt;=$E176)*($E177&lt;=INDEX($E:$E,MATCH(TRUE,INDEX((ISNUMBER($E:$E)),0),0)))*($E177&gt;INDEX(_xlfn.ANCHORARRAY(Sintesi!$C$14),1,$C177))*($E177&lt;INDEX(_xlfn.ANCHORARRAY(Sintesi!$C$16),1,$C177))*(INDEX(_xlfn.ANCHORARRAY(Sintesi!$C$15),1,$C177)&lt;0)+($E177&gt;=$E176)*($E177&lt;=INDEX($E:$E,MATCH(TRUE,INDEX((ISNUMBER($E:$E)),0),0)))*($E177&gt;INDEX(_xlfn.ANCHORARRAY(Sintesi!$C$15),1,$C177))*($E177&lt;INDEX(_xlfn.ANCHORARRAY(Sintesi!$C$16),1,$C177))*(INDEX(_xlfn.ANCHORARRAY(Sintesi!$C$15),1,$C177)&gt;0),2,IF($E177=(INDEX(_xlfn.ANCHORARRAY(Sintesi!$C$16),1,$C177)),3,4)))),0),IF($C177&gt;0,IF(($E177=INDEX(_xlfn.ANCHORARRAY(Sintesi!$C$14),1,$C177))*(INDEX(_xlfn.ANCHORARRAY(Sintesi!$C$15),1,$C177)&gt;0),0,IF(($E177=INDEX(_xlfn.ANCHORARRAY(Sintesi!$C$14),1,$C177))*(INDEX(_xlfn.ANCHORARRAY(Sintesi!$C$15),1,$C177)&lt;0)+($E177&gt;=LOOKUP(2,1/($E:$E&lt;&gt;""),$E:$E))*($E177&lt;=INDEX($E:$E,MATCH(TRUE,INDEX((ISNUMBER($E:$E)),0),0)))*($E177&gt;INDEX(_xlfn.ANCHORARRAY(Sintesi!$C$14),1,$C177))*($E177&lt;=INDEX(_xlfn.ANCHORARRAY(Sintesi!$C$15),1,$C177))*(INDEX(_xlfn.ANCHORARRAY(Sintesi!$C$15),1,$C177)&gt;0),1,IF(($E177&gt;=LOOKUP(2,1/($E:$E&lt;&gt;""),$E:$E))*($E177&lt;=INDEX($E:$E,MATCH(TRUE,INDEX((ISNUMBER($E:$E)),0),0)))*($E177&gt;INDEX(_xlfn.ANCHORARRAY(Sintesi!$C$14),1,$C177))*($E177&lt;INDEX(_xlfn.ANCHORARRAY(Sintesi!$C$16),1,$C177))*(INDEX(_xlfn.ANCHORARRAY(Sintesi!$C$15),1,$C177)&lt;0)+($E177&gt;=LOOKUP(2,1/($E:$E&lt;&gt;""),$E:$E))*($E177&lt;=INDEX($E:$E,MATCH(TRUE,INDEX((ISNUMBER($E:$E)),0),0)))*($E177&gt;INDEX(_xlfn.ANCHORARRAY(Sintesi!$C$15),1,$C177))*($E177&lt;INDEX(_xlfn.ANCHORARRAY(Sintesi!$C$16),1,$C177))*(INDEX(_xlfn.ANCHORARRAY(Sintesi!$C$15),1,$C177)&gt;0),2,IF($E177=(INDEX(_xlfn.ANCHORARRAY(Sintesi!$C$16),1,$C177)),3,4)))),0)),IF(ISNUMBER($E176),IF($C177&gt;0,IF(($E177=INDEX(_xlfn.ANCHORARRAY(Sintesi!$C$14),1,$C177))*(INDEX(_xlfn.ANCHORARRAY(Sintesi!$C$15),1,$C177)&gt;0),0,IF(($E177=INDEX(_xlfn.ANCHORARRAY(Sintesi!$C$14),1,$C177))*(INDEX(_xlfn.ANCHORARRAY(Sintesi!$C$15),1,$C177)&lt;0)+($E177&gt;=$E176)*($E177&lt;=$E178)*($E177&gt;INDEX(_xlfn.ANCHORARRAY(Sintesi!$C$14),1,$C177))*($E177&lt;=INDEX(_xlfn.ANCHORARRAY(Sintesi!$C$15),1,$C177))*(INDEX(_xlfn.ANCHORARRAY(Sintesi!$C$15),1,$C177)&gt;0),1,IF(($E177&gt;=$E176)*($E177&lt;=$E178)*($E177&gt;INDEX(_xlfn.ANCHORARRAY(Sintesi!$C$14),1,$C177))*($E177&lt;INDEX(_xlfn.ANCHORARRAY(Sintesi!$C$16),1,$C177))*(INDEX(_xlfn.ANCHORARRAY(Sintesi!$C$15),1,$C177)&lt;0)+($E177&gt;=$E176)*($E177&lt;=$E178)*($E177&gt;INDEX(_xlfn.ANCHORARRAY(Sintesi!$C$15),1,$C177))*($E177&lt;INDEX(_xlfn.ANCHORARRAY(Sintesi!$C$16),1,$C177))*(INDEX(_xlfn.ANCHORARRAY(Sintesi!$C$15),1,$C177)&gt;0),2,IF($E177=(INDEX(_xlfn.ANCHORARRAY(Sintesi!$C$16),1,$C177)),3,4)))),0),IF($C177&gt;0,IF(($E177=INDEX(_xlfn.ANCHORARRAY(Sintesi!$C$14),1,$C177))*(INDEX(_xlfn.ANCHORARRAY(Sintesi!$C$15),1,$C177)&gt;0),0,IF(($E177=INDEX(_xlfn.ANCHORARRAY(Sintesi!$C$14),1,$C177))*(INDEX(_xlfn.ANCHORARRAY(Sintesi!$C$15),1,$C177)&lt;0)+($E177&gt;=LOOKUP(2,1/($E:$E&lt;&gt;""),$E:$E))*($E177&lt;=$E178)*($E177&gt;INDEX(_xlfn.ANCHORARRAY(Sintesi!$C$14),1,$C177))*($E177&lt;=INDEX(_xlfn.ANCHORARRAY(Sintesi!$C$15),1,$C177))*(INDEX(_xlfn.ANCHORARRAY(Sintesi!$C$15),1,$C177)&gt;0),1,IF(($E177&gt;=LOOKUP(2,1/($E:$E&lt;&gt;""),$E:$E))*($E177&lt;=$E178)*($E177&gt;INDEX(_xlfn.ANCHORARRAY(Sintesi!$C$14),1,$C177))*($E177&lt;INDEX(_xlfn.ANCHORARRAY(Sintesi!$C$16),1,$C177))*(INDEX(_xlfn.ANCHORARRAY(Sintesi!$C$15),1,$C177)&lt;0)+($E177&gt;=LOOKUP(2,1/($E:$E&lt;&gt;""),$E:$E))*($E177&lt;=$E178)*($E177&gt;INDEX(_xlfn.ANCHORARRAY(Sintesi!$C$15),1,$C177))*($E177&lt;INDEX(_xlfn.ANCHORARRAY(Sintesi!$C$16),1,$C177))*(INDEX(_xlfn.ANCHORARRAY(Sintesi!$C$15),1,$C177)&gt;0),2,IF($E177=(INDEX(_xlfn.ANCHORARRAY(Sintesi!$C$16),1,$C177)),3,4)))),0)))</f>
        <v/>
      </c>
      <c r="E177" s="1">
        <f>'Paste cell here'!F177</f>
        <v/>
      </c>
      <c r="F177" s="1">
        <f>'Paste cell here'!C177</f>
        <v/>
      </c>
      <c r="G177" s="1">
        <f>'Paste cell here'!D177</f>
        <v/>
      </c>
      <c r="H177" s="1">
        <f>'Paste cell here'!E177</f>
        <v/>
      </c>
      <c r="I177" s="1">
        <f>'Paste cell here'!X177</f>
        <v/>
      </c>
      <c r="J177" s="1">
        <f>'Paste cell here'!Y177+'Paste cell here'!S177</f>
        <v/>
      </c>
      <c r="K177" s="1">
        <f>I177/H177</f>
        <v/>
      </c>
      <c r="L177" s="1">
        <f>AVERAGE(($F177+$G177)/2-($F177-$G177)/2*COS(PI()*(8-VLOOKUP(MONTH(B177),$O$1:$Q$13,3))/(VLOOKUP(MONTH(B177),$O$1:$Q$13,2)-VLOOKUP(MONTH(B177),$O$1:$Q$13,3))),($F177+$G177)/2-($F177-$G177)/2*COS(PI()*(9-VLOOKUP(MONTH(B177),$O$1:$Q$13,3))/(VLOOKUP(MONTH(B177),$O$1:$Q$13,2)-VLOOKUP(MONTH(B177),$O$1:$Q$13,3))),($F177+$G177)/2-($F177-$G177)/2*COS(PI()*(10-VLOOKUP(MONTH(B177),$O$1:$Q$13,3))/(VLOOKUP(MONTH(B177),$O$1:$Q$13,2)-VLOOKUP(MONTH(B177),$O$1:$Q$13,3))),($F177+$G177)/2-($F177-$G177)/2*COS(PI()*(11-VLOOKUP(MONTH(B177),$O$1:$Q$13,3))/(VLOOKUP(MONTH(B177),$O$1:$Q$13,2)-VLOOKUP(MONTH(B177),$O$1:$Q$13,3))),($F177+$G177)/2-($F177-$G177)/2*COS(PI()*(12-VLOOKUP(MONTH(B177),$O$1:$Q$13,3))/(VLOOKUP(MONTH(B177),$O$1:$Q$13,2)-VLOOKUP(MONTH(B177),$O$1:$Q$13,3))),($F177+$G177)/2-($F177-$G177)/2*COS(PI()*(13-VLOOKUP(MONTH(B177),$O$1:$Q$13,3))/(VLOOKUP(MONTH(B177),$O$1:$Q$13,2)-VLOOKUP(MONTH(B177),$O$1:$Q$13,3))),($F177+$G177)/2-($F177-$G177)/2*COS(PI()*(14-VLOOKUP(MONTH(B177),$O$1:$Q$13,3))/(VLOOKUP(MONTH(B177),$O$1:$Q$13,2)-VLOOKUP(MONTH(B177),$O$1:$Q$13,3))))</f>
        <v/>
      </c>
      <c r="M177" s="1">
        <f t="array" ref="M177">IF(AND(A177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,A177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),IF(L177&lt;_xlfn.IFNA(INDEX(_xlfn.ANCHORARRAY(Sintesi!$C$17)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,1,IF(L177&gt;=_xlfn.IFNA(INDEX(_xlfn.ANCHORARRAY(Sintesi!$C$18)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,0,1-(L177-_xlfn.IFNA(INDEX(_xlfn.ANCHORARRAY(Sintesi!$C$17)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)/(_xlfn.IFNA(INDEX(_xlfn.ANCHORARRAY(Sintesi!$C$18)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-_xlfn.IFNA(INDEX(_xlfn.ANCHORARRAY(Sintesi!$C$17)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))),0)</f>
        <v/>
      </c>
    </row>
    <row r="178">
      <c r="A178" s="1">
        <f>'Paste cell here'!A178</f>
        <v/>
      </c>
      <c r="B178" s="2">
        <f>DATE(Sintesi!$C$4-1,12,31)+A178</f>
        <v/>
      </c>
      <c r="C178" s="34">
        <f t="array" ref="C178">_xlfn.IFNA(MATCH(1,(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)*(_xlfn.ANCHORARRAY(Sintesi!$C$15)&gt;=0)+(_xlfn.ANCHORARRAY(Sintesi!$C$15)&lt;0),0),0)</f>
        <v/>
      </c>
      <c r="D178" s="1">
        <f t="array" ref="D178">IF(ISBLANK($E179),IF(ISNUMBER($E177),IF($C178&gt;0,IF(($E178=INDEX(_xlfn.ANCHORARRAY(Sintesi!$C$14),1,$C178))*(INDEX(_xlfn.ANCHORARRAY(Sintesi!$C$15),1,$C178)&gt;0),0,IF(($E178=INDEX(_xlfn.ANCHORARRAY(Sintesi!$C$14),1,$C178))*(INDEX(_xlfn.ANCHORARRAY(Sintesi!$C$15),1,$C178)&lt;0)+($E178&gt;=$E177)*($E178&lt;=INDEX($E:$E,MATCH(TRUE,INDEX((ISNUMBER($E:$E)),0),0)))*($E178&gt;INDEX(_xlfn.ANCHORARRAY(Sintesi!$C$14),1,$C178))*($E178&lt;=INDEX(_xlfn.ANCHORARRAY(Sintesi!$C$15),1,$C178))*(INDEX(_xlfn.ANCHORARRAY(Sintesi!$C$15),1,$C178)&gt;0),1,IF(($E178&gt;=$E177)*($E178&lt;=INDEX($E:$E,MATCH(TRUE,INDEX((ISNUMBER($E:$E)),0),0)))*($E178&gt;INDEX(_xlfn.ANCHORARRAY(Sintesi!$C$14),1,$C178))*($E178&lt;INDEX(_xlfn.ANCHORARRAY(Sintesi!$C$16),1,$C178))*(INDEX(_xlfn.ANCHORARRAY(Sintesi!$C$15),1,$C178)&lt;0)+($E178&gt;=$E177)*($E178&lt;=INDEX($E:$E,MATCH(TRUE,INDEX((ISNUMBER($E:$E)),0),0)))*($E178&gt;INDEX(_xlfn.ANCHORARRAY(Sintesi!$C$15),1,$C178))*($E178&lt;INDEX(_xlfn.ANCHORARRAY(Sintesi!$C$16),1,$C178))*(INDEX(_xlfn.ANCHORARRAY(Sintesi!$C$15),1,$C178)&gt;0),2,IF($E178=(INDEX(_xlfn.ANCHORARRAY(Sintesi!$C$16),1,$C178)),3,4)))),0),IF($C178&gt;0,IF(($E178=INDEX(_xlfn.ANCHORARRAY(Sintesi!$C$14),1,$C178))*(INDEX(_xlfn.ANCHORARRAY(Sintesi!$C$15),1,$C178)&gt;0),0,IF(($E178=INDEX(_xlfn.ANCHORARRAY(Sintesi!$C$14),1,$C178))*(INDEX(_xlfn.ANCHORARRAY(Sintesi!$C$15),1,$C178)&lt;0)+($E178&gt;=LOOKUP(2,1/($E:$E&lt;&gt;""),$E:$E))*($E178&lt;=INDEX($E:$E,MATCH(TRUE,INDEX((ISNUMBER($E:$E)),0),0)))*($E178&gt;INDEX(_xlfn.ANCHORARRAY(Sintesi!$C$14),1,$C178))*($E178&lt;=INDEX(_xlfn.ANCHORARRAY(Sintesi!$C$15),1,$C178))*(INDEX(_xlfn.ANCHORARRAY(Sintesi!$C$15),1,$C178)&gt;0),1,IF(($E178&gt;=LOOKUP(2,1/($E:$E&lt;&gt;""),$E:$E))*($E178&lt;=INDEX($E:$E,MATCH(TRUE,INDEX((ISNUMBER($E:$E)),0),0)))*($E178&gt;INDEX(_xlfn.ANCHORARRAY(Sintesi!$C$14),1,$C178))*($E178&lt;INDEX(_xlfn.ANCHORARRAY(Sintesi!$C$16),1,$C178))*(INDEX(_xlfn.ANCHORARRAY(Sintesi!$C$15),1,$C178)&lt;0)+($E178&gt;=LOOKUP(2,1/($E:$E&lt;&gt;""),$E:$E))*($E178&lt;=INDEX($E:$E,MATCH(TRUE,INDEX((ISNUMBER($E:$E)),0),0)))*($E178&gt;INDEX(_xlfn.ANCHORARRAY(Sintesi!$C$15),1,$C178))*($E178&lt;INDEX(_xlfn.ANCHORARRAY(Sintesi!$C$16),1,$C178))*(INDEX(_xlfn.ANCHORARRAY(Sintesi!$C$15),1,$C178)&gt;0),2,IF($E178=(INDEX(_xlfn.ANCHORARRAY(Sintesi!$C$16),1,$C178)),3,4)))),0)),IF(ISNUMBER($E177),IF($C178&gt;0,IF(($E178=INDEX(_xlfn.ANCHORARRAY(Sintesi!$C$14),1,$C178))*(INDEX(_xlfn.ANCHORARRAY(Sintesi!$C$15),1,$C178)&gt;0),0,IF(($E178=INDEX(_xlfn.ANCHORARRAY(Sintesi!$C$14),1,$C178))*(INDEX(_xlfn.ANCHORARRAY(Sintesi!$C$15),1,$C178)&lt;0)+($E178&gt;=$E177)*($E178&lt;=$E179)*($E178&gt;INDEX(_xlfn.ANCHORARRAY(Sintesi!$C$14),1,$C178))*($E178&lt;=INDEX(_xlfn.ANCHORARRAY(Sintesi!$C$15),1,$C178))*(INDEX(_xlfn.ANCHORARRAY(Sintesi!$C$15),1,$C178)&gt;0),1,IF(($E178&gt;=$E177)*($E178&lt;=$E179)*($E178&gt;INDEX(_xlfn.ANCHORARRAY(Sintesi!$C$14),1,$C178))*($E178&lt;INDEX(_xlfn.ANCHORARRAY(Sintesi!$C$16),1,$C178))*(INDEX(_xlfn.ANCHORARRAY(Sintesi!$C$15),1,$C178)&lt;0)+($E178&gt;=$E177)*($E178&lt;=$E179)*($E178&gt;INDEX(_xlfn.ANCHORARRAY(Sintesi!$C$15),1,$C178))*($E178&lt;INDEX(_xlfn.ANCHORARRAY(Sintesi!$C$16),1,$C178))*(INDEX(_xlfn.ANCHORARRAY(Sintesi!$C$15),1,$C178)&gt;0),2,IF($E178=(INDEX(_xlfn.ANCHORARRAY(Sintesi!$C$16),1,$C178)),3,4)))),0),IF($C178&gt;0,IF(($E178=INDEX(_xlfn.ANCHORARRAY(Sintesi!$C$14),1,$C178))*(INDEX(_xlfn.ANCHORARRAY(Sintesi!$C$15),1,$C178)&gt;0),0,IF(($E178=INDEX(_xlfn.ANCHORARRAY(Sintesi!$C$14),1,$C178))*(INDEX(_xlfn.ANCHORARRAY(Sintesi!$C$15),1,$C178)&lt;0)+($E178&gt;=LOOKUP(2,1/($E:$E&lt;&gt;""),$E:$E))*($E178&lt;=$E179)*($E178&gt;INDEX(_xlfn.ANCHORARRAY(Sintesi!$C$14),1,$C178))*($E178&lt;=INDEX(_xlfn.ANCHORARRAY(Sintesi!$C$15),1,$C178))*(INDEX(_xlfn.ANCHORARRAY(Sintesi!$C$15),1,$C178)&gt;0),1,IF(($E178&gt;=LOOKUP(2,1/($E:$E&lt;&gt;""),$E:$E))*($E178&lt;=$E179)*($E178&gt;INDEX(_xlfn.ANCHORARRAY(Sintesi!$C$14),1,$C178))*($E178&lt;INDEX(_xlfn.ANCHORARRAY(Sintesi!$C$16),1,$C178))*(INDEX(_xlfn.ANCHORARRAY(Sintesi!$C$15),1,$C178)&lt;0)+($E178&gt;=LOOKUP(2,1/($E:$E&lt;&gt;""),$E:$E))*($E178&lt;=$E179)*($E178&gt;INDEX(_xlfn.ANCHORARRAY(Sintesi!$C$15),1,$C178))*($E178&lt;INDEX(_xlfn.ANCHORARRAY(Sintesi!$C$16),1,$C178))*(INDEX(_xlfn.ANCHORARRAY(Sintesi!$C$15),1,$C178)&gt;0),2,IF($E178=(INDEX(_xlfn.ANCHORARRAY(Sintesi!$C$16),1,$C178)),3,4)))),0)))</f>
        <v/>
      </c>
      <c r="E178" s="1">
        <f>'Paste cell here'!F178</f>
        <v/>
      </c>
      <c r="F178" s="1">
        <f>'Paste cell here'!C178</f>
        <v/>
      </c>
      <c r="G178" s="1">
        <f>'Paste cell here'!D178</f>
        <v/>
      </c>
      <c r="H178" s="1">
        <f>'Paste cell here'!E178</f>
        <v/>
      </c>
      <c r="I178" s="1">
        <f>'Paste cell here'!X178</f>
        <v/>
      </c>
      <c r="J178" s="1">
        <f>'Paste cell here'!Y178+'Paste cell here'!S178</f>
        <v/>
      </c>
      <c r="K178" s="1">
        <f>I178/H178</f>
        <v/>
      </c>
      <c r="L178" s="1">
        <f>AVERAGE(($F178+$G178)/2-($F178-$G178)/2*COS(PI()*(8-VLOOKUP(MONTH(B178),$O$1:$Q$13,3))/(VLOOKUP(MONTH(B178),$O$1:$Q$13,2)-VLOOKUP(MONTH(B178),$O$1:$Q$13,3))),($F178+$G178)/2-($F178-$G178)/2*COS(PI()*(9-VLOOKUP(MONTH(B178),$O$1:$Q$13,3))/(VLOOKUP(MONTH(B178),$O$1:$Q$13,2)-VLOOKUP(MONTH(B178),$O$1:$Q$13,3))),($F178+$G178)/2-($F178-$G178)/2*COS(PI()*(10-VLOOKUP(MONTH(B178),$O$1:$Q$13,3))/(VLOOKUP(MONTH(B178),$O$1:$Q$13,2)-VLOOKUP(MONTH(B178),$O$1:$Q$13,3))),($F178+$G178)/2-($F178-$G178)/2*COS(PI()*(11-VLOOKUP(MONTH(B178),$O$1:$Q$13,3))/(VLOOKUP(MONTH(B178),$O$1:$Q$13,2)-VLOOKUP(MONTH(B178),$O$1:$Q$13,3))),($F178+$G178)/2-($F178-$G178)/2*COS(PI()*(12-VLOOKUP(MONTH(B178),$O$1:$Q$13,3))/(VLOOKUP(MONTH(B178),$O$1:$Q$13,2)-VLOOKUP(MONTH(B178),$O$1:$Q$13,3))),($F178+$G178)/2-($F178-$G178)/2*COS(PI()*(13-VLOOKUP(MONTH(B178),$O$1:$Q$13,3))/(VLOOKUP(MONTH(B178),$O$1:$Q$13,2)-VLOOKUP(MONTH(B178),$O$1:$Q$13,3))),($F178+$G178)/2-($F178-$G178)/2*COS(PI()*(14-VLOOKUP(MONTH(B178),$O$1:$Q$13,3))/(VLOOKUP(MONTH(B178),$O$1:$Q$13,2)-VLOOKUP(MONTH(B178),$O$1:$Q$13,3))))</f>
        <v/>
      </c>
      <c r="M178" s="1">
        <f t="array" ref="M178">IF(AND(A178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,A178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),IF(L178&lt;_xlfn.IFNA(INDEX(_xlfn.ANCHORARRAY(Sintesi!$C$17)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,1,IF(L178&gt;=_xlfn.IFNA(INDEX(_xlfn.ANCHORARRAY(Sintesi!$C$18)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,0,1-(L178-_xlfn.IFNA(INDEX(_xlfn.ANCHORARRAY(Sintesi!$C$17)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)/(_xlfn.IFNA(INDEX(_xlfn.ANCHORARRAY(Sintesi!$C$18)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-_xlfn.IFNA(INDEX(_xlfn.ANCHORARRAY(Sintesi!$C$17)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))),0)</f>
        <v/>
      </c>
    </row>
    <row r="179">
      <c r="A179" s="1">
        <f>'Paste cell here'!A179</f>
        <v/>
      </c>
      <c r="B179" s="2">
        <f>DATE(Sintesi!$C$4-1,12,31)+A179</f>
        <v/>
      </c>
      <c r="C179" s="34">
        <f t="array" ref="C179">_xlfn.IFNA(MATCH(1,(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)*(_xlfn.ANCHORARRAY(Sintesi!$C$15)&gt;=0)+(_xlfn.ANCHORARRAY(Sintesi!$C$15)&lt;0),0),0)</f>
        <v/>
      </c>
      <c r="D179" s="1">
        <f t="array" ref="D179">IF(ISBLANK($E180),IF(ISNUMBER($E178),IF($C179&gt;0,IF(($E179=INDEX(_xlfn.ANCHORARRAY(Sintesi!$C$14),1,$C179))*(INDEX(_xlfn.ANCHORARRAY(Sintesi!$C$15),1,$C179)&gt;0),0,IF(($E179=INDEX(_xlfn.ANCHORARRAY(Sintesi!$C$14),1,$C179))*(INDEX(_xlfn.ANCHORARRAY(Sintesi!$C$15),1,$C179)&lt;0)+($E179&gt;=$E178)*($E179&lt;=INDEX($E:$E,MATCH(TRUE,INDEX((ISNUMBER($E:$E)),0),0)))*($E179&gt;INDEX(_xlfn.ANCHORARRAY(Sintesi!$C$14),1,$C179))*($E179&lt;=INDEX(_xlfn.ANCHORARRAY(Sintesi!$C$15),1,$C179))*(INDEX(_xlfn.ANCHORARRAY(Sintesi!$C$15),1,$C179)&gt;0),1,IF(($E179&gt;=$E178)*($E179&lt;=INDEX($E:$E,MATCH(TRUE,INDEX((ISNUMBER($E:$E)),0),0)))*($E179&gt;INDEX(_xlfn.ANCHORARRAY(Sintesi!$C$14),1,$C179))*($E179&lt;INDEX(_xlfn.ANCHORARRAY(Sintesi!$C$16),1,$C179))*(INDEX(_xlfn.ANCHORARRAY(Sintesi!$C$15),1,$C179)&lt;0)+($E179&gt;=$E178)*($E179&lt;=INDEX($E:$E,MATCH(TRUE,INDEX((ISNUMBER($E:$E)),0),0)))*($E179&gt;INDEX(_xlfn.ANCHORARRAY(Sintesi!$C$15),1,$C179))*($E179&lt;INDEX(_xlfn.ANCHORARRAY(Sintesi!$C$16),1,$C179))*(INDEX(_xlfn.ANCHORARRAY(Sintesi!$C$15),1,$C179)&gt;0),2,IF($E179=(INDEX(_xlfn.ANCHORARRAY(Sintesi!$C$16),1,$C179)),3,4)))),0),IF($C179&gt;0,IF(($E179=INDEX(_xlfn.ANCHORARRAY(Sintesi!$C$14),1,$C179))*(INDEX(_xlfn.ANCHORARRAY(Sintesi!$C$15),1,$C179)&gt;0),0,IF(($E179=INDEX(_xlfn.ANCHORARRAY(Sintesi!$C$14),1,$C179))*(INDEX(_xlfn.ANCHORARRAY(Sintesi!$C$15),1,$C179)&lt;0)+($E179&gt;=LOOKUP(2,1/($E:$E&lt;&gt;""),$E:$E))*($E179&lt;=INDEX($E:$E,MATCH(TRUE,INDEX((ISNUMBER($E:$E)),0),0)))*($E179&gt;INDEX(_xlfn.ANCHORARRAY(Sintesi!$C$14),1,$C179))*($E179&lt;=INDEX(_xlfn.ANCHORARRAY(Sintesi!$C$15),1,$C179))*(INDEX(_xlfn.ANCHORARRAY(Sintesi!$C$15),1,$C179)&gt;0),1,IF(($E179&gt;=LOOKUP(2,1/($E:$E&lt;&gt;""),$E:$E))*($E179&lt;=INDEX($E:$E,MATCH(TRUE,INDEX((ISNUMBER($E:$E)),0),0)))*($E179&gt;INDEX(_xlfn.ANCHORARRAY(Sintesi!$C$14),1,$C179))*($E179&lt;INDEX(_xlfn.ANCHORARRAY(Sintesi!$C$16),1,$C179))*(INDEX(_xlfn.ANCHORARRAY(Sintesi!$C$15),1,$C179)&lt;0)+($E179&gt;=LOOKUP(2,1/($E:$E&lt;&gt;""),$E:$E))*($E179&lt;=INDEX($E:$E,MATCH(TRUE,INDEX((ISNUMBER($E:$E)),0),0)))*($E179&gt;INDEX(_xlfn.ANCHORARRAY(Sintesi!$C$15),1,$C179))*($E179&lt;INDEX(_xlfn.ANCHORARRAY(Sintesi!$C$16),1,$C179))*(INDEX(_xlfn.ANCHORARRAY(Sintesi!$C$15),1,$C179)&gt;0),2,IF($E179=(INDEX(_xlfn.ANCHORARRAY(Sintesi!$C$16),1,$C179)),3,4)))),0)),IF(ISNUMBER($E178),IF($C179&gt;0,IF(($E179=INDEX(_xlfn.ANCHORARRAY(Sintesi!$C$14),1,$C179))*(INDEX(_xlfn.ANCHORARRAY(Sintesi!$C$15),1,$C179)&gt;0),0,IF(($E179=INDEX(_xlfn.ANCHORARRAY(Sintesi!$C$14),1,$C179))*(INDEX(_xlfn.ANCHORARRAY(Sintesi!$C$15),1,$C179)&lt;0)+($E179&gt;=$E178)*($E179&lt;=$E180)*($E179&gt;INDEX(_xlfn.ANCHORARRAY(Sintesi!$C$14),1,$C179))*($E179&lt;=INDEX(_xlfn.ANCHORARRAY(Sintesi!$C$15),1,$C179))*(INDEX(_xlfn.ANCHORARRAY(Sintesi!$C$15),1,$C179)&gt;0),1,IF(($E179&gt;=$E178)*($E179&lt;=$E180)*($E179&gt;INDEX(_xlfn.ANCHORARRAY(Sintesi!$C$14),1,$C179))*($E179&lt;INDEX(_xlfn.ANCHORARRAY(Sintesi!$C$16),1,$C179))*(INDEX(_xlfn.ANCHORARRAY(Sintesi!$C$15),1,$C179)&lt;0)+($E179&gt;=$E178)*($E179&lt;=$E180)*($E179&gt;INDEX(_xlfn.ANCHORARRAY(Sintesi!$C$15),1,$C179))*($E179&lt;INDEX(_xlfn.ANCHORARRAY(Sintesi!$C$16),1,$C179))*(INDEX(_xlfn.ANCHORARRAY(Sintesi!$C$15),1,$C179)&gt;0),2,IF($E179=(INDEX(_xlfn.ANCHORARRAY(Sintesi!$C$16),1,$C179)),3,4)))),0),IF($C179&gt;0,IF(($E179=INDEX(_xlfn.ANCHORARRAY(Sintesi!$C$14),1,$C179))*(INDEX(_xlfn.ANCHORARRAY(Sintesi!$C$15),1,$C179)&gt;0),0,IF(($E179=INDEX(_xlfn.ANCHORARRAY(Sintesi!$C$14),1,$C179))*(INDEX(_xlfn.ANCHORARRAY(Sintesi!$C$15),1,$C179)&lt;0)+($E179&gt;=LOOKUP(2,1/($E:$E&lt;&gt;""),$E:$E))*($E179&lt;=$E180)*($E179&gt;INDEX(_xlfn.ANCHORARRAY(Sintesi!$C$14),1,$C179))*($E179&lt;=INDEX(_xlfn.ANCHORARRAY(Sintesi!$C$15),1,$C179))*(INDEX(_xlfn.ANCHORARRAY(Sintesi!$C$15),1,$C179)&gt;0),1,IF(($E179&gt;=LOOKUP(2,1/($E:$E&lt;&gt;""),$E:$E))*($E179&lt;=$E180)*($E179&gt;INDEX(_xlfn.ANCHORARRAY(Sintesi!$C$14),1,$C179))*($E179&lt;INDEX(_xlfn.ANCHORARRAY(Sintesi!$C$16),1,$C179))*(INDEX(_xlfn.ANCHORARRAY(Sintesi!$C$15),1,$C179)&lt;0)+($E179&gt;=LOOKUP(2,1/($E:$E&lt;&gt;""),$E:$E))*($E179&lt;=$E180)*($E179&gt;INDEX(_xlfn.ANCHORARRAY(Sintesi!$C$15),1,$C179))*($E179&lt;INDEX(_xlfn.ANCHORARRAY(Sintesi!$C$16),1,$C179))*(INDEX(_xlfn.ANCHORARRAY(Sintesi!$C$15),1,$C179)&gt;0),2,IF($E179=(INDEX(_xlfn.ANCHORARRAY(Sintesi!$C$16),1,$C179)),3,4)))),0)))</f>
        <v/>
      </c>
      <c r="E179" s="1">
        <f>'Paste cell here'!F179</f>
        <v/>
      </c>
      <c r="F179" s="1">
        <f>'Paste cell here'!C179</f>
        <v/>
      </c>
      <c r="G179" s="1">
        <f>'Paste cell here'!D179</f>
        <v/>
      </c>
      <c r="H179" s="1">
        <f>'Paste cell here'!E179</f>
        <v/>
      </c>
      <c r="I179" s="1">
        <f>'Paste cell here'!X179</f>
        <v/>
      </c>
      <c r="J179" s="1">
        <f>'Paste cell here'!Y179+'Paste cell here'!S179</f>
        <v/>
      </c>
      <c r="K179" s="1">
        <f>I179/H179</f>
        <v/>
      </c>
      <c r="L179" s="1">
        <f>AVERAGE(($F179+$G179)/2-($F179-$G179)/2*COS(PI()*(8-VLOOKUP(MONTH(B179),$O$1:$Q$13,3))/(VLOOKUP(MONTH(B179),$O$1:$Q$13,2)-VLOOKUP(MONTH(B179),$O$1:$Q$13,3))),($F179+$G179)/2-($F179-$G179)/2*COS(PI()*(9-VLOOKUP(MONTH(B179),$O$1:$Q$13,3))/(VLOOKUP(MONTH(B179),$O$1:$Q$13,2)-VLOOKUP(MONTH(B179),$O$1:$Q$13,3))),($F179+$G179)/2-($F179-$G179)/2*COS(PI()*(10-VLOOKUP(MONTH(B179),$O$1:$Q$13,3))/(VLOOKUP(MONTH(B179),$O$1:$Q$13,2)-VLOOKUP(MONTH(B179),$O$1:$Q$13,3))),($F179+$G179)/2-($F179-$G179)/2*COS(PI()*(11-VLOOKUP(MONTH(B179),$O$1:$Q$13,3))/(VLOOKUP(MONTH(B179),$O$1:$Q$13,2)-VLOOKUP(MONTH(B179),$O$1:$Q$13,3))),($F179+$G179)/2-($F179-$G179)/2*COS(PI()*(12-VLOOKUP(MONTH(B179),$O$1:$Q$13,3))/(VLOOKUP(MONTH(B179),$O$1:$Q$13,2)-VLOOKUP(MONTH(B179),$O$1:$Q$13,3))),($F179+$G179)/2-($F179-$G179)/2*COS(PI()*(13-VLOOKUP(MONTH(B179),$O$1:$Q$13,3))/(VLOOKUP(MONTH(B179),$O$1:$Q$13,2)-VLOOKUP(MONTH(B179),$O$1:$Q$13,3))),($F179+$G179)/2-($F179-$G179)/2*COS(PI()*(14-VLOOKUP(MONTH(B179),$O$1:$Q$13,3))/(VLOOKUP(MONTH(B179),$O$1:$Q$13,2)-VLOOKUP(MONTH(B179),$O$1:$Q$13,3))))</f>
        <v/>
      </c>
      <c r="M179" s="1">
        <f t="array" ref="M179">IF(AND(A179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,A179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),IF(L179&lt;_xlfn.IFNA(INDEX(_xlfn.ANCHORARRAY(Sintesi!$C$17)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,1,IF(L179&gt;=_xlfn.IFNA(INDEX(_xlfn.ANCHORARRAY(Sintesi!$C$18)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,0,1-(L179-_xlfn.IFNA(INDEX(_xlfn.ANCHORARRAY(Sintesi!$C$17)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)/(_xlfn.IFNA(INDEX(_xlfn.ANCHORARRAY(Sintesi!$C$18)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-_xlfn.IFNA(INDEX(_xlfn.ANCHORARRAY(Sintesi!$C$17)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))),0)</f>
        <v/>
      </c>
    </row>
    <row r="180">
      <c r="A180" s="1">
        <f>'Paste cell here'!A180</f>
        <v/>
      </c>
      <c r="B180" s="2">
        <f>DATE(Sintesi!$C$4-1,12,31)+A180</f>
        <v/>
      </c>
      <c r="C180" s="34">
        <f t="array" ref="C180">_xlfn.IFNA(MATCH(1,(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)*(_xlfn.ANCHORARRAY(Sintesi!$C$15)&gt;=0)+(_xlfn.ANCHORARRAY(Sintesi!$C$15)&lt;0),0),0)</f>
        <v/>
      </c>
      <c r="D180" s="1">
        <f t="array" ref="D180">IF(ISBLANK($E181),IF(ISNUMBER($E179),IF($C180&gt;0,IF(($E180=INDEX(_xlfn.ANCHORARRAY(Sintesi!$C$14),1,$C180))*(INDEX(_xlfn.ANCHORARRAY(Sintesi!$C$15),1,$C180)&gt;0),0,IF(($E180=INDEX(_xlfn.ANCHORARRAY(Sintesi!$C$14),1,$C180))*(INDEX(_xlfn.ANCHORARRAY(Sintesi!$C$15),1,$C180)&lt;0)+($E180&gt;=$E179)*($E180&lt;=INDEX($E:$E,MATCH(TRUE,INDEX((ISNUMBER($E:$E)),0),0)))*($E180&gt;INDEX(_xlfn.ANCHORARRAY(Sintesi!$C$14),1,$C180))*($E180&lt;=INDEX(_xlfn.ANCHORARRAY(Sintesi!$C$15),1,$C180))*(INDEX(_xlfn.ANCHORARRAY(Sintesi!$C$15),1,$C180)&gt;0),1,IF(($E180&gt;=$E179)*($E180&lt;=INDEX($E:$E,MATCH(TRUE,INDEX((ISNUMBER($E:$E)),0),0)))*($E180&gt;INDEX(_xlfn.ANCHORARRAY(Sintesi!$C$14),1,$C180))*($E180&lt;INDEX(_xlfn.ANCHORARRAY(Sintesi!$C$16),1,$C180))*(INDEX(_xlfn.ANCHORARRAY(Sintesi!$C$15),1,$C180)&lt;0)+($E180&gt;=$E179)*($E180&lt;=INDEX($E:$E,MATCH(TRUE,INDEX((ISNUMBER($E:$E)),0),0)))*($E180&gt;INDEX(_xlfn.ANCHORARRAY(Sintesi!$C$15),1,$C180))*($E180&lt;INDEX(_xlfn.ANCHORARRAY(Sintesi!$C$16),1,$C180))*(INDEX(_xlfn.ANCHORARRAY(Sintesi!$C$15),1,$C180)&gt;0),2,IF($E180=(INDEX(_xlfn.ANCHORARRAY(Sintesi!$C$16),1,$C180)),3,4)))),0),IF($C180&gt;0,IF(($E180=INDEX(_xlfn.ANCHORARRAY(Sintesi!$C$14),1,$C180))*(INDEX(_xlfn.ANCHORARRAY(Sintesi!$C$15),1,$C180)&gt;0),0,IF(($E180=INDEX(_xlfn.ANCHORARRAY(Sintesi!$C$14),1,$C180))*(INDEX(_xlfn.ANCHORARRAY(Sintesi!$C$15),1,$C180)&lt;0)+($E180&gt;=LOOKUP(2,1/($E:$E&lt;&gt;""),$E:$E))*($E180&lt;=INDEX($E:$E,MATCH(TRUE,INDEX((ISNUMBER($E:$E)),0),0)))*($E180&gt;INDEX(_xlfn.ANCHORARRAY(Sintesi!$C$14),1,$C180))*($E180&lt;=INDEX(_xlfn.ANCHORARRAY(Sintesi!$C$15),1,$C180))*(INDEX(_xlfn.ANCHORARRAY(Sintesi!$C$15),1,$C180)&gt;0),1,IF(($E180&gt;=LOOKUP(2,1/($E:$E&lt;&gt;""),$E:$E))*($E180&lt;=INDEX($E:$E,MATCH(TRUE,INDEX((ISNUMBER($E:$E)),0),0)))*($E180&gt;INDEX(_xlfn.ANCHORARRAY(Sintesi!$C$14),1,$C180))*($E180&lt;INDEX(_xlfn.ANCHORARRAY(Sintesi!$C$16),1,$C180))*(INDEX(_xlfn.ANCHORARRAY(Sintesi!$C$15),1,$C180)&lt;0)+($E180&gt;=LOOKUP(2,1/($E:$E&lt;&gt;""),$E:$E))*($E180&lt;=INDEX($E:$E,MATCH(TRUE,INDEX((ISNUMBER($E:$E)),0),0)))*($E180&gt;INDEX(_xlfn.ANCHORARRAY(Sintesi!$C$15),1,$C180))*($E180&lt;INDEX(_xlfn.ANCHORARRAY(Sintesi!$C$16),1,$C180))*(INDEX(_xlfn.ANCHORARRAY(Sintesi!$C$15),1,$C180)&gt;0),2,IF($E180=(INDEX(_xlfn.ANCHORARRAY(Sintesi!$C$16),1,$C180)),3,4)))),0)),IF(ISNUMBER($E179),IF($C180&gt;0,IF(($E180=INDEX(_xlfn.ANCHORARRAY(Sintesi!$C$14),1,$C180))*(INDEX(_xlfn.ANCHORARRAY(Sintesi!$C$15),1,$C180)&gt;0),0,IF(($E180=INDEX(_xlfn.ANCHORARRAY(Sintesi!$C$14),1,$C180))*(INDEX(_xlfn.ANCHORARRAY(Sintesi!$C$15),1,$C180)&lt;0)+($E180&gt;=$E179)*($E180&lt;=$E181)*($E180&gt;INDEX(_xlfn.ANCHORARRAY(Sintesi!$C$14),1,$C180))*($E180&lt;=INDEX(_xlfn.ANCHORARRAY(Sintesi!$C$15),1,$C180))*(INDEX(_xlfn.ANCHORARRAY(Sintesi!$C$15),1,$C180)&gt;0),1,IF(($E180&gt;=$E179)*($E180&lt;=$E181)*($E180&gt;INDEX(_xlfn.ANCHORARRAY(Sintesi!$C$14),1,$C180))*($E180&lt;INDEX(_xlfn.ANCHORARRAY(Sintesi!$C$16),1,$C180))*(INDEX(_xlfn.ANCHORARRAY(Sintesi!$C$15),1,$C180)&lt;0)+($E180&gt;=$E179)*($E180&lt;=$E181)*($E180&gt;INDEX(_xlfn.ANCHORARRAY(Sintesi!$C$15),1,$C180))*($E180&lt;INDEX(_xlfn.ANCHORARRAY(Sintesi!$C$16),1,$C180))*(INDEX(_xlfn.ANCHORARRAY(Sintesi!$C$15),1,$C180)&gt;0),2,IF($E180=(INDEX(_xlfn.ANCHORARRAY(Sintesi!$C$16),1,$C180)),3,4)))),0),IF($C180&gt;0,IF(($E180=INDEX(_xlfn.ANCHORARRAY(Sintesi!$C$14),1,$C180))*(INDEX(_xlfn.ANCHORARRAY(Sintesi!$C$15),1,$C180)&gt;0),0,IF(($E180=INDEX(_xlfn.ANCHORARRAY(Sintesi!$C$14),1,$C180))*(INDEX(_xlfn.ANCHORARRAY(Sintesi!$C$15),1,$C180)&lt;0)+($E180&gt;=LOOKUP(2,1/($E:$E&lt;&gt;""),$E:$E))*($E180&lt;=$E181)*($E180&gt;INDEX(_xlfn.ANCHORARRAY(Sintesi!$C$14),1,$C180))*($E180&lt;=INDEX(_xlfn.ANCHORARRAY(Sintesi!$C$15),1,$C180))*(INDEX(_xlfn.ANCHORARRAY(Sintesi!$C$15),1,$C180)&gt;0),1,IF(($E180&gt;=LOOKUP(2,1/($E:$E&lt;&gt;""),$E:$E))*($E180&lt;=$E181)*($E180&gt;INDEX(_xlfn.ANCHORARRAY(Sintesi!$C$14),1,$C180))*($E180&lt;INDEX(_xlfn.ANCHORARRAY(Sintesi!$C$16),1,$C180))*(INDEX(_xlfn.ANCHORARRAY(Sintesi!$C$15),1,$C180)&lt;0)+($E180&gt;=LOOKUP(2,1/($E:$E&lt;&gt;""),$E:$E))*($E180&lt;=$E181)*($E180&gt;INDEX(_xlfn.ANCHORARRAY(Sintesi!$C$15),1,$C180))*($E180&lt;INDEX(_xlfn.ANCHORARRAY(Sintesi!$C$16),1,$C180))*(INDEX(_xlfn.ANCHORARRAY(Sintesi!$C$15),1,$C180)&gt;0),2,IF($E180=(INDEX(_xlfn.ANCHORARRAY(Sintesi!$C$16),1,$C180)),3,4)))),0)))</f>
        <v/>
      </c>
      <c r="E180" s="1">
        <f>'Paste cell here'!F180</f>
        <v/>
      </c>
      <c r="F180" s="1">
        <f>'Paste cell here'!C180</f>
        <v/>
      </c>
      <c r="G180" s="1">
        <f>'Paste cell here'!D180</f>
        <v/>
      </c>
      <c r="H180" s="1">
        <f>'Paste cell here'!E180</f>
        <v/>
      </c>
      <c r="I180" s="1">
        <f>'Paste cell here'!X180</f>
        <v/>
      </c>
      <c r="J180" s="1">
        <f>'Paste cell here'!Y180+'Paste cell here'!S180</f>
        <v/>
      </c>
      <c r="K180" s="1">
        <f>I180/H180</f>
        <v/>
      </c>
      <c r="L180" s="1">
        <f>AVERAGE(($F180+$G180)/2-($F180-$G180)/2*COS(PI()*(8-VLOOKUP(MONTH(B180),$O$1:$Q$13,3))/(VLOOKUP(MONTH(B180),$O$1:$Q$13,2)-VLOOKUP(MONTH(B180),$O$1:$Q$13,3))),($F180+$G180)/2-($F180-$G180)/2*COS(PI()*(9-VLOOKUP(MONTH(B180),$O$1:$Q$13,3))/(VLOOKUP(MONTH(B180),$O$1:$Q$13,2)-VLOOKUP(MONTH(B180),$O$1:$Q$13,3))),($F180+$G180)/2-($F180-$G180)/2*COS(PI()*(10-VLOOKUP(MONTH(B180),$O$1:$Q$13,3))/(VLOOKUP(MONTH(B180),$O$1:$Q$13,2)-VLOOKUP(MONTH(B180),$O$1:$Q$13,3))),($F180+$G180)/2-($F180-$G180)/2*COS(PI()*(11-VLOOKUP(MONTH(B180),$O$1:$Q$13,3))/(VLOOKUP(MONTH(B180),$O$1:$Q$13,2)-VLOOKUP(MONTH(B180),$O$1:$Q$13,3))),($F180+$G180)/2-($F180-$G180)/2*COS(PI()*(12-VLOOKUP(MONTH(B180),$O$1:$Q$13,3))/(VLOOKUP(MONTH(B180),$O$1:$Q$13,2)-VLOOKUP(MONTH(B180),$O$1:$Q$13,3))),($F180+$G180)/2-($F180-$G180)/2*COS(PI()*(13-VLOOKUP(MONTH(B180),$O$1:$Q$13,3))/(VLOOKUP(MONTH(B180),$O$1:$Q$13,2)-VLOOKUP(MONTH(B180),$O$1:$Q$13,3))),($F180+$G180)/2-($F180-$G180)/2*COS(PI()*(14-VLOOKUP(MONTH(B180),$O$1:$Q$13,3))/(VLOOKUP(MONTH(B180),$O$1:$Q$13,2)-VLOOKUP(MONTH(B180),$O$1:$Q$13,3))))</f>
        <v/>
      </c>
      <c r="M180" s="1">
        <f t="array" ref="M180">IF(AND(A180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,A180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),IF(L180&lt;_xlfn.IFNA(INDEX(_xlfn.ANCHORARRAY(Sintesi!$C$17)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,1,IF(L180&gt;=_xlfn.IFNA(INDEX(_xlfn.ANCHORARRAY(Sintesi!$C$18)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,0,1-(L180-_xlfn.IFNA(INDEX(_xlfn.ANCHORARRAY(Sintesi!$C$17)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)/(_xlfn.IFNA(INDEX(_xlfn.ANCHORARRAY(Sintesi!$C$18)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-_xlfn.IFNA(INDEX(_xlfn.ANCHORARRAY(Sintesi!$C$17)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))),0)</f>
        <v/>
      </c>
    </row>
    <row r="181">
      <c r="A181" s="1">
        <f>'Paste cell here'!A181</f>
        <v/>
      </c>
      <c r="B181" s="2">
        <f>DATE(Sintesi!$C$4-1,12,31)+A181</f>
        <v/>
      </c>
      <c r="C181" s="34">
        <f t="array" ref="C181">_xlfn.IFNA(MATCH(1,(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)*(_xlfn.ANCHORARRAY(Sintesi!$C$15)&gt;=0)+(_xlfn.ANCHORARRAY(Sintesi!$C$15)&lt;0),0),0)</f>
        <v/>
      </c>
      <c r="D181" s="1">
        <f t="array" ref="D181">IF(ISBLANK($E182),IF(ISNUMBER($E180),IF($C181&gt;0,IF(($E181=INDEX(_xlfn.ANCHORARRAY(Sintesi!$C$14),1,$C181))*(INDEX(_xlfn.ANCHORARRAY(Sintesi!$C$15),1,$C181)&gt;0),0,IF(($E181=INDEX(_xlfn.ANCHORARRAY(Sintesi!$C$14),1,$C181))*(INDEX(_xlfn.ANCHORARRAY(Sintesi!$C$15),1,$C181)&lt;0)+($E181&gt;=$E180)*($E181&lt;=INDEX($E:$E,MATCH(TRUE,INDEX((ISNUMBER($E:$E)),0),0)))*($E181&gt;INDEX(_xlfn.ANCHORARRAY(Sintesi!$C$14),1,$C181))*($E181&lt;=INDEX(_xlfn.ANCHORARRAY(Sintesi!$C$15),1,$C181))*(INDEX(_xlfn.ANCHORARRAY(Sintesi!$C$15),1,$C181)&gt;0),1,IF(($E181&gt;=$E180)*($E181&lt;=INDEX($E:$E,MATCH(TRUE,INDEX((ISNUMBER($E:$E)),0),0)))*($E181&gt;INDEX(_xlfn.ANCHORARRAY(Sintesi!$C$14),1,$C181))*($E181&lt;INDEX(_xlfn.ANCHORARRAY(Sintesi!$C$16),1,$C181))*(INDEX(_xlfn.ANCHORARRAY(Sintesi!$C$15),1,$C181)&lt;0)+($E181&gt;=$E180)*($E181&lt;=INDEX($E:$E,MATCH(TRUE,INDEX((ISNUMBER($E:$E)),0),0)))*($E181&gt;INDEX(_xlfn.ANCHORARRAY(Sintesi!$C$15),1,$C181))*($E181&lt;INDEX(_xlfn.ANCHORARRAY(Sintesi!$C$16),1,$C181))*(INDEX(_xlfn.ANCHORARRAY(Sintesi!$C$15),1,$C181)&gt;0),2,IF($E181=(INDEX(_xlfn.ANCHORARRAY(Sintesi!$C$16),1,$C181)),3,4)))),0),IF($C181&gt;0,IF(($E181=INDEX(_xlfn.ANCHORARRAY(Sintesi!$C$14),1,$C181))*(INDEX(_xlfn.ANCHORARRAY(Sintesi!$C$15),1,$C181)&gt;0),0,IF(($E181=INDEX(_xlfn.ANCHORARRAY(Sintesi!$C$14),1,$C181))*(INDEX(_xlfn.ANCHORARRAY(Sintesi!$C$15),1,$C181)&lt;0)+($E181&gt;=LOOKUP(2,1/($E:$E&lt;&gt;""),$E:$E))*($E181&lt;=INDEX($E:$E,MATCH(TRUE,INDEX((ISNUMBER($E:$E)),0),0)))*($E181&gt;INDEX(_xlfn.ANCHORARRAY(Sintesi!$C$14),1,$C181))*($E181&lt;=INDEX(_xlfn.ANCHORARRAY(Sintesi!$C$15),1,$C181))*(INDEX(_xlfn.ANCHORARRAY(Sintesi!$C$15),1,$C181)&gt;0),1,IF(($E181&gt;=LOOKUP(2,1/($E:$E&lt;&gt;""),$E:$E))*($E181&lt;=INDEX($E:$E,MATCH(TRUE,INDEX((ISNUMBER($E:$E)),0),0)))*($E181&gt;INDEX(_xlfn.ANCHORARRAY(Sintesi!$C$14),1,$C181))*($E181&lt;INDEX(_xlfn.ANCHORARRAY(Sintesi!$C$16),1,$C181))*(INDEX(_xlfn.ANCHORARRAY(Sintesi!$C$15),1,$C181)&lt;0)+($E181&gt;=LOOKUP(2,1/($E:$E&lt;&gt;""),$E:$E))*($E181&lt;=INDEX($E:$E,MATCH(TRUE,INDEX((ISNUMBER($E:$E)),0),0)))*($E181&gt;INDEX(_xlfn.ANCHORARRAY(Sintesi!$C$15),1,$C181))*($E181&lt;INDEX(_xlfn.ANCHORARRAY(Sintesi!$C$16),1,$C181))*(INDEX(_xlfn.ANCHORARRAY(Sintesi!$C$15),1,$C181)&gt;0),2,IF($E181=(INDEX(_xlfn.ANCHORARRAY(Sintesi!$C$16),1,$C181)),3,4)))),0)),IF(ISNUMBER($E180),IF($C181&gt;0,IF(($E181=INDEX(_xlfn.ANCHORARRAY(Sintesi!$C$14),1,$C181))*(INDEX(_xlfn.ANCHORARRAY(Sintesi!$C$15),1,$C181)&gt;0),0,IF(($E181=INDEX(_xlfn.ANCHORARRAY(Sintesi!$C$14),1,$C181))*(INDEX(_xlfn.ANCHORARRAY(Sintesi!$C$15),1,$C181)&lt;0)+($E181&gt;=$E180)*($E181&lt;=$E182)*($E181&gt;INDEX(_xlfn.ANCHORARRAY(Sintesi!$C$14),1,$C181))*($E181&lt;=INDEX(_xlfn.ANCHORARRAY(Sintesi!$C$15),1,$C181))*(INDEX(_xlfn.ANCHORARRAY(Sintesi!$C$15),1,$C181)&gt;0),1,IF(($E181&gt;=$E180)*($E181&lt;=$E182)*($E181&gt;INDEX(_xlfn.ANCHORARRAY(Sintesi!$C$14),1,$C181))*($E181&lt;INDEX(_xlfn.ANCHORARRAY(Sintesi!$C$16),1,$C181))*(INDEX(_xlfn.ANCHORARRAY(Sintesi!$C$15),1,$C181)&lt;0)+($E181&gt;=$E180)*($E181&lt;=$E182)*($E181&gt;INDEX(_xlfn.ANCHORARRAY(Sintesi!$C$15),1,$C181))*($E181&lt;INDEX(_xlfn.ANCHORARRAY(Sintesi!$C$16),1,$C181))*(INDEX(_xlfn.ANCHORARRAY(Sintesi!$C$15),1,$C181)&gt;0),2,IF($E181=(INDEX(_xlfn.ANCHORARRAY(Sintesi!$C$16),1,$C181)),3,4)))),0),IF($C181&gt;0,IF(($E181=INDEX(_xlfn.ANCHORARRAY(Sintesi!$C$14),1,$C181))*(INDEX(_xlfn.ANCHORARRAY(Sintesi!$C$15),1,$C181)&gt;0),0,IF(($E181=INDEX(_xlfn.ANCHORARRAY(Sintesi!$C$14),1,$C181))*(INDEX(_xlfn.ANCHORARRAY(Sintesi!$C$15),1,$C181)&lt;0)+($E181&gt;=LOOKUP(2,1/($E:$E&lt;&gt;""),$E:$E))*($E181&lt;=$E182)*($E181&gt;INDEX(_xlfn.ANCHORARRAY(Sintesi!$C$14),1,$C181))*($E181&lt;=INDEX(_xlfn.ANCHORARRAY(Sintesi!$C$15),1,$C181))*(INDEX(_xlfn.ANCHORARRAY(Sintesi!$C$15),1,$C181)&gt;0),1,IF(($E181&gt;=LOOKUP(2,1/($E:$E&lt;&gt;""),$E:$E))*($E181&lt;=$E182)*($E181&gt;INDEX(_xlfn.ANCHORARRAY(Sintesi!$C$14),1,$C181))*($E181&lt;INDEX(_xlfn.ANCHORARRAY(Sintesi!$C$16),1,$C181))*(INDEX(_xlfn.ANCHORARRAY(Sintesi!$C$15),1,$C181)&lt;0)+($E181&gt;=LOOKUP(2,1/($E:$E&lt;&gt;""),$E:$E))*($E181&lt;=$E182)*($E181&gt;INDEX(_xlfn.ANCHORARRAY(Sintesi!$C$15),1,$C181))*($E181&lt;INDEX(_xlfn.ANCHORARRAY(Sintesi!$C$16),1,$C181))*(INDEX(_xlfn.ANCHORARRAY(Sintesi!$C$15),1,$C181)&gt;0),2,IF($E181=(INDEX(_xlfn.ANCHORARRAY(Sintesi!$C$16),1,$C181)),3,4)))),0)))</f>
        <v/>
      </c>
      <c r="E181" s="1">
        <f>'Paste cell here'!F181</f>
        <v/>
      </c>
      <c r="F181" s="1">
        <f>'Paste cell here'!C181</f>
        <v/>
      </c>
      <c r="G181" s="1">
        <f>'Paste cell here'!D181</f>
        <v/>
      </c>
      <c r="H181" s="1">
        <f>'Paste cell here'!E181</f>
        <v/>
      </c>
      <c r="I181" s="1">
        <f>'Paste cell here'!X181</f>
        <v/>
      </c>
      <c r="J181" s="1">
        <f>'Paste cell here'!Y181+'Paste cell here'!S181</f>
        <v/>
      </c>
      <c r="K181" s="1">
        <f>I181/H181</f>
        <v/>
      </c>
      <c r="L181" s="1">
        <f>AVERAGE(($F181+$G181)/2-($F181-$G181)/2*COS(PI()*(8-VLOOKUP(MONTH(B181),$O$1:$Q$13,3))/(VLOOKUP(MONTH(B181),$O$1:$Q$13,2)-VLOOKUP(MONTH(B181),$O$1:$Q$13,3))),($F181+$G181)/2-($F181-$G181)/2*COS(PI()*(9-VLOOKUP(MONTH(B181),$O$1:$Q$13,3))/(VLOOKUP(MONTH(B181),$O$1:$Q$13,2)-VLOOKUP(MONTH(B181),$O$1:$Q$13,3))),($F181+$G181)/2-($F181-$G181)/2*COS(PI()*(10-VLOOKUP(MONTH(B181),$O$1:$Q$13,3))/(VLOOKUP(MONTH(B181),$O$1:$Q$13,2)-VLOOKUP(MONTH(B181),$O$1:$Q$13,3))),($F181+$G181)/2-($F181-$G181)/2*COS(PI()*(11-VLOOKUP(MONTH(B181),$O$1:$Q$13,3))/(VLOOKUP(MONTH(B181),$O$1:$Q$13,2)-VLOOKUP(MONTH(B181),$O$1:$Q$13,3))),($F181+$G181)/2-($F181-$G181)/2*COS(PI()*(12-VLOOKUP(MONTH(B181),$O$1:$Q$13,3))/(VLOOKUP(MONTH(B181),$O$1:$Q$13,2)-VLOOKUP(MONTH(B181),$O$1:$Q$13,3))),($F181+$G181)/2-($F181-$G181)/2*COS(PI()*(13-VLOOKUP(MONTH(B181),$O$1:$Q$13,3))/(VLOOKUP(MONTH(B181),$O$1:$Q$13,2)-VLOOKUP(MONTH(B181),$O$1:$Q$13,3))),($F181+$G181)/2-($F181-$G181)/2*COS(PI()*(14-VLOOKUP(MONTH(B181),$O$1:$Q$13,3))/(VLOOKUP(MONTH(B181),$O$1:$Q$13,2)-VLOOKUP(MONTH(B181),$O$1:$Q$13,3))))</f>
        <v/>
      </c>
      <c r="M181" s="1">
        <f t="array" ref="M181">IF(AND(A181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,A181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),IF(L181&lt;_xlfn.IFNA(INDEX(_xlfn.ANCHORARRAY(Sintesi!$C$17)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,1,IF(L181&gt;=_xlfn.IFNA(INDEX(_xlfn.ANCHORARRAY(Sintesi!$C$18)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,0,1-(L181-_xlfn.IFNA(INDEX(_xlfn.ANCHORARRAY(Sintesi!$C$17)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)/(_xlfn.IFNA(INDEX(_xlfn.ANCHORARRAY(Sintesi!$C$18)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-_xlfn.IFNA(INDEX(_xlfn.ANCHORARRAY(Sintesi!$C$17)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))),0)</f>
        <v/>
      </c>
    </row>
    <row r="182">
      <c r="A182" s="1">
        <f>'Paste cell here'!A182</f>
        <v/>
      </c>
      <c r="B182" s="2">
        <f>DATE(Sintesi!$C$4-1,12,31)+A182</f>
        <v/>
      </c>
      <c r="C182" s="34">
        <f t="array" ref="C182">_xlfn.IFNA(MATCH(1,(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)*(_xlfn.ANCHORARRAY(Sintesi!$C$15)&gt;=0)+(_xlfn.ANCHORARRAY(Sintesi!$C$15)&lt;0),0),0)</f>
        <v/>
      </c>
      <c r="D182" s="1">
        <f t="array" ref="D182">IF(ISBLANK($E183),IF(ISNUMBER($E181),IF($C182&gt;0,IF(($E182=INDEX(_xlfn.ANCHORARRAY(Sintesi!$C$14),1,$C182))*(INDEX(_xlfn.ANCHORARRAY(Sintesi!$C$15),1,$C182)&gt;0),0,IF(($E182=INDEX(_xlfn.ANCHORARRAY(Sintesi!$C$14),1,$C182))*(INDEX(_xlfn.ANCHORARRAY(Sintesi!$C$15),1,$C182)&lt;0)+($E182&gt;=$E181)*($E182&lt;=INDEX($E:$E,MATCH(TRUE,INDEX((ISNUMBER($E:$E)),0),0)))*($E182&gt;INDEX(_xlfn.ANCHORARRAY(Sintesi!$C$14),1,$C182))*($E182&lt;=INDEX(_xlfn.ANCHORARRAY(Sintesi!$C$15),1,$C182))*(INDEX(_xlfn.ANCHORARRAY(Sintesi!$C$15),1,$C182)&gt;0),1,IF(($E182&gt;=$E181)*($E182&lt;=INDEX($E:$E,MATCH(TRUE,INDEX((ISNUMBER($E:$E)),0),0)))*($E182&gt;INDEX(_xlfn.ANCHORARRAY(Sintesi!$C$14),1,$C182))*($E182&lt;INDEX(_xlfn.ANCHORARRAY(Sintesi!$C$16),1,$C182))*(INDEX(_xlfn.ANCHORARRAY(Sintesi!$C$15),1,$C182)&lt;0)+($E182&gt;=$E181)*($E182&lt;=INDEX($E:$E,MATCH(TRUE,INDEX((ISNUMBER($E:$E)),0),0)))*($E182&gt;INDEX(_xlfn.ANCHORARRAY(Sintesi!$C$15),1,$C182))*($E182&lt;INDEX(_xlfn.ANCHORARRAY(Sintesi!$C$16),1,$C182))*(INDEX(_xlfn.ANCHORARRAY(Sintesi!$C$15),1,$C182)&gt;0),2,IF($E182=(INDEX(_xlfn.ANCHORARRAY(Sintesi!$C$16),1,$C182)),3,4)))),0),IF($C182&gt;0,IF(($E182=INDEX(_xlfn.ANCHORARRAY(Sintesi!$C$14),1,$C182))*(INDEX(_xlfn.ANCHORARRAY(Sintesi!$C$15),1,$C182)&gt;0),0,IF(($E182=INDEX(_xlfn.ANCHORARRAY(Sintesi!$C$14),1,$C182))*(INDEX(_xlfn.ANCHORARRAY(Sintesi!$C$15),1,$C182)&lt;0)+($E182&gt;=LOOKUP(2,1/($E:$E&lt;&gt;""),$E:$E))*($E182&lt;=INDEX($E:$E,MATCH(TRUE,INDEX((ISNUMBER($E:$E)),0),0)))*($E182&gt;INDEX(_xlfn.ANCHORARRAY(Sintesi!$C$14),1,$C182))*($E182&lt;=INDEX(_xlfn.ANCHORARRAY(Sintesi!$C$15),1,$C182))*(INDEX(_xlfn.ANCHORARRAY(Sintesi!$C$15),1,$C182)&gt;0),1,IF(($E182&gt;=LOOKUP(2,1/($E:$E&lt;&gt;""),$E:$E))*($E182&lt;=INDEX($E:$E,MATCH(TRUE,INDEX((ISNUMBER($E:$E)),0),0)))*($E182&gt;INDEX(_xlfn.ANCHORARRAY(Sintesi!$C$14),1,$C182))*($E182&lt;INDEX(_xlfn.ANCHORARRAY(Sintesi!$C$16),1,$C182))*(INDEX(_xlfn.ANCHORARRAY(Sintesi!$C$15),1,$C182)&lt;0)+($E182&gt;=LOOKUP(2,1/($E:$E&lt;&gt;""),$E:$E))*($E182&lt;=INDEX($E:$E,MATCH(TRUE,INDEX((ISNUMBER($E:$E)),0),0)))*($E182&gt;INDEX(_xlfn.ANCHORARRAY(Sintesi!$C$15),1,$C182))*($E182&lt;INDEX(_xlfn.ANCHORARRAY(Sintesi!$C$16),1,$C182))*(INDEX(_xlfn.ANCHORARRAY(Sintesi!$C$15),1,$C182)&gt;0),2,IF($E182=(INDEX(_xlfn.ANCHORARRAY(Sintesi!$C$16),1,$C182)),3,4)))),0)),IF(ISNUMBER($E181),IF($C182&gt;0,IF(($E182=INDEX(_xlfn.ANCHORARRAY(Sintesi!$C$14),1,$C182))*(INDEX(_xlfn.ANCHORARRAY(Sintesi!$C$15),1,$C182)&gt;0),0,IF(($E182=INDEX(_xlfn.ANCHORARRAY(Sintesi!$C$14),1,$C182))*(INDEX(_xlfn.ANCHORARRAY(Sintesi!$C$15),1,$C182)&lt;0)+($E182&gt;=$E181)*($E182&lt;=$E183)*($E182&gt;INDEX(_xlfn.ANCHORARRAY(Sintesi!$C$14),1,$C182))*($E182&lt;=INDEX(_xlfn.ANCHORARRAY(Sintesi!$C$15),1,$C182))*(INDEX(_xlfn.ANCHORARRAY(Sintesi!$C$15),1,$C182)&gt;0),1,IF(($E182&gt;=$E181)*($E182&lt;=$E183)*($E182&gt;INDEX(_xlfn.ANCHORARRAY(Sintesi!$C$14),1,$C182))*($E182&lt;INDEX(_xlfn.ANCHORARRAY(Sintesi!$C$16),1,$C182))*(INDEX(_xlfn.ANCHORARRAY(Sintesi!$C$15),1,$C182)&lt;0)+($E182&gt;=$E181)*($E182&lt;=$E183)*($E182&gt;INDEX(_xlfn.ANCHORARRAY(Sintesi!$C$15),1,$C182))*($E182&lt;INDEX(_xlfn.ANCHORARRAY(Sintesi!$C$16),1,$C182))*(INDEX(_xlfn.ANCHORARRAY(Sintesi!$C$15),1,$C182)&gt;0),2,IF($E182=(INDEX(_xlfn.ANCHORARRAY(Sintesi!$C$16),1,$C182)),3,4)))),0),IF($C182&gt;0,IF(($E182=INDEX(_xlfn.ANCHORARRAY(Sintesi!$C$14),1,$C182))*(INDEX(_xlfn.ANCHORARRAY(Sintesi!$C$15),1,$C182)&gt;0),0,IF(($E182=INDEX(_xlfn.ANCHORARRAY(Sintesi!$C$14),1,$C182))*(INDEX(_xlfn.ANCHORARRAY(Sintesi!$C$15),1,$C182)&lt;0)+($E182&gt;=LOOKUP(2,1/($E:$E&lt;&gt;""),$E:$E))*($E182&lt;=$E183)*($E182&gt;INDEX(_xlfn.ANCHORARRAY(Sintesi!$C$14),1,$C182))*($E182&lt;=INDEX(_xlfn.ANCHORARRAY(Sintesi!$C$15),1,$C182))*(INDEX(_xlfn.ANCHORARRAY(Sintesi!$C$15),1,$C182)&gt;0),1,IF(($E182&gt;=LOOKUP(2,1/($E:$E&lt;&gt;""),$E:$E))*($E182&lt;=$E183)*($E182&gt;INDEX(_xlfn.ANCHORARRAY(Sintesi!$C$14),1,$C182))*($E182&lt;INDEX(_xlfn.ANCHORARRAY(Sintesi!$C$16),1,$C182))*(INDEX(_xlfn.ANCHORARRAY(Sintesi!$C$15),1,$C182)&lt;0)+($E182&gt;=LOOKUP(2,1/($E:$E&lt;&gt;""),$E:$E))*($E182&lt;=$E183)*($E182&gt;INDEX(_xlfn.ANCHORARRAY(Sintesi!$C$15),1,$C182))*($E182&lt;INDEX(_xlfn.ANCHORARRAY(Sintesi!$C$16),1,$C182))*(INDEX(_xlfn.ANCHORARRAY(Sintesi!$C$15),1,$C182)&gt;0),2,IF($E182=(INDEX(_xlfn.ANCHORARRAY(Sintesi!$C$16),1,$C182)),3,4)))),0)))</f>
        <v/>
      </c>
      <c r="E182" s="1">
        <f>'Paste cell here'!F182</f>
        <v/>
      </c>
      <c r="F182" s="1">
        <f>'Paste cell here'!C182</f>
        <v/>
      </c>
      <c r="G182" s="1">
        <f>'Paste cell here'!D182</f>
        <v/>
      </c>
      <c r="H182" s="1">
        <f>'Paste cell here'!E182</f>
        <v/>
      </c>
      <c r="I182" s="1">
        <f>'Paste cell here'!X182</f>
        <v/>
      </c>
      <c r="J182" s="1">
        <f>'Paste cell here'!Y182+'Paste cell here'!S182</f>
        <v/>
      </c>
      <c r="K182" s="1">
        <f>I182/H182</f>
        <v/>
      </c>
      <c r="L182" s="1">
        <f>AVERAGE(($F182+$G182)/2-($F182-$G182)/2*COS(PI()*(8-VLOOKUP(MONTH(B182),$O$1:$Q$13,3))/(VLOOKUP(MONTH(B182),$O$1:$Q$13,2)-VLOOKUP(MONTH(B182),$O$1:$Q$13,3))),($F182+$G182)/2-($F182-$G182)/2*COS(PI()*(9-VLOOKUP(MONTH(B182),$O$1:$Q$13,3))/(VLOOKUP(MONTH(B182),$O$1:$Q$13,2)-VLOOKUP(MONTH(B182),$O$1:$Q$13,3))),($F182+$G182)/2-($F182-$G182)/2*COS(PI()*(10-VLOOKUP(MONTH(B182),$O$1:$Q$13,3))/(VLOOKUP(MONTH(B182),$O$1:$Q$13,2)-VLOOKUP(MONTH(B182),$O$1:$Q$13,3))),($F182+$G182)/2-($F182-$G182)/2*COS(PI()*(11-VLOOKUP(MONTH(B182),$O$1:$Q$13,3))/(VLOOKUP(MONTH(B182),$O$1:$Q$13,2)-VLOOKUP(MONTH(B182),$O$1:$Q$13,3))),($F182+$G182)/2-($F182-$G182)/2*COS(PI()*(12-VLOOKUP(MONTH(B182),$O$1:$Q$13,3))/(VLOOKUP(MONTH(B182),$O$1:$Q$13,2)-VLOOKUP(MONTH(B182),$O$1:$Q$13,3))),($F182+$G182)/2-($F182-$G182)/2*COS(PI()*(13-VLOOKUP(MONTH(B182),$O$1:$Q$13,3))/(VLOOKUP(MONTH(B182),$O$1:$Q$13,2)-VLOOKUP(MONTH(B182),$O$1:$Q$13,3))),($F182+$G182)/2-($F182-$G182)/2*COS(PI()*(14-VLOOKUP(MONTH(B182),$O$1:$Q$13,3))/(VLOOKUP(MONTH(B182),$O$1:$Q$13,2)-VLOOKUP(MONTH(B182),$O$1:$Q$13,3))))</f>
        <v/>
      </c>
      <c r="M182" s="1">
        <f t="array" ref="M182">IF(AND(A182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,A182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),IF(L182&lt;_xlfn.IFNA(INDEX(_xlfn.ANCHORARRAY(Sintesi!$C$17)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,1,IF(L182&gt;=_xlfn.IFNA(INDEX(_xlfn.ANCHORARRAY(Sintesi!$C$18)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,0,1-(L182-_xlfn.IFNA(INDEX(_xlfn.ANCHORARRAY(Sintesi!$C$17)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)/(_xlfn.IFNA(INDEX(_xlfn.ANCHORARRAY(Sintesi!$C$18)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-_xlfn.IFNA(INDEX(_xlfn.ANCHORARRAY(Sintesi!$C$17)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))),0)</f>
        <v/>
      </c>
    </row>
    <row r="183">
      <c r="A183" s="1">
        <f>'Paste cell here'!A183</f>
        <v/>
      </c>
      <c r="B183" s="2">
        <f>DATE(Sintesi!$C$4-1,12,31)+A183</f>
        <v/>
      </c>
      <c r="C183" s="34">
        <f t="array" ref="C183">_xlfn.IFNA(MATCH(1,(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)*(_xlfn.ANCHORARRAY(Sintesi!$C$15)&gt;=0)+(_xlfn.ANCHORARRAY(Sintesi!$C$15)&lt;0),0),0)</f>
        <v/>
      </c>
      <c r="D183" s="1">
        <f t="array" ref="D183">IF(ISBLANK($E184),IF(ISNUMBER($E182),IF($C183&gt;0,IF(($E183=INDEX(_xlfn.ANCHORARRAY(Sintesi!$C$14),1,$C183))*(INDEX(_xlfn.ANCHORARRAY(Sintesi!$C$15),1,$C183)&gt;0),0,IF(($E183=INDEX(_xlfn.ANCHORARRAY(Sintesi!$C$14),1,$C183))*(INDEX(_xlfn.ANCHORARRAY(Sintesi!$C$15),1,$C183)&lt;0)+($E183&gt;=$E182)*($E183&lt;=INDEX($E:$E,MATCH(TRUE,INDEX((ISNUMBER($E:$E)),0),0)))*($E183&gt;INDEX(_xlfn.ANCHORARRAY(Sintesi!$C$14),1,$C183))*($E183&lt;=INDEX(_xlfn.ANCHORARRAY(Sintesi!$C$15),1,$C183))*(INDEX(_xlfn.ANCHORARRAY(Sintesi!$C$15),1,$C183)&gt;0),1,IF(($E183&gt;=$E182)*($E183&lt;=INDEX($E:$E,MATCH(TRUE,INDEX((ISNUMBER($E:$E)),0),0)))*($E183&gt;INDEX(_xlfn.ANCHORARRAY(Sintesi!$C$14),1,$C183))*($E183&lt;INDEX(_xlfn.ANCHORARRAY(Sintesi!$C$16),1,$C183))*(INDEX(_xlfn.ANCHORARRAY(Sintesi!$C$15),1,$C183)&lt;0)+($E183&gt;=$E182)*($E183&lt;=INDEX($E:$E,MATCH(TRUE,INDEX((ISNUMBER($E:$E)),0),0)))*($E183&gt;INDEX(_xlfn.ANCHORARRAY(Sintesi!$C$15),1,$C183))*($E183&lt;INDEX(_xlfn.ANCHORARRAY(Sintesi!$C$16),1,$C183))*(INDEX(_xlfn.ANCHORARRAY(Sintesi!$C$15),1,$C183)&gt;0),2,IF($E183=(INDEX(_xlfn.ANCHORARRAY(Sintesi!$C$16),1,$C183)),3,4)))),0),IF($C183&gt;0,IF(($E183=INDEX(_xlfn.ANCHORARRAY(Sintesi!$C$14),1,$C183))*(INDEX(_xlfn.ANCHORARRAY(Sintesi!$C$15),1,$C183)&gt;0),0,IF(($E183=INDEX(_xlfn.ANCHORARRAY(Sintesi!$C$14),1,$C183))*(INDEX(_xlfn.ANCHORARRAY(Sintesi!$C$15),1,$C183)&lt;0)+($E183&gt;=LOOKUP(2,1/($E:$E&lt;&gt;""),$E:$E))*($E183&lt;=INDEX($E:$E,MATCH(TRUE,INDEX((ISNUMBER($E:$E)),0),0)))*($E183&gt;INDEX(_xlfn.ANCHORARRAY(Sintesi!$C$14),1,$C183))*($E183&lt;=INDEX(_xlfn.ANCHORARRAY(Sintesi!$C$15),1,$C183))*(INDEX(_xlfn.ANCHORARRAY(Sintesi!$C$15),1,$C183)&gt;0),1,IF(($E183&gt;=LOOKUP(2,1/($E:$E&lt;&gt;""),$E:$E))*($E183&lt;=INDEX($E:$E,MATCH(TRUE,INDEX((ISNUMBER($E:$E)),0),0)))*($E183&gt;INDEX(_xlfn.ANCHORARRAY(Sintesi!$C$14),1,$C183))*($E183&lt;INDEX(_xlfn.ANCHORARRAY(Sintesi!$C$16),1,$C183))*(INDEX(_xlfn.ANCHORARRAY(Sintesi!$C$15),1,$C183)&lt;0)+($E183&gt;=LOOKUP(2,1/($E:$E&lt;&gt;""),$E:$E))*($E183&lt;=INDEX($E:$E,MATCH(TRUE,INDEX((ISNUMBER($E:$E)),0),0)))*($E183&gt;INDEX(_xlfn.ANCHORARRAY(Sintesi!$C$15),1,$C183))*($E183&lt;INDEX(_xlfn.ANCHORARRAY(Sintesi!$C$16),1,$C183))*(INDEX(_xlfn.ANCHORARRAY(Sintesi!$C$15),1,$C183)&gt;0),2,IF($E183=(INDEX(_xlfn.ANCHORARRAY(Sintesi!$C$16),1,$C183)),3,4)))),0)),IF(ISNUMBER($E182),IF($C183&gt;0,IF(($E183=INDEX(_xlfn.ANCHORARRAY(Sintesi!$C$14),1,$C183))*(INDEX(_xlfn.ANCHORARRAY(Sintesi!$C$15),1,$C183)&gt;0),0,IF(($E183=INDEX(_xlfn.ANCHORARRAY(Sintesi!$C$14),1,$C183))*(INDEX(_xlfn.ANCHORARRAY(Sintesi!$C$15),1,$C183)&lt;0)+($E183&gt;=$E182)*($E183&lt;=$E184)*($E183&gt;INDEX(_xlfn.ANCHORARRAY(Sintesi!$C$14),1,$C183))*($E183&lt;=INDEX(_xlfn.ANCHORARRAY(Sintesi!$C$15),1,$C183))*(INDEX(_xlfn.ANCHORARRAY(Sintesi!$C$15),1,$C183)&gt;0),1,IF(($E183&gt;=$E182)*($E183&lt;=$E184)*($E183&gt;INDEX(_xlfn.ANCHORARRAY(Sintesi!$C$14),1,$C183))*($E183&lt;INDEX(_xlfn.ANCHORARRAY(Sintesi!$C$16),1,$C183))*(INDEX(_xlfn.ANCHORARRAY(Sintesi!$C$15),1,$C183)&lt;0)+($E183&gt;=$E182)*($E183&lt;=$E184)*($E183&gt;INDEX(_xlfn.ANCHORARRAY(Sintesi!$C$15),1,$C183))*($E183&lt;INDEX(_xlfn.ANCHORARRAY(Sintesi!$C$16),1,$C183))*(INDEX(_xlfn.ANCHORARRAY(Sintesi!$C$15),1,$C183)&gt;0),2,IF($E183=(INDEX(_xlfn.ANCHORARRAY(Sintesi!$C$16),1,$C183)),3,4)))),0),IF($C183&gt;0,IF(($E183=INDEX(_xlfn.ANCHORARRAY(Sintesi!$C$14),1,$C183))*(INDEX(_xlfn.ANCHORARRAY(Sintesi!$C$15),1,$C183)&gt;0),0,IF(($E183=INDEX(_xlfn.ANCHORARRAY(Sintesi!$C$14),1,$C183))*(INDEX(_xlfn.ANCHORARRAY(Sintesi!$C$15),1,$C183)&lt;0)+($E183&gt;=LOOKUP(2,1/($E:$E&lt;&gt;""),$E:$E))*($E183&lt;=$E184)*($E183&gt;INDEX(_xlfn.ANCHORARRAY(Sintesi!$C$14),1,$C183))*($E183&lt;=INDEX(_xlfn.ANCHORARRAY(Sintesi!$C$15),1,$C183))*(INDEX(_xlfn.ANCHORARRAY(Sintesi!$C$15),1,$C183)&gt;0),1,IF(($E183&gt;=LOOKUP(2,1/($E:$E&lt;&gt;""),$E:$E))*($E183&lt;=$E184)*($E183&gt;INDEX(_xlfn.ANCHORARRAY(Sintesi!$C$14),1,$C183))*($E183&lt;INDEX(_xlfn.ANCHORARRAY(Sintesi!$C$16),1,$C183))*(INDEX(_xlfn.ANCHORARRAY(Sintesi!$C$15),1,$C183)&lt;0)+($E183&gt;=LOOKUP(2,1/($E:$E&lt;&gt;""),$E:$E))*($E183&lt;=$E184)*($E183&gt;INDEX(_xlfn.ANCHORARRAY(Sintesi!$C$15),1,$C183))*($E183&lt;INDEX(_xlfn.ANCHORARRAY(Sintesi!$C$16),1,$C183))*(INDEX(_xlfn.ANCHORARRAY(Sintesi!$C$15),1,$C183)&gt;0),2,IF($E183=(INDEX(_xlfn.ANCHORARRAY(Sintesi!$C$16),1,$C183)),3,4)))),0)))</f>
        <v/>
      </c>
      <c r="E183" s="1">
        <f>'Paste cell here'!F183</f>
        <v/>
      </c>
      <c r="F183" s="1">
        <f>'Paste cell here'!C183</f>
        <v/>
      </c>
      <c r="G183" s="1">
        <f>'Paste cell here'!D183</f>
        <v/>
      </c>
      <c r="H183" s="1">
        <f>'Paste cell here'!E183</f>
        <v/>
      </c>
      <c r="I183" s="1">
        <f>'Paste cell here'!X183</f>
        <v/>
      </c>
      <c r="J183" s="1">
        <f>'Paste cell here'!Y183+'Paste cell here'!S183</f>
        <v/>
      </c>
      <c r="K183" s="1">
        <f>I183/H183</f>
        <v/>
      </c>
      <c r="L183" s="1">
        <f>AVERAGE(($F183+$G183)/2-($F183-$G183)/2*COS(PI()*(8-VLOOKUP(MONTH(B183),$O$1:$Q$13,3))/(VLOOKUP(MONTH(B183),$O$1:$Q$13,2)-VLOOKUP(MONTH(B183),$O$1:$Q$13,3))),($F183+$G183)/2-($F183-$G183)/2*COS(PI()*(9-VLOOKUP(MONTH(B183),$O$1:$Q$13,3))/(VLOOKUP(MONTH(B183),$O$1:$Q$13,2)-VLOOKUP(MONTH(B183),$O$1:$Q$13,3))),($F183+$G183)/2-($F183-$G183)/2*COS(PI()*(10-VLOOKUP(MONTH(B183),$O$1:$Q$13,3))/(VLOOKUP(MONTH(B183),$O$1:$Q$13,2)-VLOOKUP(MONTH(B183),$O$1:$Q$13,3))),($F183+$G183)/2-($F183-$G183)/2*COS(PI()*(11-VLOOKUP(MONTH(B183),$O$1:$Q$13,3))/(VLOOKUP(MONTH(B183),$O$1:$Q$13,2)-VLOOKUP(MONTH(B183),$O$1:$Q$13,3))),($F183+$G183)/2-($F183-$G183)/2*COS(PI()*(12-VLOOKUP(MONTH(B183),$O$1:$Q$13,3))/(VLOOKUP(MONTH(B183),$O$1:$Q$13,2)-VLOOKUP(MONTH(B183),$O$1:$Q$13,3))),($F183+$G183)/2-($F183-$G183)/2*COS(PI()*(13-VLOOKUP(MONTH(B183),$O$1:$Q$13,3))/(VLOOKUP(MONTH(B183),$O$1:$Q$13,2)-VLOOKUP(MONTH(B183),$O$1:$Q$13,3))),($F183+$G183)/2-($F183-$G183)/2*COS(PI()*(14-VLOOKUP(MONTH(B183),$O$1:$Q$13,3))/(VLOOKUP(MONTH(B183),$O$1:$Q$13,2)-VLOOKUP(MONTH(B183),$O$1:$Q$13,3))))</f>
        <v/>
      </c>
      <c r="M183" s="1">
        <f t="array" ref="M183">IF(AND(A183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,A183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),IF(L183&lt;_xlfn.IFNA(INDEX(_xlfn.ANCHORARRAY(Sintesi!$C$17)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,1,IF(L183&gt;=_xlfn.IFNA(INDEX(_xlfn.ANCHORARRAY(Sintesi!$C$18)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,0,1-(L183-_xlfn.IFNA(INDEX(_xlfn.ANCHORARRAY(Sintesi!$C$17)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)/(_xlfn.IFNA(INDEX(_xlfn.ANCHORARRAY(Sintesi!$C$18)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-_xlfn.IFNA(INDEX(_xlfn.ANCHORARRAY(Sintesi!$C$17)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))),0)</f>
        <v/>
      </c>
    </row>
    <row r="184">
      <c r="A184" s="1">
        <f>'Paste cell here'!A184</f>
        <v/>
      </c>
      <c r="B184" s="2">
        <f>DATE(Sintesi!$C$4-1,12,31)+A184</f>
        <v/>
      </c>
      <c r="C184" s="34">
        <f t="array" ref="C184">_xlfn.IFNA(MATCH(1,(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)*(_xlfn.ANCHORARRAY(Sintesi!$C$15)&gt;=0)+(_xlfn.ANCHORARRAY(Sintesi!$C$15)&lt;0),0),0)</f>
        <v/>
      </c>
      <c r="D184" s="1">
        <f t="array" ref="D184">IF(ISBLANK($E185),IF(ISNUMBER($E183),IF($C184&gt;0,IF(($E184=INDEX(_xlfn.ANCHORARRAY(Sintesi!$C$14),1,$C184))*(INDEX(_xlfn.ANCHORARRAY(Sintesi!$C$15),1,$C184)&gt;0),0,IF(($E184=INDEX(_xlfn.ANCHORARRAY(Sintesi!$C$14),1,$C184))*(INDEX(_xlfn.ANCHORARRAY(Sintesi!$C$15),1,$C184)&lt;0)+($E184&gt;=$E183)*($E184&lt;=INDEX($E:$E,MATCH(TRUE,INDEX((ISNUMBER($E:$E)),0),0)))*($E184&gt;INDEX(_xlfn.ANCHORARRAY(Sintesi!$C$14),1,$C184))*($E184&lt;=INDEX(_xlfn.ANCHORARRAY(Sintesi!$C$15),1,$C184))*(INDEX(_xlfn.ANCHORARRAY(Sintesi!$C$15),1,$C184)&gt;0),1,IF(($E184&gt;=$E183)*($E184&lt;=INDEX($E:$E,MATCH(TRUE,INDEX((ISNUMBER($E:$E)),0),0)))*($E184&gt;INDEX(_xlfn.ANCHORARRAY(Sintesi!$C$14),1,$C184))*($E184&lt;INDEX(_xlfn.ANCHORARRAY(Sintesi!$C$16),1,$C184))*(INDEX(_xlfn.ANCHORARRAY(Sintesi!$C$15),1,$C184)&lt;0)+($E184&gt;=$E183)*($E184&lt;=INDEX($E:$E,MATCH(TRUE,INDEX((ISNUMBER($E:$E)),0),0)))*($E184&gt;INDEX(_xlfn.ANCHORARRAY(Sintesi!$C$15),1,$C184))*($E184&lt;INDEX(_xlfn.ANCHORARRAY(Sintesi!$C$16),1,$C184))*(INDEX(_xlfn.ANCHORARRAY(Sintesi!$C$15),1,$C184)&gt;0),2,IF($E184=(INDEX(_xlfn.ANCHORARRAY(Sintesi!$C$16),1,$C184)),3,4)))),0),IF($C184&gt;0,IF(($E184=INDEX(_xlfn.ANCHORARRAY(Sintesi!$C$14),1,$C184))*(INDEX(_xlfn.ANCHORARRAY(Sintesi!$C$15),1,$C184)&gt;0),0,IF(($E184=INDEX(_xlfn.ANCHORARRAY(Sintesi!$C$14),1,$C184))*(INDEX(_xlfn.ANCHORARRAY(Sintesi!$C$15),1,$C184)&lt;0)+($E184&gt;=LOOKUP(2,1/($E:$E&lt;&gt;""),$E:$E))*($E184&lt;=INDEX($E:$E,MATCH(TRUE,INDEX((ISNUMBER($E:$E)),0),0)))*($E184&gt;INDEX(_xlfn.ANCHORARRAY(Sintesi!$C$14),1,$C184))*($E184&lt;=INDEX(_xlfn.ANCHORARRAY(Sintesi!$C$15),1,$C184))*(INDEX(_xlfn.ANCHORARRAY(Sintesi!$C$15),1,$C184)&gt;0),1,IF(($E184&gt;=LOOKUP(2,1/($E:$E&lt;&gt;""),$E:$E))*($E184&lt;=INDEX($E:$E,MATCH(TRUE,INDEX((ISNUMBER($E:$E)),0),0)))*($E184&gt;INDEX(_xlfn.ANCHORARRAY(Sintesi!$C$14),1,$C184))*($E184&lt;INDEX(_xlfn.ANCHORARRAY(Sintesi!$C$16),1,$C184))*(INDEX(_xlfn.ANCHORARRAY(Sintesi!$C$15),1,$C184)&lt;0)+($E184&gt;=LOOKUP(2,1/($E:$E&lt;&gt;""),$E:$E))*($E184&lt;=INDEX($E:$E,MATCH(TRUE,INDEX((ISNUMBER($E:$E)),0),0)))*($E184&gt;INDEX(_xlfn.ANCHORARRAY(Sintesi!$C$15),1,$C184))*($E184&lt;INDEX(_xlfn.ANCHORARRAY(Sintesi!$C$16),1,$C184))*(INDEX(_xlfn.ANCHORARRAY(Sintesi!$C$15),1,$C184)&gt;0),2,IF($E184=(INDEX(_xlfn.ANCHORARRAY(Sintesi!$C$16),1,$C184)),3,4)))),0)),IF(ISNUMBER($E183),IF($C184&gt;0,IF(($E184=INDEX(_xlfn.ANCHORARRAY(Sintesi!$C$14),1,$C184))*(INDEX(_xlfn.ANCHORARRAY(Sintesi!$C$15),1,$C184)&gt;0),0,IF(($E184=INDEX(_xlfn.ANCHORARRAY(Sintesi!$C$14),1,$C184))*(INDEX(_xlfn.ANCHORARRAY(Sintesi!$C$15),1,$C184)&lt;0)+($E184&gt;=$E183)*($E184&lt;=$E185)*($E184&gt;INDEX(_xlfn.ANCHORARRAY(Sintesi!$C$14),1,$C184))*($E184&lt;=INDEX(_xlfn.ANCHORARRAY(Sintesi!$C$15),1,$C184))*(INDEX(_xlfn.ANCHORARRAY(Sintesi!$C$15),1,$C184)&gt;0),1,IF(($E184&gt;=$E183)*($E184&lt;=$E185)*($E184&gt;INDEX(_xlfn.ANCHORARRAY(Sintesi!$C$14),1,$C184))*($E184&lt;INDEX(_xlfn.ANCHORARRAY(Sintesi!$C$16),1,$C184))*(INDEX(_xlfn.ANCHORARRAY(Sintesi!$C$15),1,$C184)&lt;0)+($E184&gt;=$E183)*($E184&lt;=$E185)*($E184&gt;INDEX(_xlfn.ANCHORARRAY(Sintesi!$C$15),1,$C184))*($E184&lt;INDEX(_xlfn.ANCHORARRAY(Sintesi!$C$16),1,$C184))*(INDEX(_xlfn.ANCHORARRAY(Sintesi!$C$15),1,$C184)&gt;0),2,IF($E184=(INDEX(_xlfn.ANCHORARRAY(Sintesi!$C$16),1,$C184)),3,4)))),0),IF($C184&gt;0,IF(($E184=INDEX(_xlfn.ANCHORARRAY(Sintesi!$C$14),1,$C184))*(INDEX(_xlfn.ANCHORARRAY(Sintesi!$C$15),1,$C184)&gt;0),0,IF(($E184=INDEX(_xlfn.ANCHORARRAY(Sintesi!$C$14),1,$C184))*(INDEX(_xlfn.ANCHORARRAY(Sintesi!$C$15),1,$C184)&lt;0)+($E184&gt;=LOOKUP(2,1/($E:$E&lt;&gt;""),$E:$E))*($E184&lt;=$E185)*($E184&gt;INDEX(_xlfn.ANCHORARRAY(Sintesi!$C$14),1,$C184))*($E184&lt;=INDEX(_xlfn.ANCHORARRAY(Sintesi!$C$15),1,$C184))*(INDEX(_xlfn.ANCHORARRAY(Sintesi!$C$15),1,$C184)&gt;0),1,IF(($E184&gt;=LOOKUP(2,1/($E:$E&lt;&gt;""),$E:$E))*($E184&lt;=$E185)*($E184&gt;INDEX(_xlfn.ANCHORARRAY(Sintesi!$C$14),1,$C184))*($E184&lt;INDEX(_xlfn.ANCHORARRAY(Sintesi!$C$16),1,$C184))*(INDEX(_xlfn.ANCHORARRAY(Sintesi!$C$15),1,$C184)&lt;0)+($E184&gt;=LOOKUP(2,1/($E:$E&lt;&gt;""),$E:$E))*($E184&lt;=$E185)*($E184&gt;INDEX(_xlfn.ANCHORARRAY(Sintesi!$C$15),1,$C184))*($E184&lt;INDEX(_xlfn.ANCHORARRAY(Sintesi!$C$16),1,$C184))*(INDEX(_xlfn.ANCHORARRAY(Sintesi!$C$15),1,$C184)&gt;0),2,IF($E184=(INDEX(_xlfn.ANCHORARRAY(Sintesi!$C$16),1,$C184)),3,4)))),0)))</f>
        <v/>
      </c>
      <c r="E184" s="1">
        <f>'Paste cell here'!F184</f>
        <v/>
      </c>
      <c r="F184" s="1">
        <f>'Paste cell here'!C184</f>
        <v/>
      </c>
      <c r="G184" s="1">
        <f>'Paste cell here'!D184</f>
        <v/>
      </c>
      <c r="H184" s="1">
        <f>'Paste cell here'!E184</f>
        <v/>
      </c>
      <c r="I184" s="1">
        <f>'Paste cell here'!X184</f>
        <v/>
      </c>
      <c r="J184" s="1">
        <f>'Paste cell here'!Y184+'Paste cell here'!S184</f>
        <v/>
      </c>
      <c r="K184" s="1">
        <f>I184/H184</f>
        <v/>
      </c>
      <c r="L184" s="1">
        <f>AVERAGE(($F184+$G184)/2-($F184-$G184)/2*COS(PI()*(8-VLOOKUP(MONTH(B184),$O$1:$Q$13,3))/(VLOOKUP(MONTH(B184),$O$1:$Q$13,2)-VLOOKUP(MONTH(B184),$O$1:$Q$13,3))),($F184+$G184)/2-($F184-$G184)/2*COS(PI()*(9-VLOOKUP(MONTH(B184),$O$1:$Q$13,3))/(VLOOKUP(MONTH(B184),$O$1:$Q$13,2)-VLOOKUP(MONTH(B184),$O$1:$Q$13,3))),($F184+$G184)/2-($F184-$G184)/2*COS(PI()*(10-VLOOKUP(MONTH(B184),$O$1:$Q$13,3))/(VLOOKUP(MONTH(B184),$O$1:$Q$13,2)-VLOOKUP(MONTH(B184),$O$1:$Q$13,3))),($F184+$G184)/2-($F184-$G184)/2*COS(PI()*(11-VLOOKUP(MONTH(B184),$O$1:$Q$13,3))/(VLOOKUP(MONTH(B184),$O$1:$Q$13,2)-VLOOKUP(MONTH(B184),$O$1:$Q$13,3))),($F184+$G184)/2-($F184-$G184)/2*COS(PI()*(12-VLOOKUP(MONTH(B184),$O$1:$Q$13,3))/(VLOOKUP(MONTH(B184),$O$1:$Q$13,2)-VLOOKUP(MONTH(B184),$O$1:$Q$13,3))),($F184+$G184)/2-($F184-$G184)/2*COS(PI()*(13-VLOOKUP(MONTH(B184),$O$1:$Q$13,3))/(VLOOKUP(MONTH(B184),$O$1:$Q$13,2)-VLOOKUP(MONTH(B184),$O$1:$Q$13,3))),($F184+$G184)/2-($F184-$G184)/2*COS(PI()*(14-VLOOKUP(MONTH(B184),$O$1:$Q$13,3))/(VLOOKUP(MONTH(B184),$O$1:$Q$13,2)-VLOOKUP(MONTH(B184),$O$1:$Q$13,3))))</f>
        <v/>
      </c>
      <c r="M184" s="1">
        <f t="array" ref="M184">IF(AND(A184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,A184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),IF(L184&lt;_xlfn.IFNA(INDEX(_xlfn.ANCHORARRAY(Sintesi!$C$17)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,1,IF(L184&gt;=_xlfn.IFNA(INDEX(_xlfn.ANCHORARRAY(Sintesi!$C$18)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,0,1-(L184-_xlfn.IFNA(INDEX(_xlfn.ANCHORARRAY(Sintesi!$C$17)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)/(_xlfn.IFNA(INDEX(_xlfn.ANCHORARRAY(Sintesi!$C$18)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-_xlfn.IFNA(INDEX(_xlfn.ANCHORARRAY(Sintesi!$C$17)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))),0)</f>
        <v/>
      </c>
    </row>
    <row r="185">
      <c r="A185" s="1">
        <f>'Paste cell here'!A185</f>
        <v/>
      </c>
      <c r="B185" s="2">
        <f>DATE(Sintesi!$C$4-1,12,31)+A185</f>
        <v/>
      </c>
      <c r="C185" s="34">
        <f t="array" ref="C185">_xlfn.IFNA(MATCH(1,(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)*(_xlfn.ANCHORARRAY(Sintesi!$C$15)&gt;=0)+(_xlfn.ANCHORARRAY(Sintesi!$C$15)&lt;0),0),0)</f>
        <v/>
      </c>
      <c r="D185" s="1">
        <f t="array" ref="D185">IF(ISBLANK($E186),IF(ISNUMBER($E184),IF($C185&gt;0,IF(($E185=INDEX(_xlfn.ANCHORARRAY(Sintesi!$C$14),1,$C185))*(INDEX(_xlfn.ANCHORARRAY(Sintesi!$C$15),1,$C185)&gt;0),0,IF(($E185=INDEX(_xlfn.ANCHORARRAY(Sintesi!$C$14),1,$C185))*(INDEX(_xlfn.ANCHORARRAY(Sintesi!$C$15),1,$C185)&lt;0)+($E185&gt;=$E184)*($E185&lt;=INDEX($E:$E,MATCH(TRUE,INDEX((ISNUMBER($E:$E)),0),0)))*($E185&gt;INDEX(_xlfn.ANCHORARRAY(Sintesi!$C$14),1,$C185))*($E185&lt;=INDEX(_xlfn.ANCHORARRAY(Sintesi!$C$15),1,$C185))*(INDEX(_xlfn.ANCHORARRAY(Sintesi!$C$15),1,$C185)&gt;0),1,IF(($E185&gt;=$E184)*($E185&lt;=INDEX($E:$E,MATCH(TRUE,INDEX((ISNUMBER($E:$E)),0),0)))*($E185&gt;INDEX(_xlfn.ANCHORARRAY(Sintesi!$C$14),1,$C185))*($E185&lt;INDEX(_xlfn.ANCHORARRAY(Sintesi!$C$16),1,$C185))*(INDEX(_xlfn.ANCHORARRAY(Sintesi!$C$15),1,$C185)&lt;0)+($E185&gt;=$E184)*($E185&lt;=INDEX($E:$E,MATCH(TRUE,INDEX((ISNUMBER($E:$E)),0),0)))*($E185&gt;INDEX(_xlfn.ANCHORARRAY(Sintesi!$C$15),1,$C185))*($E185&lt;INDEX(_xlfn.ANCHORARRAY(Sintesi!$C$16),1,$C185))*(INDEX(_xlfn.ANCHORARRAY(Sintesi!$C$15),1,$C185)&gt;0),2,IF($E185=(INDEX(_xlfn.ANCHORARRAY(Sintesi!$C$16),1,$C185)),3,4)))),0),IF($C185&gt;0,IF(($E185=INDEX(_xlfn.ANCHORARRAY(Sintesi!$C$14),1,$C185))*(INDEX(_xlfn.ANCHORARRAY(Sintesi!$C$15),1,$C185)&gt;0),0,IF(($E185=INDEX(_xlfn.ANCHORARRAY(Sintesi!$C$14),1,$C185))*(INDEX(_xlfn.ANCHORARRAY(Sintesi!$C$15),1,$C185)&lt;0)+($E185&gt;=LOOKUP(2,1/($E:$E&lt;&gt;""),$E:$E))*($E185&lt;=INDEX($E:$E,MATCH(TRUE,INDEX((ISNUMBER($E:$E)),0),0)))*($E185&gt;INDEX(_xlfn.ANCHORARRAY(Sintesi!$C$14),1,$C185))*($E185&lt;=INDEX(_xlfn.ANCHORARRAY(Sintesi!$C$15),1,$C185))*(INDEX(_xlfn.ANCHORARRAY(Sintesi!$C$15),1,$C185)&gt;0),1,IF(($E185&gt;=LOOKUP(2,1/($E:$E&lt;&gt;""),$E:$E))*($E185&lt;=INDEX($E:$E,MATCH(TRUE,INDEX((ISNUMBER($E:$E)),0),0)))*($E185&gt;INDEX(_xlfn.ANCHORARRAY(Sintesi!$C$14),1,$C185))*($E185&lt;INDEX(_xlfn.ANCHORARRAY(Sintesi!$C$16),1,$C185))*(INDEX(_xlfn.ANCHORARRAY(Sintesi!$C$15),1,$C185)&lt;0)+($E185&gt;=LOOKUP(2,1/($E:$E&lt;&gt;""),$E:$E))*($E185&lt;=INDEX($E:$E,MATCH(TRUE,INDEX((ISNUMBER($E:$E)),0),0)))*($E185&gt;INDEX(_xlfn.ANCHORARRAY(Sintesi!$C$15),1,$C185))*($E185&lt;INDEX(_xlfn.ANCHORARRAY(Sintesi!$C$16),1,$C185))*(INDEX(_xlfn.ANCHORARRAY(Sintesi!$C$15),1,$C185)&gt;0),2,IF($E185=(INDEX(_xlfn.ANCHORARRAY(Sintesi!$C$16),1,$C185)),3,4)))),0)),IF(ISNUMBER($E184),IF($C185&gt;0,IF(($E185=INDEX(_xlfn.ANCHORARRAY(Sintesi!$C$14),1,$C185))*(INDEX(_xlfn.ANCHORARRAY(Sintesi!$C$15),1,$C185)&gt;0),0,IF(($E185=INDEX(_xlfn.ANCHORARRAY(Sintesi!$C$14),1,$C185))*(INDEX(_xlfn.ANCHORARRAY(Sintesi!$C$15),1,$C185)&lt;0)+($E185&gt;=$E184)*($E185&lt;=$E186)*($E185&gt;INDEX(_xlfn.ANCHORARRAY(Sintesi!$C$14),1,$C185))*($E185&lt;=INDEX(_xlfn.ANCHORARRAY(Sintesi!$C$15),1,$C185))*(INDEX(_xlfn.ANCHORARRAY(Sintesi!$C$15),1,$C185)&gt;0),1,IF(($E185&gt;=$E184)*($E185&lt;=$E186)*($E185&gt;INDEX(_xlfn.ANCHORARRAY(Sintesi!$C$14),1,$C185))*($E185&lt;INDEX(_xlfn.ANCHORARRAY(Sintesi!$C$16),1,$C185))*(INDEX(_xlfn.ANCHORARRAY(Sintesi!$C$15),1,$C185)&lt;0)+($E185&gt;=$E184)*($E185&lt;=$E186)*($E185&gt;INDEX(_xlfn.ANCHORARRAY(Sintesi!$C$15),1,$C185))*($E185&lt;INDEX(_xlfn.ANCHORARRAY(Sintesi!$C$16),1,$C185))*(INDEX(_xlfn.ANCHORARRAY(Sintesi!$C$15),1,$C185)&gt;0),2,IF($E185=(INDEX(_xlfn.ANCHORARRAY(Sintesi!$C$16),1,$C185)),3,4)))),0),IF($C185&gt;0,IF(($E185=INDEX(_xlfn.ANCHORARRAY(Sintesi!$C$14),1,$C185))*(INDEX(_xlfn.ANCHORARRAY(Sintesi!$C$15),1,$C185)&gt;0),0,IF(($E185=INDEX(_xlfn.ANCHORARRAY(Sintesi!$C$14),1,$C185))*(INDEX(_xlfn.ANCHORARRAY(Sintesi!$C$15),1,$C185)&lt;0)+($E185&gt;=LOOKUP(2,1/($E:$E&lt;&gt;""),$E:$E))*($E185&lt;=$E186)*($E185&gt;INDEX(_xlfn.ANCHORARRAY(Sintesi!$C$14),1,$C185))*($E185&lt;=INDEX(_xlfn.ANCHORARRAY(Sintesi!$C$15),1,$C185))*(INDEX(_xlfn.ANCHORARRAY(Sintesi!$C$15),1,$C185)&gt;0),1,IF(($E185&gt;=LOOKUP(2,1/($E:$E&lt;&gt;""),$E:$E))*($E185&lt;=$E186)*($E185&gt;INDEX(_xlfn.ANCHORARRAY(Sintesi!$C$14),1,$C185))*($E185&lt;INDEX(_xlfn.ANCHORARRAY(Sintesi!$C$16),1,$C185))*(INDEX(_xlfn.ANCHORARRAY(Sintesi!$C$15),1,$C185)&lt;0)+($E185&gt;=LOOKUP(2,1/($E:$E&lt;&gt;""),$E:$E))*($E185&lt;=$E186)*($E185&gt;INDEX(_xlfn.ANCHORARRAY(Sintesi!$C$15),1,$C185))*($E185&lt;INDEX(_xlfn.ANCHORARRAY(Sintesi!$C$16),1,$C185))*(INDEX(_xlfn.ANCHORARRAY(Sintesi!$C$15),1,$C185)&gt;0),2,IF($E185=(INDEX(_xlfn.ANCHORARRAY(Sintesi!$C$16),1,$C185)),3,4)))),0)))</f>
        <v/>
      </c>
      <c r="E185" s="1">
        <f>'Paste cell here'!F185</f>
        <v/>
      </c>
      <c r="F185" s="1">
        <f>'Paste cell here'!C185</f>
        <v/>
      </c>
      <c r="G185" s="1">
        <f>'Paste cell here'!D185</f>
        <v/>
      </c>
      <c r="H185" s="1">
        <f>'Paste cell here'!E185</f>
        <v/>
      </c>
      <c r="I185" s="1">
        <f>'Paste cell here'!X185</f>
        <v/>
      </c>
      <c r="J185" s="1">
        <f>'Paste cell here'!Y185+'Paste cell here'!S185</f>
        <v/>
      </c>
      <c r="K185" s="1">
        <f>I185/H185</f>
        <v/>
      </c>
      <c r="L185" s="1">
        <f>AVERAGE(($F185+$G185)/2-($F185-$G185)/2*COS(PI()*(8-VLOOKUP(MONTH(B185),$O$1:$Q$13,3))/(VLOOKUP(MONTH(B185),$O$1:$Q$13,2)-VLOOKUP(MONTH(B185),$O$1:$Q$13,3))),($F185+$G185)/2-($F185-$G185)/2*COS(PI()*(9-VLOOKUP(MONTH(B185),$O$1:$Q$13,3))/(VLOOKUP(MONTH(B185),$O$1:$Q$13,2)-VLOOKUP(MONTH(B185),$O$1:$Q$13,3))),($F185+$G185)/2-($F185-$G185)/2*COS(PI()*(10-VLOOKUP(MONTH(B185),$O$1:$Q$13,3))/(VLOOKUP(MONTH(B185),$O$1:$Q$13,2)-VLOOKUP(MONTH(B185),$O$1:$Q$13,3))),($F185+$G185)/2-($F185-$G185)/2*COS(PI()*(11-VLOOKUP(MONTH(B185),$O$1:$Q$13,3))/(VLOOKUP(MONTH(B185),$O$1:$Q$13,2)-VLOOKUP(MONTH(B185),$O$1:$Q$13,3))),($F185+$G185)/2-($F185-$G185)/2*COS(PI()*(12-VLOOKUP(MONTH(B185),$O$1:$Q$13,3))/(VLOOKUP(MONTH(B185),$O$1:$Q$13,2)-VLOOKUP(MONTH(B185),$O$1:$Q$13,3))),($F185+$G185)/2-($F185-$G185)/2*COS(PI()*(13-VLOOKUP(MONTH(B185),$O$1:$Q$13,3))/(VLOOKUP(MONTH(B185),$O$1:$Q$13,2)-VLOOKUP(MONTH(B185),$O$1:$Q$13,3))),($F185+$G185)/2-($F185-$G185)/2*COS(PI()*(14-VLOOKUP(MONTH(B185),$O$1:$Q$13,3))/(VLOOKUP(MONTH(B185),$O$1:$Q$13,2)-VLOOKUP(MONTH(B185),$O$1:$Q$13,3))))</f>
        <v/>
      </c>
      <c r="M185" s="1">
        <f t="array" ref="M185">IF(AND(A185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,A185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),IF(L185&lt;_xlfn.IFNA(INDEX(_xlfn.ANCHORARRAY(Sintesi!$C$17)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,1,IF(L185&gt;=_xlfn.IFNA(INDEX(_xlfn.ANCHORARRAY(Sintesi!$C$18)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,0,1-(L185-_xlfn.IFNA(INDEX(_xlfn.ANCHORARRAY(Sintesi!$C$17)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)/(_xlfn.IFNA(INDEX(_xlfn.ANCHORARRAY(Sintesi!$C$18)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-_xlfn.IFNA(INDEX(_xlfn.ANCHORARRAY(Sintesi!$C$17)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))),0)</f>
        <v/>
      </c>
    </row>
    <row r="186">
      <c r="A186" s="1">
        <f>'Paste cell here'!A186</f>
        <v/>
      </c>
      <c r="B186" s="2">
        <f>DATE(Sintesi!$C$4-1,12,31)+A186</f>
        <v/>
      </c>
      <c r="C186" s="34">
        <f t="array" ref="C186">_xlfn.IFNA(MATCH(1,(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)*(_xlfn.ANCHORARRAY(Sintesi!$C$15)&gt;=0)+(_xlfn.ANCHORARRAY(Sintesi!$C$15)&lt;0),0),0)</f>
        <v/>
      </c>
      <c r="D186" s="1">
        <f t="array" ref="D186">IF(ISBLANK($E187),IF(ISNUMBER($E185),IF($C186&gt;0,IF(($E186=INDEX(_xlfn.ANCHORARRAY(Sintesi!$C$14),1,$C186))*(INDEX(_xlfn.ANCHORARRAY(Sintesi!$C$15),1,$C186)&gt;0),0,IF(($E186=INDEX(_xlfn.ANCHORARRAY(Sintesi!$C$14),1,$C186))*(INDEX(_xlfn.ANCHORARRAY(Sintesi!$C$15),1,$C186)&lt;0)+($E186&gt;=$E185)*($E186&lt;=INDEX($E:$E,MATCH(TRUE,INDEX((ISNUMBER($E:$E)),0),0)))*($E186&gt;INDEX(_xlfn.ANCHORARRAY(Sintesi!$C$14),1,$C186))*($E186&lt;=INDEX(_xlfn.ANCHORARRAY(Sintesi!$C$15),1,$C186))*(INDEX(_xlfn.ANCHORARRAY(Sintesi!$C$15),1,$C186)&gt;0),1,IF(($E186&gt;=$E185)*($E186&lt;=INDEX($E:$E,MATCH(TRUE,INDEX((ISNUMBER($E:$E)),0),0)))*($E186&gt;INDEX(_xlfn.ANCHORARRAY(Sintesi!$C$14),1,$C186))*($E186&lt;INDEX(_xlfn.ANCHORARRAY(Sintesi!$C$16),1,$C186))*(INDEX(_xlfn.ANCHORARRAY(Sintesi!$C$15),1,$C186)&lt;0)+($E186&gt;=$E185)*($E186&lt;=INDEX($E:$E,MATCH(TRUE,INDEX((ISNUMBER($E:$E)),0),0)))*($E186&gt;INDEX(_xlfn.ANCHORARRAY(Sintesi!$C$15),1,$C186))*($E186&lt;INDEX(_xlfn.ANCHORARRAY(Sintesi!$C$16),1,$C186))*(INDEX(_xlfn.ANCHORARRAY(Sintesi!$C$15),1,$C186)&gt;0),2,IF($E186=(INDEX(_xlfn.ANCHORARRAY(Sintesi!$C$16),1,$C186)),3,4)))),0),IF($C186&gt;0,IF(($E186=INDEX(_xlfn.ANCHORARRAY(Sintesi!$C$14),1,$C186))*(INDEX(_xlfn.ANCHORARRAY(Sintesi!$C$15),1,$C186)&gt;0),0,IF(($E186=INDEX(_xlfn.ANCHORARRAY(Sintesi!$C$14),1,$C186))*(INDEX(_xlfn.ANCHORARRAY(Sintesi!$C$15),1,$C186)&lt;0)+($E186&gt;=LOOKUP(2,1/($E:$E&lt;&gt;""),$E:$E))*($E186&lt;=INDEX($E:$E,MATCH(TRUE,INDEX((ISNUMBER($E:$E)),0),0)))*($E186&gt;INDEX(_xlfn.ANCHORARRAY(Sintesi!$C$14),1,$C186))*($E186&lt;=INDEX(_xlfn.ANCHORARRAY(Sintesi!$C$15),1,$C186))*(INDEX(_xlfn.ANCHORARRAY(Sintesi!$C$15),1,$C186)&gt;0),1,IF(($E186&gt;=LOOKUP(2,1/($E:$E&lt;&gt;""),$E:$E))*($E186&lt;=INDEX($E:$E,MATCH(TRUE,INDEX((ISNUMBER($E:$E)),0),0)))*($E186&gt;INDEX(_xlfn.ANCHORARRAY(Sintesi!$C$14),1,$C186))*($E186&lt;INDEX(_xlfn.ANCHORARRAY(Sintesi!$C$16),1,$C186))*(INDEX(_xlfn.ANCHORARRAY(Sintesi!$C$15),1,$C186)&lt;0)+($E186&gt;=LOOKUP(2,1/($E:$E&lt;&gt;""),$E:$E))*($E186&lt;=INDEX($E:$E,MATCH(TRUE,INDEX((ISNUMBER($E:$E)),0),0)))*($E186&gt;INDEX(_xlfn.ANCHORARRAY(Sintesi!$C$15),1,$C186))*($E186&lt;INDEX(_xlfn.ANCHORARRAY(Sintesi!$C$16),1,$C186))*(INDEX(_xlfn.ANCHORARRAY(Sintesi!$C$15),1,$C186)&gt;0),2,IF($E186=(INDEX(_xlfn.ANCHORARRAY(Sintesi!$C$16),1,$C186)),3,4)))),0)),IF(ISNUMBER($E185),IF($C186&gt;0,IF(($E186=INDEX(_xlfn.ANCHORARRAY(Sintesi!$C$14),1,$C186))*(INDEX(_xlfn.ANCHORARRAY(Sintesi!$C$15),1,$C186)&gt;0),0,IF(($E186=INDEX(_xlfn.ANCHORARRAY(Sintesi!$C$14),1,$C186))*(INDEX(_xlfn.ANCHORARRAY(Sintesi!$C$15),1,$C186)&lt;0)+($E186&gt;=$E185)*($E186&lt;=$E187)*($E186&gt;INDEX(_xlfn.ANCHORARRAY(Sintesi!$C$14),1,$C186))*($E186&lt;=INDEX(_xlfn.ANCHORARRAY(Sintesi!$C$15),1,$C186))*(INDEX(_xlfn.ANCHORARRAY(Sintesi!$C$15),1,$C186)&gt;0),1,IF(($E186&gt;=$E185)*($E186&lt;=$E187)*($E186&gt;INDEX(_xlfn.ANCHORARRAY(Sintesi!$C$14),1,$C186))*($E186&lt;INDEX(_xlfn.ANCHORARRAY(Sintesi!$C$16),1,$C186))*(INDEX(_xlfn.ANCHORARRAY(Sintesi!$C$15),1,$C186)&lt;0)+($E186&gt;=$E185)*($E186&lt;=$E187)*($E186&gt;INDEX(_xlfn.ANCHORARRAY(Sintesi!$C$15),1,$C186))*($E186&lt;INDEX(_xlfn.ANCHORARRAY(Sintesi!$C$16),1,$C186))*(INDEX(_xlfn.ANCHORARRAY(Sintesi!$C$15),1,$C186)&gt;0),2,IF($E186=(INDEX(_xlfn.ANCHORARRAY(Sintesi!$C$16),1,$C186)),3,4)))),0),IF($C186&gt;0,IF(($E186=INDEX(_xlfn.ANCHORARRAY(Sintesi!$C$14),1,$C186))*(INDEX(_xlfn.ANCHORARRAY(Sintesi!$C$15),1,$C186)&gt;0),0,IF(($E186=INDEX(_xlfn.ANCHORARRAY(Sintesi!$C$14),1,$C186))*(INDEX(_xlfn.ANCHORARRAY(Sintesi!$C$15),1,$C186)&lt;0)+($E186&gt;=LOOKUP(2,1/($E:$E&lt;&gt;""),$E:$E))*($E186&lt;=$E187)*($E186&gt;INDEX(_xlfn.ANCHORARRAY(Sintesi!$C$14),1,$C186))*($E186&lt;=INDEX(_xlfn.ANCHORARRAY(Sintesi!$C$15),1,$C186))*(INDEX(_xlfn.ANCHORARRAY(Sintesi!$C$15),1,$C186)&gt;0),1,IF(($E186&gt;=LOOKUP(2,1/($E:$E&lt;&gt;""),$E:$E))*($E186&lt;=$E187)*($E186&gt;INDEX(_xlfn.ANCHORARRAY(Sintesi!$C$14),1,$C186))*($E186&lt;INDEX(_xlfn.ANCHORARRAY(Sintesi!$C$16),1,$C186))*(INDEX(_xlfn.ANCHORARRAY(Sintesi!$C$15),1,$C186)&lt;0)+($E186&gt;=LOOKUP(2,1/($E:$E&lt;&gt;""),$E:$E))*($E186&lt;=$E187)*($E186&gt;INDEX(_xlfn.ANCHORARRAY(Sintesi!$C$15),1,$C186))*($E186&lt;INDEX(_xlfn.ANCHORARRAY(Sintesi!$C$16),1,$C186))*(INDEX(_xlfn.ANCHORARRAY(Sintesi!$C$15),1,$C186)&gt;0),2,IF($E186=(INDEX(_xlfn.ANCHORARRAY(Sintesi!$C$16),1,$C186)),3,4)))),0)))</f>
        <v/>
      </c>
      <c r="E186" s="1">
        <f>'Paste cell here'!F186</f>
        <v/>
      </c>
      <c r="F186" s="1">
        <f>'Paste cell here'!C186</f>
        <v/>
      </c>
      <c r="G186" s="1">
        <f>'Paste cell here'!D186</f>
        <v/>
      </c>
      <c r="H186" s="1">
        <f>'Paste cell here'!E186</f>
        <v/>
      </c>
      <c r="I186" s="1">
        <f>'Paste cell here'!X186</f>
        <v/>
      </c>
      <c r="J186" s="1">
        <f>'Paste cell here'!Y186+'Paste cell here'!S186</f>
        <v/>
      </c>
      <c r="K186" s="1">
        <f>I186/H186</f>
        <v/>
      </c>
      <c r="L186" s="1">
        <f>AVERAGE(($F186+$G186)/2-($F186-$G186)/2*COS(PI()*(8-VLOOKUP(MONTH(B186),$O$1:$Q$13,3))/(VLOOKUP(MONTH(B186),$O$1:$Q$13,2)-VLOOKUP(MONTH(B186),$O$1:$Q$13,3))),($F186+$G186)/2-($F186-$G186)/2*COS(PI()*(9-VLOOKUP(MONTH(B186),$O$1:$Q$13,3))/(VLOOKUP(MONTH(B186),$O$1:$Q$13,2)-VLOOKUP(MONTH(B186),$O$1:$Q$13,3))),($F186+$G186)/2-($F186-$G186)/2*COS(PI()*(10-VLOOKUP(MONTH(B186),$O$1:$Q$13,3))/(VLOOKUP(MONTH(B186),$O$1:$Q$13,2)-VLOOKUP(MONTH(B186),$O$1:$Q$13,3))),($F186+$G186)/2-($F186-$G186)/2*COS(PI()*(11-VLOOKUP(MONTH(B186),$O$1:$Q$13,3))/(VLOOKUP(MONTH(B186),$O$1:$Q$13,2)-VLOOKUP(MONTH(B186),$O$1:$Q$13,3))),($F186+$G186)/2-($F186-$G186)/2*COS(PI()*(12-VLOOKUP(MONTH(B186),$O$1:$Q$13,3))/(VLOOKUP(MONTH(B186),$O$1:$Q$13,2)-VLOOKUP(MONTH(B186),$O$1:$Q$13,3))),($F186+$G186)/2-($F186-$G186)/2*COS(PI()*(13-VLOOKUP(MONTH(B186),$O$1:$Q$13,3))/(VLOOKUP(MONTH(B186),$O$1:$Q$13,2)-VLOOKUP(MONTH(B186),$O$1:$Q$13,3))),($F186+$G186)/2-($F186-$G186)/2*COS(PI()*(14-VLOOKUP(MONTH(B186),$O$1:$Q$13,3))/(VLOOKUP(MONTH(B186),$O$1:$Q$13,2)-VLOOKUP(MONTH(B186),$O$1:$Q$13,3))))</f>
        <v/>
      </c>
      <c r="M186" s="1">
        <f t="array" ref="M186">IF(AND(A186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,A186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),IF(L186&lt;_xlfn.IFNA(INDEX(_xlfn.ANCHORARRAY(Sintesi!$C$17)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,1,IF(L186&gt;=_xlfn.IFNA(INDEX(_xlfn.ANCHORARRAY(Sintesi!$C$18)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,0,1-(L186-_xlfn.IFNA(INDEX(_xlfn.ANCHORARRAY(Sintesi!$C$17)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)/(_xlfn.IFNA(INDEX(_xlfn.ANCHORARRAY(Sintesi!$C$18)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-_xlfn.IFNA(INDEX(_xlfn.ANCHORARRAY(Sintesi!$C$17)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))),0)</f>
        <v/>
      </c>
    </row>
    <row r="187">
      <c r="A187" s="1">
        <f>'Paste cell here'!A187</f>
        <v/>
      </c>
      <c r="B187" s="2">
        <f>DATE(Sintesi!$C$4-1,12,31)+A187</f>
        <v/>
      </c>
      <c r="C187" s="34">
        <f t="array" ref="C187">_xlfn.IFNA(MATCH(1,(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)*(_xlfn.ANCHORARRAY(Sintesi!$C$15)&gt;=0)+(_xlfn.ANCHORARRAY(Sintesi!$C$15)&lt;0),0),0)</f>
        <v/>
      </c>
      <c r="D187" s="1">
        <f t="array" ref="D187">IF(ISBLANK($E188),IF(ISNUMBER($E186),IF($C187&gt;0,IF(($E187=INDEX(_xlfn.ANCHORARRAY(Sintesi!$C$14),1,$C187))*(INDEX(_xlfn.ANCHORARRAY(Sintesi!$C$15),1,$C187)&gt;0),0,IF(($E187=INDEX(_xlfn.ANCHORARRAY(Sintesi!$C$14),1,$C187))*(INDEX(_xlfn.ANCHORARRAY(Sintesi!$C$15),1,$C187)&lt;0)+($E187&gt;=$E186)*($E187&lt;=INDEX($E:$E,MATCH(TRUE,INDEX((ISNUMBER($E:$E)),0),0)))*($E187&gt;INDEX(_xlfn.ANCHORARRAY(Sintesi!$C$14),1,$C187))*($E187&lt;=INDEX(_xlfn.ANCHORARRAY(Sintesi!$C$15),1,$C187))*(INDEX(_xlfn.ANCHORARRAY(Sintesi!$C$15),1,$C187)&gt;0),1,IF(($E187&gt;=$E186)*($E187&lt;=INDEX($E:$E,MATCH(TRUE,INDEX((ISNUMBER($E:$E)),0),0)))*($E187&gt;INDEX(_xlfn.ANCHORARRAY(Sintesi!$C$14),1,$C187))*($E187&lt;INDEX(_xlfn.ANCHORARRAY(Sintesi!$C$16),1,$C187))*(INDEX(_xlfn.ANCHORARRAY(Sintesi!$C$15),1,$C187)&lt;0)+($E187&gt;=$E186)*($E187&lt;=INDEX($E:$E,MATCH(TRUE,INDEX((ISNUMBER($E:$E)),0),0)))*($E187&gt;INDEX(_xlfn.ANCHORARRAY(Sintesi!$C$15),1,$C187))*($E187&lt;INDEX(_xlfn.ANCHORARRAY(Sintesi!$C$16),1,$C187))*(INDEX(_xlfn.ANCHORARRAY(Sintesi!$C$15),1,$C187)&gt;0),2,IF($E187=(INDEX(_xlfn.ANCHORARRAY(Sintesi!$C$16),1,$C187)),3,4)))),0),IF($C187&gt;0,IF(($E187=INDEX(_xlfn.ANCHORARRAY(Sintesi!$C$14),1,$C187))*(INDEX(_xlfn.ANCHORARRAY(Sintesi!$C$15),1,$C187)&gt;0),0,IF(($E187=INDEX(_xlfn.ANCHORARRAY(Sintesi!$C$14),1,$C187))*(INDEX(_xlfn.ANCHORARRAY(Sintesi!$C$15),1,$C187)&lt;0)+($E187&gt;=LOOKUP(2,1/($E:$E&lt;&gt;""),$E:$E))*($E187&lt;=INDEX($E:$E,MATCH(TRUE,INDEX((ISNUMBER($E:$E)),0),0)))*($E187&gt;INDEX(_xlfn.ANCHORARRAY(Sintesi!$C$14),1,$C187))*($E187&lt;=INDEX(_xlfn.ANCHORARRAY(Sintesi!$C$15),1,$C187))*(INDEX(_xlfn.ANCHORARRAY(Sintesi!$C$15),1,$C187)&gt;0),1,IF(($E187&gt;=LOOKUP(2,1/($E:$E&lt;&gt;""),$E:$E))*($E187&lt;=INDEX($E:$E,MATCH(TRUE,INDEX((ISNUMBER($E:$E)),0),0)))*($E187&gt;INDEX(_xlfn.ANCHORARRAY(Sintesi!$C$14),1,$C187))*($E187&lt;INDEX(_xlfn.ANCHORARRAY(Sintesi!$C$16),1,$C187))*(INDEX(_xlfn.ANCHORARRAY(Sintesi!$C$15),1,$C187)&lt;0)+($E187&gt;=LOOKUP(2,1/($E:$E&lt;&gt;""),$E:$E))*($E187&lt;=INDEX($E:$E,MATCH(TRUE,INDEX((ISNUMBER($E:$E)),0),0)))*($E187&gt;INDEX(_xlfn.ANCHORARRAY(Sintesi!$C$15),1,$C187))*($E187&lt;INDEX(_xlfn.ANCHORARRAY(Sintesi!$C$16),1,$C187))*(INDEX(_xlfn.ANCHORARRAY(Sintesi!$C$15),1,$C187)&gt;0),2,IF($E187=(INDEX(_xlfn.ANCHORARRAY(Sintesi!$C$16),1,$C187)),3,4)))),0)),IF(ISNUMBER($E186),IF($C187&gt;0,IF(($E187=INDEX(_xlfn.ANCHORARRAY(Sintesi!$C$14),1,$C187))*(INDEX(_xlfn.ANCHORARRAY(Sintesi!$C$15),1,$C187)&gt;0),0,IF(($E187=INDEX(_xlfn.ANCHORARRAY(Sintesi!$C$14),1,$C187))*(INDEX(_xlfn.ANCHORARRAY(Sintesi!$C$15),1,$C187)&lt;0)+($E187&gt;=$E186)*($E187&lt;=$E188)*($E187&gt;INDEX(_xlfn.ANCHORARRAY(Sintesi!$C$14),1,$C187))*($E187&lt;=INDEX(_xlfn.ANCHORARRAY(Sintesi!$C$15),1,$C187))*(INDEX(_xlfn.ANCHORARRAY(Sintesi!$C$15),1,$C187)&gt;0),1,IF(($E187&gt;=$E186)*($E187&lt;=$E188)*($E187&gt;INDEX(_xlfn.ANCHORARRAY(Sintesi!$C$14),1,$C187))*($E187&lt;INDEX(_xlfn.ANCHORARRAY(Sintesi!$C$16),1,$C187))*(INDEX(_xlfn.ANCHORARRAY(Sintesi!$C$15),1,$C187)&lt;0)+($E187&gt;=$E186)*($E187&lt;=$E188)*($E187&gt;INDEX(_xlfn.ANCHORARRAY(Sintesi!$C$15),1,$C187))*($E187&lt;INDEX(_xlfn.ANCHORARRAY(Sintesi!$C$16),1,$C187))*(INDEX(_xlfn.ANCHORARRAY(Sintesi!$C$15),1,$C187)&gt;0),2,IF($E187=(INDEX(_xlfn.ANCHORARRAY(Sintesi!$C$16),1,$C187)),3,4)))),0),IF($C187&gt;0,IF(($E187=INDEX(_xlfn.ANCHORARRAY(Sintesi!$C$14),1,$C187))*(INDEX(_xlfn.ANCHORARRAY(Sintesi!$C$15),1,$C187)&gt;0),0,IF(($E187=INDEX(_xlfn.ANCHORARRAY(Sintesi!$C$14),1,$C187))*(INDEX(_xlfn.ANCHORARRAY(Sintesi!$C$15),1,$C187)&lt;0)+($E187&gt;=LOOKUP(2,1/($E:$E&lt;&gt;""),$E:$E))*($E187&lt;=$E188)*($E187&gt;INDEX(_xlfn.ANCHORARRAY(Sintesi!$C$14),1,$C187))*($E187&lt;=INDEX(_xlfn.ANCHORARRAY(Sintesi!$C$15),1,$C187))*(INDEX(_xlfn.ANCHORARRAY(Sintesi!$C$15),1,$C187)&gt;0),1,IF(($E187&gt;=LOOKUP(2,1/($E:$E&lt;&gt;""),$E:$E))*($E187&lt;=$E188)*($E187&gt;INDEX(_xlfn.ANCHORARRAY(Sintesi!$C$14),1,$C187))*($E187&lt;INDEX(_xlfn.ANCHORARRAY(Sintesi!$C$16),1,$C187))*(INDEX(_xlfn.ANCHORARRAY(Sintesi!$C$15),1,$C187)&lt;0)+($E187&gt;=LOOKUP(2,1/($E:$E&lt;&gt;""),$E:$E))*($E187&lt;=$E188)*($E187&gt;INDEX(_xlfn.ANCHORARRAY(Sintesi!$C$15),1,$C187))*($E187&lt;INDEX(_xlfn.ANCHORARRAY(Sintesi!$C$16),1,$C187))*(INDEX(_xlfn.ANCHORARRAY(Sintesi!$C$15),1,$C187)&gt;0),2,IF($E187=(INDEX(_xlfn.ANCHORARRAY(Sintesi!$C$16),1,$C187)),3,4)))),0)))</f>
        <v/>
      </c>
      <c r="E187" s="1">
        <f>'Paste cell here'!F187</f>
        <v/>
      </c>
      <c r="F187" s="1">
        <f>'Paste cell here'!C187</f>
        <v/>
      </c>
      <c r="G187" s="1">
        <f>'Paste cell here'!D187</f>
        <v/>
      </c>
      <c r="H187" s="1">
        <f>'Paste cell here'!E187</f>
        <v/>
      </c>
      <c r="I187" s="1">
        <f>'Paste cell here'!X187</f>
        <v/>
      </c>
      <c r="J187" s="1">
        <f>'Paste cell here'!Y187+'Paste cell here'!S187</f>
        <v/>
      </c>
      <c r="K187" s="1">
        <f>I187/H187</f>
        <v/>
      </c>
      <c r="L187" s="1">
        <f>AVERAGE(($F187+$G187)/2-($F187-$G187)/2*COS(PI()*(8-VLOOKUP(MONTH(B187),$O$1:$Q$13,3))/(VLOOKUP(MONTH(B187),$O$1:$Q$13,2)-VLOOKUP(MONTH(B187),$O$1:$Q$13,3))),($F187+$G187)/2-($F187-$G187)/2*COS(PI()*(9-VLOOKUP(MONTH(B187),$O$1:$Q$13,3))/(VLOOKUP(MONTH(B187),$O$1:$Q$13,2)-VLOOKUP(MONTH(B187),$O$1:$Q$13,3))),($F187+$G187)/2-($F187-$G187)/2*COS(PI()*(10-VLOOKUP(MONTH(B187),$O$1:$Q$13,3))/(VLOOKUP(MONTH(B187),$O$1:$Q$13,2)-VLOOKUP(MONTH(B187),$O$1:$Q$13,3))),($F187+$G187)/2-($F187-$G187)/2*COS(PI()*(11-VLOOKUP(MONTH(B187),$O$1:$Q$13,3))/(VLOOKUP(MONTH(B187),$O$1:$Q$13,2)-VLOOKUP(MONTH(B187),$O$1:$Q$13,3))),($F187+$G187)/2-($F187-$G187)/2*COS(PI()*(12-VLOOKUP(MONTH(B187),$O$1:$Q$13,3))/(VLOOKUP(MONTH(B187),$O$1:$Q$13,2)-VLOOKUP(MONTH(B187),$O$1:$Q$13,3))),($F187+$G187)/2-($F187-$G187)/2*COS(PI()*(13-VLOOKUP(MONTH(B187),$O$1:$Q$13,3))/(VLOOKUP(MONTH(B187),$O$1:$Q$13,2)-VLOOKUP(MONTH(B187),$O$1:$Q$13,3))),($F187+$G187)/2-($F187-$G187)/2*COS(PI()*(14-VLOOKUP(MONTH(B187),$O$1:$Q$13,3))/(VLOOKUP(MONTH(B187),$O$1:$Q$13,2)-VLOOKUP(MONTH(B187),$O$1:$Q$13,3))))</f>
        <v/>
      </c>
      <c r="M187" s="1">
        <f t="array" ref="M187">IF(AND(A187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,A187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),IF(L187&lt;_xlfn.IFNA(INDEX(_xlfn.ANCHORARRAY(Sintesi!$C$17)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,1,IF(L187&gt;=_xlfn.IFNA(INDEX(_xlfn.ANCHORARRAY(Sintesi!$C$18)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,0,1-(L187-_xlfn.IFNA(INDEX(_xlfn.ANCHORARRAY(Sintesi!$C$17)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)/(_xlfn.IFNA(INDEX(_xlfn.ANCHORARRAY(Sintesi!$C$18)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-_xlfn.IFNA(INDEX(_xlfn.ANCHORARRAY(Sintesi!$C$17)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))),0)</f>
        <v/>
      </c>
    </row>
    <row r="188">
      <c r="A188" s="1">
        <f>'Paste cell here'!A188</f>
        <v/>
      </c>
      <c r="B188" s="2">
        <f>DATE(Sintesi!$C$4-1,12,31)+A188</f>
        <v/>
      </c>
      <c r="C188" s="34">
        <f t="array" ref="C188">_xlfn.IFNA(MATCH(1,(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)*(_xlfn.ANCHORARRAY(Sintesi!$C$15)&gt;=0)+(_xlfn.ANCHORARRAY(Sintesi!$C$15)&lt;0),0),0)</f>
        <v/>
      </c>
      <c r="D188" s="1">
        <f t="array" ref="D188">IF(ISBLANK($E189),IF(ISNUMBER($E187),IF($C188&gt;0,IF(($E188=INDEX(_xlfn.ANCHORARRAY(Sintesi!$C$14),1,$C188))*(INDEX(_xlfn.ANCHORARRAY(Sintesi!$C$15),1,$C188)&gt;0),0,IF(($E188=INDEX(_xlfn.ANCHORARRAY(Sintesi!$C$14),1,$C188))*(INDEX(_xlfn.ANCHORARRAY(Sintesi!$C$15),1,$C188)&lt;0)+($E188&gt;=$E187)*($E188&lt;=INDEX($E:$E,MATCH(TRUE,INDEX((ISNUMBER($E:$E)),0),0)))*($E188&gt;INDEX(_xlfn.ANCHORARRAY(Sintesi!$C$14),1,$C188))*($E188&lt;=INDEX(_xlfn.ANCHORARRAY(Sintesi!$C$15),1,$C188))*(INDEX(_xlfn.ANCHORARRAY(Sintesi!$C$15),1,$C188)&gt;0),1,IF(($E188&gt;=$E187)*($E188&lt;=INDEX($E:$E,MATCH(TRUE,INDEX((ISNUMBER($E:$E)),0),0)))*($E188&gt;INDEX(_xlfn.ANCHORARRAY(Sintesi!$C$14),1,$C188))*($E188&lt;INDEX(_xlfn.ANCHORARRAY(Sintesi!$C$16),1,$C188))*(INDEX(_xlfn.ANCHORARRAY(Sintesi!$C$15),1,$C188)&lt;0)+($E188&gt;=$E187)*($E188&lt;=INDEX($E:$E,MATCH(TRUE,INDEX((ISNUMBER($E:$E)),0),0)))*($E188&gt;INDEX(_xlfn.ANCHORARRAY(Sintesi!$C$15),1,$C188))*($E188&lt;INDEX(_xlfn.ANCHORARRAY(Sintesi!$C$16),1,$C188))*(INDEX(_xlfn.ANCHORARRAY(Sintesi!$C$15),1,$C188)&gt;0),2,IF($E188=(INDEX(_xlfn.ANCHORARRAY(Sintesi!$C$16),1,$C188)),3,4)))),0),IF($C188&gt;0,IF(($E188=INDEX(_xlfn.ANCHORARRAY(Sintesi!$C$14),1,$C188))*(INDEX(_xlfn.ANCHORARRAY(Sintesi!$C$15),1,$C188)&gt;0),0,IF(($E188=INDEX(_xlfn.ANCHORARRAY(Sintesi!$C$14),1,$C188))*(INDEX(_xlfn.ANCHORARRAY(Sintesi!$C$15),1,$C188)&lt;0)+($E188&gt;=LOOKUP(2,1/($E:$E&lt;&gt;""),$E:$E))*($E188&lt;=INDEX($E:$E,MATCH(TRUE,INDEX((ISNUMBER($E:$E)),0),0)))*($E188&gt;INDEX(_xlfn.ANCHORARRAY(Sintesi!$C$14),1,$C188))*($E188&lt;=INDEX(_xlfn.ANCHORARRAY(Sintesi!$C$15),1,$C188))*(INDEX(_xlfn.ANCHORARRAY(Sintesi!$C$15),1,$C188)&gt;0),1,IF(($E188&gt;=LOOKUP(2,1/($E:$E&lt;&gt;""),$E:$E))*($E188&lt;=INDEX($E:$E,MATCH(TRUE,INDEX((ISNUMBER($E:$E)),0),0)))*($E188&gt;INDEX(_xlfn.ANCHORARRAY(Sintesi!$C$14),1,$C188))*($E188&lt;INDEX(_xlfn.ANCHORARRAY(Sintesi!$C$16),1,$C188))*(INDEX(_xlfn.ANCHORARRAY(Sintesi!$C$15),1,$C188)&lt;0)+($E188&gt;=LOOKUP(2,1/($E:$E&lt;&gt;""),$E:$E))*($E188&lt;=INDEX($E:$E,MATCH(TRUE,INDEX((ISNUMBER($E:$E)),0),0)))*($E188&gt;INDEX(_xlfn.ANCHORARRAY(Sintesi!$C$15),1,$C188))*($E188&lt;INDEX(_xlfn.ANCHORARRAY(Sintesi!$C$16),1,$C188))*(INDEX(_xlfn.ANCHORARRAY(Sintesi!$C$15),1,$C188)&gt;0),2,IF($E188=(INDEX(_xlfn.ANCHORARRAY(Sintesi!$C$16),1,$C188)),3,4)))),0)),IF(ISNUMBER($E187),IF($C188&gt;0,IF(($E188=INDEX(_xlfn.ANCHORARRAY(Sintesi!$C$14),1,$C188))*(INDEX(_xlfn.ANCHORARRAY(Sintesi!$C$15),1,$C188)&gt;0),0,IF(($E188=INDEX(_xlfn.ANCHORARRAY(Sintesi!$C$14),1,$C188))*(INDEX(_xlfn.ANCHORARRAY(Sintesi!$C$15),1,$C188)&lt;0)+($E188&gt;=$E187)*($E188&lt;=$E189)*($E188&gt;INDEX(_xlfn.ANCHORARRAY(Sintesi!$C$14),1,$C188))*($E188&lt;=INDEX(_xlfn.ANCHORARRAY(Sintesi!$C$15),1,$C188))*(INDEX(_xlfn.ANCHORARRAY(Sintesi!$C$15),1,$C188)&gt;0),1,IF(($E188&gt;=$E187)*($E188&lt;=$E189)*($E188&gt;INDEX(_xlfn.ANCHORARRAY(Sintesi!$C$14),1,$C188))*($E188&lt;INDEX(_xlfn.ANCHORARRAY(Sintesi!$C$16),1,$C188))*(INDEX(_xlfn.ANCHORARRAY(Sintesi!$C$15),1,$C188)&lt;0)+($E188&gt;=$E187)*($E188&lt;=$E189)*($E188&gt;INDEX(_xlfn.ANCHORARRAY(Sintesi!$C$15),1,$C188))*($E188&lt;INDEX(_xlfn.ANCHORARRAY(Sintesi!$C$16),1,$C188))*(INDEX(_xlfn.ANCHORARRAY(Sintesi!$C$15),1,$C188)&gt;0),2,IF($E188=(INDEX(_xlfn.ANCHORARRAY(Sintesi!$C$16),1,$C188)),3,4)))),0),IF($C188&gt;0,IF(($E188=INDEX(_xlfn.ANCHORARRAY(Sintesi!$C$14),1,$C188))*(INDEX(_xlfn.ANCHORARRAY(Sintesi!$C$15),1,$C188)&gt;0),0,IF(($E188=INDEX(_xlfn.ANCHORARRAY(Sintesi!$C$14),1,$C188))*(INDEX(_xlfn.ANCHORARRAY(Sintesi!$C$15),1,$C188)&lt;0)+($E188&gt;=LOOKUP(2,1/($E:$E&lt;&gt;""),$E:$E))*($E188&lt;=$E189)*($E188&gt;INDEX(_xlfn.ANCHORARRAY(Sintesi!$C$14),1,$C188))*($E188&lt;=INDEX(_xlfn.ANCHORARRAY(Sintesi!$C$15),1,$C188))*(INDEX(_xlfn.ANCHORARRAY(Sintesi!$C$15),1,$C188)&gt;0),1,IF(($E188&gt;=LOOKUP(2,1/($E:$E&lt;&gt;""),$E:$E))*($E188&lt;=$E189)*($E188&gt;INDEX(_xlfn.ANCHORARRAY(Sintesi!$C$14),1,$C188))*($E188&lt;INDEX(_xlfn.ANCHORARRAY(Sintesi!$C$16),1,$C188))*(INDEX(_xlfn.ANCHORARRAY(Sintesi!$C$15),1,$C188)&lt;0)+($E188&gt;=LOOKUP(2,1/($E:$E&lt;&gt;""),$E:$E))*($E188&lt;=$E189)*($E188&gt;INDEX(_xlfn.ANCHORARRAY(Sintesi!$C$15),1,$C188))*($E188&lt;INDEX(_xlfn.ANCHORARRAY(Sintesi!$C$16),1,$C188))*(INDEX(_xlfn.ANCHORARRAY(Sintesi!$C$15),1,$C188)&gt;0),2,IF($E188=(INDEX(_xlfn.ANCHORARRAY(Sintesi!$C$16),1,$C188)),3,4)))),0)))</f>
        <v/>
      </c>
      <c r="E188" s="1">
        <f>'Paste cell here'!F188</f>
        <v/>
      </c>
      <c r="F188" s="1">
        <f>'Paste cell here'!C188</f>
        <v/>
      </c>
      <c r="G188" s="1">
        <f>'Paste cell here'!D188</f>
        <v/>
      </c>
      <c r="H188" s="1">
        <f>'Paste cell here'!E188</f>
        <v/>
      </c>
      <c r="I188" s="1">
        <f>'Paste cell here'!X188</f>
        <v/>
      </c>
      <c r="J188" s="1">
        <f>'Paste cell here'!Y188+'Paste cell here'!S188</f>
        <v/>
      </c>
      <c r="K188" s="1">
        <f>I188/H188</f>
        <v/>
      </c>
      <c r="L188" s="1">
        <f>AVERAGE(($F188+$G188)/2-($F188-$G188)/2*COS(PI()*(8-VLOOKUP(MONTH(B188),$O$1:$Q$13,3))/(VLOOKUP(MONTH(B188),$O$1:$Q$13,2)-VLOOKUP(MONTH(B188),$O$1:$Q$13,3))),($F188+$G188)/2-($F188-$G188)/2*COS(PI()*(9-VLOOKUP(MONTH(B188),$O$1:$Q$13,3))/(VLOOKUP(MONTH(B188),$O$1:$Q$13,2)-VLOOKUP(MONTH(B188),$O$1:$Q$13,3))),($F188+$G188)/2-($F188-$G188)/2*COS(PI()*(10-VLOOKUP(MONTH(B188),$O$1:$Q$13,3))/(VLOOKUP(MONTH(B188),$O$1:$Q$13,2)-VLOOKUP(MONTH(B188),$O$1:$Q$13,3))),($F188+$G188)/2-($F188-$G188)/2*COS(PI()*(11-VLOOKUP(MONTH(B188),$O$1:$Q$13,3))/(VLOOKUP(MONTH(B188),$O$1:$Q$13,2)-VLOOKUP(MONTH(B188),$O$1:$Q$13,3))),($F188+$G188)/2-($F188-$G188)/2*COS(PI()*(12-VLOOKUP(MONTH(B188),$O$1:$Q$13,3))/(VLOOKUP(MONTH(B188),$O$1:$Q$13,2)-VLOOKUP(MONTH(B188),$O$1:$Q$13,3))),($F188+$G188)/2-($F188-$G188)/2*COS(PI()*(13-VLOOKUP(MONTH(B188),$O$1:$Q$13,3))/(VLOOKUP(MONTH(B188),$O$1:$Q$13,2)-VLOOKUP(MONTH(B188),$O$1:$Q$13,3))),($F188+$G188)/2-($F188-$G188)/2*COS(PI()*(14-VLOOKUP(MONTH(B188),$O$1:$Q$13,3))/(VLOOKUP(MONTH(B188),$O$1:$Q$13,2)-VLOOKUP(MONTH(B188),$O$1:$Q$13,3))))</f>
        <v/>
      </c>
      <c r="M188" s="1">
        <f t="array" ref="M188">IF(AND(A188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,A188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),IF(L188&lt;_xlfn.IFNA(INDEX(_xlfn.ANCHORARRAY(Sintesi!$C$17)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,1,IF(L188&gt;=_xlfn.IFNA(INDEX(_xlfn.ANCHORARRAY(Sintesi!$C$18)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,0,1-(L188-_xlfn.IFNA(INDEX(_xlfn.ANCHORARRAY(Sintesi!$C$17)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)/(_xlfn.IFNA(INDEX(_xlfn.ANCHORARRAY(Sintesi!$C$18)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-_xlfn.IFNA(INDEX(_xlfn.ANCHORARRAY(Sintesi!$C$17)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))),0)</f>
        <v/>
      </c>
    </row>
    <row r="189">
      <c r="A189" s="1">
        <f>'Paste cell here'!A189</f>
        <v/>
      </c>
      <c r="B189" s="2">
        <f>DATE(Sintesi!$C$4-1,12,31)+A189</f>
        <v/>
      </c>
      <c r="C189" s="34">
        <f t="array" ref="C189">_xlfn.IFNA(MATCH(1,(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)*(_xlfn.ANCHORARRAY(Sintesi!$C$15)&gt;=0)+(_xlfn.ANCHORARRAY(Sintesi!$C$15)&lt;0),0),0)</f>
        <v/>
      </c>
      <c r="D189" s="1">
        <f t="array" ref="D189">IF(ISBLANK($E190),IF(ISNUMBER($E188),IF($C189&gt;0,IF(($E189=INDEX(_xlfn.ANCHORARRAY(Sintesi!$C$14),1,$C189))*(INDEX(_xlfn.ANCHORARRAY(Sintesi!$C$15),1,$C189)&gt;0),0,IF(($E189=INDEX(_xlfn.ANCHORARRAY(Sintesi!$C$14),1,$C189))*(INDEX(_xlfn.ANCHORARRAY(Sintesi!$C$15),1,$C189)&lt;0)+($E189&gt;=$E188)*($E189&lt;=INDEX($E:$E,MATCH(TRUE,INDEX((ISNUMBER($E:$E)),0),0)))*($E189&gt;INDEX(_xlfn.ANCHORARRAY(Sintesi!$C$14),1,$C189))*($E189&lt;=INDEX(_xlfn.ANCHORARRAY(Sintesi!$C$15),1,$C189))*(INDEX(_xlfn.ANCHORARRAY(Sintesi!$C$15),1,$C189)&gt;0),1,IF(($E189&gt;=$E188)*($E189&lt;=INDEX($E:$E,MATCH(TRUE,INDEX((ISNUMBER($E:$E)),0),0)))*($E189&gt;INDEX(_xlfn.ANCHORARRAY(Sintesi!$C$14),1,$C189))*($E189&lt;INDEX(_xlfn.ANCHORARRAY(Sintesi!$C$16),1,$C189))*(INDEX(_xlfn.ANCHORARRAY(Sintesi!$C$15),1,$C189)&lt;0)+($E189&gt;=$E188)*($E189&lt;=INDEX($E:$E,MATCH(TRUE,INDEX((ISNUMBER($E:$E)),0),0)))*($E189&gt;INDEX(_xlfn.ANCHORARRAY(Sintesi!$C$15),1,$C189))*($E189&lt;INDEX(_xlfn.ANCHORARRAY(Sintesi!$C$16),1,$C189))*(INDEX(_xlfn.ANCHORARRAY(Sintesi!$C$15),1,$C189)&gt;0),2,IF($E189=(INDEX(_xlfn.ANCHORARRAY(Sintesi!$C$16),1,$C189)),3,4)))),0),IF($C189&gt;0,IF(($E189=INDEX(_xlfn.ANCHORARRAY(Sintesi!$C$14),1,$C189))*(INDEX(_xlfn.ANCHORARRAY(Sintesi!$C$15),1,$C189)&gt;0),0,IF(($E189=INDEX(_xlfn.ANCHORARRAY(Sintesi!$C$14),1,$C189))*(INDEX(_xlfn.ANCHORARRAY(Sintesi!$C$15),1,$C189)&lt;0)+($E189&gt;=LOOKUP(2,1/($E:$E&lt;&gt;""),$E:$E))*($E189&lt;=INDEX($E:$E,MATCH(TRUE,INDEX((ISNUMBER($E:$E)),0),0)))*($E189&gt;INDEX(_xlfn.ANCHORARRAY(Sintesi!$C$14),1,$C189))*($E189&lt;=INDEX(_xlfn.ANCHORARRAY(Sintesi!$C$15),1,$C189))*(INDEX(_xlfn.ANCHORARRAY(Sintesi!$C$15),1,$C189)&gt;0),1,IF(($E189&gt;=LOOKUP(2,1/($E:$E&lt;&gt;""),$E:$E))*($E189&lt;=INDEX($E:$E,MATCH(TRUE,INDEX((ISNUMBER($E:$E)),0),0)))*($E189&gt;INDEX(_xlfn.ANCHORARRAY(Sintesi!$C$14),1,$C189))*($E189&lt;INDEX(_xlfn.ANCHORARRAY(Sintesi!$C$16),1,$C189))*(INDEX(_xlfn.ANCHORARRAY(Sintesi!$C$15),1,$C189)&lt;0)+($E189&gt;=LOOKUP(2,1/($E:$E&lt;&gt;""),$E:$E))*($E189&lt;=INDEX($E:$E,MATCH(TRUE,INDEX((ISNUMBER($E:$E)),0),0)))*($E189&gt;INDEX(_xlfn.ANCHORARRAY(Sintesi!$C$15),1,$C189))*($E189&lt;INDEX(_xlfn.ANCHORARRAY(Sintesi!$C$16),1,$C189))*(INDEX(_xlfn.ANCHORARRAY(Sintesi!$C$15),1,$C189)&gt;0),2,IF($E189=(INDEX(_xlfn.ANCHORARRAY(Sintesi!$C$16),1,$C189)),3,4)))),0)),IF(ISNUMBER($E188),IF($C189&gt;0,IF(($E189=INDEX(_xlfn.ANCHORARRAY(Sintesi!$C$14),1,$C189))*(INDEX(_xlfn.ANCHORARRAY(Sintesi!$C$15),1,$C189)&gt;0),0,IF(($E189=INDEX(_xlfn.ANCHORARRAY(Sintesi!$C$14),1,$C189))*(INDEX(_xlfn.ANCHORARRAY(Sintesi!$C$15),1,$C189)&lt;0)+($E189&gt;=$E188)*($E189&lt;=$E190)*($E189&gt;INDEX(_xlfn.ANCHORARRAY(Sintesi!$C$14),1,$C189))*($E189&lt;=INDEX(_xlfn.ANCHORARRAY(Sintesi!$C$15),1,$C189))*(INDEX(_xlfn.ANCHORARRAY(Sintesi!$C$15),1,$C189)&gt;0),1,IF(($E189&gt;=$E188)*($E189&lt;=$E190)*($E189&gt;INDEX(_xlfn.ANCHORARRAY(Sintesi!$C$14),1,$C189))*($E189&lt;INDEX(_xlfn.ANCHORARRAY(Sintesi!$C$16),1,$C189))*(INDEX(_xlfn.ANCHORARRAY(Sintesi!$C$15),1,$C189)&lt;0)+($E189&gt;=$E188)*($E189&lt;=$E190)*($E189&gt;INDEX(_xlfn.ANCHORARRAY(Sintesi!$C$15),1,$C189))*($E189&lt;INDEX(_xlfn.ANCHORARRAY(Sintesi!$C$16),1,$C189))*(INDEX(_xlfn.ANCHORARRAY(Sintesi!$C$15),1,$C189)&gt;0),2,IF($E189=(INDEX(_xlfn.ANCHORARRAY(Sintesi!$C$16),1,$C189)),3,4)))),0),IF($C189&gt;0,IF(($E189=INDEX(_xlfn.ANCHORARRAY(Sintesi!$C$14),1,$C189))*(INDEX(_xlfn.ANCHORARRAY(Sintesi!$C$15),1,$C189)&gt;0),0,IF(($E189=INDEX(_xlfn.ANCHORARRAY(Sintesi!$C$14),1,$C189))*(INDEX(_xlfn.ANCHORARRAY(Sintesi!$C$15),1,$C189)&lt;0)+($E189&gt;=LOOKUP(2,1/($E:$E&lt;&gt;""),$E:$E))*($E189&lt;=$E190)*($E189&gt;INDEX(_xlfn.ANCHORARRAY(Sintesi!$C$14),1,$C189))*($E189&lt;=INDEX(_xlfn.ANCHORARRAY(Sintesi!$C$15),1,$C189))*(INDEX(_xlfn.ANCHORARRAY(Sintesi!$C$15),1,$C189)&gt;0),1,IF(($E189&gt;=LOOKUP(2,1/($E:$E&lt;&gt;""),$E:$E))*($E189&lt;=$E190)*($E189&gt;INDEX(_xlfn.ANCHORARRAY(Sintesi!$C$14),1,$C189))*($E189&lt;INDEX(_xlfn.ANCHORARRAY(Sintesi!$C$16),1,$C189))*(INDEX(_xlfn.ANCHORARRAY(Sintesi!$C$15),1,$C189)&lt;0)+($E189&gt;=LOOKUP(2,1/($E:$E&lt;&gt;""),$E:$E))*($E189&lt;=$E190)*($E189&gt;INDEX(_xlfn.ANCHORARRAY(Sintesi!$C$15),1,$C189))*($E189&lt;INDEX(_xlfn.ANCHORARRAY(Sintesi!$C$16),1,$C189))*(INDEX(_xlfn.ANCHORARRAY(Sintesi!$C$15),1,$C189)&gt;0),2,IF($E189=(INDEX(_xlfn.ANCHORARRAY(Sintesi!$C$16),1,$C189)),3,4)))),0)))</f>
        <v/>
      </c>
      <c r="E189" s="1">
        <f>'Paste cell here'!F189</f>
        <v/>
      </c>
      <c r="F189" s="1">
        <f>'Paste cell here'!C189</f>
        <v/>
      </c>
      <c r="G189" s="1">
        <f>'Paste cell here'!D189</f>
        <v/>
      </c>
      <c r="H189" s="1">
        <f>'Paste cell here'!E189</f>
        <v/>
      </c>
      <c r="I189" s="1">
        <f>'Paste cell here'!X189</f>
        <v/>
      </c>
      <c r="J189" s="1">
        <f>'Paste cell here'!Y189+'Paste cell here'!S189</f>
        <v/>
      </c>
      <c r="K189" s="1">
        <f>I189/H189</f>
        <v/>
      </c>
      <c r="L189" s="1">
        <f>AVERAGE(($F189+$G189)/2-($F189-$G189)/2*COS(PI()*(8-VLOOKUP(MONTH(B189),$O$1:$Q$13,3))/(VLOOKUP(MONTH(B189),$O$1:$Q$13,2)-VLOOKUP(MONTH(B189),$O$1:$Q$13,3))),($F189+$G189)/2-($F189-$G189)/2*COS(PI()*(9-VLOOKUP(MONTH(B189),$O$1:$Q$13,3))/(VLOOKUP(MONTH(B189),$O$1:$Q$13,2)-VLOOKUP(MONTH(B189),$O$1:$Q$13,3))),($F189+$G189)/2-($F189-$G189)/2*COS(PI()*(10-VLOOKUP(MONTH(B189),$O$1:$Q$13,3))/(VLOOKUP(MONTH(B189),$O$1:$Q$13,2)-VLOOKUP(MONTH(B189),$O$1:$Q$13,3))),($F189+$G189)/2-($F189-$G189)/2*COS(PI()*(11-VLOOKUP(MONTH(B189),$O$1:$Q$13,3))/(VLOOKUP(MONTH(B189),$O$1:$Q$13,2)-VLOOKUP(MONTH(B189),$O$1:$Q$13,3))),($F189+$G189)/2-($F189-$G189)/2*COS(PI()*(12-VLOOKUP(MONTH(B189),$O$1:$Q$13,3))/(VLOOKUP(MONTH(B189),$O$1:$Q$13,2)-VLOOKUP(MONTH(B189),$O$1:$Q$13,3))),($F189+$G189)/2-($F189-$G189)/2*COS(PI()*(13-VLOOKUP(MONTH(B189),$O$1:$Q$13,3))/(VLOOKUP(MONTH(B189),$O$1:$Q$13,2)-VLOOKUP(MONTH(B189),$O$1:$Q$13,3))),($F189+$G189)/2-($F189-$G189)/2*COS(PI()*(14-VLOOKUP(MONTH(B189),$O$1:$Q$13,3))/(VLOOKUP(MONTH(B189),$O$1:$Q$13,2)-VLOOKUP(MONTH(B189),$O$1:$Q$13,3))))</f>
        <v/>
      </c>
      <c r="M189" s="1">
        <f t="array" ref="M189">IF(AND(A189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,A189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),IF(L189&lt;_xlfn.IFNA(INDEX(_xlfn.ANCHORARRAY(Sintesi!$C$17)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,1,IF(L189&gt;=_xlfn.IFNA(INDEX(_xlfn.ANCHORARRAY(Sintesi!$C$18)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,0,1-(L189-_xlfn.IFNA(INDEX(_xlfn.ANCHORARRAY(Sintesi!$C$17)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)/(_xlfn.IFNA(INDEX(_xlfn.ANCHORARRAY(Sintesi!$C$18)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-_xlfn.IFNA(INDEX(_xlfn.ANCHORARRAY(Sintesi!$C$17)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))),0)</f>
        <v/>
      </c>
    </row>
    <row r="190">
      <c r="A190" s="1">
        <f>'Paste cell here'!A190</f>
        <v/>
      </c>
      <c r="B190" s="2">
        <f>DATE(Sintesi!$C$4-1,12,31)+A190</f>
        <v/>
      </c>
      <c r="C190" s="34">
        <f t="array" ref="C190">_xlfn.IFNA(MATCH(1,(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)*(_xlfn.ANCHORARRAY(Sintesi!$C$15)&gt;=0)+(_xlfn.ANCHORARRAY(Sintesi!$C$15)&lt;0),0),0)</f>
        <v/>
      </c>
      <c r="D190" s="1">
        <f t="array" ref="D190">IF(ISBLANK($E191),IF(ISNUMBER($E189),IF($C190&gt;0,IF(($E190=INDEX(_xlfn.ANCHORARRAY(Sintesi!$C$14),1,$C190))*(INDEX(_xlfn.ANCHORARRAY(Sintesi!$C$15),1,$C190)&gt;0),0,IF(($E190=INDEX(_xlfn.ANCHORARRAY(Sintesi!$C$14),1,$C190))*(INDEX(_xlfn.ANCHORARRAY(Sintesi!$C$15),1,$C190)&lt;0)+($E190&gt;=$E189)*($E190&lt;=INDEX($E:$E,MATCH(TRUE,INDEX((ISNUMBER($E:$E)),0),0)))*($E190&gt;INDEX(_xlfn.ANCHORARRAY(Sintesi!$C$14),1,$C190))*($E190&lt;=INDEX(_xlfn.ANCHORARRAY(Sintesi!$C$15),1,$C190))*(INDEX(_xlfn.ANCHORARRAY(Sintesi!$C$15),1,$C190)&gt;0),1,IF(($E190&gt;=$E189)*($E190&lt;=INDEX($E:$E,MATCH(TRUE,INDEX((ISNUMBER($E:$E)),0),0)))*($E190&gt;INDEX(_xlfn.ANCHORARRAY(Sintesi!$C$14),1,$C190))*($E190&lt;INDEX(_xlfn.ANCHORARRAY(Sintesi!$C$16),1,$C190))*(INDEX(_xlfn.ANCHORARRAY(Sintesi!$C$15),1,$C190)&lt;0)+($E190&gt;=$E189)*($E190&lt;=INDEX($E:$E,MATCH(TRUE,INDEX((ISNUMBER($E:$E)),0),0)))*($E190&gt;INDEX(_xlfn.ANCHORARRAY(Sintesi!$C$15),1,$C190))*($E190&lt;INDEX(_xlfn.ANCHORARRAY(Sintesi!$C$16),1,$C190))*(INDEX(_xlfn.ANCHORARRAY(Sintesi!$C$15),1,$C190)&gt;0),2,IF($E190=(INDEX(_xlfn.ANCHORARRAY(Sintesi!$C$16),1,$C190)),3,4)))),0),IF($C190&gt;0,IF(($E190=INDEX(_xlfn.ANCHORARRAY(Sintesi!$C$14),1,$C190))*(INDEX(_xlfn.ANCHORARRAY(Sintesi!$C$15),1,$C190)&gt;0),0,IF(($E190=INDEX(_xlfn.ANCHORARRAY(Sintesi!$C$14),1,$C190))*(INDEX(_xlfn.ANCHORARRAY(Sintesi!$C$15),1,$C190)&lt;0)+($E190&gt;=LOOKUP(2,1/($E:$E&lt;&gt;""),$E:$E))*($E190&lt;=INDEX($E:$E,MATCH(TRUE,INDEX((ISNUMBER($E:$E)),0),0)))*($E190&gt;INDEX(_xlfn.ANCHORARRAY(Sintesi!$C$14),1,$C190))*($E190&lt;=INDEX(_xlfn.ANCHORARRAY(Sintesi!$C$15),1,$C190))*(INDEX(_xlfn.ANCHORARRAY(Sintesi!$C$15),1,$C190)&gt;0),1,IF(($E190&gt;=LOOKUP(2,1/($E:$E&lt;&gt;""),$E:$E))*($E190&lt;=INDEX($E:$E,MATCH(TRUE,INDEX((ISNUMBER($E:$E)),0),0)))*($E190&gt;INDEX(_xlfn.ANCHORARRAY(Sintesi!$C$14),1,$C190))*($E190&lt;INDEX(_xlfn.ANCHORARRAY(Sintesi!$C$16),1,$C190))*(INDEX(_xlfn.ANCHORARRAY(Sintesi!$C$15),1,$C190)&lt;0)+($E190&gt;=LOOKUP(2,1/($E:$E&lt;&gt;""),$E:$E))*($E190&lt;=INDEX($E:$E,MATCH(TRUE,INDEX((ISNUMBER($E:$E)),0),0)))*($E190&gt;INDEX(_xlfn.ANCHORARRAY(Sintesi!$C$15),1,$C190))*($E190&lt;INDEX(_xlfn.ANCHORARRAY(Sintesi!$C$16),1,$C190))*(INDEX(_xlfn.ANCHORARRAY(Sintesi!$C$15),1,$C190)&gt;0),2,IF($E190=(INDEX(_xlfn.ANCHORARRAY(Sintesi!$C$16),1,$C190)),3,4)))),0)),IF(ISNUMBER($E189),IF($C190&gt;0,IF(($E190=INDEX(_xlfn.ANCHORARRAY(Sintesi!$C$14),1,$C190))*(INDEX(_xlfn.ANCHORARRAY(Sintesi!$C$15),1,$C190)&gt;0),0,IF(($E190=INDEX(_xlfn.ANCHORARRAY(Sintesi!$C$14),1,$C190))*(INDEX(_xlfn.ANCHORARRAY(Sintesi!$C$15),1,$C190)&lt;0)+($E190&gt;=$E189)*($E190&lt;=$E191)*($E190&gt;INDEX(_xlfn.ANCHORARRAY(Sintesi!$C$14),1,$C190))*($E190&lt;=INDEX(_xlfn.ANCHORARRAY(Sintesi!$C$15),1,$C190))*(INDEX(_xlfn.ANCHORARRAY(Sintesi!$C$15),1,$C190)&gt;0),1,IF(($E190&gt;=$E189)*($E190&lt;=$E191)*($E190&gt;INDEX(_xlfn.ANCHORARRAY(Sintesi!$C$14),1,$C190))*($E190&lt;INDEX(_xlfn.ANCHORARRAY(Sintesi!$C$16),1,$C190))*(INDEX(_xlfn.ANCHORARRAY(Sintesi!$C$15),1,$C190)&lt;0)+($E190&gt;=$E189)*($E190&lt;=$E191)*($E190&gt;INDEX(_xlfn.ANCHORARRAY(Sintesi!$C$15),1,$C190))*($E190&lt;INDEX(_xlfn.ANCHORARRAY(Sintesi!$C$16),1,$C190))*(INDEX(_xlfn.ANCHORARRAY(Sintesi!$C$15),1,$C190)&gt;0),2,IF($E190=(INDEX(_xlfn.ANCHORARRAY(Sintesi!$C$16),1,$C190)),3,4)))),0),IF($C190&gt;0,IF(($E190=INDEX(_xlfn.ANCHORARRAY(Sintesi!$C$14),1,$C190))*(INDEX(_xlfn.ANCHORARRAY(Sintesi!$C$15),1,$C190)&gt;0),0,IF(($E190=INDEX(_xlfn.ANCHORARRAY(Sintesi!$C$14),1,$C190))*(INDEX(_xlfn.ANCHORARRAY(Sintesi!$C$15),1,$C190)&lt;0)+($E190&gt;=LOOKUP(2,1/($E:$E&lt;&gt;""),$E:$E))*($E190&lt;=$E191)*($E190&gt;INDEX(_xlfn.ANCHORARRAY(Sintesi!$C$14),1,$C190))*($E190&lt;=INDEX(_xlfn.ANCHORARRAY(Sintesi!$C$15),1,$C190))*(INDEX(_xlfn.ANCHORARRAY(Sintesi!$C$15),1,$C190)&gt;0),1,IF(($E190&gt;=LOOKUP(2,1/($E:$E&lt;&gt;""),$E:$E))*($E190&lt;=$E191)*($E190&gt;INDEX(_xlfn.ANCHORARRAY(Sintesi!$C$14),1,$C190))*($E190&lt;INDEX(_xlfn.ANCHORARRAY(Sintesi!$C$16),1,$C190))*(INDEX(_xlfn.ANCHORARRAY(Sintesi!$C$15),1,$C190)&lt;0)+($E190&gt;=LOOKUP(2,1/($E:$E&lt;&gt;""),$E:$E))*($E190&lt;=$E191)*($E190&gt;INDEX(_xlfn.ANCHORARRAY(Sintesi!$C$15),1,$C190))*($E190&lt;INDEX(_xlfn.ANCHORARRAY(Sintesi!$C$16),1,$C190))*(INDEX(_xlfn.ANCHORARRAY(Sintesi!$C$15),1,$C190)&gt;0),2,IF($E190=(INDEX(_xlfn.ANCHORARRAY(Sintesi!$C$16),1,$C190)),3,4)))),0)))</f>
        <v/>
      </c>
      <c r="E190" s="1">
        <f>'Paste cell here'!F190</f>
        <v/>
      </c>
      <c r="F190" s="1">
        <f>'Paste cell here'!C190</f>
        <v/>
      </c>
      <c r="G190" s="1">
        <f>'Paste cell here'!D190</f>
        <v/>
      </c>
      <c r="H190" s="1">
        <f>'Paste cell here'!E190</f>
        <v/>
      </c>
      <c r="I190" s="1">
        <f>'Paste cell here'!X190</f>
        <v/>
      </c>
      <c r="J190" s="1">
        <f>'Paste cell here'!Y190+'Paste cell here'!S190</f>
        <v/>
      </c>
      <c r="K190" s="1">
        <f>I190/H190</f>
        <v/>
      </c>
      <c r="L190" s="1">
        <f>AVERAGE(($F190+$G190)/2-($F190-$G190)/2*COS(PI()*(8-VLOOKUP(MONTH(B190),$O$1:$Q$13,3))/(VLOOKUP(MONTH(B190),$O$1:$Q$13,2)-VLOOKUP(MONTH(B190),$O$1:$Q$13,3))),($F190+$G190)/2-($F190-$G190)/2*COS(PI()*(9-VLOOKUP(MONTH(B190),$O$1:$Q$13,3))/(VLOOKUP(MONTH(B190),$O$1:$Q$13,2)-VLOOKUP(MONTH(B190),$O$1:$Q$13,3))),($F190+$G190)/2-($F190-$G190)/2*COS(PI()*(10-VLOOKUP(MONTH(B190),$O$1:$Q$13,3))/(VLOOKUP(MONTH(B190),$O$1:$Q$13,2)-VLOOKUP(MONTH(B190),$O$1:$Q$13,3))),($F190+$G190)/2-($F190-$G190)/2*COS(PI()*(11-VLOOKUP(MONTH(B190),$O$1:$Q$13,3))/(VLOOKUP(MONTH(B190),$O$1:$Q$13,2)-VLOOKUP(MONTH(B190),$O$1:$Q$13,3))),($F190+$G190)/2-($F190-$G190)/2*COS(PI()*(12-VLOOKUP(MONTH(B190),$O$1:$Q$13,3))/(VLOOKUP(MONTH(B190),$O$1:$Q$13,2)-VLOOKUP(MONTH(B190),$O$1:$Q$13,3))),($F190+$G190)/2-($F190-$G190)/2*COS(PI()*(13-VLOOKUP(MONTH(B190),$O$1:$Q$13,3))/(VLOOKUP(MONTH(B190),$O$1:$Q$13,2)-VLOOKUP(MONTH(B190),$O$1:$Q$13,3))),($F190+$G190)/2-($F190-$G190)/2*COS(PI()*(14-VLOOKUP(MONTH(B190),$O$1:$Q$13,3))/(VLOOKUP(MONTH(B190),$O$1:$Q$13,2)-VLOOKUP(MONTH(B190),$O$1:$Q$13,3))))</f>
        <v/>
      </c>
      <c r="M190" s="1">
        <f t="array" ref="M190">IF(AND(A190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,A190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),IF(L190&lt;_xlfn.IFNA(INDEX(_xlfn.ANCHORARRAY(Sintesi!$C$17)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,1,IF(L190&gt;=_xlfn.IFNA(INDEX(_xlfn.ANCHORARRAY(Sintesi!$C$18)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,0,1-(L190-_xlfn.IFNA(INDEX(_xlfn.ANCHORARRAY(Sintesi!$C$17)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)/(_xlfn.IFNA(INDEX(_xlfn.ANCHORARRAY(Sintesi!$C$18)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-_xlfn.IFNA(INDEX(_xlfn.ANCHORARRAY(Sintesi!$C$17)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))),0)</f>
        <v/>
      </c>
    </row>
    <row r="191">
      <c r="A191" s="1">
        <f>'Paste cell here'!A191</f>
        <v/>
      </c>
      <c r="B191" s="2">
        <f>DATE(Sintesi!$C$4-1,12,31)+A191</f>
        <v/>
      </c>
      <c r="C191" s="34">
        <f t="array" ref="C191">_xlfn.IFNA(MATCH(1,(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)*(_xlfn.ANCHORARRAY(Sintesi!$C$15)&gt;=0)+(_xlfn.ANCHORARRAY(Sintesi!$C$15)&lt;0),0),0)</f>
        <v/>
      </c>
      <c r="D191" s="1">
        <f t="array" ref="D191">IF(ISBLANK($E192),IF(ISNUMBER($E190),IF($C191&gt;0,IF(($E191=INDEX(_xlfn.ANCHORARRAY(Sintesi!$C$14),1,$C191))*(INDEX(_xlfn.ANCHORARRAY(Sintesi!$C$15),1,$C191)&gt;0),0,IF(($E191=INDEX(_xlfn.ANCHORARRAY(Sintesi!$C$14),1,$C191))*(INDEX(_xlfn.ANCHORARRAY(Sintesi!$C$15),1,$C191)&lt;0)+($E191&gt;=$E190)*($E191&lt;=INDEX($E:$E,MATCH(TRUE,INDEX((ISNUMBER($E:$E)),0),0)))*($E191&gt;INDEX(_xlfn.ANCHORARRAY(Sintesi!$C$14),1,$C191))*($E191&lt;=INDEX(_xlfn.ANCHORARRAY(Sintesi!$C$15),1,$C191))*(INDEX(_xlfn.ANCHORARRAY(Sintesi!$C$15),1,$C191)&gt;0),1,IF(($E191&gt;=$E190)*($E191&lt;=INDEX($E:$E,MATCH(TRUE,INDEX((ISNUMBER($E:$E)),0),0)))*($E191&gt;INDEX(_xlfn.ANCHORARRAY(Sintesi!$C$14),1,$C191))*($E191&lt;INDEX(_xlfn.ANCHORARRAY(Sintesi!$C$16),1,$C191))*(INDEX(_xlfn.ANCHORARRAY(Sintesi!$C$15),1,$C191)&lt;0)+($E191&gt;=$E190)*($E191&lt;=INDEX($E:$E,MATCH(TRUE,INDEX((ISNUMBER($E:$E)),0),0)))*($E191&gt;INDEX(_xlfn.ANCHORARRAY(Sintesi!$C$15),1,$C191))*($E191&lt;INDEX(_xlfn.ANCHORARRAY(Sintesi!$C$16),1,$C191))*(INDEX(_xlfn.ANCHORARRAY(Sintesi!$C$15),1,$C191)&gt;0),2,IF($E191=(INDEX(_xlfn.ANCHORARRAY(Sintesi!$C$16),1,$C191)),3,4)))),0),IF($C191&gt;0,IF(($E191=INDEX(_xlfn.ANCHORARRAY(Sintesi!$C$14),1,$C191))*(INDEX(_xlfn.ANCHORARRAY(Sintesi!$C$15),1,$C191)&gt;0),0,IF(($E191=INDEX(_xlfn.ANCHORARRAY(Sintesi!$C$14),1,$C191))*(INDEX(_xlfn.ANCHORARRAY(Sintesi!$C$15),1,$C191)&lt;0)+($E191&gt;=LOOKUP(2,1/($E:$E&lt;&gt;""),$E:$E))*($E191&lt;=INDEX($E:$E,MATCH(TRUE,INDEX((ISNUMBER($E:$E)),0),0)))*($E191&gt;INDEX(_xlfn.ANCHORARRAY(Sintesi!$C$14),1,$C191))*($E191&lt;=INDEX(_xlfn.ANCHORARRAY(Sintesi!$C$15),1,$C191))*(INDEX(_xlfn.ANCHORARRAY(Sintesi!$C$15),1,$C191)&gt;0),1,IF(($E191&gt;=LOOKUP(2,1/($E:$E&lt;&gt;""),$E:$E))*($E191&lt;=INDEX($E:$E,MATCH(TRUE,INDEX((ISNUMBER($E:$E)),0),0)))*($E191&gt;INDEX(_xlfn.ANCHORARRAY(Sintesi!$C$14),1,$C191))*($E191&lt;INDEX(_xlfn.ANCHORARRAY(Sintesi!$C$16),1,$C191))*(INDEX(_xlfn.ANCHORARRAY(Sintesi!$C$15),1,$C191)&lt;0)+($E191&gt;=LOOKUP(2,1/($E:$E&lt;&gt;""),$E:$E))*($E191&lt;=INDEX($E:$E,MATCH(TRUE,INDEX((ISNUMBER($E:$E)),0),0)))*($E191&gt;INDEX(_xlfn.ANCHORARRAY(Sintesi!$C$15),1,$C191))*($E191&lt;INDEX(_xlfn.ANCHORARRAY(Sintesi!$C$16),1,$C191))*(INDEX(_xlfn.ANCHORARRAY(Sintesi!$C$15),1,$C191)&gt;0),2,IF($E191=(INDEX(_xlfn.ANCHORARRAY(Sintesi!$C$16),1,$C191)),3,4)))),0)),IF(ISNUMBER($E190),IF($C191&gt;0,IF(($E191=INDEX(_xlfn.ANCHORARRAY(Sintesi!$C$14),1,$C191))*(INDEX(_xlfn.ANCHORARRAY(Sintesi!$C$15),1,$C191)&gt;0),0,IF(($E191=INDEX(_xlfn.ANCHORARRAY(Sintesi!$C$14),1,$C191))*(INDEX(_xlfn.ANCHORARRAY(Sintesi!$C$15),1,$C191)&lt;0)+($E191&gt;=$E190)*($E191&lt;=$E192)*($E191&gt;INDEX(_xlfn.ANCHORARRAY(Sintesi!$C$14),1,$C191))*($E191&lt;=INDEX(_xlfn.ANCHORARRAY(Sintesi!$C$15),1,$C191))*(INDEX(_xlfn.ANCHORARRAY(Sintesi!$C$15),1,$C191)&gt;0),1,IF(($E191&gt;=$E190)*($E191&lt;=$E192)*($E191&gt;INDEX(_xlfn.ANCHORARRAY(Sintesi!$C$14),1,$C191))*($E191&lt;INDEX(_xlfn.ANCHORARRAY(Sintesi!$C$16),1,$C191))*(INDEX(_xlfn.ANCHORARRAY(Sintesi!$C$15),1,$C191)&lt;0)+($E191&gt;=$E190)*($E191&lt;=$E192)*($E191&gt;INDEX(_xlfn.ANCHORARRAY(Sintesi!$C$15),1,$C191))*($E191&lt;INDEX(_xlfn.ANCHORARRAY(Sintesi!$C$16),1,$C191))*(INDEX(_xlfn.ANCHORARRAY(Sintesi!$C$15),1,$C191)&gt;0),2,IF($E191=(INDEX(_xlfn.ANCHORARRAY(Sintesi!$C$16),1,$C191)),3,4)))),0),IF($C191&gt;0,IF(($E191=INDEX(_xlfn.ANCHORARRAY(Sintesi!$C$14),1,$C191))*(INDEX(_xlfn.ANCHORARRAY(Sintesi!$C$15),1,$C191)&gt;0),0,IF(($E191=INDEX(_xlfn.ANCHORARRAY(Sintesi!$C$14),1,$C191))*(INDEX(_xlfn.ANCHORARRAY(Sintesi!$C$15),1,$C191)&lt;0)+($E191&gt;=LOOKUP(2,1/($E:$E&lt;&gt;""),$E:$E))*($E191&lt;=$E192)*($E191&gt;INDEX(_xlfn.ANCHORARRAY(Sintesi!$C$14),1,$C191))*($E191&lt;=INDEX(_xlfn.ANCHORARRAY(Sintesi!$C$15),1,$C191))*(INDEX(_xlfn.ANCHORARRAY(Sintesi!$C$15),1,$C191)&gt;0),1,IF(($E191&gt;=LOOKUP(2,1/($E:$E&lt;&gt;""),$E:$E))*($E191&lt;=$E192)*($E191&gt;INDEX(_xlfn.ANCHORARRAY(Sintesi!$C$14),1,$C191))*($E191&lt;INDEX(_xlfn.ANCHORARRAY(Sintesi!$C$16),1,$C191))*(INDEX(_xlfn.ANCHORARRAY(Sintesi!$C$15),1,$C191)&lt;0)+($E191&gt;=LOOKUP(2,1/($E:$E&lt;&gt;""),$E:$E))*($E191&lt;=$E192)*($E191&gt;INDEX(_xlfn.ANCHORARRAY(Sintesi!$C$15),1,$C191))*($E191&lt;INDEX(_xlfn.ANCHORARRAY(Sintesi!$C$16),1,$C191))*(INDEX(_xlfn.ANCHORARRAY(Sintesi!$C$15),1,$C191)&gt;0),2,IF($E191=(INDEX(_xlfn.ANCHORARRAY(Sintesi!$C$16),1,$C191)),3,4)))),0)))</f>
        <v/>
      </c>
      <c r="E191" s="1">
        <f>'Paste cell here'!F191</f>
        <v/>
      </c>
      <c r="F191" s="1">
        <f>'Paste cell here'!C191</f>
        <v/>
      </c>
      <c r="G191" s="1">
        <f>'Paste cell here'!D191</f>
        <v/>
      </c>
      <c r="H191" s="1">
        <f>'Paste cell here'!E191</f>
        <v/>
      </c>
      <c r="I191" s="1">
        <f>'Paste cell here'!X191</f>
        <v/>
      </c>
      <c r="J191" s="1">
        <f>'Paste cell here'!Y191+'Paste cell here'!S191</f>
        <v/>
      </c>
      <c r="K191" s="1">
        <f>I191/H191</f>
        <v/>
      </c>
      <c r="L191" s="1">
        <f>AVERAGE(($F191+$G191)/2-($F191-$G191)/2*COS(PI()*(8-VLOOKUP(MONTH(B191),$O$1:$Q$13,3))/(VLOOKUP(MONTH(B191),$O$1:$Q$13,2)-VLOOKUP(MONTH(B191),$O$1:$Q$13,3))),($F191+$G191)/2-($F191-$G191)/2*COS(PI()*(9-VLOOKUP(MONTH(B191),$O$1:$Q$13,3))/(VLOOKUP(MONTH(B191),$O$1:$Q$13,2)-VLOOKUP(MONTH(B191),$O$1:$Q$13,3))),($F191+$G191)/2-($F191-$G191)/2*COS(PI()*(10-VLOOKUP(MONTH(B191),$O$1:$Q$13,3))/(VLOOKUP(MONTH(B191),$O$1:$Q$13,2)-VLOOKUP(MONTH(B191),$O$1:$Q$13,3))),($F191+$G191)/2-($F191-$G191)/2*COS(PI()*(11-VLOOKUP(MONTH(B191),$O$1:$Q$13,3))/(VLOOKUP(MONTH(B191),$O$1:$Q$13,2)-VLOOKUP(MONTH(B191),$O$1:$Q$13,3))),($F191+$G191)/2-($F191-$G191)/2*COS(PI()*(12-VLOOKUP(MONTH(B191),$O$1:$Q$13,3))/(VLOOKUP(MONTH(B191),$O$1:$Q$13,2)-VLOOKUP(MONTH(B191),$O$1:$Q$13,3))),($F191+$G191)/2-($F191-$G191)/2*COS(PI()*(13-VLOOKUP(MONTH(B191),$O$1:$Q$13,3))/(VLOOKUP(MONTH(B191),$O$1:$Q$13,2)-VLOOKUP(MONTH(B191),$O$1:$Q$13,3))),($F191+$G191)/2-($F191-$G191)/2*COS(PI()*(14-VLOOKUP(MONTH(B191),$O$1:$Q$13,3))/(VLOOKUP(MONTH(B191),$O$1:$Q$13,2)-VLOOKUP(MONTH(B191),$O$1:$Q$13,3))))</f>
        <v/>
      </c>
      <c r="M191" s="1">
        <f t="array" ref="M191">IF(AND(A191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,A191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),IF(L191&lt;_xlfn.IFNA(INDEX(_xlfn.ANCHORARRAY(Sintesi!$C$17)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,1,IF(L191&gt;=_xlfn.IFNA(INDEX(_xlfn.ANCHORARRAY(Sintesi!$C$18)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,0,1-(L191-_xlfn.IFNA(INDEX(_xlfn.ANCHORARRAY(Sintesi!$C$17)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)/(_xlfn.IFNA(INDEX(_xlfn.ANCHORARRAY(Sintesi!$C$18)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-_xlfn.IFNA(INDEX(_xlfn.ANCHORARRAY(Sintesi!$C$17)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))),0)</f>
        <v/>
      </c>
    </row>
    <row r="192">
      <c r="A192" s="1">
        <f>'Paste cell here'!A192</f>
        <v/>
      </c>
      <c r="B192" s="2">
        <f>DATE(Sintesi!$C$4-1,12,31)+A192</f>
        <v/>
      </c>
      <c r="C192" s="34">
        <f t="array" ref="C192">_xlfn.IFNA(MATCH(1,(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)*(_xlfn.ANCHORARRAY(Sintesi!$C$15)&gt;=0)+(_xlfn.ANCHORARRAY(Sintesi!$C$15)&lt;0),0),0)</f>
        <v/>
      </c>
      <c r="D192" s="1">
        <f t="array" ref="D192">IF(ISBLANK($E193),IF(ISNUMBER($E191),IF($C192&gt;0,IF(($E192=INDEX(_xlfn.ANCHORARRAY(Sintesi!$C$14),1,$C192))*(INDEX(_xlfn.ANCHORARRAY(Sintesi!$C$15),1,$C192)&gt;0),0,IF(($E192=INDEX(_xlfn.ANCHORARRAY(Sintesi!$C$14),1,$C192))*(INDEX(_xlfn.ANCHORARRAY(Sintesi!$C$15),1,$C192)&lt;0)+($E192&gt;=$E191)*($E192&lt;=INDEX($E:$E,MATCH(TRUE,INDEX((ISNUMBER($E:$E)),0),0)))*($E192&gt;INDEX(_xlfn.ANCHORARRAY(Sintesi!$C$14),1,$C192))*($E192&lt;=INDEX(_xlfn.ANCHORARRAY(Sintesi!$C$15),1,$C192))*(INDEX(_xlfn.ANCHORARRAY(Sintesi!$C$15),1,$C192)&gt;0),1,IF(($E192&gt;=$E191)*($E192&lt;=INDEX($E:$E,MATCH(TRUE,INDEX((ISNUMBER($E:$E)),0),0)))*($E192&gt;INDEX(_xlfn.ANCHORARRAY(Sintesi!$C$14),1,$C192))*($E192&lt;INDEX(_xlfn.ANCHORARRAY(Sintesi!$C$16),1,$C192))*(INDEX(_xlfn.ANCHORARRAY(Sintesi!$C$15),1,$C192)&lt;0)+($E192&gt;=$E191)*($E192&lt;=INDEX($E:$E,MATCH(TRUE,INDEX((ISNUMBER($E:$E)),0),0)))*($E192&gt;INDEX(_xlfn.ANCHORARRAY(Sintesi!$C$15),1,$C192))*($E192&lt;INDEX(_xlfn.ANCHORARRAY(Sintesi!$C$16),1,$C192))*(INDEX(_xlfn.ANCHORARRAY(Sintesi!$C$15),1,$C192)&gt;0),2,IF($E192=(INDEX(_xlfn.ANCHORARRAY(Sintesi!$C$16),1,$C192)),3,4)))),0),IF($C192&gt;0,IF(($E192=INDEX(_xlfn.ANCHORARRAY(Sintesi!$C$14),1,$C192))*(INDEX(_xlfn.ANCHORARRAY(Sintesi!$C$15),1,$C192)&gt;0),0,IF(($E192=INDEX(_xlfn.ANCHORARRAY(Sintesi!$C$14),1,$C192))*(INDEX(_xlfn.ANCHORARRAY(Sintesi!$C$15),1,$C192)&lt;0)+($E192&gt;=LOOKUP(2,1/($E:$E&lt;&gt;""),$E:$E))*($E192&lt;=INDEX($E:$E,MATCH(TRUE,INDEX((ISNUMBER($E:$E)),0),0)))*($E192&gt;INDEX(_xlfn.ANCHORARRAY(Sintesi!$C$14),1,$C192))*($E192&lt;=INDEX(_xlfn.ANCHORARRAY(Sintesi!$C$15),1,$C192))*(INDEX(_xlfn.ANCHORARRAY(Sintesi!$C$15),1,$C192)&gt;0),1,IF(($E192&gt;=LOOKUP(2,1/($E:$E&lt;&gt;""),$E:$E))*($E192&lt;=INDEX($E:$E,MATCH(TRUE,INDEX((ISNUMBER($E:$E)),0),0)))*($E192&gt;INDEX(_xlfn.ANCHORARRAY(Sintesi!$C$14),1,$C192))*($E192&lt;INDEX(_xlfn.ANCHORARRAY(Sintesi!$C$16),1,$C192))*(INDEX(_xlfn.ANCHORARRAY(Sintesi!$C$15),1,$C192)&lt;0)+($E192&gt;=LOOKUP(2,1/($E:$E&lt;&gt;""),$E:$E))*($E192&lt;=INDEX($E:$E,MATCH(TRUE,INDEX((ISNUMBER($E:$E)),0),0)))*($E192&gt;INDEX(_xlfn.ANCHORARRAY(Sintesi!$C$15),1,$C192))*($E192&lt;INDEX(_xlfn.ANCHORARRAY(Sintesi!$C$16),1,$C192))*(INDEX(_xlfn.ANCHORARRAY(Sintesi!$C$15),1,$C192)&gt;0),2,IF($E192=(INDEX(_xlfn.ANCHORARRAY(Sintesi!$C$16),1,$C192)),3,4)))),0)),IF(ISNUMBER($E191),IF($C192&gt;0,IF(($E192=INDEX(_xlfn.ANCHORARRAY(Sintesi!$C$14),1,$C192))*(INDEX(_xlfn.ANCHORARRAY(Sintesi!$C$15),1,$C192)&gt;0),0,IF(($E192=INDEX(_xlfn.ANCHORARRAY(Sintesi!$C$14),1,$C192))*(INDEX(_xlfn.ANCHORARRAY(Sintesi!$C$15),1,$C192)&lt;0)+($E192&gt;=$E191)*($E192&lt;=$E193)*($E192&gt;INDEX(_xlfn.ANCHORARRAY(Sintesi!$C$14),1,$C192))*($E192&lt;=INDEX(_xlfn.ANCHORARRAY(Sintesi!$C$15),1,$C192))*(INDEX(_xlfn.ANCHORARRAY(Sintesi!$C$15),1,$C192)&gt;0),1,IF(($E192&gt;=$E191)*($E192&lt;=$E193)*($E192&gt;INDEX(_xlfn.ANCHORARRAY(Sintesi!$C$14),1,$C192))*($E192&lt;INDEX(_xlfn.ANCHORARRAY(Sintesi!$C$16),1,$C192))*(INDEX(_xlfn.ANCHORARRAY(Sintesi!$C$15),1,$C192)&lt;0)+($E192&gt;=$E191)*($E192&lt;=$E193)*($E192&gt;INDEX(_xlfn.ANCHORARRAY(Sintesi!$C$15),1,$C192))*($E192&lt;INDEX(_xlfn.ANCHORARRAY(Sintesi!$C$16),1,$C192))*(INDEX(_xlfn.ANCHORARRAY(Sintesi!$C$15),1,$C192)&gt;0),2,IF($E192=(INDEX(_xlfn.ANCHORARRAY(Sintesi!$C$16),1,$C192)),3,4)))),0),IF($C192&gt;0,IF(($E192=INDEX(_xlfn.ANCHORARRAY(Sintesi!$C$14),1,$C192))*(INDEX(_xlfn.ANCHORARRAY(Sintesi!$C$15),1,$C192)&gt;0),0,IF(($E192=INDEX(_xlfn.ANCHORARRAY(Sintesi!$C$14),1,$C192))*(INDEX(_xlfn.ANCHORARRAY(Sintesi!$C$15),1,$C192)&lt;0)+($E192&gt;=LOOKUP(2,1/($E:$E&lt;&gt;""),$E:$E))*($E192&lt;=$E193)*($E192&gt;INDEX(_xlfn.ANCHORARRAY(Sintesi!$C$14),1,$C192))*($E192&lt;=INDEX(_xlfn.ANCHORARRAY(Sintesi!$C$15),1,$C192))*(INDEX(_xlfn.ANCHORARRAY(Sintesi!$C$15),1,$C192)&gt;0),1,IF(($E192&gt;=LOOKUP(2,1/($E:$E&lt;&gt;""),$E:$E))*($E192&lt;=$E193)*($E192&gt;INDEX(_xlfn.ANCHORARRAY(Sintesi!$C$14),1,$C192))*($E192&lt;INDEX(_xlfn.ANCHORARRAY(Sintesi!$C$16),1,$C192))*(INDEX(_xlfn.ANCHORARRAY(Sintesi!$C$15),1,$C192)&lt;0)+($E192&gt;=LOOKUP(2,1/($E:$E&lt;&gt;""),$E:$E))*($E192&lt;=$E193)*($E192&gt;INDEX(_xlfn.ANCHORARRAY(Sintesi!$C$15),1,$C192))*($E192&lt;INDEX(_xlfn.ANCHORARRAY(Sintesi!$C$16),1,$C192))*(INDEX(_xlfn.ANCHORARRAY(Sintesi!$C$15),1,$C192)&gt;0),2,IF($E192=(INDEX(_xlfn.ANCHORARRAY(Sintesi!$C$16),1,$C192)),3,4)))),0)))</f>
        <v/>
      </c>
      <c r="E192" s="1">
        <f>'Paste cell here'!F192</f>
        <v/>
      </c>
      <c r="F192" s="1">
        <f>'Paste cell here'!C192</f>
        <v/>
      </c>
      <c r="G192" s="1">
        <f>'Paste cell here'!D192</f>
        <v/>
      </c>
      <c r="H192" s="1">
        <f>'Paste cell here'!E192</f>
        <v/>
      </c>
      <c r="I192" s="1">
        <f>'Paste cell here'!X192</f>
        <v/>
      </c>
      <c r="J192" s="1">
        <f>'Paste cell here'!Y192+'Paste cell here'!S192</f>
        <v/>
      </c>
      <c r="K192" s="1">
        <f>I192/H192</f>
        <v/>
      </c>
      <c r="L192" s="1">
        <f>AVERAGE(($F192+$G192)/2-($F192-$G192)/2*COS(PI()*(8-VLOOKUP(MONTH(B192),$O$1:$Q$13,3))/(VLOOKUP(MONTH(B192),$O$1:$Q$13,2)-VLOOKUP(MONTH(B192),$O$1:$Q$13,3))),($F192+$G192)/2-($F192-$G192)/2*COS(PI()*(9-VLOOKUP(MONTH(B192),$O$1:$Q$13,3))/(VLOOKUP(MONTH(B192),$O$1:$Q$13,2)-VLOOKUP(MONTH(B192),$O$1:$Q$13,3))),($F192+$G192)/2-($F192-$G192)/2*COS(PI()*(10-VLOOKUP(MONTH(B192),$O$1:$Q$13,3))/(VLOOKUP(MONTH(B192),$O$1:$Q$13,2)-VLOOKUP(MONTH(B192),$O$1:$Q$13,3))),($F192+$G192)/2-($F192-$G192)/2*COS(PI()*(11-VLOOKUP(MONTH(B192),$O$1:$Q$13,3))/(VLOOKUP(MONTH(B192),$O$1:$Q$13,2)-VLOOKUP(MONTH(B192),$O$1:$Q$13,3))),($F192+$G192)/2-($F192-$G192)/2*COS(PI()*(12-VLOOKUP(MONTH(B192),$O$1:$Q$13,3))/(VLOOKUP(MONTH(B192),$O$1:$Q$13,2)-VLOOKUP(MONTH(B192),$O$1:$Q$13,3))),($F192+$G192)/2-($F192-$G192)/2*COS(PI()*(13-VLOOKUP(MONTH(B192),$O$1:$Q$13,3))/(VLOOKUP(MONTH(B192),$O$1:$Q$13,2)-VLOOKUP(MONTH(B192),$O$1:$Q$13,3))),($F192+$G192)/2-($F192-$G192)/2*COS(PI()*(14-VLOOKUP(MONTH(B192),$O$1:$Q$13,3))/(VLOOKUP(MONTH(B192),$O$1:$Q$13,2)-VLOOKUP(MONTH(B192),$O$1:$Q$13,3))))</f>
        <v/>
      </c>
      <c r="M192" s="1">
        <f t="array" ref="M192">IF(AND(A192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,A192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),IF(L192&lt;_xlfn.IFNA(INDEX(_xlfn.ANCHORARRAY(Sintesi!$C$17)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,1,IF(L192&gt;=_xlfn.IFNA(INDEX(_xlfn.ANCHORARRAY(Sintesi!$C$18)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,0,1-(L192-_xlfn.IFNA(INDEX(_xlfn.ANCHORARRAY(Sintesi!$C$17)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)/(_xlfn.IFNA(INDEX(_xlfn.ANCHORARRAY(Sintesi!$C$18)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-_xlfn.IFNA(INDEX(_xlfn.ANCHORARRAY(Sintesi!$C$17)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))),0)</f>
        <v/>
      </c>
    </row>
    <row r="193">
      <c r="A193" s="1">
        <f>'Paste cell here'!A193</f>
        <v/>
      </c>
      <c r="B193" s="2">
        <f>DATE(Sintesi!$C$4-1,12,31)+A193</f>
        <v/>
      </c>
      <c r="C193" s="34">
        <f t="array" ref="C193">_xlfn.IFNA(MATCH(1,(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)*(_xlfn.ANCHORARRAY(Sintesi!$C$15)&gt;=0)+(_xlfn.ANCHORARRAY(Sintesi!$C$15)&lt;0),0),0)</f>
        <v/>
      </c>
      <c r="D193" s="1">
        <f t="array" ref="D193">IF(ISBLANK($E194),IF(ISNUMBER($E192),IF($C193&gt;0,IF(($E193=INDEX(_xlfn.ANCHORARRAY(Sintesi!$C$14),1,$C193))*(INDEX(_xlfn.ANCHORARRAY(Sintesi!$C$15),1,$C193)&gt;0),0,IF(($E193=INDEX(_xlfn.ANCHORARRAY(Sintesi!$C$14),1,$C193))*(INDEX(_xlfn.ANCHORARRAY(Sintesi!$C$15),1,$C193)&lt;0)+($E193&gt;=$E192)*($E193&lt;=INDEX($E:$E,MATCH(TRUE,INDEX((ISNUMBER($E:$E)),0),0)))*($E193&gt;INDEX(_xlfn.ANCHORARRAY(Sintesi!$C$14),1,$C193))*($E193&lt;=INDEX(_xlfn.ANCHORARRAY(Sintesi!$C$15),1,$C193))*(INDEX(_xlfn.ANCHORARRAY(Sintesi!$C$15),1,$C193)&gt;0),1,IF(($E193&gt;=$E192)*($E193&lt;=INDEX($E:$E,MATCH(TRUE,INDEX((ISNUMBER($E:$E)),0),0)))*($E193&gt;INDEX(_xlfn.ANCHORARRAY(Sintesi!$C$14),1,$C193))*($E193&lt;INDEX(_xlfn.ANCHORARRAY(Sintesi!$C$16),1,$C193))*(INDEX(_xlfn.ANCHORARRAY(Sintesi!$C$15),1,$C193)&lt;0)+($E193&gt;=$E192)*($E193&lt;=INDEX($E:$E,MATCH(TRUE,INDEX((ISNUMBER($E:$E)),0),0)))*($E193&gt;INDEX(_xlfn.ANCHORARRAY(Sintesi!$C$15),1,$C193))*($E193&lt;INDEX(_xlfn.ANCHORARRAY(Sintesi!$C$16),1,$C193))*(INDEX(_xlfn.ANCHORARRAY(Sintesi!$C$15),1,$C193)&gt;0),2,IF($E193=(INDEX(_xlfn.ANCHORARRAY(Sintesi!$C$16),1,$C193)),3,4)))),0),IF($C193&gt;0,IF(($E193=INDEX(_xlfn.ANCHORARRAY(Sintesi!$C$14),1,$C193))*(INDEX(_xlfn.ANCHORARRAY(Sintesi!$C$15),1,$C193)&gt;0),0,IF(($E193=INDEX(_xlfn.ANCHORARRAY(Sintesi!$C$14),1,$C193))*(INDEX(_xlfn.ANCHORARRAY(Sintesi!$C$15),1,$C193)&lt;0)+($E193&gt;=LOOKUP(2,1/($E:$E&lt;&gt;""),$E:$E))*($E193&lt;=INDEX($E:$E,MATCH(TRUE,INDEX((ISNUMBER($E:$E)),0),0)))*($E193&gt;INDEX(_xlfn.ANCHORARRAY(Sintesi!$C$14),1,$C193))*($E193&lt;=INDEX(_xlfn.ANCHORARRAY(Sintesi!$C$15),1,$C193))*(INDEX(_xlfn.ANCHORARRAY(Sintesi!$C$15),1,$C193)&gt;0),1,IF(($E193&gt;=LOOKUP(2,1/($E:$E&lt;&gt;""),$E:$E))*($E193&lt;=INDEX($E:$E,MATCH(TRUE,INDEX((ISNUMBER($E:$E)),0),0)))*($E193&gt;INDEX(_xlfn.ANCHORARRAY(Sintesi!$C$14),1,$C193))*($E193&lt;INDEX(_xlfn.ANCHORARRAY(Sintesi!$C$16),1,$C193))*(INDEX(_xlfn.ANCHORARRAY(Sintesi!$C$15),1,$C193)&lt;0)+($E193&gt;=LOOKUP(2,1/($E:$E&lt;&gt;""),$E:$E))*($E193&lt;=INDEX($E:$E,MATCH(TRUE,INDEX((ISNUMBER($E:$E)),0),0)))*($E193&gt;INDEX(_xlfn.ANCHORARRAY(Sintesi!$C$15),1,$C193))*($E193&lt;INDEX(_xlfn.ANCHORARRAY(Sintesi!$C$16),1,$C193))*(INDEX(_xlfn.ANCHORARRAY(Sintesi!$C$15),1,$C193)&gt;0),2,IF($E193=(INDEX(_xlfn.ANCHORARRAY(Sintesi!$C$16),1,$C193)),3,4)))),0)),IF(ISNUMBER($E192),IF($C193&gt;0,IF(($E193=INDEX(_xlfn.ANCHORARRAY(Sintesi!$C$14),1,$C193))*(INDEX(_xlfn.ANCHORARRAY(Sintesi!$C$15),1,$C193)&gt;0),0,IF(($E193=INDEX(_xlfn.ANCHORARRAY(Sintesi!$C$14),1,$C193))*(INDEX(_xlfn.ANCHORARRAY(Sintesi!$C$15),1,$C193)&lt;0)+($E193&gt;=$E192)*($E193&lt;=$E194)*($E193&gt;INDEX(_xlfn.ANCHORARRAY(Sintesi!$C$14),1,$C193))*($E193&lt;=INDEX(_xlfn.ANCHORARRAY(Sintesi!$C$15),1,$C193))*(INDEX(_xlfn.ANCHORARRAY(Sintesi!$C$15),1,$C193)&gt;0),1,IF(($E193&gt;=$E192)*($E193&lt;=$E194)*($E193&gt;INDEX(_xlfn.ANCHORARRAY(Sintesi!$C$14),1,$C193))*($E193&lt;INDEX(_xlfn.ANCHORARRAY(Sintesi!$C$16),1,$C193))*(INDEX(_xlfn.ANCHORARRAY(Sintesi!$C$15),1,$C193)&lt;0)+($E193&gt;=$E192)*($E193&lt;=$E194)*($E193&gt;INDEX(_xlfn.ANCHORARRAY(Sintesi!$C$15),1,$C193))*($E193&lt;INDEX(_xlfn.ANCHORARRAY(Sintesi!$C$16),1,$C193))*(INDEX(_xlfn.ANCHORARRAY(Sintesi!$C$15),1,$C193)&gt;0),2,IF($E193=(INDEX(_xlfn.ANCHORARRAY(Sintesi!$C$16),1,$C193)),3,4)))),0),IF($C193&gt;0,IF(($E193=INDEX(_xlfn.ANCHORARRAY(Sintesi!$C$14),1,$C193))*(INDEX(_xlfn.ANCHORARRAY(Sintesi!$C$15),1,$C193)&gt;0),0,IF(($E193=INDEX(_xlfn.ANCHORARRAY(Sintesi!$C$14),1,$C193))*(INDEX(_xlfn.ANCHORARRAY(Sintesi!$C$15),1,$C193)&lt;0)+($E193&gt;=LOOKUP(2,1/($E:$E&lt;&gt;""),$E:$E))*($E193&lt;=$E194)*($E193&gt;INDEX(_xlfn.ANCHORARRAY(Sintesi!$C$14),1,$C193))*($E193&lt;=INDEX(_xlfn.ANCHORARRAY(Sintesi!$C$15),1,$C193))*(INDEX(_xlfn.ANCHORARRAY(Sintesi!$C$15),1,$C193)&gt;0),1,IF(($E193&gt;=LOOKUP(2,1/($E:$E&lt;&gt;""),$E:$E))*($E193&lt;=$E194)*($E193&gt;INDEX(_xlfn.ANCHORARRAY(Sintesi!$C$14),1,$C193))*($E193&lt;INDEX(_xlfn.ANCHORARRAY(Sintesi!$C$16),1,$C193))*(INDEX(_xlfn.ANCHORARRAY(Sintesi!$C$15),1,$C193)&lt;0)+($E193&gt;=LOOKUP(2,1/($E:$E&lt;&gt;""),$E:$E))*($E193&lt;=$E194)*($E193&gt;INDEX(_xlfn.ANCHORARRAY(Sintesi!$C$15),1,$C193))*($E193&lt;INDEX(_xlfn.ANCHORARRAY(Sintesi!$C$16),1,$C193))*(INDEX(_xlfn.ANCHORARRAY(Sintesi!$C$15),1,$C193)&gt;0),2,IF($E193=(INDEX(_xlfn.ANCHORARRAY(Sintesi!$C$16),1,$C193)),3,4)))),0)))</f>
        <v/>
      </c>
      <c r="E193" s="1">
        <f>'Paste cell here'!F193</f>
        <v/>
      </c>
      <c r="F193" s="1">
        <f>'Paste cell here'!C193</f>
        <v/>
      </c>
      <c r="G193" s="1">
        <f>'Paste cell here'!D193</f>
        <v/>
      </c>
      <c r="H193" s="1">
        <f>'Paste cell here'!E193</f>
        <v/>
      </c>
      <c r="I193" s="1">
        <f>'Paste cell here'!X193</f>
        <v/>
      </c>
      <c r="J193" s="1">
        <f>'Paste cell here'!Y193+'Paste cell here'!S193</f>
        <v/>
      </c>
      <c r="K193" s="1">
        <f>I193/H193</f>
        <v/>
      </c>
      <c r="L193" s="1">
        <f>AVERAGE(($F193+$G193)/2-($F193-$G193)/2*COS(PI()*(8-VLOOKUP(MONTH(B193),$O$1:$Q$13,3))/(VLOOKUP(MONTH(B193),$O$1:$Q$13,2)-VLOOKUP(MONTH(B193),$O$1:$Q$13,3))),($F193+$G193)/2-($F193-$G193)/2*COS(PI()*(9-VLOOKUP(MONTH(B193),$O$1:$Q$13,3))/(VLOOKUP(MONTH(B193),$O$1:$Q$13,2)-VLOOKUP(MONTH(B193),$O$1:$Q$13,3))),($F193+$G193)/2-($F193-$G193)/2*COS(PI()*(10-VLOOKUP(MONTH(B193),$O$1:$Q$13,3))/(VLOOKUP(MONTH(B193),$O$1:$Q$13,2)-VLOOKUP(MONTH(B193),$O$1:$Q$13,3))),($F193+$G193)/2-($F193-$G193)/2*COS(PI()*(11-VLOOKUP(MONTH(B193),$O$1:$Q$13,3))/(VLOOKUP(MONTH(B193),$O$1:$Q$13,2)-VLOOKUP(MONTH(B193),$O$1:$Q$13,3))),($F193+$G193)/2-($F193-$G193)/2*COS(PI()*(12-VLOOKUP(MONTH(B193),$O$1:$Q$13,3))/(VLOOKUP(MONTH(B193),$O$1:$Q$13,2)-VLOOKUP(MONTH(B193),$O$1:$Q$13,3))),($F193+$G193)/2-($F193-$G193)/2*COS(PI()*(13-VLOOKUP(MONTH(B193),$O$1:$Q$13,3))/(VLOOKUP(MONTH(B193),$O$1:$Q$13,2)-VLOOKUP(MONTH(B193),$O$1:$Q$13,3))),($F193+$G193)/2-($F193-$G193)/2*COS(PI()*(14-VLOOKUP(MONTH(B193),$O$1:$Q$13,3))/(VLOOKUP(MONTH(B193),$O$1:$Q$13,2)-VLOOKUP(MONTH(B193),$O$1:$Q$13,3))))</f>
        <v/>
      </c>
      <c r="M193" s="1">
        <f t="array" ref="M193">IF(AND(A193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,A193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),IF(L193&lt;_xlfn.IFNA(INDEX(_xlfn.ANCHORARRAY(Sintesi!$C$17)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,1,IF(L193&gt;=_xlfn.IFNA(INDEX(_xlfn.ANCHORARRAY(Sintesi!$C$18)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,0,1-(L193-_xlfn.IFNA(INDEX(_xlfn.ANCHORARRAY(Sintesi!$C$17)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)/(_xlfn.IFNA(INDEX(_xlfn.ANCHORARRAY(Sintesi!$C$18)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-_xlfn.IFNA(INDEX(_xlfn.ANCHORARRAY(Sintesi!$C$17)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))),0)</f>
        <v/>
      </c>
    </row>
    <row r="194">
      <c r="A194" s="1">
        <f>'Paste cell here'!A194</f>
        <v/>
      </c>
      <c r="B194" s="2">
        <f>DATE(Sintesi!$C$4-1,12,31)+A194</f>
        <v/>
      </c>
      <c r="C194" s="34">
        <f t="array" ref="C194">_xlfn.IFNA(MATCH(1,(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)*(_xlfn.ANCHORARRAY(Sintesi!$C$15)&gt;=0)+(_xlfn.ANCHORARRAY(Sintesi!$C$15)&lt;0),0),0)</f>
        <v/>
      </c>
      <c r="D194" s="1">
        <f t="array" ref="D194">IF(ISBLANK($E195),IF(ISNUMBER($E193),IF($C194&gt;0,IF(($E194=INDEX(_xlfn.ANCHORARRAY(Sintesi!$C$14),1,$C194))*(INDEX(_xlfn.ANCHORARRAY(Sintesi!$C$15),1,$C194)&gt;0),0,IF(($E194=INDEX(_xlfn.ANCHORARRAY(Sintesi!$C$14),1,$C194))*(INDEX(_xlfn.ANCHORARRAY(Sintesi!$C$15),1,$C194)&lt;0)+($E194&gt;=$E193)*($E194&lt;=INDEX($E:$E,MATCH(TRUE,INDEX((ISNUMBER($E:$E)),0),0)))*($E194&gt;INDEX(_xlfn.ANCHORARRAY(Sintesi!$C$14),1,$C194))*($E194&lt;=INDEX(_xlfn.ANCHORARRAY(Sintesi!$C$15),1,$C194))*(INDEX(_xlfn.ANCHORARRAY(Sintesi!$C$15),1,$C194)&gt;0),1,IF(($E194&gt;=$E193)*($E194&lt;=INDEX($E:$E,MATCH(TRUE,INDEX((ISNUMBER($E:$E)),0),0)))*($E194&gt;INDEX(_xlfn.ANCHORARRAY(Sintesi!$C$14),1,$C194))*($E194&lt;INDEX(_xlfn.ANCHORARRAY(Sintesi!$C$16),1,$C194))*(INDEX(_xlfn.ANCHORARRAY(Sintesi!$C$15),1,$C194)&lt;0)+($E194&gt;=$E193)*($E194&lt;=INDEX($E:$E,MATCH(TRUE,INDEX((ISNUMBER($E:$E)),0),0)))*($E194&gt;INDEX(_xlfn.ANCHORARRAY(Sintesi!$C$15),1,$C194))*($E194&lt;INDEX(_xlfn.ANCHORARRAY(Sintesi!$C$16),1,$C194))*(INDEX(_xlfn.ANCHORARRAY(Sintesi!$C$15),1,$C194)&gt;0),2,IF($E194=(INDEX(_xlfn.ANCHORARRAY(Sintesi!$C$16),1,$C194)),3,4)))),0),IF($C194&gt;0,IF(($E194=INDEX(_xlfn.ANCHORARRAY(Sintesi!$C$14),1,$C194))*(INDEX(_xlfn.ANCHORARRAY(Sintesi!$C$15),1,$C194)&gt;0),0,IF(($E194=INDEX(_xlfn.ANCHORARRAY(Sintesi!$C$14),1,$C194))*(INDEX(_xlfn.ANCHORARRAY(Sintesi!$C$15),1,$C194)&lt;0)+($E194&gt;=LOOKUP(2,1/($E:$E&lt;&gt;""),$E:$E))*($E194&lt;=INDEX($E:$E,MATCH(TRUE,INDEX((ISNUMBER($E:$E)),0),0)))*($E194&gt;INDEX(_xlfn.ANCHORARRAY(Sintesi!$C$14),1,$C194))*($E194&lt;=INDEX(_xlfn.ANCHORARRAY(Sintesi!$C$15),1,$C194))*(INDEX(_xlfn.ANCHORARRAY(Sintesi!$C$15),1,$C194)&gt;0),1,IF(($E194&gt;=LOOKUP(2,1/($E:$E&lt;&gt;""),$E:$E))*($E194&lt;=INDEX($E:$E,MATCH(TRUE,INDEX((ISNUMBER($E:$E)),0),0)))*($E194&gt;INDEX(_xlfn.ANCHORARRAY(Sintesi!$C$14),1,$C194))*($E194&lt;INDEX(_xlfn.ANCHORARRAY(Sintesi!$C$16),1,$C194))*(INDEX(_xlfn.ANCHORARRAY(Sintesi!$C$15),1,$C194)&lt;0)+($E194&gt;=LOOKUP(2,1/($E:$E&lt;&gt;""),$E:$E))*($E194&lt;=INDEX($E:$E,MATCH(TRUE,INDEX((ISNUMBER($E:$E)),0),0)))*($E194&gt;INDEX(_xlfn.ANCHORARRAY(Sintesi!$C$15),1,$C194))*($E194&lt;INDEX(_xlfn.ANCHORARRAY(Sintesi!$C$16),1,$C194))*(INDEX(_xlfn.ANCHORARRAY(Sintesi!$C$15),1,$C194)&gt;0),2,IF($E194=(INDEX(_xlfn.ANCHORARRAY(Sintesi!$C$16),1,$C194)),3,4)))),0)),IF(ISNUMBER($E193),IF($C194&gt;0,IF(($E194=INDEX(_xlfn.ANCHORARRAY(Sintesi!$C$14),1,$C194))*(INDEX(_xlfn.ANCHORARRAY(Sintesi!$C$15),1,$C194)&gt;0),0,IF(($E194=INDEX(_xlfn.ANCHORARRAY(Sintesi!$C$14),1,$C194))*(INDEX(_xlfn.ANCHORARRAY(Sintesi!$C$15),1,$C194)&lt;0)+($E194&gt;=$E193)*($E194&lt;=$E195)*($E194&gt;INDEX(_xlfn.ANCHORARRAY(Sintesi!$C$14),1,$C194))*($E194&lt;=INDEX(_xlfn.ANCHORARRAY(Sintesi!$C$15),1,$C194))*(INDEX(_xlfn.ANCHORARRAY(Sintesi!$C$15),1,$C194)&gt;0),1,IF(($E194&gt;=$E193)*($E194&lt;=$E195)*($E194&gt;INDEX(_xlfn.ANCHORARRAY(Sintesi!$C$14),1,$C194))*($E194&lt;INDEX(_xlfn.ANCHORARRAY(Sintesi!$C$16),1,$C194))*(INDEX(_xlfn.ANCHORARRAY(Sintesi!$C$15),1,$C194)&lt;0)+($E194&gt;=$E193)*($E194&lt;=$E195)*($E194&gt;INDEX(_xlfn.ANCHORARRAY(Sintesi!$C$15),1,$C194))*($E194&lt;INDEX(_xlfn.ANCHORARRAY(Sintesi!$C$16),1,$C194))*(INDEX(_xlfn.ANCHORARRAY(Sintesi!$C$15),1,$C194)&gt;0),2,IF($E194=(INDEX(_xlfn.ANCHORARRAY(Sintesi!$C$16),1,$C194)),3,4)))),0),IF($C194&gt;0,IF(($E194=INDEX(_xlfn.ANCHORARRAY(Sintesi!$C$14),1,$C194))*(INDEX(_xlfn.ANCHORARRAY(Sintesi!$C$15),1,$C194)&gt;0),0,IF(($E194=INDEX(_xlfn.ANCHORARRAY(Sintesi!$C$14),1,$C194))*(INDEX(_xlfn.ANCHORARRAY(Sintesi!$C$15),1,$C194)&lt;0)+($E194&gt;=LOOKUP(2,1/($E:$E&lt;&gt;""),$E:$E))*($E194&lt;=$E195)*($E194&gt;INDEX(_xlfn.ANCHORARRAY(Sintesi!$C$14),1,$C194))*($E194&lt;=INDEX(_xlfn.ANCHORARRAY(Sintesi!$C$15),1,$C194))*(INDEX(_xlfn.ANCHORARRAY(Sintesi!$C$15),1,$C194)&gt;0),1,IF(($E194&gt;=LOOKUP(2,1/($E:$E&lt;&gt;""),$E:$E))*($E194&lt;=$E195)*($E194&gt;INDEX(_xlfn.ANCHORARRAY(Sintesi!$C$14),1,$C194))*($E194&lt;INDEX(_xlfn.ANCHORARRAY(Sintesi!$C$16),1,$C194))*(INDEX(_xlfn.ANCHORARRAY(Sintesi!$C$15),1,$C194)&lt;0)+($E194&gt;=LOOKUP(2,1/($E:$E&lt;&gt;""),$E:$E))*($E194&lt;=$E195)*($E194&gt;INDEX(_xlfn.ANCHORARRAY(Sintesi!$C$15),1,$C194))*($E194&lt;INDEX(_xlfn.ANCHORARRAY(Sintesi!$C$16),1,$C194))*(INDEX(_xlfn.ANCHORARRAY(Sintesi!$C$15),1,$C194)&gt;0),2,IF($E194=(INDEX(_xlfn.ANCHORARRAY(Sintesi!$C$16),1,$C194)),3,4)))),0)))</f>
        <v/>
      </c>
      <c r="E194" s="1">
        <f>'Paste cell here'!F194</f>
        <v/>
      </c>
      <c r="F194" s="1">
        <f>'Paste cell here'!C194</f>
        <v/>
      </c>
      <c r="G194" s="1">
        <f>'Paste cell here'!D194</f>
        <v/>
      </c>
      <c r="H194" s="1">
        <f>'Paste cell here'!E194</f>
        <v/>
      </c>
      <c r="I194" s="1">
        <f>'Paste cell here'!X194</f>
        <v/>
      </c>
      <c r="J194" s="1">
        <f>'Paste cell here'!Y194+'Paste cell here'!S194</f>
        <v/>
      </c>
      <c r="K194" s="1">
        <f>I194/H194</f>
        <v/>
      </c>
      <c r="L194" s="1">
        <f>AVERAGE(($F194+$G194)/2-($F194-$G194)/2*COS(PI()*(8-VLOOKUP(MONTH(B194),$O$1:$Q$13,3))/(VLOOKUP(MONTH(B194),$O$1:$Q$13,2)-VLOOKUP(MONTH(B194),$O$1:$Q$13,3))),($F194+$G194)/2-($F194-$G194)/2*COS(PI()*(9-VLOOKUP(MONTH(B194),$O$1:$Q$13,3))/(VLOOKUP(MONTH(B194),$O$1:$Q$13,2)-VLOOKUP(MONTH(B194),$O$1:$Q$13,3))),($F194+$G194)/2-($F194-$G194)/2*COS(PI()*(10-VLOOKUP(MONTH(B194),$O$1:$Q$13,3))/(VLOOKUP(MONTH(B194),$O$1:$Q$13,2)-VLOOKUP(MONTH(B194),$O$1:$Q$13,3))),($F194+$G194)/2-($F194-$G194)/2*COS(PI()*(11-VLOOKUP(MONTH(B194),$O$1:$Q$13,3))/(VLOOKUP(MONTH(B194),$O$1:$Q$13,2)-VLOOKUP(MONTH(B194),$O$1:$Q$13,3))),($F194+$G194)/2-($F194-$G194)/2*COS(PI()*(12-VLOOKUP(MONTH(B194),$O$1:$Q$13,3))/(VLOOKUP(MONTH(B194),$O$1:$Q$13,2)-VLOOKUP(MONTH(B194),$O$1:$Q$13,3))),($F194+$G194)/2-($F194-$G194)/2*COS(PI()*(13-VLOOKUP(MONTH(B194),$O$1:$Q$13,3))/(VLOOKUP(MONTH(B194),$O$1:$Q$13,2)-VLOOKUP(MONTH(B194),$O$1:$Q$13,3))),($F194+$G194)/2-($F194-$G194)/2*COS(PI()*(14-VLOOKUP(MONTH(B194),$O$1:$Q$13,3))/(VLOOKUP(MONTH(B194),$O$1:$Q$13,2)-VLOOKUP(MONTH(B194),$O$1:$Q$13,3))))</f>
        <v/>
      </c>
      <c r="M194" s="1">
        <f t="array" ref="M194">IF(AND(A194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,A194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),IF(L194&lt;_xlfn.IFNA(INDEX(_xlfn.ANCHORARRAY(Sintesi!$C$17)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,1,IF(L194&gt;=_xlfn.IFNA(INDEX(_xlfn.ANCHORARRAY(Sintesi!$C$18)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,0,1-(L194-_xlfn.IFNA(INDEX(_xlfn.ANCHORARRAY(Sintesi!$C$17)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)/(_xlfn.IFNA(INDEX(_xlfn.ANCHORARRAY(Sintesi!$C$18)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-_xlfn.IFNA(INDEX(_xlfn.ANCHORARRAY(Sintesi!$C$17)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))),0)</f>
        <v/>
      </c>
    </row>
    <row r="195">
      <c r="A195" s="1">
        <f>'Paste cell here'!A195</f>
        <v/>
      </c>
      <c r="B195" s="2">
        <f>DATE(Sintesi!$C$4-1,12,31)+A195</f>
        <v/>
      </c>
      <c r="C195" s="34">
        <f t="array" ref="C195">_xlfn.IFNA(MATCH(1,(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)*(_xlfn.ANCHORARRAY(Sintesi!$C$15)&gt;=0)+(_xlfn.ANCHORARRAY(Sintesi!$C$15)&lt;0),0),0)</f>
        <v/>
      </c>
      <c r="D195" s="1">
        <f t="array" ref="D195">IF(ISBLANK($E196),IF(ISNUMBER($E194),IF($C195&gt;0,IF(($E195=INDEX(_xlfn.ANCHORARRAY(Sintesi!$C$14),1,$C195))*(INDEX(_xlfn.ANCHORARRAY(Sintesi!$C$15),1,$C195)&gt;0),0,IF(($E195=INDEX(_xlfn.ANCHORARRAY(Sintesi!$C$14),1,$C195))*(INDEX(_xlfn.ANCHORARRAY(Sintesi!$C$15),1,$C195)&lt;0)+($E195&gt;=$E194)*($E195&lt;=INDEX($E:$E,MATCH(TRUE,INDEX((ISNUMBER($E:$E)),0),0)))*($E195&gt;INDEX(_xlfn.ANCHORARRAY(Sintesi!$C$14),1,$C195))*($E195&lt;=INDEX(_xlfn.ANCHORARRAY(Sintesi!$C$15),1,$C195))*(INDEX(_xlfn.ANCHORARRAY(Sintesi!$C$15),1,$C195)&gt;0),1,IF(($E195&gt;=$E194)*($E195&lt;=INDEX($E:$E,MATCH(TRUE,INDEX((ISNUMBER($E:$E)),0),0)))*($E195&gt;INDEX(_xlfn.ANCHORARRAY(Sintesi!$C$14),1,$C195))*($E195&lt;INDEX(_xlfn.ANCHORARRAY(Sintesi!$C$16),1,$C195))*(INDEX(_xlfn.ANCHORARRAY(Sintesi!$C$15),1,$C195)&lt;0)+($E195&gt;=$E194)*($E195&lt;=INDEX($E:$E,MATCH(TRUE,INDEX((ISNUMBER($E:$E)),0),0)))*($E195&gt;INDEX(_xlfn.ANCHORARRAY(Sintesi!$C$15),1,$C195))*($E195&lt;INDEX(_xlfn.ANCHORARRAY(Sintesi!$C$16),1,$C195))*(INDEX(_xlfn.ANCHORARRAY(Sintesi!$C$15),1,$C195)&gt;0),2,IF($E195=(INDEX(_xlfn.ANCHORARRAY(Sintesi!$C$16),1,$C195)),3,4)))),0),IF($C195&gt;0,IF(($E195=INDEX(_xlfn.ANCHORARRAY(Sintesi!$C$14),1,$C195))*(INDEX(_xlfn.ANCHORARRAY(Sintesi!$C$15),1,$C195)&gt;0),0,IF(($E195=INDEX(_xlfn.ANCHORARRAY(Sintesi!$C$14),1,$C195))*(INDEX(_xlfn.ANCHORARRAY(Sintesi!$C$15),1,$C195)&lt;0)+($E195&gt;=LOOKUP(2,1/($E:$E&lt;&gt;""),$E:$E))*($E195&lt;=INDEX($E:$E,MATCH(TRUE,INDEX((ISNUMBER($E:$E)),0),0)))*($E195&gt;INDEX(_xlfn.ANCHORARRAY(Sintesi!$C$14),1,$C195))*($E195&lt;=INDEX(_xlfn.ANCHORARRAY(Sintesi!$C$15),1,$C195))*(INDEX(_xlfn.ANCHORARRAY(Sintesi!$C$15),1,$C195)&gt;0),1,IF(($E195&gt;=LOOKUP(2,1/($E:$E&lt;&gt;""),$E:$E))*($E195&lt;=INDEX($E:$E,MATCH(TRUE,INDEX((ISNUMBER($E:$E)),0),0)))*($E195&gt;INDEX(_xlfn.ANCHORARRAY(Sintesi!$C$14),1,$C195))*($E195&lt;INDEX(_xlfn.ANCHORARRAY(Sintesi!$C$16),1,$C195))*(INDEX(_xlfn.ANCHORARRAY(Sintesi!$C$15),1,$C195)&lt;0)+($E195&gt;=LOOKUP(2,1/($E:$E&lt;&gt;""),$E:$E))*($E195&lt;=INDEX($E:$E,MATCH(TRUE,INDEX((ISNUMBER($E:$E)),0),0)))*($E195&gt;INDEX(_xlfn.ANCHORARRAY(Sintesi!$C$15),1,$C195))*($E195&lt;INDEX(_xlfn.ANCHORARRAY(Sintesi!$C$16),1,$C195))*(INDEX(_xlfn.ANCHORARRAY(Sintesi!$C$15),1,$C195)&gt;0),2,IF($E195=(INDEX(_xlfn.ANCHORARRAY(Sintesi!$C$16),1,$C195)),3,4)))),0)),IF(ISNUMBER($E194),IF($C195&gt;0,IF(($E195=INDEX(_xlfn.ANCHORARRAY(Sintesi!$C$14),1,$C195))*(INDEX(_xlfn.ANCHORARRAY(Sintesi!$C$15),1,$C195)&gt;0),0,IF(($E195=INDEX(_xlfn.ANCHORARRAY(Sintesi!$C$14),1,$C195))*(INDEX(_xlfn.ANCHORARRAY(Sintesi!$C$15),1,$C195)&lt;0)+($E195&gt;=$E194)*($E195&lt;=$E196)*($E195&gt;INDEX(_xlfn.ANCHORARRAY(Sintesi!$C$14),1,$C195))*($E195&lt;=INDEX(_xlfn.ANCHORARRAY(Sintesi!$C$15),1,$C195))*(INDEX(_xlfn.ANCHORARRAY(Sintesi!$C$15),1,$C195)&gt;0),1,IF(($E195&gt;=$E194)*($E195&lt;=$E196)*($E195&gt;INDEX(_xlfn.ANCHORARRAY(Sintesi!$C$14),1,$C195))*($E195&lt;INDEX(_xlfn.ANCHORARRAY(Sintesi!$C$16),1,$C195))*(INDEX(_xlfn.ANCHORARRAY(Sintesi!$C$15),1,$C195)&lt;0)+($E195&gt;=$E194)*($E195&lt;=$E196)*($E195&gt;INDEX(_xlfn.ANCHORARRAY(Sintesi!$C$15),1,$C195))*($E195&lt;INDEX(_xlfn.ANCHORARRAY(Sintesi!$C$16),1,$C195))*(INDEX(_xlfn.ANCHORARRAY(Sintesi!$C$15),1,$C195)&gt;0),2,IF($E195=(INDEX(_xlfn.ANCHORARRAY(Sintesi!$C$16),1,$C195)),3,4)))),0),IF($C195&gt;0,IF(($E195=INDEX(_xlfn.ANCHORARRAY(Sintesi!$C$14),1,$C195))*(INDEX(_xlfn.ANCHORARRAY(Sintesi!$C$15),1,$C195)&gt;0),0,IF(($E195=INDEX(_xlfn.ANCHORARRAY(Sintesi!$C$14),1,$C195))*(INDEX(_xlfn.ANCHORARRAY(Sintesi!$C$15),1,$C195)&lt;0)+($E195&gt;=LOOKUP(2,1/($E:$E&lt;&gt;""),$E:$E))*($E195&lt;=$E196)*($E195&gt;INDEX(_xlfn.ANCHORARRAY(Sintesi!$C$14),1,$C195))*($E195&lt;=INDEX(_xlfn.ANCHORARRAY(Sintesi!$C$15),1,$C195))*(INDEX(_xlfn.ANCHORARRAY(Sintesi!$C$15),1,$C195)&gt;0),1,IF(($E195&gt;=LOOKUP(2,1/($E:$E&lt;&gt;""),$E:$E))*($E195&lt;=$E196)*($E195&gt;INDEX(_xlfn.ANCHORARRAY(Sintesi!$C$14),1,$C195))*($E195&lt;INDEX(_xlfn.ANCHORARRAY(Sintesi!$C$16),1,$C195))*(INDEX(_xlfn.ANCHORARRAY(Sintesi!$C$15),1,$C195)&lt;0)+($E195&gt;=LOOKUP(2,1/($E:$E&lt;&gt;""),$E:$E))*($E195&lt;=$E196)*($E195&gt;INDEX(_xlfn.ANCHORARRAY(Sintesi!$C$15),1,$C195))*($E195&lt;INDEX(_xlfn.ANCHORARRAY(Sintesi!$C$16),1,$C195))*(INDEX(_xlfn.ANCHORARRAY(Sintesi!$C$15),1,$C195)&gt;0),2,IF($E195=(INDEX(_xlfn.ANCHORARRAY(Sintesi!$C$16),1,$C195)),3,4)))),0)))</f>
        <v/>
      </c>
      <c r="E195" s="1">
        <f>'Paste cell here'!F195</f>
        <v/>
      </c>
      <c r="F195" s="1">
        <f>'Paste cell here'!C195</f>
        <v/>
      </c>
      <c r="G195" s="1">
        <f>'Paste cell here'!D195</f>
        <v/>
      </c>
      <c r="H195" s="1">
        <f>'Paste cell here'!E195</f>
        <v/>
      </c>
      <c r="I195" s="1">
        <f>'Paste cell here'!X195</f>
        <v/>
      </c>
      <c r="J195" s="1">
        <f>'Paste cell here'!Y195+'Paste cell here'!S195</f>
        <v/>
      </c>
      <c r="K195" s="1">
        <f>I195/H195</f>
        <v/>
      </c>
      <c r="L195" s="1">
        <f>AVERAGE(($F195+$G195)/2-($F195-$G195)/2*COS(PI()*(8-VLOOKUP(MONTH(B195),$O$1:$Q$13,3))/(VLOOKUP(MONTH(B195),$O$1:$Q$13,2)-VLOOKUP(MONTH(B195),$O$1:$Q$13,3))),($F195+$G195)/2-($F195-$G195)/2*COS(PI()*(9-VLOOKUP(MONTH(B195),$O$1:$Q$13,3))/(VLOOKUP(MONTH(B195),$O$1:$Q$13,2)-VLOOKUP(MONTH(B195),$O$1:$Q$13,3))),($F195+$G195)/2-($F195-$G195)/2*COS(PI()*(10-VLOOKUP(MONTH(B195),$O$1:$Q$13,3))/(VLOOKUP(MONTH(B195),$O$1:$Q$13,2)-VLOOKUP(MONTH(B195),$O$1:$Q$13,3))),($F195+$G195)/2-($F195-$G195)/2*COS(PI()*(11-VLOOKUP(MONTH(B195),$O$1:$Q$13,3))/(VLOOKUP(MONTH(B195),$O$1:$Q$13,2)-VLOOKUP(MONTH(B195),$O$1:$Q$13,3))),($F195+$G195)/2-($F195-$G195)/2*COS(PI()*(12-VLOOKUP(MONTH(B195),$O$1:$Q$13,3))/(VLOOKUP(MONTH(B195),$O$1:$Q$13,2)-VLOOKUP(MONTH(B195),$O$1:$Q$13,3))),($F195+$G195)/2-($F195-$G195)/2*COS(PI()*(13-VLOOKUP(MONTH(B195),$O$1:$Q$13,3))/(VLOOKUP(MONTH(B195),$O$1:$Q$13,2)-VLOOKUP(MONTH(B195),$O$1:$Q$13,3))),($F195+$G195)/2-($F195-$G195)/2*COS(PI()*(14-VLOOKUP(MONTH(B195),$O$1:$Q$13,3))/(VLOOKUP(MONTH(B195),$O$1:$Q$13,2)-VLOOKUP(MONTH(B195),$O$1:$Q$13,3))))</f>
        <v/>
      </c>
      <c r="M195" s="1">
        <f t="array" ref="M195">IF(AND(A195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,A195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),IF(L195&lt;_xlfn.IFNA(INDEX(_xlfn.ANCHORARRAY(Sintesi!$C$17)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,1,IF(L195&gt;=_xlfn.IFNA(INDEX(_xlfn.ANCHORARRAY(Sintesi!$C$18)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,0,1-(L195-_xlfn.IFNA(INDEX(_xlfn.ANCHORARRAY(Sintesi!$C$17)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)/(_xlfn.IFNA(INDEX(_xlfn.ANCHORARRAY(Sintesi!$C$18)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-_xlfn.IFNA(INDEX(_xlfn.ANCHORARRAY(Sintesi!$C$17)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))),0)</f>
        <v/>
      </c>
    </row>
    <row r="196">
      <c r="A196" s="1">
        <f>'Paste cell here'!A196</f>
        <v/>
      </c>
      <c r="B196" s="2">
        <f>DATE(Sintesi!$C$4-1,12,31)+A196</f>
        <v/>
      </c>
      <c r="C196" s="34">
        <f t="array" ref="C196">_xlfn.IFNA(MATCH(1,(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)*(_xlfn.ANCHORARRAY(Sintesi!$C$15)&gt;=0)+(_xlfn.ANCHORARRAY(Sintesi!$C$15)&lt;0),0),0)</f>
        <v/>
      </c>
      <c r="D196" s="1">
        <f t="array" ref="D196">IF(ISBLANK($E197),IF(ISNUMBER($E195),IF($C196&gt;0,IF(($E196=INDEX(_xlfn.ANCHORARRAY(Sintesi!$C$14),1,$C196))*(INDEX(_xlfn.ANCHORARRAY(Sintesi!$C$15),1,$C196)&gt;0),0,IF(($E196=INDEX(_xlfn.ANCHORARRAY(Sintesi!$C$14),1,$C196))*(INDEX(_xlfn.ANCHORARRAY(Sintesi!$C$15),1,$C196)&lt;0)+($E196&gt;=$E195)*($E196&lt;=INDEX($E:$E,MATCH(TRUE,INDEX((ISNUMBER($E:$E)),0),0)))*($E196&gt;INDEX(_xlfn.ANCHORARRAY(Sintesi!$C$14),1,$C196))*($E196&lt;=INDEX(_xlfn.ANCHORARRAY(Sintesi!$C$15),1,$C196))*(INDEX(_xlfn.ANCHORARRAY(Sintesi!$C$15),1,$C196)&gt;0),1,IF(($E196&gt;=$E195)*($E196&lt;=INDEX($E:$E,MATCH(TRUE,INDEX((ISNUMBER($E:$E)),0),0)))*($E196&gt;INDEX(_xlfn.ANCHORARRAY(Sintesi!$C$14),1,$C196))*($E196&lt;INDEX(_xlfn.ANCHORARRAY(Sintesi!$C$16),1,$C196))*(INDEX(_xlfn.ANCHORARRAY(Sintesi!$C$15),1,$C196)&lt;0)+($E196&gt;=$E195)*($E196&lt;=INDEX($E:$E,MATCH(TRUE,INDEX((ISNUMBER($E:$E)),0),0)))*($E196&gt;INDEX(_xlfn.ANCHORARRAY(Sintesi!$C$15),1,$C196))*($E196&lt;INDEX(_xlfn.ANCHORARRAY(Sintesi!$C$16),1,$C196))*(INDEX(_xlfn.ANCHORARRAY(Sintesi!$C$15),1,$C196)&gt;0),2,IF($E196=(INDEX(_xlfn.ANCHORARRAY(Sintesi!$C$16),1,$C196)),3,4)))),0),IF($C196&gt;0,IF(($E196=INDEX(_xlfn.ANCHORARRAY(Sintesi!$C$14),1,$C196))*(INDEX(_xlfn.ANCHORARRAY(Sintesi!$C$15),1,$C196)&gt;0),0,IF(($E196=INDEX(_xlfn.ANCHORARRAY(Sintesi!$C$14),1,$C196))*(INDEX(_xlfn.ANCHORARRAY(Sintesi!$C$15),1,$C196)&lt;0)+($E196&gt;=LOOKUP(2,1/($E:$E&lt;&gt;""),$E:$E))*($E196&lt;=INDEX($E:$E,MATCH(TRUE,INDEX((ISNUMBER($E:$E)),0),0)))*($E196&gt;INDEX(_xlfn.ANCHORARRAY(Sintesi!$C$14),1,$C196))*($E196&lt;=INDEX(_xlfn.ANCHORARRAY(Sintesi!$C$15),1,$C196))*(INDEX(_xlfn.ANCHORARRAY(Sintesi!$C$15),1,$C196)&gt;0),1,IF(($E196&gt;=LOOKUP(2,1/($E:$E&lt;&gt;""),$E:$E))*($E196&lt;=INDEX($E:$E,MATCH(TRUE,INDEX((ISNUMBER($E:$E)),0),0)))*($E196&gt;INDEX(_xlfn.ANCHORARRAY(Sintesi!$C$14),1,$C196))*($E196&lt;INDEX(_xlfn.ANCHORARRAY(Sintesi!$C$16),1,$C196))*(INDEX(_xlfn.ANCHORARRAY(Sintesi!$C$15),1,$C196)&lt;0)+($E196&gt;=LOOKUP(2,1/($E:$E&lt;&gt;""),$E:$E))*($E196&lt;=INDEX($E:$E,MATCH(TRUE,INDEX((ISNUMBER($E:$E)),0),0)))*($E196&gt;INDEX(_xlfn.ANCHORARRAY(Sintesi!$C$15),1,$C196))*($E196&lt;INDEX(_xlfn.ANCHORARRAY(Sintesi!$C$16),1,$C196))*(INDEX(_xlfn.ANCHORARRAY(Sintesi!$C$15),1,$C196)&gt;0),2,IF($E196=(INDEX(_xlfn.ANCHORARRAY(Sintesi!$C$16),1,$C196)),3,4)))),0)),IF(ISNUMBER($E195),IF($C196&gt;0,IF(($E196=INDEX(_xlfn.ANCHORARRAY(Sintesi!$C$14),1,$C196))*(INDEX(_xlfn.ANCHORARRAY(Sintesi!$C$15),1,$C196)&gt;0),0,IF(($E196=INDEX(_xlfn.ANCHORARRAY(Sintesi!$C$14),1,$C196))*(INDEX(_xlfn.ANCHORARRAY(Sintesi!$C$15),1,$C196)&lt;0)+($E196&gt;=$E195)*($E196&lt;=$E197)*($E196&gt;INDEX(_xlfn.ANCHORARRAY(Sintesi!$C$14),1,$C196))*($E196&lt;=INDEX(_xlfn.ANCHORARRAY(Sintesi!$C$15),1,$C196))*(INDEX(_xlfn.ANCHORARRAY(Sintesi!$C$15),1,$C196)&gt;0),1,IF(($E196&gt;=$E195)*($E196&lt;=$E197)*($E196&gt;INDEX(_xlfn.ANCHORARRAY(Sintesi!$C$14),1,$C196))*($E196&lt;INDEX(_xlfn.ANCHORARRAY(Sintesi!$C$16),1,$C196))*(INDEX(_xlfn.ANCHORARRAY(Sintesi!$C$15),1,$C196)&lt;0)+($E196&gt;=$E195)*($E196&lt;=$E197)*($E196&gt;INDEX(_xlfn.ANCHORARRAY(Sintesi!$C$15),1,$C196))*($E196&lt;INDEX(_xlfn.ANCHORARRAY(Sintesi!$C$16),1,$C196))*(INDEX(_xlfn.ANCHORARRAY(Sintesi!$C$15),1,$C196)&gt;0),2,IF($E196=(INDEX(_xlfn.ANCHORARRAY(Sintesi!$C$16),1,$C196)),3,4)))),0),IF($C196&gt;0,IF(($E196=INDEX(_xlfn.ANCHORARRAY(Sintesi!$C$14),1,$C196))*(INDEX(_xlfn.ANCHORARRAY(Sintesi!$C$15),1,$C196)&gt;0),0,IF(($E196=INDEX(_xlfn.ANCHORARRAY(Sintesi!$C$14),1,$C196))*(INDEX(_xlfn.ANCHORARRAY(Sintesi!$C$15),1,$C196)&lt;0)+($E196&gt;=LOOKUP(2,1/($E:$E&lt;&gt;""),$E:$E))*($E196&lt;=$E197)*($E196&gt;INDEX(_xlfn.ANCHORARRAY(Sintesi!$C$14),1,$C196))*($E196&lt;=INDEX(_xlfn.ANCHORARRAY(Sintesi!$C$15),1,$C196))*(INDEX(_xlfn.ANCHORARRAY(Sintesi!$C$15),1,$C196)&gt;0),1,IF(($E196&gt;=LOOKUP(2,1/($E:$E&lt;&gt;""),$E:$E))*($E196&lt;=$E197)*($E196&gt;INDEX(_xlfn.ANCHORARRAY(Sintesi!$C$14),1,$C196))*($E196&lt;INDEX(_xlfn.ANCHORARRAY(Sintesi!$C$16),1,$C196))*(INDEX(_xlfn.ANCHORARRAY(Sintesi!$C$15),1,$C196)&lt;0)+($E196&gt;=LOOKUP(2,1/($E:$E&lt;&gt;""),$E:$E))*($E196&lt;=$E197)*($E196&gt;INDEX(_xlfn.ANCHORARRAY(Sintesi!$C$15),1,$C196))*($E196&lt;INDEX(_xlfn.ANCHORARRAY(Sintesi!$C$16),1,$C196))*(INDEX(_xlfn.ANCHORARRAY(Sintesi!$C$15),1,$C196)&gt;0),2,IF($E196=(INDEX(_xlfn.ANCHORARRAY(Sintesi!$C$16),1,$C196)),3,4)))),0)))</f>
        <v/>
      </c>
      <c r="E196" s="1">
        <f>'Paste cell here'!F196</f>
        <v/>
      </c>
      <c r="F196" s="1">
        <f>'Paste cell here'!C196</f>
        <v/>
      </c>
      <c r="G196" s="1">
        <f>'Paste cell here'!D196</f>
        <v/>
      </c>
      <c r="H196" s="1">
        <f>'Paste cell here'!E196</f>
        <v/>
      </c>
      <c r="I196" s="1">
        <f>'Paste cell here'!X196</f>
        <v/>
      </c>
      <c r="J196" s="1">
        <f>'Paste cell here'!Y196+'Paste cell here'!S196</f>
        <v/>
      </c>
      <c r="K196" s="1">
        <f>I196/H196</f>
        <v/>
      </c>
      <c r="L196" s="1">
        <f>AVERAGE(($F196+$G196)/2-($F196-$G196)/2*COS(PI()*(8-VLOOKUP(MONTH(B196),$O$1:$Q$13,3))/(VLOOKUP(MONTH(B196),$O$1:$Q$13,2)-VLOOKUP(MONTH(B196),$O$1:$Q$13,3))),($F196+$G196)/2-($F196-$G196)/2*COS(PI()*(9-VLOOKUP(MONTH(B196),$O$1:$Q$13,3))/(VLOOKUP(MONTH(B196),$O$1:$Q$13,2)-VLOOKUP(MONTH(B196),$O$1:$Q$13,3))),($F196+$G196)/2-($F196-$G196)/2*COS(PI()*(10-VLOOKUP(MONTH(B196),$O$1:$Q$13,3))/(VLOOKUP(MONTH(B196),$O$1:$Q$13,2)-VLOOKUP(MONTH(B196),$O$1:$Q$13,3))),($F196+$G196)/2-($F196-$G196)/2*COS(PI()*(11-VLOOKUP(MONTH(B196),$O$1:$Q$13,3))/(VLOOKUP(MONTH(B196),$O$1:$Q$13,2)-VLOOKUP(MONTH(B196),$O$1:$Q$13,3))),($F196+$G196)/2-($F196-$G196)/2*COS(PI()*(12-VLOOKUP(MONTH(B196),$O$1:$Q$13,3))/(VLOOKUP(MONTH(B196),$O$1:$Q$13,2)-VLOOKUP(MONTH(B196),$O$1:$Q$13,3))),($F196+$G196)/2-($F196-$G196)/2*COS(PI()*(13-VLOOKUP(MONTH(B196),$O$1:$Q$13,3))/(VLOOKUP(MONTH(B196),$O$1:$Q$13,2)-VLOOKUP(MONTH(B196),$O$1:$Q$13,3))),($F196+$G196)/2-($F196-$G196)/2*COS(PI()*(14-VLOOKUP(MONTH(B196),$O$1:$Q$13,3))/(VLOOKUP(MONTH(B196),$O$1:$Q$13,2)-VLOOKUP(MONTH(B196),$O$1:$Q$13,3))))</f>
        <v/>
      </c>
      <c r="M196" s="1">
        <f t="array" ref="M196">IF(AND(A196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,A196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),IF(L196&lt;_xlfn.IFNA(INDEX(_xlfn.ANCHORARRAY(Sintesi!$C$17)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,1,IF(L196&gt;=_xlfn.IFNA(INDEX(_xlfn.ANCHORARRAY(Sintesi!$C$18)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,0,1-(L196-_xlfn.IFNA(INDEX(_xlfn.ANCHORARRAY(Sintesi!$C$17)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)/(_xlfn.IFNA(INDEX(_xlfn.ANCHORARRAY(Sintesi!$C$18)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-_xlfn.IFNA(INDEX(_xlfn.ANCHORARRAY(Sintesi!$C$17)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))),0)</f>
        <v/>
      </c>
    </row>
    <row r="197">
      <c r="A197" s="1">
        <f>'Paste cell here'!A197</f>
        <v/>
      </c>
      <c r="B197" s="2">
        <f>DATE(Sintesi!$C$4-1,12,31)+A197</f>
        <v/>
      </c>
      <c r="C197" s="34">
        <f t="array" ref="C197">_xlfn.IFNA(MATCH(1,(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)*(_xlfn.ANCHORARRAY(Sintesi!$C$15)&gt;=0)+(_xlfn.ANCHORARRAY(Sintesi!$C$15)&lt;0),0),0)</f>
        <v/>
      </c>
      <c r="D197" s="1">
        <f t="array" ref="D197">IF(ISBLANK($E198),IF(ISNUMBER($E196),IF($C197&gt;0,IF(($E197=INDEX(_xlfn.ANCHORARRAY(Sintesi!$C$14),1,$C197))*(INDEX(_xlfn.ANCHORARRAY(Sintesi!$C$15),1,$C197)&gt;0),0,IF(($E197=INDEX(_xlfn.ANCHORARRAY(Sintesi!$C$14),1,$C197))*(INDEX(_xlfn.ANCHORARRAY(Sintesi!$C$15),1,$C197)&lt;0)+($E197&gt;=$E196)*($E197&lt;=INDEX($E:$E,MATCH(TRUE,INDEX((ISNUMBER($E:$E)),0),0)))*($E197&gt;INDEX(_xlfn.ANCHORARRAY(Sintesi!$C$14),1,$C197))*($E197&lt;=INDEX(_xlfn.ANCHORARRAY(Sintesi!$C$15),1,$C197))*(INDEX(_xlfn.ANCHORARRAY(Sintesi!$C$15),1,$C197)&gt;0),1,IF(($E197&gt;=$E196)*($E197&lt;=INDEX($E:$E,MATCH(TRUE,INDEX((ISNUMBER($E:$E)),0),0)))*($E197&gt;INDEX(_xlfn.ANCHORARRAY(Sintesi!$C$14),1,$C197))*($E197&lt;INDEX(_xlfn.ANCHORARRAY(Sintesi!$C$16),1,$C197))*(INDEX(_xlfn.ANCHORARRAY(Sintesi!$C$15),1,$C197)&lt;0)+($E197&gt;=$E196)*($E197&lt;=INDEX($E:$E,MATCH(TRUE,INDEX((ISNUMBER($E:$E)),0),0)))*($E197&gt;INDEX(_xlfn.ANCHORARRAY(Sintesi!$C$15),1,$C197))*($E197&lt;INDEX(_xlfn.ANCHORARRAY(Sintesi!$C$16),1,$C197))*(INDEX(_xlfn.ANCHORARRAY(Sintesi!$C$15),1,$C197)&gt;0),2,IF($E197=(INDEX(_xlfn.ANCHORARRAY(Sintesi!$C$16),1,$C197)),3,4)))),0),IF($C197&gt;0,IF(($E197=INDEX(_xlfn.ANCHORARRAY(Sintesi!$C$14),1,$C197))*(INDEX(_xlfn.ANCHORARRAY(Sintesi!$C$15),1,$C197)&gt;0),0,IF(($E197=INDEX(_xlfn.ANCHORARRAY(Sintesi!$C$14),1,$C197))*(INDEX(_xlfn.ANCHORARRAY(Sintesi!$C$15),1,$C197)&lt;0)+($E197&gt;=LOOKUP(2,1/($E:$E&lt;&gt;""),$E:$E))*($E197&lt;=INDEX($E:$E,MATCH(TRUE,INDEX((ISNUMBER($E:$E)),0),0)))*($E197&gt;INDEX(_xlfn.ANCHORARRAY(Sintesi!$C$14),1,$C197))*($E197&lt;=INDEX(_xlfn.ANCHORARRAY(Sintesi!$C$15),1,$C197))*(INDEX(_xlfn.ANCHORARRAY(Sintesi!$C$15),1,$C197)&gt;0),1,IF(($E197&gt;=LOOKUP(2,1/($E:$E&lt;&gt;""),$E:$E))*($E197&lt;=INDEX($E:$E,MATCH(TRUE,INDEX((ISNUMBER($E:$E)),0),0)))*($E197&gt;INDEX(_xlfn.ANCHORARRAY(Sintesi!$C$14),1,$C197))*($E197&lt;INDEX(_xlfn.ANCHORARRAY(Sintesi!$C$16),1,$C197))*(INDEX(_xlfn.ANCHORARRAY(Sintesi!$C$15),1,$C197)&lt;0)+($E197&gt;=LOOKUP(2,1/($E:$E&lt;&gt;""),$E:$E))*($E197&lt;=INDEX($E:$E,MATCH(TRUE,INDEX((ISNUMBER($E:$E)),0),0)))*($E197&gt;INDEX(_xlfn.ANCHORARRAY(Sintesi!$C$15),1,$C197))*($E197&lt;INDEX(_xlfn.ANCHORARRAY(Sintesi!$C$16),1,$C197))*(INDEX(_xlfn.ANCHORARRAY(Sintesi!$C$15),1,$C197)&gt;0),2,IF($E197=(INDEX(_xlfn.ANCHORARRAY(Sintesi!$C$16),1,$C197)),3,4)))),0)),IF(ISNUMBER($E196),IF($C197&gt;0,IF(($E197=INDEX(_xlfn.ANCHORARRAY(Sintesi!$C$14),1,$C197))*(INDEX(_xlfn.ANCHORARRAY(Sintesi!$C$15),1,$C197)&gt;0),0,IF(($E197=INDEX(_xlfn.ANCHORARRAY(Sintesi!$C$14),1,$C197))*(INDEX(_xlfn.ANCHORARRAY(Sintesi!$C$15),1,$C197)&lt;0)+($E197&gt;=$E196)*($E197&lt;=$E198)*($E197&gt;INDEX(_xlfn.ANCHORARRAY(Sintesi!$C$14),1,$C197))*($E197&lt;=INDEX(_xlfn.ANCHORARRAY(Sintesi!$C$15),1,$C197))*(INDEX(_xlfn.ANCHORARRAY(Sintesi!$C$15),1,$C197)&gt;0),1,IF(($E197&gt;=$E196)*($E197&lt;=$E198)*($E197&gt;INDEX(_xlfn.ANCHORARRAY(Sintesi!$C$14),1,$C197))*($E197&lt;INDEX(_xlfn.ANCHORARRAY(Sintesi!$C$16),1,$C197))*(INDEX(_xlfn.ANCHORARRAY(Sintesi!$C$15),1,$C197)&lt;0)+($E197&gt;=$E196)*($E197&lt;=$E198)*($E197&gt;INDEX(_xlfn.ANCHORARRAY(Sintesi!$C$15),1,$C197))*($E197&lt;INDEX(_xlfn.ANCHORARRAY(Sintesi!$C$16),1,$C197))*(INDEX(_xlfn.ANCHORARRAY(Sintesi!$C$15),1,$C197)&gt;0),2,IF($E197=(INDEX(_xlfn.ANCHORARRAY(Sintesi!$C$16),1,$C197)),3,4)))),0),IF($C197&gt;0,IF(($E197=INDEX(_xlfn.ANCHORARRAY(Sintesi!$C$14),1,$C197))*(INDEX(_xlfn.ANCHORARRAY(Sintesi!$C$15),1,$C197)&gt;0),0,IF(($E197=INDEX(_xlfn.ANCHORARRAY(Sintesi!$C$14),1,$C197))*(INDEX(_xlfn.ANCHORARRAY(Sintesi!$C$15),1,$C197)&lt;0)+($E197&gt;=LOOKUP(2,1/($E:$E&lt;&gt;""),$E:$E))*($E197&lt;=$E198)*($E197&gt;INDEX(_xlfn.ANCHORARRAY(Sintesi!$C$14),1,$C197))*($E197&lt;=INDEX(_xlfn.ANCHORARRAY(Sintesi!$C$15),1,$C197))*(INDEX(_xlfn.ANCHORARRAY(Sintesi!$C$15),1,$C197)&gt;0),1,IF(($E197&gt;=LOOKUP(2,1/($E:$E&lt;&gt;""),$E:$E))*($E197&lt;=$E198)*($E197&gt;INDEX(_xlfn.ANCHORARRAY(Sintesi!$C$14),1,$C197))*($E197&lt;INDEX(_xlfn.ANCHORARRAY(Sintesi!$C$16),1,$C197))*(INDEX(_xlfn.ANCHORARRAY(Sintesi!$C$15),1,$C197)&lt;0)+($E197&gt;=LOOKUP(2,1/($E:$E&lt;&gt;""),$E:$E))*($E197&lt;=$E198)*($E197&gt;INDEX(_xlfn.ANCHORARRAY(Sintesi!$C$15),1,$C197))*($E197&lt;INDEX(_xlfn.ANCHORARRAY(Sintesi!$C$16),1,$C197))*(INDEX(_xlfn.ANCHORARRAY(Sintesi!$C$15),1,$C197)&gt;0),2,IF($E197=(INDEX(_xlfn.ANCHORARRAY(Sintesi!$C$16),1,$C197)),3,4)))),0)))</f>
        <v/>
      </c>
      <c r="E197" s="1">
        <f>'Paste cell here'!F197</f>
        <v/>
      </c>
      <c r="F197" s="1">
        <f>'Paste cell here'!C197</f>
        <v/>
      </c>
      <c r="G197" s="1">
        <f>'Paste cell here'!D197</f>
        <v/>
      </c>
      <c r="H197" s="1">
        <f>'Paste cell here'!E197</f>
        <v/>
      </c>
      <c r="I197" s="1">
        <f>'Paste cell here'!X197</f>
        <v/>
      </c>
      <c r="J197" s="1">
        <f>'Paste cell here'!Y197+'Paste cell here'!S197</f>
        <v/>
      </c>
      <c r="K197" s="1">
        <f>I197/H197</f>
        <v/>
      </c>
      <c r="L197" s="1">
        <f>AVERAGE(($F197+$G197)/2-($F197-$G197)/2*COS(PI()*(8-VLOOKUP(MONTH(B197),$O$1:$Q$13,3))/(VLOOKUP(MONTH(B197),$O$1:$Q$13,2)-VLOOKUP(MONTH(B197),$O$1:$Q$13,3))),($F197+$G197)/2-($F197-$G197)/2*COS(PI()*(9-VLOOKUP(MONTH(B197),$O$1:$Q$13,3))/(VLOOKUP(MONTH(B197),$O$1:$Q$13,2)-VLOOKUP(MONTH(B197),$O$1:$Q$13,3))),($F197+$G197)/2-($F197-$G197)/2*COS(PI()*(10-VLOOKUP(MONTH(B197),$O$1:$Q$13,3))/(VLOOKUP(MONTH(B197),$O$1:$Q$13,2)-VLOOKUP(MONTH(B197),$O$1:$Q$13,3))),($F197+$G197)/2-($F197-$G197)/2*COS(PI()*(11-VLOOKUP(MONTH(B197),$O$1:$Q$13,3))/(VLOOKUP(MONTH(B197),$O$1:$Q$13,2)-VLOOKUP(MONTH(B197),$O$1:$Q$13,3))),($F197+$G197)/2-($F197-$G197)/2*COS(PI()*(12-VLOOKUP(MONTH(B197),$O$1:$Q$13,3))/(VLOOKUP(MONTH(B197),$O$1:$Q$13,2)-VLOOKUP(MONTH(B197),$O$1:$Q$13,3))),($F197+$G197)/2-($F197-$G197)/2*COS(PI()*(13-VLOOKUP(MONTH(B197),$O$1:$Q$13,3))/(VLOOKUP(MONTH(B197),$O$1:$Q$13,2)-VLOOKUP(MONTH(B197),$O$1:$Q$13,3))),($F197+$G197)/2-($F197-$G197)/2*COS(PI()*(14-VLOOKUP(MONTH(B197),$O$1:$Q$13,3))/(VLOOKUP(MONTH(B197),$O$1:$Q$13,2)-VLOOKUP(MONTH(B197),$O$1:$Q$13,3))))</f>
        <v/>
      </c>
      <c r="M197" s="1">
        <f t="array" ref="M197">IF(AND(A197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,A197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),IF(L197&lt;_xlfn.IFNA(INDEX(_xlfn.ANCHORARRAY(Sintesi!$C$17)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,1,IF(L197&gt;=_xlfn.IFNA(INDEX(_xlfn.ANCHORARRAY(Sintesi!$C$18)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,0,1-(L197-_xlfn.IFNA(INDEX(_xlfn.ANCHORARRAY(Sintesi!$C$17)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)/(_xlfn.IFNA(INDEX(_xlfn.ANCHORARRAY(Sintesi!$C$18)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-_xlfn.IFNA(INDEX(_xlfn.ANCHORARRAY(Sintesi!$C$17)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))),0)</f>
        <v/>
      </c>
    </row>
    <row r="198">
      <c r="A198" s="1">
        <f>'Paste cell here'!A198</f>
        <v/>
      </c>
      <c r="B198" s="2">
        <f>DATE(Sintesi!$C$4-1,12,31)+A198</f>
        <v/>
      </c>
      <c r="C198" s="34">
        <f t="array" ref="C198">_xlfn.IFNA(MATCH(1,(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)*(_xlfn.ANCHORARRAY(Sintesi!$C$15)&gt;=0)+(_xlfn.ANCHORARRAY(Sintesi!$C$15)&lt;0),0),0)</f>
        <v/>
      </c>
      <c r="D198" s="1">
        <f t="array" ref="D198">IF(ISBLANK($E199),IF(ISNUMBER($E197),IF($C198&gt;0,IF(($E198=INDEX(_xlfn.ANCHORARRAY(Sintesi!$C$14),1,$C198))*(INDEX(_xlfn.ANCHORARRAY(Sintesi!$C$15),1,$C198)&gt;0),0,IF(($E198=INDEX(_xlfn.ANCHORARRAY(Sintesi!$C$14),1,$C198))*(INDEX(_xlfn.ANCHORARRAY(Sintesi!$C$15),1,$C198)&lt;0)+($E198&gt;=$E197)*($E198&lt;=INDEX($E:$E,MATCH(TRUE,INDEX((ISNUMBER($E:$E)),0),0)))*($E198&gt;INDEX(_xlfn.ANCHORARRAY(Sintesi!$C$14),1,$C198))*($E198&lt;=INDEX(_xlfn.ANCHORARRAY(Sintesi!$C$15),1,$C198))*(INDEX(_xlfn.ANCHORARRAY(Sintesi!$C$15),1,$C198)&gt;0),1,IF(($E198&gt;=$E197)*($E198&lt;=INDEX($E:$E,MATCH(TRUE,INDEX((ISNUMBER($E:$E)),0),0)))*($E198&gt;INDEX(_xlfn.ANCHORARRAY(Sintesi!$C$14),1,$C198))*($E198&lt;INDEX(_xlfn.ANCHORARRAY(Sintesi!$C$16),1,$C198))*(INDEX(_xlfn.ANCHORARRAY(Sintesi!$C$15),1,$C198)&lt;0)+($E198&gt;=$E197)*($E198&lt;=INDEX($E:$E,MATCH(TRUE,INDEX((ISNUMBER($E:$E)),0),0)))*($E198&gt;INDEX(_xlfn.ANCHORARRAY(Sintesi!$C$15),1,$C198))*($E198&lt;INDEX(_xlfn.ANCHORARRAY(Sintesi!$C$16),1,$C198))*(INDEX(_xlfn.ANCHORARRAY(Sintesi!$C$15),1,$C198)&gt;0),2,IF($E198=(INDEX(_xlfn.ANCHORARRAY(Sintesi!$C$16),1,$C198)),3,4)))),0),IF($C198&gt;0,IF(($E198=INDEX(_xlfn.ANCHORARRAY(Sintesi!$C$14),1,$C198))*(INDEX(_xlfn.ANCHORARRAY(Sintesi!$C$15),1,$C198)&gt;0),0,IF(($E198=INDEX(_xlfn.ANCHORARRAY(Sintesi!$C$14),1,$C198))*(INDEX(_xlfn.ANCHORARRAY(Sintesi!$C$15),1,$C198)&lt;0)+($E198&gt;=LOOKUP(2,1/($E:$E&lt;&gt;""),$E:$E))*($E198&lt;=INDEX($E:$E,MATCH(TRUE,INDEX((ISNUMBER($E:$E)),0),0)))*($E198&gt;INDEX(_xlfn.ANCHORARRAY(Sintesi!$C$14),1,$C198))*($E198&lt;=INDEX(_xlfn.ANCHORARRAY(Sintesi!$C$15),1,$C198))*(INDEX(_xlfn.ANCHORARRAY(Sintesi!$C$15),1,$C198)&gt;0),1,IF(($E198&gt;=LOOKUP(2,1/($E:$E&lt;&gt;""),$E:$E))*($E198&lt;=INDEX($E:$E,MATCH(TRUE,INDEX((ISNUMBER($E:$E)),0),0)))*($E198&gt;INDEX(_xlfn.ANCHORARRAY(Sintesi!$C$14),1,$C198))*($E198&lt;INDEX(_xlfn.ANCHORARRAY(Sintesi!$C$16),1,$C198))*(INDEX(_xlfn.ANCHORARRAY(Sintesi!$C$15),1,$C198)&lt;0)+($E198&gt;=LOOKUP(2,1/($E:$E&lt;&gt;""),$E:$E))*($E198&lt;=INDEX($E:$E,MATCH(TRUE,INDEX((ISNUMBER($E:$E)),0),0)))*($E198&gt;INDEX(_xlfn.ANCHORARRAY(Sintesi!$C$15),1,$C198))*($E198&lt;INDEX(_xlfn.ANCHORARRAY(Sintesi!$C$16),1,$C198))*(INDEX(_xlfn.ANCHORARRAY(Sintesi!$C$15),1,$C198)&gt;0),2,IF($E198=(INDEX(_xlfn.ANCHORARRAY(Sintesi!$C$16),1,$C198)),3,4)))),0)),IF(ISNUMBER($E197),IF($C198&gt;0,IF(($E198=INDEX(_xlfn.ANCHORARRAY(Sintesi!$C$14),1,$C198))*(INDEX(_xlfn.ANCHORARRAY(Sintesi!$C$15),1,$C198)&gt;0),0,IF(($E198=INDEX(_xlfn.ANCHORARRAY(Sintesi!$C$14),1,$C198))*(INDEX(_xlfn.ANCHORARRAY(Sintesi!$C$15),1,$C198)&lt;0)+($E198&gt;=$E197)*($E198&lt;=$E199)*($E198&gt;INDEX(_xlfn.ANCHORARRAY(Sintesi!$C$14),1,$C198))*($E198&lt;=INDEX(_xlfn.ANCHORARRAY(Sintesi!$C$15),1,$C198))*(INDEX(_xlfn.ANCHORARRAY(Sintesi!$C$15),1,$C198)&gt;0),1,IF(($E198&gt;=$E197)*($E198&lt;=$E199)*($E198&gt;INDEX(_xlfn.ANCHORARRAY(Sintesi!$C$14),1,$C198))*($E198&lt;INDEX(_xlfn.ANCHORARRAY(Sintesi!$C$16),1,$C198))*(INDEX(_xlfn.ANCHORARRAY(Sintesi!$C$15),1,$C198)&lt;0)+($E198&gt;=$E197)*($E198&lt;=$E199)*($E198&gt;INDEX(_xlfn.ANCHORARRAY(Sintesi!$C$15),1,$C198))*($E198&lt;INDEX(_xlfn.ANCHORARRAY(Sintesi!$C$16),1,$C198))*(INDEX(_xlfn.ANCHORARRAY(Sintesi!$C$15),1,$C198)&gt;0),2,IF($E198=(INDEX(_xlfn.ANCHORARRAY(Sintesi!$C$16),1,$C198)),3,4)))),0),IF($C198&gt;0,IF(($E198=INDEX(_xlfn.ANCHORARRAY(Sintesi!$C$14),1,$C198))*(INDEX(_xlfn.ANCHORARRAY(Sintesi!$C$15),1,$C198)&gt;0),0,IF(($E198=INDEX(_xlfn.ANCHORARRAY(Sintesi!$C$14),1,$C198))*(INDEX(_xlfn.ANCHORARRAY(Sintesi!$C$15),1,$C198)&lt;0)+($E198&gt;=LOOKUP(2,1/($E:$E&lt;&gt;""),$E:$E))*($E198&lt;=$E199)*($E198&gt;INDEX(_xlfn.ANCHORARRAY(Sintesi!$C$14),1,$C198))*($E198&lt;=INDEX(_xlfn.ANCHORARRAY(Sintesi!$C$15),1,$C198))*(INDEX(_xlfn.ANCHORARRAY(Sintesi!$C$15),1,$C198)&gt;0),1,IF(($E198&gt;=LOOKUP(2,1/($E:$E&lt;&gt;""),$E:$E))*($E198&lt;=$E199)*($E198&gt;INDEX(_xlfn.ANCHORARRAY(Sintesi!$C$14),1,$C198))*($E198&lt;INDEX(_xlfn.ANCHORARRAY(Sintesi!$C$16),1,$C198))*(INDEX(_xlfn.ANCHORARRAY(Sintesi!$C$15),1,$C198)&lt;0)+($E198&gt;=LOOKUP(2,1/($E:$E&lt;&gt;""),$E:$E))*($E198&lt;=$E199)*($E198&gt;INDEX(_xlfn.ANCHORARRAY(Sintesi!$C$15),1,$C198))*($E198&lt;INDEX(_xlfn.ANCHORARRAY(Sintesi!$C$16),1,$C198))*(INDEX(_xlfn.ANCHORARRAY(Sintesi!$C$15),1,$C198)&gt;0),2,IF($E198=(INDEX(_xlfn.ANCHORARRAY(Sintesi!$C$16),1,$C198)),3,4)))),0)))</f>
        <v/>
      </c>
      <c r="E198" s="1">
        <f>'Paste cell here'!F198</f>
        <v/>
      </c>
      <c r="F198" s="1">
        <f>'Paste cell here'!C198</f>
        <v/>
      </c>
      <c r="G198" s="1">
        <f>'Paste cell here'!D198</f>
        <v/>
      </c>
      <c r="H198" s="1">
        <f>'Paste cell here'!E198</f>
        <v/>
      </c>
      <c r="I198" s="1">
        <f>'Paste cell here'!X198</f>
        <v/>
      </c>
      <c r="J198" s="1">
        <f>'Paste cell here'!Y198+'Paste cell here'!S198</f>
        <v/>
      </c>
      <c r="K198" s="1">
        <f>I198/H198</f>
        <v/>
      </c>
      <c r="L198" s="1">
        <f>AVERAGE(($F198+$G198)/2-($F198-$G198)/2*COS(PI()*(8-VLOOKUP(MONTH(B198),$O$1:$Q$13,3))/(VLOOKUP(MONTH(B198),$O$1:$Q$13,2)-VLOOKUP(MONTH(B198),$O$1:$Q$13,3))),($F198+$G198)/2-($F198-$G198)/2*COS(PI()*(9-VLOOKUP(MONTH(B198),$O$1:$Q$13,3))/(VLOOKUP(MONTH(B198),$O$1:$Q$13,2)-VLOOKUP(MONTH(B198),$O$1:$Q$13,3))),($F198+$G198)/2-($F198-$G198)/2*COS(PI()*(10-VLOOKUP(MONTH(B198),$O$1:$Q$13,3))/(VLOOKUP(MONTH(B198),$O$1:$Q$13,2)-VLOOKUP(MONTH(B198),$O$1:$Q$13,3))),($F198+$G198)/2-($F198-$G198)/2*COS(PI()*(11-VLOOKUP(MONTH(B198),$O$1:$Q$13,3))/(VLOOKUP(MONTH(B198),$O$1:$Q$13,2)-VLOOKUP(MONTH(B198),$O$1:$Q$13,3))),($F198+$G198)/2-($F198-$G198)/2*COS(PI()*(12-VLOOKUP(MONTH(B198),$O$1:$Q$13,3))/(VLOOKUP(MONTH(B198),$O$1:$Q$13,2)-VLOOKUP(MONTH(B198),$O$1:$Q$13,3))),($F198+$G198)/2-($F198-$G198)/2*COS(PI()*(13-VLOOKUP(MONTH(B198),$O$1:$Q$13,3))/(VLOOKUP(MONTH(B198),$O$1:$Q$13,2)-VLOOKUP(MONTH(B198),$O$1:$Q$13,3))),($F198+$G198)/2-($F198-$G198)/2*COS(PI()*(14-VLOOKUP(MONTH(B198),$O$1:$Q$13,3))/(VLOOKUP(MONTH(B198),$O$1:$Q$13,2)-VLOOKUP(MONTH(B198),$O$1:$Q$13,3))))</f>
        <v/>
      </c>
      <c r="M198" s="1">
        <f t="array" ref="M198">IF(AND(A198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,A198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),IF(L198&lt;_xlfn.IFNA(INDEX(_xlfn.ANCHORARRAY(Sintesi!$C$17)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,1,IF(L198&gt;=_xlfn.IFNA(INDEX(_xlfn.ANCHORARRAY(Sintesi!$C$18)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,0,1-(L198-_xlfn.IFNA(INDEX(_xlfn.ANCHORARRAY(Sintesi!$C$17)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)/(_xlfn.IFNA(INDEX(_xlfn.ANCHORARRAY(Sintesi!$C$18)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-_xlfn.IFNA(INDEX(_xlfn.ANCHORARRAY(Sintesi!$C$17)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))),0)</f>
        <v/>
      </c>
    </row>
    <row r="199">
      <c r="A199" s="1">
        <f>'Paste cell here'!A199</f>
        <v/>
      </c>
      <c r="B199" s="2">
        <f>DATE(Sintesi!$C$4-1,12,31)+A199</f>
        <v/>
      </c>
      <c r="C199" s="34">
        <f t="array" ref="C199">_xlfn.IFNA(MATCH(1,(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)*(_xlfn.ANCHORARRAY(Sintesi!$C$15)&gt;=0)+(_xlfn.ANCHORARRAY(Sintesi!$C$15)&lt;0),0),0)</f>
        <v/>
      </c>
      <c r="D199" s="1">
        <f t="array" ref="D199">IF(ISBLANK($E200),IF(ISNUMBER($E198),IF($C199&gt;0,IF(($E199=INDEX(_xlfn.ANCHORARRAY(Sintesi!$C$14),1,$C199))*(INDEX(_xlfn.ANCHORARRAY(Sintesi!$C$15),1,$C199)&gt;0),0,IF(($E199=INDEX(_xlfn.ANCHORARRAY(Sintesi!$C$14),1,$C199))*(INDEX(_xlfn.ANCHORARRAY(Sintesi!$C$15),1,$C199)&lt;0)+($E199&gt;=$E198)*($E199&lt;=INDEX($E:$E,MATCH(TRUE,INDEX((ISNUMBER($E:$E)),0),0)))*($E199&gt;INDEX(_xlfn.ANCHORARRAY(Sintesi!$C$14),1,$C199))*($E199&lt;=INDEX(_xlfn.ANCHORARRAY(Sintesi!$C$15),1,$C199))*(INDEX(_xlfn.ANCHORARRAY(Sintesi!$C$15),1,$C199)&gt;0),1,IF(($E199&gt;=$E198)*($E199&lt;=INDEX($E:$E,MATCH(TRUE,INDEX((ISNUMBER($E:$E)),0),0)))*($E199&gt;INDEX(_xlfn.ANCHORARRAY(Sintesi!$C$14),1,$C199))*($E199&lt;INDEX(_xlfn.ANCHORARRAY(Sintesi!$C$16),1,$C199))*(INDEX(_xlfn.ANCHORARRAY(Sintesi!$C$15),1,$C199)&lt;0)+($E199&gt;=$E198)*($E199&lt;=INDEX($E:$E,MATCH(TRUE,INDEX((ISNUMBER($E:$E)),0),0)))*($E199&gt;INDEX(_xlfn.ANCHORARRAY(Sintesi!$C$15),1,$C199))*($E199&lt;INDEX(_xlfn.ANCHORARRAY(Sintesi!$C$16),1,$C199))*(INDEX(_xlfn.ANCHORARRAY(Sintesi!$C$15),1,$C199)&gt;0),2,IF($E199=(INDEX(_xlfn.ANCHORARRAY(Sintesi!$C$16),1,$C199)),3,4)))),0),IF($C199&gt;0,IF(($E199=INDEX(_xlfn.ANCHORARRAY(Sintesi!$C$14),1,$C199))*(INDEX(_xlfn.ANCHORARRAY(Sintesi!$C$15),1,$C199)&gt;0),0,IF(($E199=INDEX(_xlfn.ANCHORARRAY(Sintesi!$C$14),1,$C199))*(INDEX(_xlfn.ANCHORARRAY(Sintesi!$C$15),1,$C199)&lt;0)+($E199&gt;=LOOKUP(2,1/($E:$E&lt;&gt;""),$E:$E))*($E199&lt;=INDEX($E:$E,MATCH(TRUE,INDEX((ISNUMBER($E:$E)),0),0)))*($E199&gt;INDEX(_xlfn.ANCHORARRAY(Sintesi!$C$14),1,$C199))*($E199&lt;=INDEX(_xlfn.ANCHORARRAY(Sintesi!$C$15),1,$C199))*(INDEX(_xlfn.ANCHORARRAY(Sintesi!$C$15),1,$C199)&gt;0),1,IF(($E199&gt;=LOOKUP(2,1/($E:$E&lt;&gt;""),$E:$E))*($E199&lt;=INDEX($E:$E,MATCH(TRUE,INDEX((ISNUMBER($E:$E)),0),0)))*($E199&gt;INDEX(_xlfn.ANCHORARRAY(Sintesi!$C$14),1,$C199))*($E199&lt;INDEX(_xlfn.ANCHORARRAY(Sintesi!$C$16),1,$C199))*(INDEX(_xlfn.ANCHORARRAY(Sintesi!$C$15),1,$C199)&lt;0)+($E199&gt;=LOOKUP(2,1/($E:$E&lt;&gt;""),$E:$E))*($E199&lt;=INDEX($E:$E,MATCH(TRUE,INDEX((ISNUMBER($E:$E)),0),0)))*($E199&gt;INDEX(_xlfn.ANCHORARRAY(Sintesi!$C$15),1,$C199))*($E199&lt;INDEX(_xlfn.ANCHORARRAY(Sintesi!$C$16),1,$C199))*(INDEX(_xlfn.ANCHORARRAY(Sintesi!$C$15),1,$C199)&gt;0),2,IF($E199=(INDEX(_xlfn.ANCHORARRAY(Sintesi!$C$16),1,$C199)),3,4)))),0)),IF(ISNUMBER($E198),IF($C199&gt;0,IF(($E199=INDEX(_xlfn.ANCHORARRAY(Sintesi!$C$14),1,$C199))*(INDEX(_xlfn.ANCHORARRAY(Sintesi!$C$15),1,$C199)&gt;0),0,IF(($E199=INDEX(_xlfn.ANCHORARRAY(Sintesi!$C$14),1,$C199))*(INDEX(_xlfn.ANCHORARRAY(Sintesi!$C$15),1,$C199)&lt;0)+($E199&gt;=$E198)*($E199&lt;=$E200)*($E199&gt;INDEX(_xlfn.ANCHORARRAY(Sintesi!$C$14),1,$C199))*($E199&lt;=INDEX(_xlfn.ANCHORARRAY(Sintesi!$C$15),1,$C199))*(INDEX(_xlfn.ANCHORARRAY(Sintesi!$C$15),1,$C199)&gt;0),1,IF(($E199&gt;=$E198)*($E199&lt;=$E200)*($E199&gt;INDEX(_xlfn.ANCHORARRAY(Sintesi!$C$14),1,$C199))*($E199&lt;INDEX(_xlfn.ANCHORARRAY(Sintesi!$C$16),1,$C199))*(INDEX(_xlfn.ANCHORARRAY(Sintesi!$C$15),1,$C199)&lt;0)+($E199&gt;=$E198)*($E199&lt;=$E200)*($E199&gt;INDEX(_xlfn.ANCHORARRAY(Sintesi!$C$15),1,$C199))*($E199&lt;INDEX(_xlfn.ANCHORARRAY(Sintesi!$C$16),1,$C199))*(INDEX(_xlfn.ANCHORARRAY(Sintesi!$C$15),1,$C199)&gt;0),2,IF($E199=(INDEX(_xlfn.ANCHORARRAY(Sintesi!$C$16),1,$C199)),3,4)))),0),IF($C199&gt;0,IF(($E199=INDEX(_xlfn.ANCHORARRAY(Sintesi!$C$14),1,$C199))*(INDEX(_xlfn.ANCHORARRAY(Sintesi!$C$15),1,$C199)&gt;0),0,IF(($E199=INDEX(_xlfn.ANCHORARRAY(Sintesi!$C$14),1,$C199))*(INDEX(_xlfn.ANCHORARRAY(Sintesi!$C$15),1,$C199)&lt;0)+($E199&gt;=LOOKUP(2,1/($E:$E&lt;&gt;""),$E:$E))*($E199&lt;=$E200)*($E199&gt;INDEX(_xlfn.ANCHORARRAY(Sintesi!$C$14),1,$C199))*($E199&lt;=INDEX(_xlfn.ANCHORARRAY(Sintesi!$C$15),1,$C199))*(INDEX(_xlfn.ANCHORARRAY(Sintesi!$C$15),1,$C199)&gt;0),1,IF(($E199&gt;=LOOKUP(2,1/($E:$E&lt;&gt;""),$E:$E))*($E199&lt;=$E200)*($E199&gt;INDEX(_xlfn.ANCHORARRAY(Sintesi!$C$14),1,$C199))*($E199&lt;INDEX(_xlfn.ANCHORARRAY(Sintesi!$C$16),1,$C199))*(INDEX(_xlfn.ANCHORARRAY(Sintesi!$C$15),1,$C199)&lt;0)+($E199&gt;=LOOKUP(2,1/($E:$E&lt;&gt;""),$E:$E))*($E199&lt;=$E200)*($E199&gt;INDEX(_xlfn.ANCHORARRAY(Sintesi!$C$15),1,$C199))*($E199&lt;INDEX(_xlfn.ANCHORARRAY(Sintesi!$C$16),1,$C199))*(INDEX(_xlfn.ANCHORARRAY(Sintesi!$C$15),1,$C199)&gt;0),2,IF($E199=(INDEX(_xlfn.ANCHORARRAY(Sintesi!$C$16),1,$C199)),3,4)))),0)))</f>
        <v/>
      </c>
      <c r="E199" s="1">
        <f>'Paste cell here'!F199</f>
        <v/>
      </c>
      <c r="F199" s="1">
        <f>'Paste cell here'!C199</f>
        <v/>
      </c>
      <c r="G199" s="1">
        <f>'Paste cell here'!D199</f>
        <v/>
      </c>
      <c r="H199" s="1">
        <f>'Paste cell here'!E199</f>
        <v/>
      </c>
      <c r="I199" s="1">
        <f>'Paste cell here'!X199</f>
        <v/>
      </c>
      <c r="J199" s="1">
        <f>'Paste cell here'!Y199+'Paste cell here'!S199</f>
        <v/>
      </c>
      <c r="K199" s="1">
        <f>I199/H199</f>
        <v/>
      </c>
      <c r="L199" s="1">
        <f>AVERAGE(($F199+$G199)/2-($F199-$G199)/2*COS(PI()*(8-VLOOKUP(MONTH(B199),$O$1:$Q$13,3))/(VLOOKUP(MONTH(B199),$O$1:$Q$13,2)-VLOOKUP(MONTH(B199),$O$1:$Q$13,3))),($F199+$G199)/2-($F199-$G199)/2*COS(PI()*(9-VLOOKUP(MONTH(B199),$O$1:$Q$13,3))/(VLOOKUP(MONTH(B199),$O$1:$Q$13,2)-VLOOKUP(MONTH(B199),$O$1:$Q$13,3))),($F199+$G199)/2-($F199-$G199)/2*COS(PI()*(10-VLOOKUP(MONTH(B199),$O$1:$Q$13,3))/(VLOOKUP(MONTH(B199),$O$1:$Q$13,2)-VLOOKUP(MONTH(B199),$O$1:$Q$13,3))),($F199+$G199)/2-($F199-$G199)/2*COS(PI()*(11-VLOOKUP(MONTH(B199),$O$1:$Q$13,3))/(VLOOKUP(MONTH(B199),$O$1:$Q$13,2)-VLOOKUP(MONTH(B199),$O$1:$Q$13,3))),($F199+$G199)/2-($F199-$G199)/2*COS(PI()*(12-VLOOKUP(MONTH(B199),$O$1:$Q$13,3))/(VLOOKUP(MONTH(B199),$O$1:$Q$13,2)-VLOOKUP(MONTH(B199),$O$1:$Q$13,3))),($F199+$G199)/2-($F199-$G199)/2*COS(PI()*(13-VLOOKUP(MONTH(B199),$O$1:$Q$13,3))/(VLOOKUP(MONTH(B199),$O$1:$Q$13,2)-VLOOKUP(MONTH(B199),$O$1:$Q$13,3))),($F199+$G199)/2-($F199-$G199)/2*COS(PI()*(14-VLOOKUP(MONTH(B199),$O$1:$Q$13,3))/(VLOOKUP(MONTH(B199),$O$1:$Q$13,2)-VLOOKUP(MONTH(B199),$O$1:$Q$13,3))))</f>
        <v/>
      </c>
      <c r="M199" s="1">
        <f t="array" ref="M199">IF(AND(A199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,A199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),IF(L199&lt;_xlfn.IFNA(INDEX(_xlfn.ANCHORARRAY(Sintesi!$C$17)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,1,IF(L199&gt;=_xlfn.IFNA(INDEX(_xlfn.ANCHORARRAY(Sintesi!$C$18)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,0,1-(L199-_xlfn.IFNA(INDEX(_xlfn.ANCHORARRAY(Sintesi!$C$17)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)/(_xlfn.IFNA(INDEX(_xlfn.ANCHORARRAY(Sintesi!$C$18)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-_xlfn.IFNA(INDEX(_xlfn.ANCHORARRAY(Sintesi!$C$17)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))),0)</f>
        <v/>
      </c>
    </row>
    <row r="200">
      <c r="A200" s="1">
        <f>'Paste cell here'!A200</f>
        <v/>
      </c>
      <c r="B200" s="2">
        <f>DATE(Sintesi!$C$4-1,12,31)+A200</f>
        <v/>
      </c>
      <c r="C200" s="34">
        <f t="array" ref="C200">_xlfn.IFNA(MATCH(1,(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)*(_xlfn.ANCHORARRAY(Sintesi!$C$15)&gt;=0)+(_xlfn.ANCHORARRAY(Sintesi!$C$15)&lt;0),0),0)</f>
        <v/>
      </c>
      <c r="D200" s="1">
        <f t="array" ref="D200">IF(ISBLANK($E201),IF(ISNUMBER($E199),IF($C200&gt;0,IF(($E200=INDEX(_xlfn.ANCHORARRAY(Sintesi!$C$14),1,$C200))*(INDEX(_xlfn.ANCHORARRAY(Sintesi!$C$15),1,$C200)&gt;0),0,IF(($E200=INDEX(_xlfn.ANCHORARRAY(Sintesi!$C$14),1,$C200))*(INDEX(_xlfn.ANCHORARRAY(Sintesi!$C$15),1,$C200)&lt;0)+($E200&gt;=$E199)*($E200&lt;=INDEX($E:$E,MATCH(TRUE,INDEX((ISNUMBER($E:$E)),0),0)))*($E200&gt;INDEX(_xlfn.ANCHORARRAY(Sintesi!$C$14),1,$C200))*($E200&lt;=INDEX(_xlfn.ANCHORARRAY(Sintesi!$C$15),1,$C200))*(INDEX(_xlfn.ANCHORARRAY(Sintesi!$C$15),1,$C200)&gt;0),1,IF(($E200&gt;=$E199)*($E200&lt;=INDEX($E:$E,MATCH(TRUE,INDEX((ISNUMBER($E:$E)),0),0)))*($E200&gt;INDEX(_xlfn.ANCHORARRAY(Sintesi!$C$14),1,$C200))*($E200&lt;INDEX(_xlfn.ANCHORARRAY(Sintesi!$C$16),1,$C200))*(INDEX(_xlfn.ANCHORARRAY(Sintesi!$C$15),1,$C200)&lt;0)+($E200&gt;=$E199)*($E200&lt;=INDEX($E:$E,MATCH(TRUE,INDEX((ISNUMBER($E:$E)),0),0)))*($E200&gt;INDEX(_xlfn.ANCHORARRAY(Sintesi!$C$15),1,$C200))*($E200&lt;INDEX(_xlfn.ANCHORARRAY(Sintesi!$C$16),1,$C200))*(INDEX(_xlfn.ANCHORARRAY(Sintesi!$C$15),1,$C200)&gt;0),2,IF($E200=(INDEX(_xlfn.ANCHORARRAY(Sintesi!$C$16),1,$C200)),3,4)))),0),IF($C200&gt;0,IF(($E200=INDEX(_xlfn.ANCHORARRAY(Sintesi!$C$14),1,$C200))*(INDEX(_xlfn.ANCHORARRAY(Sintesi!$C$15),1,$C200)&gt;0),0,IF(($E200=INDEX(_xlfn.ANCHORARRAY(Sintesi!$C$14),1,$C200))*(INDEX(_xlfn.ANCHORARRAY(Sintesi!$C$15),1,$C200)&lt;0)+($E200&gt;=LOOKUP(2,1/($E:$E&lt;&gt;""),$E:$E))*($E200&lt;=INDEX($E:$E,MATCH(TRUE,INDEX((ISNUMBER($E:$E)),0),0)))*($E200&gt;INDEX(_xlfn.ANCHORARRAY(Sintesi!$C$14),1,$C200))*($E200&lt;=INDEX(_xlfn.ANCHORARRAY(Sintesi!$C$15),1,$C200))*(INDEX(_xlfn.ANCHORARRAY(Sintesi!$C$15),1,$C200)&gt;0),1,IF(($E200&gt;=LOOKUP(2,1/($E:$E&lt;&gt;""),$E:$E))*($E200&lt;=INDEX($E:$E,MATCH(TRUE,INDEX((ISNUMBER($E:$E)),0),0)))*($E200&gt;INDEX(_xlfn.ANCHORARRAY(Sintesi!$C$14),1,$C200))*($E200&lt;INDEX(_xlfn.ANCHORARRAY(Sintesi!$C$16),1,$C200))*(INDEX(_xlfn.ANCHORARRAY(Sintesi!$C$15),1,$C200)&lt;0)+($E200&gt;=LOOKUP(2,1/($E:$E&lt;&gt;""),$E:$E))*($E200&lt;=INDEX($E:$E,MATCH(TRUE,INDEX((ISNUMBER($E:$E)),0),0)))*($E200&gt;INDEX(_xlfn.ANCHORARRAY(Sintesi!$C$15),1,$C200))*($E200&lt;INDEX(_xlfn.ANCHORARRAY(Sintesi!$C$16),1,$C200))*(INDEX(_xlfn.ANCHORARRAY(Sintesi!$C$15),1,$C200)&gt;0),2,IF($E200=(INDEX(_xlfn.ANCHORARRAY(Sintesi!$C$16),1,$C200)),3,4)))),0)),IF(ISNUMBER($E199),IF($C200&gt;0,IF(($E200=INDEX(_xlfn.ANCHORARRAY(Sintesi!$C$14),1,$C200))*(INDEX(_xlfn.ANCHORARRAY(Sintesi!$C$15),1,$C200)&gt;0),0,IF(($E200=INDEX(_xlfn.ANCHORARRAY(Sintesi!$C$14),1,$C200))*(INDEX(_xlfn.ANCHORARRAY(Sintesi!$C$15),1,$C200)&lt;0)+($E200&gt;=$E199)*($E200&lt;=$E201)*($E200&gt;INDEX(_xlfn.ANCHORARRAY(Sintesi!$C$14),1,$C200))*($E200&lt;=INDEX(_xlfn.ANCHORARRAY(Sintesi!$C$15),1,$C200))*(INDEX(_xlfn.ANCHORARRAY(Sintesi!$C$15),1,$C200)&gt;0),1,IF(($E200&gt;=$E199)*($E200&lt;=$E201)*($E200&gt;INDEX(_xlfn.ANCHORARRAY(Sintesi!$C$14),1,$C200))*($E200&lt;INDEX(_xlfn.ANCHORARRAY(Sintesi!$C$16),1,$C200))*(INDEX(_xlfn.ANCHORARRAY(Sintesi!$C$15),1,$C200)&lt;0)+($E200&gt;=$E199)*($E200&lt;=$E201)*($E200&gt;INDEX(_xlfn.ANCHORARRAY(Sintesi!$C$15),1,$C200))*($E200&lt;INDEX(_xlfn.ANCHORARRAY(Sintesi!$C$16),1,$C200))*(INDEX(_xlfn.ANCHORARRAY(Sintesi!$C$15),1,$C200)&gt;0),2,IF($E200=(INDEX(_xlfn.ANCHORARRAY(Sintesi!$C$16),1,$C200)),3,4)))),0),IF($C200&gt;0,IF(($E200=INDEX(_xlfn.ANCHORARRAY(Sintesi!$C$14),1,$C200))*(INDEX(_xlfn.ANCHORARRAY(Sintesi!$C$15),1,$C200)&gt;0),0,IF(($E200=INDEX(_xlfn.ANCHORARRAY(Sintesi!$C$14),1,$C200))*(INDEX(_xlfn.ANCHORARRAY(Sintesi!$C$15),1,$C200)&lt;0)+($E200&gt;=LOOKUP(2,1/($E:$E&lt;&gt;""),$E:$E))*($E200&lt;=$E201)*($E200&gt;INDEX(_xlfn.ANCHORARRAY(Sintesi!$C$14),1,$C200))*($E200&lt;=INDEX(_xlfn.ANCHORARRAY(Sintesi!$C$15),1,$C200))*(INDEX(_xlfn.ANCHORARRAY(Sintesi!$C$15),1,$C200)&gt;0),1,IF(($E200&gt;=LOOKUP(2,1/($E:$E&lt;&gt;""),$E:$E))*($E200&lt;=$E201)*($E200&gt;INDEX(_xlfn.ANCHORARRAY(Sintesi!$C$14),1,$C200))*($E200&lt;INDEX(_xlfn.ANCHORARRAY(Sintesi!$C$16),1,$C200))*(INDEX(_xlfn.ANCHORARRAY(Sintesi!$C$15),1,$C200)&lt;0)+($E200&gt;=LOOKUP(2,1/($E:$E&lt;&gt;""),$E:$E))*($E200&lt;=$E201)*($E200&gt;INDEX(_xlfn.ANCHORARRAY(Sintesi!$C$15),1,$C200))*($E200&lt;INDEX(_xlfn.ANCHORARRAY(Sintesi!$C$16),1,$C200))*(INDEX(_xlfn.ANCHORARRAY(Sintesi!$C$15),1,$C200)&gt;0),2,IF($E200=(INDEX(_xlfn.ANCHORARRAY(Sintesi!$C$16),1,$C200)),3,4)))),0)))</f>
        <v/>
      </c>
      <c r="E200" s="1">
        <f>'Paste cell here'!F200</f>
        <v/>
      </c>
      <c r="F200" s="1">
        <f>'Paste cell here'!C200</f>
        <v/>
      </c>
      <c r="G200" s="1">
        <f>'Paste cell here'!D200</f>
        <v/>
      </c>
      <c r="H200" s="1">
        <f>'Paste cell here'!E200</f>
        <v/>
      </c>
      <c r="I200" s="1">
        <f>'Paste cell here'!X200</f>
        <v/>
      </c>
      <c r="J200" s="1">
        <f>'Paste cell here'!Y200+'Paste cell here'!S200</f>
        <v/>
      </c>
      <c r="K200" s="1">
        <f>I200/H200</f>
        <v/>
      </c>
      <c r="L200" s="1">
        <f>AVERAGE(($F200+$G200)/2-($F200-$G200)/2*COS(PI()*(8-VLOOKUP(MONTH(B200),$O$1:$Q$13,3))/(VLOOKUP(MONTH(B200),$O$1:$Q$13,2)-VLOOKUP(MONTH(B200),$O$1:$Q$13,3))),($F200+$G200)/2-($F200-$G200)/2*COS(PI()*(9-VLOOKUP(MONTH(B200),$O$1:$Q$13,3))/(VLOOKUP(MONTH(B200),$O$1:$Q$13,2)-VLOOKUP(MONTH(B200),$O$1:$Q$13,3))),($F200+$G200)/2-($F200-$G200)/2*COS(PI()*(10-VLOOKUP(MONTH(B200),$O$1:$Q$13,3))/(VLOOKUP(MONTH(B200),$O$1:$Q$13,2)-VLOOKUP(MONTH(B200),$O$1:$Q$13,3))),($F200+$G200)/2-($F200-$G200)/2*COS(PI()*(11-VLOOKUP(MONTH(B200),$O$1:$Q$13,3))/(VLOOKUP(MONTH(B200),$O$1:$Q$13,2)-VLOOKUP(MONTH(B200),$O$1:$Q$13,3))),($F200+$G200)/2-($F200-$G200)/2*COS(PI()*(12-VLOOKUP(MONTH(B200),$O$1:$Q$13,3))/(VLOOKUP(MONTH(B200),$O$1:$Q$13,2)-VLOOKUP(MONTH(B200),$O$1:$Q$13,3))),($F200+$G200)/2-($F200-$G200)/2*COS(PI()*(13-VLOOKUP(MONTH(B200),$O$1:$Q$13,3))/(VLOOKUP(MONTH(B200),$O$1:$Q$13,2)-VLOOKUP(MONTH(B200),$O$1:$Q$13,3))),($F200+$G200)/2-($F200-$G200)/2*COS(PI()*(14-VLOOKUP(MONTH(B200),$O$1:$Q$13,3))/(VLOOKUP(MONTH(B200),$O$1:$Q$13,2)-VLOOKUP(MONTH(B200),$O$1:$Q$13,3))))</f>
        <v/>
      </c>
      <c r="M200" s="1">
        <f t="array" ref="M200">IF(AND(A200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,A200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),IF(L200&lt;_xlfn.IFNA(INDEX(_xlfn.ANCHORARRAY(Sintesi!$C$17)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,1,IF(L200&gt;=_xlfn.IFNA(INDEX(_xlfn.ANCHORARRAY(Sintesi!$C$18)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,0,1-(L200-_xlfn.IFNA(INDEX(_xlfn.ANCHORARRAY(Sintesi!$C$17)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)/(_xlfn.IFNA(INDEX(_xlfn.ANCHORARRAY(Sintesi!$C$18)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-_xlfn.IFNA(INDEX(_xlfn.ANCHORARRAY(Sintesi!$C$17)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))),0)</f>
        <v/>
      </c>
    </row>
    <row r="201">
      <c r="A201" s="1">
        <f>'Paste cell here'!A201</f>
        <v/>
      </c>
      <c r="B201" s="2">
        <f>DATE(Sintesi!$C$4-1,12,31)+A201</f>
        <v/>
      </c>
      <c r="C201" s="34">
        <f t="array" ref="C201">_xlfn.IFNA(MATCH(1,(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)*(_xlfn.ANCHORARRAY(Sintesi!$C$15)&gt;=0)+(_xlfn.ANCHORARRAY(Sintesi!$C$15)&lt;0),0),0)</f>
        <v/>
      </c>
      <c r="D201" s="1">
        <f t="array" ref="D201">IF(ISBLANK($E202),IF(ISNUMBER($E200),IF($C201&gt;0,IF(($E201=INDEX(_xlfn.ANCHORARRAY(Sintesi!$C$14),1,$C201))*(INDEX(_xlfn.ANCHORARRAY(Sintesi!$C$15),1,$C201)&gt;0),0,IF(($E201=INDEX(_xlfn.ANCHORARRAY(Sintesi!$C$14),1,$C201))*(INDEX(_xlfn.ANCHORARRAY(Sintesi!$C$15),1,$C201)&lt;0)+($E201&gt;=$E200)*($E201&lt;=INDEX($E:$E,MATCH(TRUE,INDEX((ISNUMBER($E:$E)),0),0)))*($E201&gt;INDEX(_xlfn.ANCHORARRAY(Sintesi!$C$14),1,$C201))*($E201&lt;=INDEX(_xlfn.ANCHORARRAY(Sintesi!$C$15),1,$C201))*(INDEX(_xlfn.ANCHORARRAY(Sintesi!$C$15),1,$C201)&gt;0),1,IF(($E201&gt;=$E200)*($E201&lt;=INDEX($E:$E,MATCH(TRUE,INDEX((ISNUMBER($E:$E)),0),0)))*($E201&gt;INDEX(_xlfn.ANCHORARRAY(Sintesi!$C$14),1,$C201))*($E201&lt;INDEX(_xlfn.ANCHORARRAY(Sintesi!$C$16),1,$C201))*(INDEX(_xlfn.ANCHORARRAY(Sintesi!$C$15),1,$C201)&lt;0)+($E201&gt;=$E200)*($E201&lt;=INDEX($E:$E,MATCH(TRUE,INDEX((ISNUMBER($E:$E)),0),0)))*($E201&gt;INDEX(_xlfn.ANCHORARRAY(Sintesi!$C$15),1,$C201))*($E201&lt;INDEX(_xlfn.ANCHORARRAY(Sintesi!$C$16),1,$C201))*(INDEX(_xlfn.ANCHORARRAY(Sintesi!$C$15),1,$C201)&gt;0),2,IF($E201=(INDEX(_xlfn.ANCHORARRAY(Sintesi!$C$16),1,$C201)),3,4)))),0),IF($C201&gt;0,IF(($E201=INDEX(_xlfn.ANCHORARRAY(Sintesi!$C$14),1,$C201))*(INDEX(_xlfn.ANCHORARRAY(Sintesi!$C$15),1,$C201)&gt;0),0,IF(($E201=INDEX(_xlfn.ANCHORARRAY(Sintesi!$C$14),1,$C201))*(INDEX(_xlfn.ANCHORARRAY(Sintesi!$C$15),1,$C201)&lt;0)+($E201&gt;=LOOKUP(2,1/($E:$E&lt;&gt;""),$E:$E))*($E201&lt;=INDEX($E:$E,MATCH(TRUE,INDEX((ISNUMBER($E:$E)),0),0)))*($E201&gt;INDEX(_xlfn.ANCHORARRAY(Sintesi!$C$14),1,$C201))*($E201&lt;=INDEX(_xlfn.ANCHORARRAY(Sintesi!$C$15),1,$C201))*(INDEX(_xlfn.ANCHORARRAY(Sintesi!$C$15),1,$C201)&gt;0),1,IF(($E201&gt;=LOOKUP(2,1/($E:$E&lt;&gt;""),$E:$E))*($E201&lt;=INDEX($E:$E,MATCH(TRUE,INDEX((ISNUMBER($E:$E)),0),0)))*($E201&gt;INDEX(_xlfn.ANCHORARRAY(Sintesi!$C$14),1,$C201))*($E201&lt;INDEX(_xlfn.ANCHORARRAY(Sintesi!$C$16),1,$C201))*(INDEX(_xlfn.ANCHORARRAY(Sintesi!$C$15),1,$C201)&lt;0)+($E201&gt;=LOOKUP(2,1/($E:$E&lt;&gt;""),$E:$E))*($E201&lt;=INDEX($E:$E,MATCH(TRUE,INDEX((ISNUMBER($E:$E)),0),0)))*($E201&gt;INDEX(_xlfn.ANCHORARRAY(Sintesi!$C$15),1,$C201))*($E201&lt;INDEX(_xlfn.ANCHORARRAY(Sintesi!$C$16),1,$C201))*(INDEX(_xlfn.ANCHORARRAY(Sintesi!$C$15),1,$C201)&gt;0),2,IF($E201=(INDEX(_xlfn.ANCHORARRAY(Sintesi!$C$16),1,$C201)),3,4)))),0)),IF(ISNUMBER($E200),IF($C201&gt;0,IF(($E201=INDEX(_xlfn.ANCHORARRAY(Sintesi!$C$14),1,$C201))*(INDEX(_xlfn.ANCHORARRAY(Sintesi!$C$15),1,$C201)&gt;0),0,IF(($E201=INDEX(_xlfn.ANCHORARRAY(Sintesi!$C$14),1,$C201))*(INDEX(_xlfn.ANCHORARRAY(Sintesi!$C$15),1,$C201)&lt;0)+($E201&gt;=$E200)*($E201&lt;=$E202)*($E201&gt;INDEX(_xlfn.ANCHORARRAY(Sintesi!$C$14),1,$C201))*($E201&lt;=INDEX(_xlfn.ANCHORARRAY(Sintesi!$C$15),1,$C201))*(INDEX(_xlfn.ANCHORARRAY(Sintesi!$C$15),1,$C201)&gt;0),1,IF(($E201&gt;=$E200)*($E201&lt;=$E202)*($E201&gt;INDEX(_xlfn.ANCHORARRAY(Sintesi!$C$14),1,$C201))*($E201&lt;INDEX(_xlfn.ANCHORARRAY(Sintesi!$C$16),1,$C201))*(INDEX(_xlfn.ANCHORARRAY(Sintesi!$C$15),1,$C201)&lt;0)+($E201&gt;=$E200)*($E201&lt;=$E202)*($E201&gt;INDEX(_xlfn.ANCHORARRAY(Sintesi!$C$15),1,$C201))*($E201&lt;INDEX(_xlfn.ANCHORARRAY(Sintesi!$C$16),1,$C201))*(INDEX(_xlfn.ANCHORARRAY(Sintesi!$C$15),1,$C201)&gt;0),2,IF($E201=(INDEX(_xlfn.ANCHORARRAY(Sintesi!$C$16),1,$C201)),3,4)))),0),IF($C201&gt;0,IF(($E201=INDEX(_xlfn.ANCHORARRAY(Sintesi!$C$14),1,$C201))*(INDEX(_xlfn.ANCHORARRAY(Sintesi!$C$15),1,$C201)&gt;0),0,IF(($E201=INDEX(_xlfn.ANCHORARRAY(Sintesi!$C$14),1,$C201))*(INDEX(_xlfn.ANCHORARRAY(Sintesi!$C$15),1,$C201)&lt;0)+($E201&gt;=LOOKUP(2,1/($E:$E&lt;&gt;""),$E:$E))*($E201&lt;=$E202)*($E201&gt;INDEX(_xlfn.ANCHORARRAY(Sintesi!$C$14),1,$C201))*($E201&lt;=INDEX(_xlfn.ANCHORARRAY(Sintesi!$C$15),1,$C201))*(INDEX(_xlfn.ANCHORARRAY(Sintesi!$C$15),1,$C201)&gt;0),1,IF(($E201&gt;=LOOKUP(2,1/($E:$E&lt;&gt;""),$E:$E))*($E201&lt;=$E202)*($E201&gt;INDEX(_xlfn.ANCHORARRAY(Sintesi!$C$14),1,$C201))*($E201&lt;INDEX(_xlfn.ANCHORARRAY(Sintesi!$C$16),1,$C201))*(INDEX(_xlfn.ANCHORARRAY(Sintesi!$C$15),1,$C201)&lt;0)+($E201&gt;=LOOKUP(2,1/($E:$E&lt;&gt;""),$E:$E))*($E201&lt;=$E202)*($E201&gt;INDEX(_xlfn.ANCHORARRAY(Sintesi!$C$15),1,$C201))*($E201&lt;INDEX(_xlfn.ANCHORARRAY(Sintesi!$C$16),1,$C201))*(INDEX(_xlfn.ANCHORARRAY(Sintesi!$C$15),1,$C201)&gt;0),2,IF($E201=(INDEX(_xlfn.ANCHORARRAY(Sintesi!$C$16),1,$C201)),3,4)))),0)))</f>
        <v/>
      </c>
      <c r="E201" s="1">
        <f>'Paste cell here'!F201</f>
        <v/>
      </c>
      <c r="F201" s="1">
        <f>'Paste cell here'!C201</f>
        <v/>
      </c>
      <c r="G201" s="1">
        <f>'Paste cell here'!D201</f>
        <v/>
      </c>
      <c r="H201" s="1">
        <f>'Paste cell here'!E201</f>
        <v/>
      </c>
      <c r="I201" s="1">
        <f>'Paste cell here'!X201</f>
        <v/>
      </c>
      <c r="J201" s="1">
        <f>'Paste cell here'!Y201+'Paste cell here'!S201</f>
        <v/>
      </c>
      <c r="K201" s="1">
        <f>I201/H201</f>
        <v/>
      </c>
      <c r="L201" s="1">
        <f>AVERAGE(($F201+$G201)/2-($F201-$G201)/2*COS(PI()*(8-VLOOKUP(MONTH(B201),$O$1:$Q$13,3))/(VLOOKUP(MONTH(B201),$O$1:$Q$13,2)-VLOOKUP(MONTH(B201),$O$1:$Q$13,3))),($F201+$G201)/2-($F201-$G201)/2*COS(PI()*(9-VLOOKUP(MONTH(B201),$O$1:$Q$13,3))/(VLOOKUP(MONTH(B201),$O$1:$Q$13,2)-VLOOKUP(MONTH(B201),$O$1:$Q$13,3))),($F201+$G201)/2-($F201-$G201)/2*COS(PI()*(10-VLOOKUP(MONTH(B201),$O$1:$Q$13,3))/(VLOOKUP(MONTH(B201),$O$1:$Q$13,2)-VLOOKUP(MONTH(B201),$O$1:$Q$13,3))),($F201+$G201)/2-($F201-$G201)/2*COS(PI()*(11-VLOOKUP(MONTH(B201),$O$1:$Q$13,3))/(VLOOKUP(MONTH(B201),$O$1:$Q$13,2)-VLOOKUP(MONTH(B201),$O$1:$Q$13,3))),($F201+$G201)/2-($F201-$G201)/2*COS(PI()*(12-VLOOKUP(MONTH(B201),$O$1:$Q$13,3))/(VLOOKUP(MONTH(B201),$O$1:$Q$13,2)-VLOOKUP(MONTH(B201),$O$1:$Q$13,3))),($F201+$G201)/2-($F201-$G201)/2*COS(PI()*(13-VLOOKUP(MONTH(B201),$O$1:$Q$13,3))/(VLOOKUP(MONTH(B201),$O$1:$Q$13,2)-VLOOKUP(MONTH(B201),$O$1:$Q$13,3))),($F201+$G201)/2-($F201-$G201)/2*COS(PI()*(14-VLOOKUP(MONTH(B201),$O$1:$Q$13,3))/(VLOOKUP(MONTH(B201),$O$1:$Q$13,2)-VLOOKUP(MONTH(B201),$O$1:$Q$13,3))))</f>
        <v/>
      </c>
      <c r="M201" s="1">
        <f t="array" ref="M201">IF(AND(A201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,A201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),IF(L201&lt;_xlfn.IFNA(INDEX(_xlfn.ANCHORARRAY(Sintesi!$C$17)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,1,IF(L201&gt;=_xlfn.IFNA(INDEX(_xlfn.ANCHORARRAY(Sintesi!$C$18)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,0,1-(L201-_xlfn.IFNA(INDEX(_xlfn.ANCHORARRAY(Sintesi!$C$17)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)/(_xlfn.IFNA(INDEX(_xlfn.ANCHORARRAY(Sintesi!$C$18)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-_xlfn.IFNA(INDEX(_xlfn.ANCHORARRAY(Sintesi!$C$17)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))),0)</f>
        <v/>
      </c>
    </row>
    <row r="202">
      <c r="A202" s="1">
        <f>'Paste cell here'!A202</f>
        <v/>
      </c>
      <c r="B202" s="2">
        <f>DATE(Sintesi!$C$4-1,12,31)+A202</f>
        <v/>
      </c>
      <c r="C202" s="34">
        <f t="array" ref="C202">_xlfn.IFNA(MATCH(1,(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)*(_xlfn.ANCHORARRAY(Sintesi!$C$15)&gt;=0)+(_xlfn.ANCHORARRAY(Sintesi!$C$15)&lt;0),0),0)</f>
        <v/>
      </c>
      <c r="D202" s="1">
        <f t="array" ref="D202">IF(ISBLANK($E203),IF(ISNUMBER($E201),IF($C202&gt;0,IF(($E202=INDEX(_xlfn.ANCHORARRAY(Sintesi!$C$14),1,$C202))*(INDEX(_xlfn.ANCHORARRAY(Sintesi!$C$15),1,$C202)&gt;0),0,IF(($E202=INDEX(_xlfn.ANCHORARRAY(Sintesi!$C$14),1,$C202))*(INDEX(_xlfn.ANCHORARRAY(Sintesi!$C$15),1,$C202)&lt;0)+($E202&gt;=$E201)*($E202&lt;=INDEX($E:$E,MATCH(TRUE,INDEX((ISNUMBER($E:$E)),0),0)))*($E202&gt;INDEX(_xlfn.ANCHORARRAY(Sintesi!$C$14),1,$C202))*($E202&lt;=INDEX(_xlfn.ANCHORARRAY(Sintesi!$C$15),1,$C202))*(INDEX(_xlfn.ANCHORARRAY(Sintesi!$C$15),1,$C202)&gt;0),1,IF(($E202&gt;=$E201)*($E202&lt;=INDEX($E:$E,MATCH(TRUE,INDEX((ISNUMBER($E:$E)),0),0)))*($E202&gt;INDEX(_xlfn.ANCHORARRAY(Sintesi!$C$14),1,$C202))*($E202&lt;INDEX(_xlfn.ANCHORARRAY(Sintesi!$C$16),1,$C202))*(INDEX(_xlfn.ANCHORARRAY(Sintesi!$C$15),1,$C202)&lt;0)+($E202&gt;=$E201)*($E202&lt;=INDEX($E:$E,MATCH(TRUE,INDEX((ISNUMBER($E:$E)),0),0)))*($E202&gt;INDEX(_xlfn.ANCHORARRAY(Sintesi!$C$15),1,$C202))*($E202&lt;INDEX(_xlfn.ANCHORARRAY(Sintesi!$C$16),1,$C202))*(INDEX(_xlfn.ANCHORARRAY(Sintesi!$C$15),1,$C202)&gt;0),2,IF($E202=(INDEX(_xlfn.ANCHORARRAY(Sintesi!$C$16),1,$C202)),3,4)))),0),IF($C202&gt;0,IF(($E202=INDEX(_xlfn.ANCHORARRAY(Sintesi!$C$14),1,$C202))*(INDEX(_xlfn.ANCHORARRAY(Sintesi!$C$15),1,$C202)&gt;0),0,IF(($E202=INDEX(_xlfn.ANCHORARRAY(Sintesi!$C$14),1,$C202))*(INDEX(_xlfn.ANCHORARRAY(Sintesi!$C$15),1,$C202)&lt;0)+($E202&gt;=LOOKUP(2,1/($E:$E&lt;&gt;""),$E:$E))*($E202&lt;=INDEX($E:$E,MATCH(TRUE,INDEX((ISNUMBER($E:$E)),0),0)))*($E202&gt;INDEX(_xlfn.ANCHORARRAY(Sintesi!$C$14),1,$C202))*($E202&lt;=INDEX(_xlfn.ANCHORARRAY(Sintesi!$C$15),1,$C202))*(INDEX(_xlfn.ANCHORARRAY(Sintesi!$C$15),1,$C202)&gt;0),1,IF(($E202&gt;=LOOKUP(2,1/($E:$E&lt;&gt;""),$E:$E))*($E202&lt;=INDEX($E:$E,MATCH(TRUE,INDEX((ISNUMBER($E:$E)),0),0)))*($E202&gt;INDEX(_xlfn.ANCHORARRAY(Sintesi!$C$14),1,$C202))*($E202&lt;INDEX(_xlfn.ANCHORARRAY(Sintesi!$C$16),1,$C202))*(INDEX(_xlfn.ANCHORARRAY(Sintesi!$C$15),1,$C202)&lt;0)+($E202&gt;=LOOKUP(2,1/($E:$E&lt;&gt;""),$E:$E))*($E202&lt;=INDEX($E:$E,MATCH(TRUE,INDEX((ISNUMBER($E:$E)),0),0)))*($E202&gt;INDEX(_xlfn.ANCHORARRAY(Sintesi!$C$15),1,$C202))*($E202&lt;INDEX(_xlfn.ANCHORARRAY(Sintesi!$C$16),1,$C202))*(INDEX(_xlfn.ANCHORARRAY(Sintesi!$C$15),1,$C202)&gt;0),2,IF($E202=(INDEX(_xlfn.ANCHORARRAY(Sintesi!$C$16),1,$C202)),3,4)))),0)),IF(ISNUMBER($E201),IF($C202&gt;0,IF(($E202=INDEX(_xlfn.ANCHORARRAY(Sintesi!$C$14),1,$C202))*(INDEX(_xlfn.ANCHORARRAY(Sintesi!$C$15),1,$C202)&gt;0),0,IF(($E202=INDEX(_xlfn.ANCHORARRAY(Sintesi!$C$14),1,$C202))*(INDEX(_xlfn.ANCHORARRAY(Sintesi!$C$15),1,$C202)&lt;0)+($E202&gt;=$E201)*($E202&lt;=$E203)*($E202&gt;INDEX(_xlfn.ANCHORARRAY(Sintesi!$C$14),1,$C202))*($E202&lt;=INDEX(_xlfn.ANCHORARRAY(Sintesi!$C$15),1,$C202))*(INDEX(_xlfn.ANCHORARRAY(Sintesi!$C$15),1,$C202)&gt;0),1,IF(($E202&gt;=$E201)*($E202&lt;=$E203)*($E202&gt;INDEX(_xlfn.ANCHORARRAY(Sintesi!$C$14),1,$C202))*($E202&lt;INDEX(_xlfn.ANCHORARRAY(Sintesi!$C$16),1,$C202))*(INDEX(_xlfn.ANCHORARRAY(Sintesi!$C$15),1,$C202)&lt;0)+($E202&gt;=$E201)*($E202&lt;=$E203)*($E202&gt;INDEX(_xlfn.ANCHORARRAY(Sintesi!$C$15),1,$C202))*($E202&lt;INDEX(_xlfn.ANCHORARRAY(Sintesi!$C$16),1,$C202))*(INDEX(_xlfn.ANCHORARRAY(Sintesi!$C$15),1,$C202)&gt;0),2,IF($E202=(INDEX(_xlfn.ANCHORARRAY(Sintesi!$C$16),1,$C202)),3,4)))),0),IF($C202&gt;0,IF(($E202=INDEX(_xlfn.ANCHORARRAY(Sintesi!$C$14),1,$C202))*(INDEX(_xlfn.ANCHORARRAY(Sintesi!$C$15),1,$C202)&gt;0),0,IF(($E202=INDEX(_xlfn.ANCHORARRAY(Sintesi!$C$14),1,$C202))*(INDEX(_xlfn.ANCHORARRAY(Sintesi!$C$15),1,$C202)&lt;0)+($E202&gt;=LOOKUP(2,1/($E:$E&lt;&gt;""),$E:$E))*($E202&lt;=$E203)*($E202&gt;INDEX(_xlfn.ANCHORARRAY(Sintesi!$C$14),1,$C202))*($E202&lt;=INDEX(_xlfn.ANCHORARRAY(Sintesi!$C$15),1,$C202))*(INDEX(_xlfn.ANCHORARRAY(Sintesi!$C$15),1,$C202)&gt;0),1,IF(($E202&gt;=LOOKUP(2,1/($E:$E&lt;&gt;""),$E:$E))*($E202&lt;=$E203)*($E202&gt;INDEX(_xlfn.ANCHORARRAY(Sintesi!$C$14),1,$C202))*($E202&lt;INDEX(_xlfn.ANCHORARRAY(Sintesi!$C$16),1,$C202))*(INDEX(_xlfn.ANCHORARRAY(Sintesi!$C$15),1,$C202)&lt;0)+($E202&gt;=LOOKUP(2,1/($E:$E&lt;&gt;""),$E:$E))*($E202&lt;=$E203)*($E202&gt;INDEX(_xlfn.ANCHORARRAY(Sintesi!$C$15),1,$C202))*($E202&lt;INDEX(_xlfn.ANCHORARRAY(Sintesi!$C$16),1,$C202))*(INDEX(_xlfn.ANCHORARRAY(Sintesi!$C$15),1,$C202)&gt;0),2,IF($E202=(INDEX(_xlfn.ANCHORARRAY(Sintesi!$C$16),1,$C202)),3,4)))),0)))</f>
        <v/>
      </c>
      <c r="E202" s="1">
        <f>'Paste cell here'!F202</f>
        <v/>
      </c>
      <c r="F202" s="1">
        <f>'Paste cell here'!C202</f>
        <v/>
      </c>
      <c r="G202" s="1">
        <f>'Paste cell here'!D202</f>
        <v/>
      </c>
      <c r="H202" s="1">
        <f>'Paste cell here'!E202</f>
        <v/>
      </c>
      <c r="I202" s="1">
        <f>'Paste cell here'!X202</f>
        <v/>
      </c>
      <c r="J202" s="1">
        <f>'Paste cell here'!Y202+'Paste cell here'!S202</f>
        <v/>
      </c>
      <c r="K202" s="1">
        <f>I202/H202</f>
        <v/>
      </c>
      <c r="L202" s="1">
        <f>AVERAGE(($F202+$G202)/2-($F202-$G202)/2*COS(PI()*(8-VLOOKUP(MONTH(B202),$O$1:$Q$13,3))/(VLOOKUP(MONTH(B202),$O$1:$Q$13,2)-VLOOKUP(MONTH(B202),$O$1:$Q$13,3))),($F202+$G202)/2-($F202-$G202)/2*COS(PI()*(9-VLOOKUP(MONTH(B202),$O$1:$Q$13,3))/(VLOOKUP(MONTH(B202),$O$1:$Q$13,2)-VLOOKUP(MONTH(B202),$O$1:$Q$13,3))),($F202+$G202)/2-($F202-$G202)/2*COS(PI()*(10-VLOOKUP(MONTH(B202),$O$1:$Q$13,3))/(VLOOKUP(MONTH(B202),$O$1:$Q$13,2)-VLOOKUP(MONTH(B202),$O$1:$Q$13,3))),($F202+$G202)/2-($F202-$G202)/2*COS(PI()*(11-VLOOKUP(MONTH(B202),$O$1:$Q$13,3))/(VLOOKUP(MONTH(B202),$O$1:$Q$13,2)-VLOOKUP(MONTH(B202),$O$1:$Q$13,3))),($F202+$G202)/2-($F202-$G202)/2*COS(PI()*(12-VLOOKUP(MONTH(B202),$O$1:$Q$13,3))/(VLOOKUP(MONTH(B202),$O$1:$Q$13,2)-VLOOKUP(MONTH(B202),$O$1:$Q$13,3))),($F202+$G202)/2-($F202-$G202)/2*COS(PI()*(13-VLOOKUP(MONTH(B202),$O$1:$Q$13,3))/(VLOOKUP(MONTH(B202),$O$1:$Q$13,2)-VLOOKUP(MONTH(B202),$O$1:$Q$13,3))),($F202+$G202)/2-($F202-$G202)/2*COS(PI()*(14-VLOOKUP(MONTH(B202),$O$1:$Q$13,3))/(VLOOKUP(MONTH(B202),$O$1:$Q$13,2)-VLOOKUP(MONTH(B202),$O$1:$Q$13,3))))</f>
        <v/>
      </c>
      <c r="M202" s="1">
        <f t="array" ref="M202">IF(AND(A202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,A202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),IF(L202&lt;_xlfn.IFNA(INDEX(_xlfn.ANCHORARRAY(Sintesi!$C$17)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,1,IF(L202&gt;=_xlfn.IFNA(INDEX(_xlfn.ANCHORARRAY(Sintesi!$C$18)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,0,1-(L202-_xlfn.IFNA(INDEX(_xlfn.ANCHORARRAY(Sintesi!$C$17)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)/(_xlfn.IFNA(INDEX(_xlfn.ANCHORARRAY(Sintesi!$C$18)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-_xlfn.IFNA(INDEX(_xlfn.ANCHORARRAY(Sintesi!$C$17)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))),0)</f>
        <v/>
      </c>
    </row>
    <row r="203">
      <c r="A203" s="1">
        <f>'Paste cell here'!A203</f>
        <v/>
      </c>
      <c r="B203" s="2">
        <f>DATE(Sintesi!$C$4-1,12,31)+A203</f>
        <v/>
      </c>
      <c r="C203" s="34">
        <f t="array" ref="C203">_xlfn.IFNA(MATCH(1,(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)*(_xlfn.ANCHORARRAY(Sintesi!$C$15)&gt;=0)+(_xlfn.ANCHORARRAY(Sintesi!$C$15)&lt;0),0),0)</f>
        <v/>
      </c>
      <c r="D203" s="1">
        <f t="array" ref="D203">IF(ISBLANK($E204),IF(ISNUMBER($E202),IF($C203&gt;0,IF(($E203=INDEX(_xlfn.ANCHORARRAY(Sintesi!$C$14),1,$C203))*(INDEX(_xlfn.ANCHORARRAY(Sintesi!$C$15),1,$C203)&gt;0),0,IF(($E203=INDEX(_xlfn.ANCHORARRAY(Sintesi!$C$14),1,$C203))*(INDEX(_xlfn.ANCHORARRAY(Sintesi!$C$15),1,$C203)&lt;0)+($E203&gt;=$E202)*($E203&lt;=INDEX($E:$E,MATCH(TRUE,INDEX((ISNUMBER($E:$E)),0),0)))*($E203&gt;INDEX(_xlfn.ANCHORARRAY(Sintesi!$C$14),1,$C203))*($E203&lt;=INDEX(_xlfn.ANCHORARRAY(Sintesi!$C$15),1,$C203))*(INDEX(_xlfn.ANCHORARRAY(Sintesi!$C$15),1,$C203)&gt;0),1,IF(($E203&gt;=$E202)*($E203&lt;=INDEX($E:$E,MATCH(TRUE,INDEX((ISNUMBER($E:$E)),0),0)))*($E203&gt;INDEX(_xlfn.ANCHORARRAY(Sintesi!$C$14),1,$C203))*($E203&lt;INDEX(_xlfn.ANCHORARRAY(Sintesi!$C$16),1,$C203))*(INDEX(_xlfn.ANCHORARRAY(Sintesi!$C$15),1,$C203)&lt;0)+($E203&gt;=$E202)*($E203&lt;=INDEX($E:$E,MATCH(TRUE,INDEX((ISNUMBER($E:$E)),0),0)))*($E203&gt;INDEX(_xlfn.ANCHORARRAY(Sintesi!$C$15),1,$C203))*($E203&lt;INDEX(_xlfn.ANCHORARRAY(Sintesi!$C$16),1,$C203))*(INDEX(_xlfn.ANCHORARRAY(Sintesi!$C$15),1,$C203)&gt;0),2,IF($E203=(INDEX(_xlfn.ANCHORARRAY(Sintesi!$C$16),1,$C203)),3,4)))),0),IF($C203&gt;0,IF(($E203=INDEX(_xlfn.ANCHORARRAY(Sintesi!$C$14),1,$C203))*(INDEX(_xlfn.ANCHORARRAY(Sintesi!$C$15),1,$C203)&gt;0),0,IF(($E203=INDEX(_xlfn.ANCHORARRAY(Sintesi!$C$14),1,$C203))*(INDEX(_xlfn.ANCHORARRAY(Sintesi!$C$15),1,$C203)&lt;0)+($E203&gt;=LOOKUP(2,1/($E:$E&lt;&gt;""),$E:$E))*($E203&lt;=INDEX($E:$E,MATCH(TRUE,INDEX((ISNUMBER($E:$E)),0),0)))*($E203&gt;INDEX(_xlfn.ANCHORARRAY(Sintesi!$C$14),1,$C203))*($E203&lt;=INDEX(_xlfn.ANCHORARRAY(Sintesi!$C$15),1,$C203))*(INDEX(_xlfn.ANCHORARRAY(Sintesi!$C$15),1,$C203)&gt;0),1,IF(($E203&gt;=LOOKUP(2,1/($E:$E&lt;&gt;""),$E:$E))*($E203&lt;=INDEX($E:$E,MATCH(TRUE,INDEX((ISNUMBER($E:$E)),0),0)))*($E203&gt;INDEX(_xlfn.ANCHORARRAY(Sintesi!$C$14),1,$C203))*($E203&lt;INDEX(_xlfn.ANCHORARRAY(Sintesi!$C$16),1,$C203))*(INDEX(_xlfn.ANCHORARRAY(Sintesi!$C$15),1,$C203)&lt;0)+($E203&gt;=LOOKUP(2,1/($E:$E&lt;&gt;""),$E:$E))*($E203&lt;=INDEX($E:$E,MATCH(TRUE,INDEX((ISNUMBER($E:$E)),0),0)))*($E203&gt;INDEX(_xlfn.ANCHORARRAY(Sintesi!$C$15),1,$C203))*($E203&lt;INDEX(_xlfn.ANCHORARRAY(Sintesi!$C$16),1,$C203))*(INDEX(_xlfn.ANCHORARRAY(Sintesi!$C$15),1,$C203)&gt;0),2,IF($E203=(INDEX(_xlfn.ANCHORARRAY(Sintesi!$C$16),1,$C203)),3,4)))),0)),IF(ISNUMBER($E202),IF($C203&gt;0,IF(($E203=INDEX(_xlfn.ANCHORARRAY(Sintesi!$C$14),1,$C203))*(INDEX(_xlfn.ANCHORARRAY(Sintesi!$C$15),1,$C203)&gt;0),0,IF(($E203=INDEX(_xlfn.ANCHORARRAY(Sintesi!$C$14),1,$C203))*(INDEX(_xlfn.ANCHORARRAY(Sintesi!$C$15),1,$C203)&lt;0)+($E203&gt;=$E202)*($E203&lt;=$E204)*($E203&gt;INDEX(_xlfn.ANCHORARRAY(Sintesi!$C$14),1,$C203))*($E203&lt;=INDEX(_xlfn.ANCHORARRAY(Sintesi!$C$15),1,$C203))*(INDEX(_xlfn.ANCHORARRAY(Sintesi!$C$15),1,$C203)&gt;0),1,IF(($E203&gt;=$E202)*($E203&lt;=$E204)*($E203&gt;INDEX(_xlfn.ANCHORARRAY(Sintesi!$C$14),1,$C203))*($E203&lt;INDEX(_xlfn.ANCHORARRAY(Sintesi!$C$16),1,$C203))*(INDEX(_xlfn.ANCHORARRAY(Sintesi!$C$15),1,$C203)&lt;0)+($E203&gt;=$E202)*($E203&lt;=$E204)*($E203&gt;INDEX(_xlfn.ANCHORARRAY(Sintesi!$C$15),1,$C203))*($E203&lt;INDEX(_xlfn.ANCHORARRAY(Sintesi!$C$16),1,$C203))*(INDEX(_xlfn.ANCHORARRAY(Sintesi!$C$15),1,$C203)&gt;0),2,IF($E203=(INDEX(_xlfn.ANCHORARRAY(Sintesi!$C$16),1,$C203)),3,4)))),0),IF($C203&gt;0,IF(($E203=INDEX(_xlfn.ANCHORARRAY(Sintesi!$C$14),1,$C203))*(INDEX(_xlfn.ANCHORARRAY(Sintesi!$C$15),1,$C203)&gt;0),0,IF(($E203=INDEX(_xlfn.ANCHORARRAY(Sintesi!$C$14),1,$C203))*(INDEX(_xlfn.ANCHORARRAY(Sintesi!$C$15),1,$C203)&lt;0)+($E203&gt;=LOOKUP(2,1/($E:$E&lt;&gt;""),$E:$E))*($E203&lt;=$E204)*($E203&gt;INDEX(_xlfn.ANCHORARRAY(Sintesi!$C$14),1,$C203))*($E203&lt;=INDEX(_xlfn.ANCHORARRAY(Sintesi!$C$15),1,$C203))*(INDEX(_xlfn.ANCHORARRAY(Sintesi!$C$15),1,$C203)&gt;0),1,IF(($E203&gt;=LOOKUP(2,1/($E:$E&lt;&gt;""),$E:$E))*($E203&lt;=$E204)*($E203&gt;INDEX(_xlfn.ANCHORARRAY(Sintesi!$C$14),1,$C203))*($E203&lt;INDEX(_xlfn.ANCHORARRAY(Sintesi!$C$16),1,$C203))*(INDEX(_xlfn.ANCHORARRAY(Sintesi!$C$15),1,$C203)&lt;0)+($E203&gt;=LOOKUP(2,1/($E:$E&lt;&gt;""),$E:$E))*($E203&lt;=$E204)*($E203&gt;INDEX(_xlfn.ANCHORARRAY(Sintesi!$C$15),1,$C203))*($E203&lt;INDEX(_xlfn.ANCHORARRAY(Sintesi!$C$16),1,$C203))*(INDEX(_xlfn.ANCHORARRAY(Sintesi!$C$15),1,$C203)&gt;0),2,IF($E203=(INDEX(_xlfn.ANCHORARRAY(Sintesi!$C$16),1,$C203)),3,4)))),0)))</f>
        <v/>
      </c>
      <c r="E203" s="1">
        <f>'Paste cell here'!F203</f>
        <v/>
      </c>
      <c r="F203" s="1">
        <f>'Paste cell here'!C203</f>
        <v/>
      </c>
      <c r="G203" s="1">
        <f>'Paste cell here'!D203</f>
        <v/>
      </c>
      <c r="H203" s="1">
        <f>'Paste cell here'!E203</f>
        <v/>
      </c>
      <c r="I203" s="1">
        <f>'Paste cell here'!X203</f>
        <v/>
      </c>
      <c r="J203" s="1">
        <f>'Paste cell here'!Y203+'Paste cell here'!S203</f>
        <v/>
      </c>
      <c r="K203" s="1">
        <f>I203/H203</f>
        <v/>
      </c>
      <c r="L203" s="1">
        <f>AVERAGE(($F203+$G203)/2-($F203-$G203)/2*COS(PI()*(8-VLOOKUP(MONTH(B203),$O$1:$Q$13,3))/(VLOOKUP(MONTH(B203),$O$1:$Q$13,2)-VLOOKUP(MONTH(B203),$O$1:$Q$13,3))),($F203+$G203)/2-($F203-$G203)/2*COS(PI()*(9-VLOOKUP(MONTH(B203),$O$1:$Q$13,3))/(VLOOKUP(MONTH(B203),$O$1:$Q$13,2)-VLOOKUP(MONTH(B203),$O$1:$Q$13,3))),($F203+$G203)/2-($F203-$G203)/2*COS(PI()*(10-VLOOKUP(MONTH(B203),$O$1:$Q$13,3))/(VLOOKUP(MONTH(B203),$O$1:$Q$13,2)-VLOOKUP(MONTH(B203),$O$1:$Q$13,3))),($F203+$G203)/2-($F203-$G203)/2*COS(PI()*(11-VLOOKUP(MONTH(B203),$O$1:$Q$13,3))/(VLOOKUP(MONTH(B203),$O$1:$Q$13,2)-VLOOKUP(MONTH(B203),$O$1:$Q$13,3))),($F203+$G203)/2-($F203-$G203)/2*COS(PI()*(12-VLOOKUP(MONTH(B203),$O$1:$Q$13,3))/(VLOOKUP(MONTH(B203),$O$1:$Q$13,2)-VLOOKUP(MONTH(B203),$O$1:$Q$13,3))),($F203+$G203)/2-($F203-$G203)/2*COS(PI()*(13-VLOOKUP(MONTH(B203),$O$1:$Q$13,3))/(VLOOKUP(MONTH(B203),$O$1:$Q$13,2)-VLOOKUP(MONTH(B203),$O$1:$Q$13,3))),($F203+$G203)/2-($F203-$G203)/2*COS(PI()*(14-VLOOKUP(MONTH(B203),$O$1:$Q$13,3))/(VLOOKUP(MONTH(B203),$O$1:$Q$13,2)-VLOOKUP(MONTH(B203),$O$1:$Q$13,3))))</f>
        <v/>
      </c>
      <c r="M203" s="1">
        <f t="array" ref="M203">IF(AND(A203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,A203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),IF(L203&lt;_xlfn.IFNA(INDEX(_xlfn.ANCHORARRAY(Sintesi!$C$17)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,1,IF(L203&gt;=_xlfn.IFNA(INDEX(_xlfn.ANCHORARRAY(Sintesi!$C$18)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,0,1-(L203-_xlfn.IFNA(INDEX(_xlfn.ANCHORARRAY(Sintesi!$C$17)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)/(_xlfn.IFNA(INDEX(_xlfn.ANCHORARRAY(Sintesi!$C$18)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-_xlfn.IFNA(INDEX(_xlfn.ANCHORARRAY(Sintesi!$C$17)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))),0)</f>
        <v/>
      </c>
    </row>
    <row r="204">
      <c r="A204" s="1">
        <f>'Paste cell here'!A204</f>
        <v/>
      </c>
      <c r="B204" s="2">
        <f>DATE(Sintesi!$C$4-1,12,31)+A204</f>
        <v/>
      </c>
      <c r="C204" s="34">
        <f t="array" ref="C204">_xlfn.IFNA(MATCH(1,(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)*(_xlfn.ANCHORARRAY(Sintesi!$C$15)&gt;=0)+(_xlfn.ANCHORARRAY(Sintesi!$C$15)&lt;0),0),0)</f>
        <v/>
      </c>
      <c r="D204" s="1">
        <f t="array" ref="D204">IF(ISBLANK($E205),IF(ISNUMBER($E203),IF($C204&gt;0,IF(($E204=INDEX(_xlfn.ANCHORARRAY(Sintesi!$C$14),1,$C204))*(INDEX(_xlfn.ANCHORARRAY(Sintesi!$C$15),1,$C204)&gt;0),0,IF(($E204=INDEX(_xlfn.ANCHORARRAY(Sintesi!$C$14),1,$C204))*(INDEX(_xlfn.ANCHORARRAY(Sintesi!$C$15),1,$C204)&lt;0)+($E204&gt;=$E203)*($E204&lt;=INDEX($E:$E,MATCH(TRUE,INDEX((ISNUMBER($E:$E)),0),0)))*($E204&gt;INDEX(_xlfn.ANCHORARRAY(Sintesi!$C$14),1,$C204))*($E204&lt;=INDEX(_xlfn.ANCHORARRAY(Sintesi!$C$15),1,$C204))*(INDEX(_xlfn.ANCHORARRAY(Sintesi!$C$15),1,$C204)&gt;0),1,IF(($E204&gt;=$E203)*($E204&lt;=INDEX($E:$E,MATCH(TRUE,INDEX((ISNUMBER($E:$E)),0),0)))*($E204&gt;INDEX(_xlfn.ANCHORARRAY(Sintesi!$C$14),1,$C204))*($E204&lt;INDEX(_xlfn.ANCHORARRAY(Sintesi!$C$16),1,$C204))*(INDEX(_xlfn.ANCHORARRAY(Sintesi!$C$15),1,$C204)&lt;0)+($E204&gt;=$E203)*($E204&lt;=INDEX($E:$E,MATCH(TRUE,INDEX((ISNUMBER($E:$E)),0),0)))*($E204&gt;INDEX(_xlfn.ANCHORARRAY(Sintesi!$C$15),1,$C204))*($E204&lt;INDEX(_xlfn.ANCHORARRAY(Sintesi!$C$16),1,$C204))*(INDEX(_xlfn.ANCHORARRAY(Sintesi!$C$15),1,$C204)&gt;0),2,IF($E204=(INDEX(_xlfn.ANCHORARRAY(Sintesi!$C$16),1,$C204)),3,4)))),0),IF($C204&gt;0,IF(($E204=INDEX(_xlfn.ANCHORARRAY(Sintesi!$C$14),1,$C204))*(INDEX(_xlfn.ANCHORARRAY(Sintesi!$C$15),1,$C204)&gt;0),0,IF(($E204=INDEX(_xlfn.ANCHORARRAY(Sintesi!$C$14),1,$C204))*(INDEX(_xlfn.ANCHORARRAY(Sintesi!$C$15),1,$C204)&lt;0)+($E204&gt;=LOOKUP(2,1/($E:$E&lt;&gt;""),$E:$E))*($E204&lt;=INDEX($E:$E,MATCH(TRUE,INDEX((ISNUMBER($E:$E)),0),0)))*($E204&gt;INDEX(_xlfn.ANCHORARRAY(Sintesi!$C$14),1,$C204))*($E204&lt;=INDEX(_xlfn.ANCHORARRAY(Sintesi!$C$15),1,$C204))*(INDEX(_xlfn.ANCHORARRAY(Sintesi!$C$15),1,$C204)&gt;0),1,IF(($E204&gt;=LOOKUP(2,1/($E:$E&lt;&gt;""),$E:$E))*($E204&lt;=INDEX($E:$E,MATCH(TRUE,INDEX((ISNUMBER($E:$E)),0),0)))*($E204&gt;INDEX(_xlfn.ANCHORARRAY(Sintesi!$C$14),1,$C204))*($E204&lt;INDEX(_xlfn.ANCHORARRAY(Sintesi!$C$16),1,$C204))*(INDEX(_xlfn.ANCHORARRAY(Sintesi!$C$15),1,$C204)&lt;0)+($E204&gt;=LOOKUP(2,1/($E:$E&lt;&gt;""),$E:$E))*($E204&lt;=INDEX($E:$E,MATCH(TRUE,INDEX((ISNUMBER($E:$E)),0),0)))*($E204&gt;INDEX(_xlfn.ANCHORARRAY(Sintesi!$C$15),1,$C204))*($E204&lt;INDEX(_xlfn.ANCHORARRAY(Sintesi!$C$16),1,$C204))*(INDEX(_xlfn.ANCHORARRAY(Sintesi!$C$15),1,$C204)&gt;0),2,IF($E204=(INDEX(_xlfn.ANCHORARRAY(Sintesi!$C$16),1,$C204)),3,4)))),0)),IF(ISNUMBER($E203),IF($C204&gt;0,IF(($E204=INDEX(_xlfn.ANCHORARRAY(Sintesi!$C$14),1,$C204))*(INDEX(_xlfn.ANCHORARRAY(Sintesi!$C$15),1,$C204)&gt;0),0,IF(($E204=INDEX(_xlfn.ANCHORARRAY(Sintesi!$C$14),1,$C204))*(INDEX(_xlfn.ANCHORARRAY(Sintesi!$C$15),1,$C204)&lt;0)+($E204&gt;=$E203)*($E204&lt;=$E205)*($E204&gt;INDEX(_xlfn.ANCHORARRAY(Sintesi!$C$14),1,$C204))*($E204&lt;=INDEX(_xlfn.ANCHORARRAY(Sintesi!$C$15),1,$C204))*(INDEX(_xlfn.ANCHORARRAY(Sintesi!$C$15),1,$C204)&gt;0),1,IF(($E204&gt;=$E203)*($E204&lt;=$E205)*($E204&gt;INDEX(_xlfn.ANCHORARRAY(Sintesi!$C$14),1,$C204))*($E204&lt;INDEX(_xlfn.ANCHORARRAY(Sintesi!$C$16),1,$C204))*(INDEX(_xlfn.ANCHORARRAY(Sintesi!$C$15),1,$C204)&lt;0)+($E204&gt;=$E203)*($E204&lt;=$E205)*($E204&gt;INDEX(_xlfn.ANCHORARRAY(Sintesi!$C$15),1,$C204))*($E204&lt;INDEX(_xlfn.ANCHORARRAY(Sintesi!$C$16),1,$C204))*(INDEX(_xlfn.ANCHORARRAY(Sintesi!$C$15),1,$C204)&gt;0),2,IF($E204=(INDEX(_xlfn.ANCHORARRAY(Sintesi!$C$16),1,$C204)),3,4)))),0),IF($C204&gt;0,IF(($E204=INDEX(_xlfn.ANCHORARRAY(Sintesi!$C$14),1,$C204))*(INDEX(_xlfn.ANCHORARRAY(Sintesi!$C$15),1,$C204)&gt;0),0,IF(($E204=INDEX(_xlfn.ANCHORARRAY(Sintesi!$C$14),1,$C204))*(INDEX(_xlfn.ANCHORARRAY(Sintesi!$C$15),1,$C204)&lt;0)+($E204&gt;=LOOKUP(2,1/($E:$E&lt;&gt;""),$E:$E))*($E204&lt;=$E205)*($E204&gt;INDEX(_xlfn.ANCHORARRAY(Sintesi!$C$14),1,$C204))*($E204&lt;=INDEX(_xlfn.ANCHORARRAY(Sintesi!$C$15),1,$C204))*(INDEX(_xlfn.ANCHORARRAY(Sintesi!$C$15),1,$C204)&gt;0),1,IF(($E204&gt;=LOOKUP(2,1/($E:$E&lt;&gt;""),$E:$E))*($E204&lt;=$E205)*($E204&gt;INDEX(_xlfn.ANCHORARRAY(Sintesi!$C$14),1,$C204))*($E204&lt;INDEX(_xlfn.ANCHORARRAY(Sintesi!$C$16),1,$C204))*(INDEX(_xlfn.ANCHORARRAY(Sintesi!$C$15),1,$C204)&lt;0)+($E204&gt;=LOOKUP(2,1/($E:$E&lt;&gt;""),$E:$E))*($E204&lt;=$E205)*($E204&gt;INDEX(_xlfn.ANCHORARRAY(Sintesi!$C$15),1,$C204))*($E204&lt;INDEX(_xlfn.ANCHORARRAY(Sintesi!$C$16),1,$C204))*(INDEX(_xlfn.ANCHORARRAY(Sintesi!$C$15),1,$C204)&gt;0),2,IF($E204=(INDEX(_xlfn.ANCHORARRAY(Sintesi!$C$16),1,$C204)),3,4)))),0)))</f>
        <v/>
      </c>
      <c r="E204" s="1">
        <f>'Paste cell here'!F204</f>
        <v/>
      </c>
      <c r="F204" s="1">
        <f>'Paste cell here'!C204</f>
        <v/>
      </c>
      <c r="G204" s="1">
        <f>'Paste cell here'!D204</f>
        <v/>
      </c>
      <c r="H204" s="1">
        <f>'Paste cell here'!E204</f>
        <v/>
      </c>
      <c r="I204" s="1">
        <f>'Paste cell here'!X204</f>
        <v/>
      </c>
      <c r="J204" s="1">
        <f>'Paste cell here'!Y204+'Paste cell here'!S204</f>
        <v/>
      </c>
      <c r="K204" s="1">
        <f>I204/H204</f>
        <v/>
      </c>
      <c r="L204" s="1">
        <f>AVERAGE(($F204+$G204)/2-($F204-$G204)/2*COS(PI()*(8-VLOOKUP(MONTH(B204),$O$1:$Q$13,3))/(VLOOKUP(MONTH(B204),$O$1:$Q$13,2)-VLOOKUP(MONTH(B204),$O$1:$Q$13,3))),($F204+$G204)/2-($F204-$G204)/2*COS(PI()*(9-VLOOKUP(MONTH(B204),$O$1:$Q$13,3))/(VLOOKUP(MONTH(B204),$O$1:$Q$13,2)-VLOOKUP(MONTH(B204),$O$1:$Q$13,3))),($F204+$G204)/2-($F204-$G204)/2*COS(PI()*(10-VLOOKUP(MONTH(B204),$O$1:$Q$13,3))/(VLOOKUP(MONTH(B204),$O$1:$Q$13,2)-VLOOKUP(MONTH(B204),$O$1:$Q$13,3))),($F204+$G204)/2-($F204-$G204)/2*COS(PI()*(11-VLOOKUP(MONTH(B204),$O$1:$Q$13,3))/(VLOOKUP(MONTH(B204),$O$1:$Q$13,2)-VLOOKUP(MONTH(B204),$O$1:$Q$13,3))),($F204+$G204)/2-($F204-$G204)/2*COS(PI()*(12-VLOOKUP(MONTH(B204),$O$1:$Q$13,3))/(VLOOKUP(MONTH(B204),$O$1:$Q$13,2)-VLOOKUP(MONTH(B204),$O$1:$Q$13,3))),($F204+$G204)/2-($F204-$G204)/2*COS(PI()*(13-VLOOKUP(MONTH(B204),$O$1:$Q$13,3))/(VLOOKUP(MONTH(B204),$O$1:$Q$13,2)-VLOOKUP(MONTH(B204),$O$1:$Q$13,3))),($F204+$G204)/2-($F204-$G204)/2*COS(PI()*(14-VLOOKUP(MONTH(B204),$O$1:$Q$13,3))/(VLOOKUP(MONTH(B204),$O$1:$Q$13,2)-VLOOKUP(MONTH(B204),$O$1:$Q$13,3))))</f>
        <v/>
      </c>
      <c r="M204" s="1">
        <f t="array" ref="M204">IF(AND(A204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,A204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),IF(L204&lt;_xlfn.IFNA(INDEX(_xlfn.ANCHORARRAY(Sintesi!$C$17)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,1,IF(L204&gt;=_xlfn.IFNA(INDEX(_xlfn.ANCHORARRAY(Sintesi!$C$18)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,0,1-(L204-_xlfn.IFNA(INDEX(_xlfn.ANCHORARRAY(Sintesi!$C$17)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)/(_xlfn.IFNA(INDEX(_xlfn.ANCHORARRAY(Sintesi!$C$18)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-_xlfn.IFNA(INDEX(_xlfn.ANCHORARRAY(Sintesi!$C$17)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))),0)</f>
        <v/>
      </c>
    </row>
    <row r="205">
      <c r="A205" s="1">
        <f>'Paste cell here'!A205</f>
        <v/>
      </c>
      <c r="B205" s="2">
        <f>DATE(Sintesi!$C$4-1,12,31)+A205</f>
        <v/>
      </c>
      <c r="C205" s="34">
        <f t="array" ref="C205">_xlfn.IFNA(MATCH(1,(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)*(_xlfn.ANCHORARRAY(Sintesi!$C$15)&gt;=0)+(_xlfn.ANCHORARRAY(Sintesi!$C$15)&lt;0),0),0)</f>
        <v/>
      </c>
      <c r="D205" s="1">
        <f t="array" ref="D205">IF(ISBLANK($E206),IF(ISNUMBER($E204),IF($C205&gt;0,IF(($E205=INDEX(_xlfn.ANCHORARRAY(Sintesi!$C$14),1,$C205))*(INDEX(_xlfn.ANCHORARRAY(Sintesi!$C$15),1,$C205)&gt;0),0,IF(($E205=INDEX(_xlfn.ANCHORARRAY(Sintesi!$C$14),1,$C205))*(INDEX(_xlfn.ANCHORARRAY(Sintesi!$C$15),1,$C205)&lt;0)+($E205&gt;=$E204)*($E205&lt;=INDEX($E:$E,MATCH(TRUE,INDEX((ISNUMBER($E:$E)),0),0)))*($E205&gt;INDEX(_xlfn.ANCHORARRAY(Sintesi!$C$14),1,$C205))*($E205&lt;=INDEX(_xlfn.ANCHORARRAY(Sintesi!$C$15),1,$C205))*(INDEX(_xlfn.ANCHORARRAY(Sintesi!$C$15),1,$C205)&gt;0),1,IF(($E205&gt;=$E204)*($E205&lt;=INDEX($E:$E,MATCH(TRUE,INDEX((ISNUMBER($E:$E)),0),0)))*($E205&gt;INDEX(_xlfn.ANCHORARRAY(Sintesi!$C$14),1,$C205))*($E205&lt;INDEX(_xlfn.ANCHORARRAY(Sintesi!$C$16),1,$C205))*(INDEX(_xlfn.ANCHORARRAY(Sintesi!$C$15),1,$C205)&lt;0)+($E205&gt;=$E204)*($E205&lt;=INDEX($E:$E,MATCH(TRUE,INDEX((ISNUMBER($E:$E)),0),0)))*($E205&gt;INDEX(_xlfn.ANCHORARRAY(Sintesi!$C$15),1,$C205))*($E205&lt;INDEX(_xlfn.ANCHORARRAY(Sintesi!$C$16),1,$C205))*(INDEX(_xlfn.ANCHORARRAY(Sintesi!$C$15),1,$C205)&gt;0),2,IF($E205=(INDEX(_xlfn.ANCHORARRAY(Sintesi!$C$16),1,$C205)),3,4)))),0),IF($C205&gt;0,IF(($E205=INDEX(_xlfn.ANCHORARRAY(Sintesi!$C$14),1,$C205))*(INDEX(_xlfn.ANCHORARRAY(Sintesi!$C$15),1,$C205)&gt;0),0,IF(($E205=INDEX(_xlfn.ANCHORARRAY(Sintesi!$C$14),1,$C205))*(INDEX(_xlfn.ANCHORARRAY(Sintesi!$C$15),1,$C205)&lt;0)+($E205&gt;=LOOKUP(2,1/($E:$E&lt;&gt;""),$E:$E))*($E205&lt;=INDEX($E:$E,MATCH(TRUE,INDEX((ISNUMBER($E:$E)),0),0)))*($E205&gt;INDEX(_xlfn.ANCHORARRAY(Sintesi!$C$14),1,$C205))*($E205&lt;=INDEX(_xlfn.ANCHORARRAY(Sintesi!$C$15),1,$C205))*(INDEX(_xlfn.ANCHORARRAY(Sintesi!$C$15),1,$C205)&gt;0),1,IF(($E205&gt;=LOOKUP(2,1/($E:$E&lt;&gt;""),$E:$E))*($E205&lt;=INDEX($E:$E,MATCH(TRUE,INDEX((ISNUMBER($E:$E)),0),0)))*($E205&gt;INDEX(_xlfn.ANCHORARRAY(Sintesi!$C$14),1,$C205))*($E205&lt;INDEX(_xlfn.ANCHORARRAY(Sintesi!$C$16),1,$C205))*(INDEX(_xlfn.ANCHORARRAY(Sintesi!$C$15),1,$C205)&lt;0)+($E205&gt;=LOOKUP(2,1/($E:$E&lt;&gt;""),$E:$E))*($E205&lt;=INDEX($E:$E,MATCH(TRUE,INDEX((ISNUMBER($E:$E)),0),0)))*($E205&gt;INDEX(_xlfn.ANCHORARRAY(Sintesi!$C$15),1,$C205))*($E205&lt;INDEX(_xlfn.ANCHORARRAY(Sintesi!$C$16),1,$C205))*(INDEX(_xlfn.ANCHORARRAY(Sintesi!$C$15),1,$C205)&gt;0),2,IF($E205=(INDEX(_xlfn.ANCHORARRAY(Sintesi!$C$16),1,$C205)),3,4)))),0)),IF(ISNUMBER($E204),IF($C205&gt;0,IF(($E205=INDEX(_xlfn.ANCHORARRAY(Sintesi!$C$14),1,$C205))*(INDEX(_xlfn.ANCHORARRAY(Sintesi!$C$15),1,$C205)&gt;0),0,IF(($E205=INDEX(_xlfn.ANCHORARRAY(Sintesi!$C$14),1,$C205))*(INDEX(_xlfn.ANCHORARRAY(Sintesi!$C$15),1,$C205)&lt;0)+($E205&gt;=$E204)*($E205&lt;=$E206)*($E205&gt;INDEX(_xlfn.ANCHORARRAY(Sintesi!$C$14),1,$C205))*($E205&lt;=INDEX(_xlfn.ANCHORARRAY(Sintesi!$C$15),1,$C205))*(INDEX(_xlfn.ANCHORARRAY(Sintesi!$C$15),1,$C205)&gt;0),1,IF(($E205&gt;=$E204)*($E205&lt;=$E206)*($E205&gt;INDEX(_xlfn.ANCHORARRAY(Sintesi!$C$14),1,$C205))*($E205&lt;INDEX(_xlfn.ANCHORARRAY(Sintesi!$C$16),1,$C205))*(INDEX(_xlfn.ANCHORARRAY(Sintesi!$C$15),1,$C205)&lt;0)+($E205&gt;=$E204)*($E205&lt;=$E206)*($E205&gt;INDEX(_xlfn.ANCHORARRAY(Sintesi!$C$15),1,$C205))*($E205&lt;INDEX(_xlfn.ANCHORARRAY(Sintesi!$C$16),1,$C205))*(INDEX(_xlfn.ANCHORARRAY(Sintesi!$C$15),1,$C205)&gt;0),2,IF($E205=(INDEX(_xlfn.ANCHORARRAY(Sintesi!$C$16),1,$C205)),3,4)))),0),IF($C205&gt;0,IF(($E205=INDEX(_xlfn.ANCHORARRAY(Sintesi!$C$14),1,$C205))*(INDEX(_xlfn.ANCHORARRAY(Sintesi!$C$15),1,$C205)&gt;0),0,IF(($E205=INDEX(_xlfn.ANCHORARRAY(Sintesi!$C$14),1,$C205))*(INDEX(_xlfn.ANCHORARRAY(Sintesi!$C$15),1,$C205)&lt;0)+($E205&gt;=LOOKUP(2,1/($E:$E&lt;&gt;""),$E:$E))*($E205&lt;=$E206)*($E205&gt;INDEX(_xlfn.ANCHORARRAY(Sintesi!$C$14),1,$C205))*($E205&lt;=INDEX(_xlfn.ANCHORARRAY(Sintesi!$C$15),1,$C205))*(INDEX(_xlfn.ANCHORARRAY(Sintesi!$C$15),1,$C205)&gt;0),1,IF(($E205&gt;=LOOKUP(2,1/($E:$E&lt;&gt;""),$E:$E))*($E205&lt;=$E206)*($E205&gt;INDEX(_xlfn.ANCHORARRAY(Sintesi!$C$14),1,$C205))*($E205&lt;INDEX(_xlfn.ANCHORARRAY(Sintesi!$C$16),1,$C205))*(INDEX(_xlfn.ANCHORARRAY(Sintesi!$C$15),1,$C205)&lt;0)+($E205&gt;=LOOKUP(2,1/($E:$E&lt;&gt;""),$E:$E))*($E205&lt;=$E206)*($E205&gt;INDEX(_xlfn.ANCHORARRAY(Sintesi!$C$15),1,$C205))*($E205&lt;INDEX(_xlfn.ANCHORARRAY(Sintesi!$C$16),1,$C205))*(INDEX(_xlfn.ANCHORARRAY(Sintesi!$C$15),1,$C205)&gt;0),2,IF($E205=(INDEX(_xlfn.ANCHORARRAY(Sintesi!$C$16),1,$C205)),3,4)))),0)))</f>
        <v/>
      </c>
      <c r="E205" s="1">
        <f>'Paste cell here'!F205</f>
        <v/>
      </c>
      <c r="F205" s="1">
        <f>'Paste cell here'!C205</f>
        <v/>
      </c>
      <c r="G205" s="1">
        <f>'Paste cell here'!D205</f>
        <v/>
      </c>
      <c r="H205" s="1">
        <f>'Paste cell here'!E205</f>
        <v/>
      </c>
      <c r="I205" s="1">
        <f>'Paste cell here'!X205</f>
        <v/>
      </c>
      <c r="J205" s="1">
        <f>'Paste cell here'!Y205+'Paste cell here'!S205</f>
        <v/>
      </c>
      <c r="K205" s="1">
        <f>I205/H205</f>
        <v/>
      </c>
      <c r="L205" s="1">
        <f>AVERAGE(($F205+$G205)/2-($F205-$G205)/2*COS(PI()*(8-VLOOKUP(MONTH(B205),$O$1:$Q$13,3))/(VLOOKUP(MONTH(B205),$O$1:$Q$13,2)-VLOOKUP(MONTH(B205),$O$1:$Q$13,3))),($F205+$G205)/2-($F205-$G205)/2*COS(PI()*(9-VLOOKUP(MONTH(B205),$O$1:$Q$13,3))/(VLOOKUP(MONTH(B205),$O$1:$Q$13,2)-VLOOKUP(MONTH(B205),$O$1:$Q$13,3))),($F205+$G205)/2-($F205-$G205)/2*COS(PI()*(10-VLOOKUP(MONTH(B205),$O$1:$Q$13,3))/(VLOOKUP(MONTH(B205),$O$1:$Q$13,2)-VLOOKUP(MONTH(B205),$O$1:$Q$13,3))),($F205+$G205)/2-($F205-$G205)/2*COS(PI()*(11-VLOOKUP(MONTH(B205),$O$1:$Q$13,3))/(VLOOKUP(MONTH(B205),$O$1:$Q$13,2)-VLOOKUP(MONTH(B205),$O$1:$Q$13,3))),($F205+$G205)/2-($F205-$G205)/2*COS(PI()*(12-VLOOKUP(MONTH(B205),$O$1:$Q$13,3))/(VLOOKUP(MONTH(B205),$O$1:$Q$13,2)-VLOOKUP(MONTH(B205),$O$1:$Q$13,3))),($F205+$G205)/2-($F205-$G205)/2*COS(PI()*(13-VLOOKUP(MONTH(B205),$O$1:$Q$13,3))/(VLOOKUP(MONTH(B205),$O$1:$Q$13,2)-VLOOKUP(MONTH(B205),$O$1:$Q$13,3))),($F205+$G205)/2-($F205-$G205)/2*COS(PI()*(14-VLOOKUP(MONTH(B205),$O$1:$Q$13,3))/(VLOOKUP(MONTH(B205),$O$1:$Q$13,2)-VLOOKUP(MONTH(B205),$O$1:$Q$13,3))))</f>
        <v/>
      </c>
      <c r="M205" s="1">
        <f t="array" ref="M205">IF(AND(A205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,A205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),IF(L205&lt;_xlfn.IFNA(INDEX(_xlfn.ANCHORARRAY(Sintesi!$C$17)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,1,IF(L205&gt;=_xlfn.IFNA(INDEX(_xlfn.ANCHORARRAY(Sintesi!$C$18)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,0,1-(L205-_xlfn.IFNA(INDEX(_xlfn.ANCHORARRAY(Sintesi!$C$17)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)/(_xlfn.IFNA(INDEX(_xlfn.ANCHORARRAY(Sintesi!$C$18)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-_xlfn.IFNA(INDEX(_xlfn.ANCHORARRAY(Sintesi!$C$17)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))),0)</f>
        <v/>
      </c>
    </row>
    <row r="206">
      <c r="A206" s="1">
        <f>'Paste cell here'!A206</f>
        <v/>
      </c>
      <c r="B206" s="2">
        <f>DATE(Sintesi!$C$4-1,12,31)+A206</f>
        <v/>
      </c>
      <c r="C206" s="34">
        <f t="array" ref="C206">_xlfn.IFNA(MATCH(1,(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)*(_xlfn.ANCHORARRAY(Sintesi!$C$15)&gt;=0)+(_xlfn.ANCHORARRAY(Sintesi!$C$15)&lt;0),0),0)</f>
        <v/>
      </c>
      <c r="D206" s="1">
        <f t="array" ref="D206">IF(ISBLANK($E207),IF(ISNUMBER($E205),IF($C206&gt;0,IF(($E206=INDEX(_xlfn.ANCHORARRAY(Sintesi!$C$14),1,$C206))*(INDEX(_xlfn.ANCHORARRAY(Sintesi!$C$15),1,$C206)&gt;0),0,IF(($E206=INDEX(_xlfn.ANCHORARRAY(Sintesi!$C$14),1,$C206))*(INDEX(_xlfn.ANCHORARRAY(Sintesi!$C$15),1,$C206)&lt;0)+($E206&gt;=$E205)*($E206&lt;=INDEX($E:$E,MATCH(TRUE,INDEX((ISNUMBER($E:$E)),0),0)))*($E206&gt;INDEX(_xlfn.ANCHORARRAY(Sintesi!$C$14),1,$C206))*($E206&lt;=INDEX(_xlfn.ANCHORARRAY(Sintesi!$C$15),1,$C206))*(INDEX(_xlfn.ANCHORARRAY(Sintesi!$C$15),1,$C206)&gt;0),1,IF(($E206&gt;=$E205)*($E206&lt;=INDEX($E:$E,MATCH(TRUE,INDEX((ISNUMBER($E:$E)),0),0)))*($E206&gt;INDEX(_xlfn.ANCHORARRAY(Sintesi!$C$14),1,$C206))*($E206&lt;INDEX(_xlfn.ANCHORARRAY(Sintesi!$C$16),1,$C206))*(INDEX(_xlfn.ANCHORARRAY(Sintesi!$C$15),1,$C206)&lt;0)+($E206&gt;=$E205)*($E206&lt;=INDEX($E:$E,MATCH(TRUE,INDEX((ISNUMBER($E:$E)),0),0)))*($E206&gt;INDEX(_xlfn.ANCHORARRAY(Sintesi!$C$15),1,$C206))*($E206&lt;INDEX(_xlfn.ANCHORARRAY(Sintesi!$C$16),1,$C206))*(INDEX(_xlfn.ANCHORARRAY(Sintesi!$C$15),1,$C206)&gt;0),2,IF($E206=(INDEX(_xlfn.ANCHORARRAY(Sintesi!$C$16),1,$C206)),3,4)))),0),IF($C206&gt;0,IF(($E206=INDEX(_xlfn.ANCHORARRAY(Sintesi!$C$14),1,$C206))*(INDEX(_xlfn.ANCHORARRAY(Sintesi!$C$15),1,$C206)&gt;0),0,IF(($E206=INDEX(_xlfn.ANCHORARRAY(Sintesi!$C$14),1,$C206))*(INDEX(_xlfn.ANCHORARRAY(Sintesi!$C$15),1,$C206)&lt;0)+($E206&gt;=LOOKUP(2,1/($E:$E&lt;&gt;""),$E:$E))*($E206&lt;=INDEX($E:$E,MATCH(TRUE,INDEX((ISNUMBER($E:$E)),0),0)))*($E206&gt;INDEX(_xlfn.ANCHORARRAY(Sintesi!$C$14),1,$C206))*($E206&lt;=INDEX(_xlfn.ANCHORARRAY(Sintesi!$C$15),1,$C206))*(INDEX(_xlfn.ANCHORARRAY(Sintesi!$C$15),1,$C206)&gt;0),1,IF(($E206&gt;=LOOKUP(2,1/($E:$E&lt;&gt;""),$E:$E))*($E206&lt;=INDEX($E:$E,MATCH(TRUE,INDEX((ISNUMBER($E:$E)),0),0)))*($E206&gt;INDEX(_xlfn.ANCHORARRAY(Sintesi!$C$14),1,$C206))*($E206&lt;INDEX(_xlfn.ANCHORARRAY(Sintesi!$C$16),1,$C206))*(INDEX(_xlfn.ANCHORARRAY(Sintesi!$C$15),1,$C206)&lt;0)+($E206&gt;=LOOKUP(2,1/($E:$E&lt;&gt;""),$E:$E))*($E206&lt;=INDEX($E:$E,MATCH(TRUE,INDEX((ISNUMBER($E:$E)),0),0)))*($E206&gt;INDEX(_xlfn.ANCHORARRAY(Sintesi!$C$15),1,$C206))*($E206&lt;INDEX(_xlfn.ANCHORARRAY(Sintesi!$C$16),1,$C206))*(INDEX(_xlfn.ANCHORARRAY(Sintesi!$C$15),1,$C206)&gt;0),2,IF($E206=(INDEX(_xlfn.ANCHORARRAY(Sintesi!$C$16),1,$C206)),3,4)))),0)),IF(ISNUMBER($E205),IF($C206&gt;0,IF(($E206=INDEX(_xlfn.ANCHORARRAY(Sintesi!$C$14),1,$C206))*(INDEX(_xlfn.ANCHORARRAY(Sintesi!$C$15),1,$C206)&gt;0),0,IF(($E206=INDEX(_xlfn.ANCHORARRAY(Sintesi!$C$14),1,$C206))*(INDEX(_xlfn.ANCHORARRAY(Sintesi!$C$15),1,$C206)&lt;0)+($E206&gt;=$E205)*($E206&lt;=$E207)*($E206&gt;INDEX(_xlfn.ANCHORARRAY(Sintesi!$C$14),1,$C206))*($E206&lt;=INDEX(_xlfn.ANCHORARRAY(Sintesi!$C$15),1,$C206))*(INDEX(_xlfn.ANCHORARRAY(Sintesi!$C$15),1,$C206)&gt;0),1,IF(($E206&gt;=$E205)*($E206&lt;=$E207)*($E206&gt;INDEX(_xlfn.ANCHORARRAY(Sintesi!$C$14),1,$C206))*($E206&lt;INDEX(_xlfn.ANCHORARRAY(Sintesi!$C$16),1,$C206))*(INDEX(_xlfn.ANCHORARRAY(Sintesi!$C$15),1,$C206)&lt;0)+($E206&gt;=$E205)*($E206&lt;=$E207)*($E206&gt;INDEX(_xlfn.ANCHORARRAY(Sintesi!$C$15),1,$C206))*($E206&lt;INDEX(_xlfn.ANCHORARRAY(Sintesi!$C$16),1,$C206))*(INDEX(_xlfn.ANCHORARRAY(Sintesi!$C$15),1,$C206)&gt;0),2,IF($E206=(INDEX(_xlfn.ANCHORARRAY(Sintesi!$C$16),1,$C206)),3,4)))),0),IF($C206&gt;0,IF(($E206=INDEX(_xlfn.ANCHORARRAY(Sintesi!$C$14),1,$C206))*(INDEX(_xlfn.ANCHORARRAY(Sintesi!$C$15),1,$C206)&gt;0),0,IF(($E206=INDEX(_xlfn.ANCHORARRAY(Sintesi!$C$14),1,$C206))*(INDEX(_xlfn.ANCHORARRAY(Sintesi!$C$15),1,$C206)&lt;0)+($E206&gt;=LOOKUP(2,1/($E:$E&lt;&gt;""),$E:$E))*($E206&lt;=$E207)*($E206&gt;INDEX(_xlfn.ANCHORARRAY(Sintesi!$C$14),1,$C206))*($E206&lt;=INDEX(_xlfn.ANCHORARRAY(Sintesi!$C$15),1,$C206))*(INDEX(_xlfn.ANCHORARRAY(Sintesi!$C$15),1,$C206)&gt;0),1,IF(($E206&gt;=LOOKUP(2,1/($E:$E&lt;&gt;""),$E:$E))*($E206&lt;=$E207)*($E206&gt;INDEX(_xlfn.ANCHORARRAY(Sintesi!$C$14),1,$C206))*($E206&lt;INDEX(_xlfn.ANCHORARRAY(Sintesi!$C$16),1,$C206))*(INDEX(_xlfn.ANCHORARRAY(Sintesi!$C$15),1,$C206)&lt;0)+($E206&gt;=LOOKUP(2,1/($E:$E&lt;&gt;""),$E:$E))*($E206&lt;=$E207)*($E206&gt;INDEX(_xlfn.ANCHORARRAY(Sintesi!$C$15),1,$C206))*($E206&lt;INDEX(_xlfn.ANCHORARRAY(Sintesi!$C$16),1,$C206))*(INDEX(_xlfn.ANCHORARRAY(Sintesi!$C$15),1,$C206)&gt;0),2,IF($E206=(INDEX(_xlfn.ANCHORARRAY(Sintesi!$C$16),1,$C206)),3,4)))),0)))</f>
        <v/>
      </c>
      <c r="E206" s="1">
        <f>'Paste cell here'!F206</f>
        <v/>
      </c>
      <c r="F206" s="1">
        <f>'Paste cell here'!C206</f>
        <v/>
      </c>
      <c r="G206" s="1">
        <f>'Paste cell here'!D206</f>
        <v/>
      </c>
      <c r="H206" s="1">
        <f>'Paste cell here'!E206</f>
        <v/>
      </c>
      <c r="I206" s="1">
        <f>'Paste cell here'!X206</f>
        <v/>
      </c>
      <c r="J206" s="1">
        <f>'Paste cell here'!Y206+'Paste cell here'!S206</f>
        <v/>
      </c>
      <c r="K206" s="1">
        <f>I206/H206</f>
        <v/>
      </c>
      <c r="L206" s="1">
        <f>AVERAGE(($F206+$G206)/2-($F206-$G206)/2*COS(PI()*(8-VLOOKUP(MONTH(B206),$O$1:$Q$13,3))/(VLOOKUP(MONTH(B206),$O$1:$Q$13,2)-VLOOKUP(MONTH(B206),$O$1:$Q$13,3))),($F206+$G206)/2-($F206-$G206)/2*COS(PI()*(9-VLOOKUP(MONTH(B206),$O$1:$Q$13,3))/(VLOOKUP(MONTH(B206),$O$1:$Q$13,2)-VLOOKUP(MONTH(B206),$O$1:$Q$13,3))),($F206+$G206)/2-($F206-$G206)/2*COS(PI()*(10-VLOOKUP(MONTH(B206),$O$1:$Q$13,3))/(VLOOKUP(MONTH(B206),$O$1:$Q$13,2)-VLOOKUP(MONTH(B206),$O$1:$Q$13,3))),($F206+$G206)/2-($F206-$G206)/2*COS(PI()*(11-VLOOKUP(MONTH(B206),$O$1:$Q$13,3))/(VLOOKUP(MONTH(B206),$O$1:$Q$13,2)-VLOOKUP(MONTH(B206),$O$1:$Q$13,3))),($F206+$G206)/2-($F206-$G206)/2*COS(PI()*(12-VLOOKUP(MONTH(B206),$O$1:$Q$13,3))/(VLOOKUP(MONTH(B206),$O$1:$Q$13,2)-VLOOKUP(MONTH(B206),$O$1:$Q$13,3))),($F206+$G206)/2-($F206-$G206)/2*COS(PI()*(13-VLOOKUP(MONTH(B206),$O$1:$Q$13,3))/(VLOOKUP(MONTH(B206),$O$1:$Q$13,2)-VLOOKUP(MONTH(B206),$O$1:$Q$13,3))),($F206+$G206)/2-($F206-$G206)/2*COS(PI()*(14-VLOOKUP(MONTH(B206),$O$1:$Q$13,3))/(VLOOKUP(MONTH(B206),$O$1:$Q$13,2)-VLOOKUP(MONTH(B206),$O$1:$Q$13,3))))</f>
        <v/>
      </c>
      <c r="M206" s="1">
        <f t="array" ref="M206">IF(AND(A206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,A206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),IF(L206&lt;_xlfn.IFNA(INDEX(_xlfn.ANCHORARRAY(Sintesi!$C$17)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,1,IF(L206&gt;=_xlfn.IFNA(INDEX(_xlfn.ANCHORARRAY(Sintesi!$C$18)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,0,1-(L206-_xlfn.IFNA(INDEX(_xlfn.ANCHORARRAY(Sintesi!$C$17)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)/(_xlfn.IFNA(INDEX(_xlfn.ANCHORARRAY(Sintesi!$C$18)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-_xlfn.IFNA(INDEX(_xlfn.ANCHORARRAY(Sintesi!$C$17)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))),0)</f>
        <v/>
      </c>
    </row>
    <row r="207">
      <c r="A207" s="1">
        <f>'Paste cell here'!A207</f>
        <v/>
      </c>
      <c r="B207" s="2">
        <f>DATE(Sintesi!$C$4-1,12,31)+A207</f>
        <v/>
      </c>
      <c r="C207" s="34">
        <f t="array" ref="C207">_xlfn.IFNA(MATCH(1,(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)*(_xlfn.ANCHORARRAY(Sintesi!$C$15)&gt;=0)+(_xlfn.ANCHORARRAY(Sintesi!$C$15)&lt;0),0),0)</f>
        <v/>
      </c>
      <c r="D207" s="1">
        <f t="array" ref="D207">IF(ISBLANK($E208),IF(ISNUMBER($E206),IF($C207&gt;0,IF(($E207=INDEX(_xlfn.ANCHORARRAY(Sintesi!$C$14),1,$C207))*(INDEX(_xlfn.ANCHORARRAY(Sintesi!$C$15),1,$C207)&gt;0),0,IF(($E207=INDEX(_xlfn.ANCHORARRAY(Sintesi!$C$14),1,$C207))*(INDEX(_xlfn.ANCHORARRAY(Sintesi!$C$15),1,$C207)&lt;0)+($E207&gt;=$E206)*($E207&lt;=INDEX($E:$E,MATCH(TRUE,INDEX((ISNUMBER($E:$E)),0),0)))*($E207&gt;INDEX(_xlfn.ANCHORARRAY(Sintesi!$C$14),1,$C207))*($E207&lt;=INDEX(_xlfn.ANCHORARRAY(Sintesi!$C$15),1,$C207))*(INDEX(_xlfn.ANCHORARRAY(Sintesi!$C$15),1,$C207)&gt;0),1,IF(($E207&gt;=$E206)*($E207&lt;=INDEX($E:$E,MATCH(TRUE,INDEX((ISNUMBER($E:$E)),0),0)))*($E207&gt;INDEX(_xlfn.ANCHORARRAY(Sintesi!$C$14),1,$C207))*($E207&lt;INDEX(_xlfn.ANCHORARRAY(Sintesi!$C$16),1,$C207))*(INDEX(_xlfn.ANCHORARRAY(Sintesi!$C$15),1,$C207)&lt;0)+($E207&gt;=$E206)*($E207&lt;=INDEX($E:$E,MATCH(TRUE,INDEX((ISNUMBER($E:$E)),0),0)))*($E207&gt;INDEX(_xlfn.ANCHORARRAY(Sintesi!$C$15),1,$C207))*($E207&lt;INDEX(_xlfn.ANCHORARRAY(Sintesi!$C$16),1,$C207))*(INDEX(_xlfn.ANCHORARRAY(Sintesi!$C$15),1,$C207)&gt;0),2,IF($E207=(INDEX(_xlfn.ANCHORARRAY(Sintesi!$C$16),1,$C207)),3,4)))),0),IF($C207&gt;0,IF(($E207=INDEX(_xlfn.ANCHORARRAY(Sintesi!$C$14),1,$C207))*(INDEX(_xlfn.ANCHORARRAY(Sintesi!$C$15),1,$C207)&gt;0),0,IF(($E207=INDEX(_xlfn.ANCHORARRAY(Sintesi!$C$14),1,$C207))*(INDEX(_xlfn.ANCHORARRAY(Sintesi!$C$15),1,$C207)&lt;0)+($E207&gt;=LOOKUP(2,1/($E:$E&lt;&gt;""),$E:$E))*($E207&lt;=INDEX($E:$E,MATCH(TRUE,INDEX((ISNUMBER($E:$E)),0),0)))*($E207&gt;INDEX(_xlfn.ANCHORARRAY(Sintesi!$C$14),1,$C207))*($E207&lt;=INDEX(_xlfn.ANCHORARRAY(Sintesi!$C$15),1,$C207))*(INDEX(_xlfn.ANCHORARRAY(Sintesi!$C$15),1,$C207)&gt;0),1,IF(($E207&gt;=LOOKUP(2,1/($E:$E&lt;&gt;""),$E:$E))*($E207&lt;=INDEX($E:$E,MATCH(TRUE,INDEX((ISNUMBER($E:$E)),0),0)))*($E207&gt;INDEX(_xlfn.ANCHORARRAY(Sintesi!$C$14),1,$C207))*($E207&lt;INDEX(_xlfn.ANCHORARRAY(Sintesi!$C$16),1,$C207))*(INDEX(_xlfn.ANCHORARRAY(Sintesi!$C$15),1,$C207)&lt;0)+($E207&gt;=LOOKUP(2,1/($E:$E&lt;&gt;""),$E:$E))*($E207&lt;=INDEX($E:$E,MATCH(TRUE,INDEX((ISNUMBER($E:$E)),0),0)))*($E207&gt;INDEX(_xlfn.ANCHORARRAY(Sintesi!$C$15),1,$C207))*($E207&lt;INDEX(_xlfn.ANCHORARRAY(Sintesi!$C$16),1,$C207))*(INDEX(_xlfn.ANCHORARRAY(Sintesi!$C$15),1,$C207)&gt;0),2,IF($E207=(INDEX(_xlfn.ANCHORARRAY(Sintesi!$C$16),1,$C207)),3,4)))),0)),IF(ISNUMBER($E206),IF($C207&gt;0,IF(($E207=INDEX(_xlfn.ANCHORARRAY(Sintesi!$C$14),1,$C207))*(INDEX(_xlfn.ANCHORARRAY(Sintesi!$C$15),1,$C207)&gt;0),0,IF(($E207=INDEX(_xlfn.ANCHORARRAY(Sintesi!$C$14),1,$C207))*(INDEX(_xlfn.ANCHORARRAY(Sintesi!$C$15),1,$C207)&lt;0)+($E207&gt;=$E206)*($E207&lt;=$E208)*($E207&gt;INDEX(_xlfn.ANCHORARRAY(Sintesi!$C$14),1,$C207))*($E207&lt;=INDEX(_xlfn.ANCHORARRAY(Sintesi!$C$15),1,$C207))*(INDEX(_xlfn.ANCHORARRAY(Sintesi!$C$15),1,$C207)&gt;0),1,IF(($E207&gt;=$E206)*($E207&lt;=$E208)*($E207&gt;INDEX(_xlfn.ANCHORARRAY(Sintesi!$C$14),1,$C207))*($E207&lt;INDEX(_xlfn.ANCHORARRAY(Sintesi!$C$16),1,$C207))*(INDEX(_xlfn.ANCHORARRAY(Sintesi!$C$15),1,$C207)&lt;0)+($E207&gt;=$E206)*($E207&lt;=$E208)*($E207&gt;INDEX(_xlfn.ANCHORARRAY(Sintesi!$C$15),1,$C207))*($E207&lt;INDEX(_xlfn.ANCHORARRAY(Sintesi!$C$16),1,$C207))*(INDEX(_xlfn.ANCHORARRAY(Sintesi!$C$15),1,$C207)&gt;0),2,IF($E207=(INDEX(_xlfn.ANCHORARRAY(Sintesi!$C$16),1,$C207)),3,4)))),0),IF($C207&gt;0,IF(($E207=INDEX(_xlfn.ANCHORARRAY(Sintesi!$C$14),1,$C207))*(INDEX(_xlfn.ANCHORARRAY(Sintesi!$C$15),1,$C207)&gt;0),0,IF(($E207=INDEX(_xlfn.ANCHORARRAY(Sintesi!$C$14),1,$C207))*(INDEX(_xlfn.ANCHORARRAY(Sintesi!$C$15),1,$C207)&lt;0)+($E207&gt;=LOOKUP(2,1/($E:$E&lt;&gt;""),$E:$E))*($E207&lt;=$E208)*($E207&gt;INDEX(_xlfn.ANCHORARRAY(Sintesi!$C$14),1,$C207))*($E207&lt;=INDEX(_xlfn.ANCHORARRAY(Sintesi!$C$15),1,$C207))*(INDEX(_xlfn.ANCHORARRAY(Sintesi!$C$15),1,$C207)&gt;0),1,IF(($E207&gt;=LOOKUP(2,1/($E:$E&lt;&gt;""),$E:$E))*($E207&lt;=$E208)*($E207&gt;INDEX(_xlfn.ANCHORARRAY(Sintesi!$C$14),1,$C207))*($E207&lt;INDEX(_xlfn.ANCHORARRAY(Sintesi!$C$16),1,$C207))*(INDEX(_xlfn.ANCHORARRAY(Sintesi!$C$15),1,$C207)&lt;0)+($E207&gt;=LOOKUP(2,1/($E:$E&lt;&gt;""),$E:$E))*($E207&lt;=$E208)*($E207&gt;INDEX(_xlfn.ANCHORARRAY(Sintesi!$C$15),1,$C207))*($E207&lt;INDEX(_xlfn.ANCHORARRAY(Sintesi!$C$16),1,$C207))*(INDEX(_xlfn.ANCHORARRAY(Sintesi!$C$15),1,$C207)&gt;0),2,IF($E207=(INDEX(_xlfn.ANCHORARRAY(Sintesi!$C$16),1,$C207)),3,4)))),0)))</f>
        <v/>
      </c>
      <c r="E207" s="1">
        <f>'Paste cell here'!F207</f>
        <v/>
      </c>
      <c r="F207" s="1">
        <f>'Paste cell here'!C207</f>
        <v/>
      </c>
      <c r="G207" s="1">
        <f>'Paste cell here'!D207</f>
        <v/>
      </c>
      <c r="H207" s="1">
        <f>'Paste cell here'!E207</f>
        <v/>
      </c>
      <c r="I207" s="1">
        <f>'Paste cell here'!X207</f>
        <v/>
      </c>
      <c r="J207" s="1">
        <f>'Paste cell here'!Y207+'Paste cell here'!S207</f>
        <v/>
      </c>
      <c r="K207" s="1">
        <f>I207/H207</f>
        <v/>
      </c>
      <c r="L207" s="1">
        <f>AVERAGE(($F207+$G207)/2-($F207-$G207)/2*COS(PI()*(8-VLOOKUP(MONTH(B207),$O$1:$Q$13,3))/(VLOOKUP(MONTH(B207),$O$1:$Q$13,2)-VLOOKUP(MONTH(B207),$O$1:$Q$13,3))),($F207+$G207)/2-($F207-$G207)/2*COS(PI()*(9-VLOOKUP(MONTH(B207),$O$1:$Q$13,3))/(VLOOKUP(MONTH(B207),$O$1:$Q$13,2)-VLOOKUP(MONTH(B207),$O$1:$Q$13,3))),($F207+$G207)/2-($F207-$G207)/2*COS(PI()*(10-VLOOKUP(MONTH(B207),$O$1:$Q$13,3))/(VLOOKUP(MONTH(B207),$O$1:$Q$13,2)-VLOOKUP(MONTH(B207),$O$1:$Q$13,3))),($F207+$G207)/2-($F207-$G207)/2*COS(PI()*(11-VLOOKUP(MONTH(B207),$O$1:$Q$13,3))/(VLOOKUP(MONTH(B207),$O$1:$Q$13,2)-VLOOKUP(MONTH(B207),$O$1:$Q$13,3))),($F207+$G207)/2-($F207-$G207)/2*COS(PI()*(12-VLOOKUP(MONTH(B207),$O$1:$Q$13,3))/(VLOOKUP(MONTH(B207),$O$1:$Q$13,2)-VLOOKUP(MONTH(B207),$O$1:$Q$13,3))),($F207+$G207)/2-($F207-$G207)/2*COS(PI()*(13-VLOOKUP(MONTH(B207),$O$1:$Q$13,3))/(VLOOKUP(MONTH(B207),$O$1:$Q$13,2)-VLOOKUP(MONTH(B207),$O$1:$Q$13,3))),($F207+$G207)/2-($F207-$G207)/2*COS(PI()*(14-VLOOKUP(MONTH(B207),$O$1:$Q$13,3))/(VLOOKUP(MONTH(B207),$O$1:$Q$13,2)-VLOOKUP(MONTH(B207),$O$1:$Q$13,3))))</f>
        <v/>
      </c>
      <c r="M207" s="1">
        <f t="array" ref="M207">IF(AND(A207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,A207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),IF(L207&lt;_xlfn.IFNA(INDEX(_xlfn.ANCHORARRAY(Sintesi!$C$17)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,1,IF(L207&gt;=_xlfn.IFNA(INDEX(_xlfn.ANCHORARRAY(Sintesi!$C$18)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,0,1-(L207-_xlfn.IFNA(INDEX(_xlfn.ANCHORARRAY(Sintesi!$C$17)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)/(_xlfn.IFNA(INDEX(_xlfn.ANCHORARRAY(Sintesi!$C$18)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-_xlfn.IFNA(INDEX(_xlfn.ANCHORARRAY(Sintesi!$C$17)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))),0)</f>
        <v/>
      </c>
    </row>
    <row r="208">
      <c r="A208" s="1">
        <f>'Paste cell here'!A208</f>
        <v/>
      </c>
      <c r="B208" s="2">
        <f>DATE(Sintesi!$C$4-1,12,31)+A208</f>
        <v/>
      </c>
      <c r="C208" s="34">
        <f t="array" ref="C208">_xlfn.IFNA(MATCH(1,(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)*(_xlfn.ANCHORARRAY(Sintesi!$C$15)&gt;=0)+(_xlfn.ANCHORARRAY(Sintesi!$C$15)&lt;0),0),0)</f>
        <v/>
      </c>
      <c r="D208" s="1">
        <f t="array" ref="D208">IF(ISBLANK($E209),IF(ISNUMBER($E207),IF($C208&gt;0,IF(($E208=INDEX(_xlfn.ANCHORARRAY(Sintesi!$C$14),1,$C208))*(INDEX(_xlfn.ANCHORARRAY(Sintesi!$C$15),1,$C208)&gt;0),0,IF(($E208=INDEX(_xlfn.ANCHORARRAY(Sintesi!$C$14),1,$C208))*(INDEX(_xlfn.ANCHORARRAY(Sintesi!$C$15),1,$C208)&lt;0)+($E208&gt;=$E207)*($E208&lt;=INDEX($E:$E,MATCH(TRUE,INDEX((ISNUMBER($E:$E)),0),0)))*($E208&gt;INDEX(_xlfn.ANCHORARRAY(Sintesi!$C$14),1,$C208))*($E208&lt;=INDEX(_xlfn.ANCHORARRAY(Sintesi!$C$15),1,$C208))*(INDEX(_xlfn.ANCHORARRAY(Sintesi!$C$15),1,$C208)&gt;0),1,IF(($E208&gt;=$E207)*($E208&lt;=INDEX($E:$E,MATCH(TRUE,INDEX((ISNUMBER($E:$E)),0),0)))*($E208&gt;INDEX(_xlfn.ANCHORARRAY(Sintesi!$C$14),1,$C208))*($E208&lt;INDEX(_xlfn.ANCHORARRAY(Sintesi!$C$16),1,$C208))*(INDEX(_xlfn.ANCHORARRAY(Sintesi!$C$15),1,$C208)&lt;0)+($E208&gt;=$E207)*($E208&lt;=INDEX($E:$E,MATCH(TRUE,INDEX((ISNUMBER($E:$E)),0),0)))*($E208&gt;INDEX(_xlfn.ANCHORARRAY(Sintesi!$C$15),1,$C208))*($E208&lt;INDEX(_xlfn.ANCHORARRAY(Sintesi!$C$16),1,$C208))*(INDEX(_xlfn.ANCHORARRAY(Sintesi!$C$15),1,$C208)&gt;0),2,IF($E208=(INDEX(_xlfn.ANCHORARRAY(Sintesi!$C$16),1,$C208)),3,4)))),0),IF($C208&gt;0,IF(($E208=INDEX(_xlfn.ANCHORARRAY(Sintesi!$C$14),1,$C208))*(INDEX(_xlfn.ANCHORARRAY(Sintesi!$C$15),1,$C208)&gt;0),0,IF(($E208=INDEX(_xlfn.ANCHORARRAY(Sintesi!$C$14),1,$C208))*(INDEX(_xlfn.ANCHORARRAY(Sintesi!$C$15),1,$C208)&lt;0)+($E208&gt;=LOOKUP(2,1/($E:$E&lt;&gt;""),$E:$E))*($E208&lt;=INDEX($E:$E,MATCH(TRUE,INDEX((ISNUMBER($E:$E)),0),0)))*($E208&gt;INDEX(_xlfn.ANCHORARRAY(Sintesi!$C$14),1,$C208))*($E208&lt;=INDEX(_xlfn.ANCHORARRAY(Sintesi!$C$15),1,$C208))*(INDEX(_xlfn.ANCHORARRAY(Sintesi!$C$15),1,$C208)&gt;0),1,IF(($E208&gt;=LOOKUP(2,1/($E:$E&lt;&gt;""),$E:$E))*($E208&lt;=INDEX($E:$E,MATCH(TRUE,INDEX((ISNUMBER($E:$E)),0),0)))*($E208&gt;INDEX(_xlfn.ANCHORARRAY(Sintesi!$C$14),1,$C208))*($E208&lt;INDEX(_xlfn.ANCHORARRAY(Sintesi!$C$16),1,$C208))*(INDEX(_xlfn.ANCHORARRAY(Sintesi!$C$15),1,$C208)&lt;0)+($E208&gt;=LOOKUP(2,1/($E:$E&lt;&gt;""),$E:$E))*($E208&lt;=INDEX($E:$E,MATCH(TRUE,INDEX((ISNUMBER($E:$E)),0),0)))*($E208&gt;INDEX(_xlfn.ANCHORARRAY(Sintesi!$C$15),1,$C208))*($E208&lt;INDEX(_xlfn.ANCHORARRAY(Sintesi!$C$16),1,$C208))*(INDEX(_xlfn.ANCHORARRAY(Sintesi!$C$15),1,$C208)&gt;0),2,IF($E208=(INDEX(_xlfn.ANCHORARRAY(Sintesi!$C$16),1,$C208)),3,4)))),0)),IF(ISNUMBER($E207),IF($C208&gt;0,IF(($E208=INDEX(_xlfn.ANCHORARRAY(Sintesi!$C$14),1,$C208))*(INDEX(_xlfn.ANCHORARRAY(Sintesi!$C$15),1,$C208)&gt;0),0,IF(($E208=INDEX(_xlfn.ANCHORARRAY(Sintesi!$C$14),1,$C208))*(INDEX(_xlfn.ANCHORARRAY(Sintesi!$C$15),1,$C208)&lt;0)+($E208&gt;=$E207)*($E208&lt;=$E209)*($E208&gt;INDEX(_xlfn.ANCHORARRAY(Sintesi!$C$14),1,$C208))*($E208&lt;=INDEX(_xlfn.ANCHORARRAY(Sintesi!$C$15),1,$C208))*(INDEX(_xlfn.ANCHORARRAY(Sintesi!$C$15),1,$C208)&gt;0),1,IF(($E208&gt;=$E207)*($E208&lt;=$E209)*($E208&gt;INDEX(_xlfn.ANCHORARRAY(Sintesi!$C$14),1,$C208))*($E208&lt;INDEX(_xlfn.ANCHORARRAY(Sintesi!$C$16),1,$C208))*(INDEX(_xlfn.ANCHORARRAY(Sintesi!$C$15),1,$C208)&lt;0)+($E208&gt;=$E207)*($E208&lt;=$E209)*($E208&gt;INDEX(_xlfn.ANCHORARRAY(Sintesi!$C$15),1,$C208))*($E208&lt;INDEX(_xlfn.ANCHORARRAY(Sintesi!$C$16),1,$C208))*(INDEX(_xlfn.ANCHORARRAY(Sintesi!$C$15),1,$C208)&gt;0),2,IF($E208=(INDEX(_xlfn.ANCHORARRAY(Sintesi!$C$16),1,$C208)),3,4)))),0),IF($C208&gt;0,IF(($E208=INDEX(_xlfn.ANCHORARRAY(Sintesi!$C$14),1,$C208))*(INDEX(_xlfn.ANCHORARRAY(Sintesi!$C$15),1,$C208)&gt;0),0,IF(($E208=INDEX(_xlfn.ANCHORARRAY(Sintesi!$C$14),1,$C208))*(INDEX(_xlfn.ANCHORARRAY(Sintesi!$C$15),1,$C208)&lt;0)+($E208&gt;=LOOKUP(2,1/($E:$E&lt;&gt;""),$E:$E))*($E208&lt;=$E209)*($E208&gt;INDEX(_xlfn.ANCHORARRAY(Sintesi!$C$14),1,$C208))*($E208&lt;=INDEX(_xlfn.ANCHORARRAY(Sintesi!$C$15),1,$C208))*(INDEX(_xlfn.ANCHORARRAY(Sintesi!$C$15),1,$C208)&gt;0),1,IF(($E208&gt;=LOOKUP(2,1/($E:$E&lt;&gt;""),$E:$E))*($E208&lt;=$E209)*($E208&gt;INDEX(_xlfn.ANCHORARRAY(Sintesi!$C$14),1,$C208))*($E208&lt;INDEX(_xlfn.ANCHORARRAY(Sintesi!$C$16),1,$C208))*(INDEX(_xlfn.ANCHORARRAY(Sintesi!$C$15),1,$C208)&lt;0)+($E208&gt;=LOOKUP(2,1/($E:$E&lt;&gt;""),$E:$E))*($E208&lt;=$E209)*($E208&gt;INDEX(_xlfn.ANCHORARRAY(Sintesi!$C$15),1,$C208))*($E208&lt;INDEX(_xlfn.ANCHORARRAY(Sintesi!$C$16),1,$C208))*(INDEX(_xlfn.ANCHORARRAY(Sintesi!$C$15),1,$C208)&gt;0),2,IF($E208=(INDEX(_xlfn.ANCHORARRAY(Sintesi!$C$16),1,$C208)),3,4)))),0)))</f>
        <v/>
      </c>
      <c r="E208" s="1">
        <f>'Paste cell here'!F208</f>
        <v/>
      </c>
      <c r="F208" s="1">
        <f>'Paste cell here'!C208</f>
        <v/>
      </c>
      <c r="G208" s="1">
        <f>'Paste cell here'!D208</f>
        <v/>
      </c>
      <c r="H208" s="1">
        <f>'Paste cell here'!E208</f>
        <v/>
      </c>
      <c r="I208" s="1">
        <f>'Paste cell here'!X208</f>
        <v/>
      </c>
      <c r="J208" s="1">
        <f>'Paste cell here'!Y208+'Paste cell here'!S208</f>
        <v/>
      </c>
      <c r="K208" s="1">
        <f>I208/H208</f>
        <v/>
      </c>
      <c r="L208" s="1">
        <f>AVERAGE(($F208+$G208)/2-($F208-$G208)/2*COS(PI()*(8-VLOOKUP(MONTH(B208),$O$1:$Q$13,3))/(VLOOKUP(MONTH(B208),$O$1:$Q$13,2)-VLOOKUP(MONTH(B208),$O$1:$Q$13,3))),($F208+$G208)/2-($F208-$G208)/2*COS(PI()*(9-VLOOKUP(MONTH(B208),$O$1:$Q$13,3))/(VLOOKUP(MONTH(B208),$O$1:$Q$13,2)-VLOOKUP(MONTH(B208),$O$1:$Q$13,3))),($F208+$G208)/2-($F208-$G208)/2*COS(PI()*(10-VLOOKUP(MONTH(B208),$O$1:$Q$13,3))/(VLOOKUP(MONTH(B208),$O$1:$Q$13,2)-VLOOKUP(MONTH(B208),$O$1:$Q$13,3))),($F208+$G208)/2-($F208-$G208)/2*COS(PI()*(11-VLOOKUP(MONTH(B208),$O$1:$Q$13,3))/(VLOOKUP(MONTH(B208),$O$1:$Q$13,2)-VLOOKUP(MONTH(B208),$O$1:$Q$13,3))),($F208+$G208)/2-($F208-$G208)/2*COS(PI()*(12-VLOOKUP(MONTH(B208),$O$1:$Q$13,3))/(VLOOKUP(MONTH(B208),$O$1:$Q$13,2)-VLOOKUP(MONTH(B208),$O$1:$Q$13,3))),($F208+$G208)/2-($F208-$G208)/2*COS(PI()*(13-VLOOKUP(MONTH(B208),$O$1:$Q$13,3))/(VLOOKUP(MONTH(B208),$O$1:$Q$13,2)-VLOOKUP(MONTH(B208),$O$1:$Q$13,3))),($F208+$G208)/2-($F208-$G208)/2*COS(PI()*(14-VLOOKUP(MONTH(B208),$O$1:$Q$13,3))/(VLOOKUP(MONTH(B208),$O$1:$Q$13,2)-VLOOKUP(MONTH(B208),$O$1:$Q$13,3))))</f>
        <v/>
      </c>
      <c r="M208" s="1">
        <f t="array" ref="M208">IF(AND(A208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,A208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),IF(L208&lt;_xlfn.IFNA(INDEX(_xlfn.ANCHORARRAY(Sintesi!$C$17)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,1,IF(L208&gt;=_xlfn.IFNA(INDEX(_xlfn.ANCHORARRAY(Sintesi!$C$18)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,0,1-(L208-_xlfn.IFNA(INDEX(_xlfn.ANCHORARRAY(Sintesi!$C$17)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)/(_xlfn.IFNA(INDEX(_xlfn.ANCHORARRAY(Sintesi!$C$18)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-_xlfn.IFNA(INDEX(_xlfn.ANCHORARRAY(Sintesi!$C$17)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))),0)</f>
        <v/>
      </c>
    </row>
    <row r="209">
      <c r="A209" s="1">
        <f>'Paste cell here'!A209</f>
        <v/>
      </c>
      <c r="B209" s="2">
        <f>DATE(Sintesi!$C$4-1,12,31)+A209</f>
        <v/>
      </c>
      <c r="C209" s="34">
        <f t="array" ref="C209">_xlfn.IFNA(MATCH(1,(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)*(_xlfn.ANCHORARRAY(Sintesi!$C$15)&gt;=0)+(_xlfn.ANCHORARRAY(Sintesi!$C$15)&lt;0),0),0)</f>
        <v/>
      </c>
      <c r="D209" s="1">
        <f t="array" ref="D209">IF(ISBLANK($E210),IF(ISNUMBER($E208),IF($C209&gt;0,IF(($E209=INDEX(_xlfn.ANCHORARRAY(Sintesi!$C$14),1,$C209))*(INDEX(_xlfn.ANCHORARRAY(Sintesi!$C$15),1,$C209)&gt;0),0,IF(($E209=INDEX(_xlfn.ANCHORARRAY(Sintesi!$C$14),1,$C209))*(INDEX(_xlfn.ANCHORARRAY(Sintesi!$C$15),1,$C209)&lt;0)+($E209&gt;=$E208)*($E209&lt;=INDEX($E:$E,MATCH(TRUE,INDEX((ISNUMBER($E:$E)),0),0)))*($E209&gt;INDEX(_xlfn.ANCHORARRAY(Sintesi!$C$14),1,$C209))*($E209&lt;=INDEX(_xlfn.ANCHORARRAY(Sintesi!$C$15),1,$C209))*(INDEX(_xlfn.ANCHORARRAY(Sintesi!$C$15),1,$C209)&gt;0),1,IF(($E209&gt;=$E208)*($E209&lt;=INDEX($E:$E,MATCH(TRUE,INDEX((ISNUMBER($E:$E)),0),0)))*($E209&gt;INDEX(_xlfn.ANCHORARRAY(Sintesi!$C$14),1,$C209))*($E209&lt;INDEX(_xlfn.ANCHORARRAY(Sintesi!$C$16),1,$C209))*(INDEX(_xlfn.ANCHORARRAY(Sintesi!$C$15),1,$C209)&lt;0)+($E209&gt;=$E208)*($E209&lt;=INDEX($E:$E,MATCH(TRUE,INDEX((ISNUMBER($E:$E)),0),0)))*($E209&gt;INDEX(_xlfn.ANCHORARRAY(Sintesi!$C$15),1,$C209))*($E209&lt;INDEX(_xlfn.ANCHORARRAY(Sintesi!$C$16),1,$C209))*(INDEX(_xlfn.ANCHORARRAY(Sintesi!$C$15),1,$C209)&gt;0),2,IF($E209=(INDEX(_xlfn.ANCHORARRAY(Sintesi!$C$16),1,$C209)),3,4)))),0),IF($C209&gt;0,IF(($E209=INDEX(_xlfn.ANCHORARRAY(Sintesi!$C$14),1,$C209))*(INDEX(_xlfn.ANCHORARRAY(Sintesi!$C$15),1,$C209)&gt;0),0,IF(($E209=INDEX(_xlfn.ANCHORARRAY(Sintesi!$C$14),1,$C209))*(INDEX(_xlfn.ANCHORARRAY(Sintesi!$C$15),1,$C209)&lt;0)+($E209&gt;=LOOKUP(2,1/($E:$E&lt;&gt;""),$E:$E))*($E209&lt;=INDEX($E:$E,MATCH(TRUE,INDEX((ISNUMBER($E:$E)),0),0)))*($E209&gt;INDEX(_xlfn.ANCHORARRAY(Sintesi!$C$14),1,$C209))*($E209&lt;=INDEX(_xlfn.ANCHORARRAY(Sintesi!$C$15),1,$C209))*(INDEX(_xlfn.ANCHORARRAY(Sintesi!$C$15),1,$C209)&gt;0),1,IF(($E209&gt;=LOOKUP(2,1/($E:$E&lt;&gt;""),$E:$E))*($E209&lt;=INDEX($E:$E,MATCH(TRUE,INDEX((ISNUMBER($E:$E)),0),0)))*($E209&gt;INDEX(_xlfn.ANCHORARRAY(Sintesi!$C$14),1,$C209))*($E209&lt;INDEX(_xlfn.ANCHORARRAY(Sintesi!$C$16),1,$C209))*(INDEX(_xlfn.ANCHORARRAY(Sintesi!$C$15),1,$C209)&lt;0)+($E209&gt;=LOOKUP(2,1/($E:$E&lt;&gt;""),$E:$E))*($E209&lt;=INDEX($E:$E,MATCH(TRUE,INDEX((ISNUMBER($E:$E)),0),0)))*($E209&gt;INDEX(_xlfn.ANCHORARRAY(Sintesi!$C$15),1,$C209))*($E209&lt;INDEX(_xlfn.ANCHORARRAY(Sintesi!$C$16),1,$C209))*(INDEX(_xlfn.ANCHORARRAY(Sintesi!$C$15),1,$C209)&gt;0),2,IF($E209=(INDEX(_xlfn.ANCHORARRAY(Sintesi!$C$16),1,$C209)),3,4)))),0)),IF(ISNUMBER($E208),IF($C209&gt;0,IF(($E209=INDEX(_xlfn.ANCHORARRAY(Sintesi!$C$14),1,$C209))*(INDEX(_xlfn.ANCHORARRAY(Sintesi!$C$15),1,$C209)&gt;0),0,IF(($E209=INDEX(_xlfn.ANCHORARRAY(Sintesi!$C$14),1,$C209))*(INDEX(_xlfn.ANCHORARRAY(Sintesi!$C$15),1,$C209)&lt;0)+($E209&gt;=$E208)*($E209&lt;=$E210)*($E209&gt;INDEX(_xlfn.ANCHORARRAY(Sintesi!$C$14),1,$C209))*($E209&lt;=INDEX(_xlfn.ANCHORARRAY(Sintesi!$C$15),1,$C209))*(INDEX(_xlfn.ANCHORARRAY(Sintesi!$C$15),1,$C209)&gt;0),1,IF(($E209&gt;=$E208)*($E209&lt;=$E210)*($E209&gt;INDEX(_xlfn.ANCHORARRAY(Sintesi!$C$14),1,$C209))*($E209&lt;INDEX(_xlfn.ANCHORARRAY(Sintesi!$C$16),1,$C209))*(INDEX(_xlfn.ANCHORARRAY(Sintesi!$C$15),1,$C209)&lt;0)+($E209&gt;=$E208)*($E209&lt;=$E210)*($E209&gt;INDEX(_xlfn.ANCHORARRAY(Sintesi!$C$15),1,$C209))*($E209&lt;INDEX(_xlfn.ANCHORARRAY(Sintesi!$C$16),1,$C209))*(INDEX(_xlfn.ANCHORARRAY(Sintesi!$C$15),1,$C209)&gt;0),2,IF($E209=(INDEX(_xlfn.ANCHORARRAY(Sintesi!$C$16),1,$C209)),3,4)))),0),IF($C209&gt;0,IF(($E209=INDEX(_xlfn.ANCHORARRAY(Sintesi!$C$14),1,$C209))*(INDEX(_xlfn.ANCHORARRAY(Sintesi!$C$15),1,$C209)&gt;0),0,IF(($E209=INDEX(_xlfn.ANCHORARRAY(Sintesi!$C$14),1,$C209))*(INDEX(_xlfn.ANCHORARRAY(Sintesi!$C$15),1,$C209)&lt;0)+($E209&gt;=LOOKUP(2,1/($E:$E&lt;&gt;""),$E:$E))*($E209&lt;=$E210)*($E209&gt;INDEX(_xlfn.ANCHORARRAY(Sintesi!$C$14),1,$C209))*($E209&lt;=INDEX(_xlfn.ANCHORARRAY(Sintesi!$C$15),1,$C209))*(INDEX(_xlfn.ANCHORARRAY(Sintesi!$C$15),1,$C209)&gt;0),1,IF(($E209&gt;=LOOKUP(2,1/($E:$E&lt;&gt;""),$E:$E))*($E209&lt;=$E210)*($E209&gt;INDEX(_xlfn.ANCHORARRAY(Sintesi!$C$14),1,$C209))*($E209&lt;INDEX(_xlfn.ANCHORARRAY(Sintesi!$C$16),1,$C209))*(INDEX(_xlfn.ANCHORARRAY(Sintesi!$C$15),1,$C209)&lt;0)+($E209&gt;=LOOKUP(2,1/($E:$E&lt;&gt;""),$E:$E))*($E209&lt;=$E210)*($E209&gt;INDEX(_xlfn.ANCHORARRAY(Sintesi!$C$15),1,$C209))*($E209&lt;INDEX(_xlfn.ANCHORARRAY(Sintesi!$C$16),1,$C209))*(INDEX(_xlfn.ANCHORARRAY(Sintesi!$C$15),1,$C209)&gt;0),2,IF($E209=(INDEX(_xlfn.ANCHORARRAY(Sintesi!$C$16),1,$C209)),3,4)))),0)))</f>
        <v/>
      </c>
      <c r="E209" s="1">
        <f>'Paste cell here'!F209</f>
        <v/>
      </c>
      <c r="F209" s="1">
        <f>'Paste cell here'!C209</f>
        <v/>
      </c>
      <c r="G209" s="1">
        <f>'Paste cell here'!D209</f>
        <v/>
      </c>
      <c r="H209" s="1">
        <f>'Paste cell here'!E209</f>
        <v/>
      </c>
      <c r="I209" s="1">
        <f>'Paste cell here'!X209</f>
        <v/>
      </c>
      <c r="J209" s="1">
        <f>'Paste cell here'!Y209+'Paste cell here'!S209</f>
        <v/>
      </c>
      <c r="K209" s="1">
        <f>I209/H209</f>
        <v/>
      </c>
      <c r="L209" s="1">
        <f>AVERAGE(($F209+$G209)/2-($F209-$G209)/2*COS(PI()*(8-VLOOKUP(MONTH(B209),$O$1:$Q$13,3))/(VLOOKUP(MONTH(B209),$O$1:$Q$13,2)-VLOOKUP(MONTH(B209),$O$1:$Q$13,3))),($F209+$G209)/2-($F209-$G209)/2*COS(PI()*(9-VLOOKUP(MONTH(B209),$O$1:$Q$13,3))/(VLOOKUP(MONTH(B209),$O$1:$Q$13,2)-VLOOKUP(MONTH(B209),$O$1:$Q$13,3))),($F209+$G209)/2-($F209-$G209)/2*COS(PI()*(10-VLOOKUP(MONTH(B209),$O$1:$Q$13,3))/(VLOOKUP(MONTH(B209),$O$1:$Q$13,2)-VLOOKUP(MONTH(B209),$O$1:$Q$13,3))),($F209+$G209)/2-($F209-$G209)/2*COS(PI()*(11-VLOOKUP(MONTH(B209),$O$1:$Q$13,3))/(VLOOKUP(MONTH(B209),$O$1:$Q$13,2)-VLOOKUP(MONTH(B209),$O$1:$Q$13,3))),($F209+$G209)/2-($F209-$G209)/2*COS(PI()*(12-VLOOKUP(MONTH(B209),$O$1:$Q$13,3))/(VLOOKUP(MONTH(B209),$O$1:$Q$13,2)-VLOOKUP(MONTH(B209),$O$1:$Q$13,3))),($F209+$G209)/2-($F209-$G209)/2*COS(PI()*(13-VLOOKUP(MONTH(B209),$O$1:$Q$13,3))/(VLOOKUP(MONTH(B209),$O$1:$Q$13,2)-VLOOKUP(MONTH(B209),$O$1:$Q$13,3))),($F209+$G209)/2-($F209-$G209)/2*COS(PI()*(14-VLOOKUP(MONTH(B209),$O$1:$Q$13,3))/(VLOOKUP(MONTH(B209),$O$1:$Q$13,2)-VLOOKUP(MONTH(B209),$O$1:$Q$13,3))))</f>
        <v/>
      </c>
      <c r="M209" s="1">
        <f t="array" ref="M209">IF(AND(A209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,A209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),IF(L209&lt;_xlfn.IFNA(INDEX(_xlfn.ANCHORARRAY(Sintesi!$C$17)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,1,IF(L209&gt;=_xlfn.IFNA(INDEX(_xlfn.ANCHORARRAY(Sintesi!$C$18)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,0,1-(L209-_xlfn.IFNA(INDEX(_xlfn.ANCHORARRAY(Sintesi!$C$17)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)/(_xlfn.IFNA(INDEX(_xlfn.ANCHORARRAY(Sintesi!$C$18)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-_xlfn.IFNA(INDEX(_xlfn.ANCHORARRAY(Sintesi!$C$17)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))),0)</f>
        <v/>
      </c>
    </row>
    <row r="210">
      <c r="A210" s="1">
        <f>'Paste cell here'!A210</f>
        <v/>
      </c>
      <c r="B210" s="2">
        <f>DATE(Sintesi!$C$4-1,12,31)+A210</f>
        <v/>
      </c>
      <c r="C210" s="34">
        <f t="array" ref="C210">_xlfn.IFNA(MATCH(1,(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)*(_xlfn.ANCHORARRAY(Sintesi!$C$15)&gt;=0)+(_xlfn.ANCHORARRAY(Sintesi!$C$15)&lt;0),0),0)</f>
        <v/>
      </c>
      <c r="D210" s="1">
        <f t="array" ref="D210">IF(ISBLANK($E211),IF(ISNUMBER($E209),IF($C210&gt;0,IF(($E210=INDEX(_xlfn.ANCHORARRAY(Sintesi!$C$14),1,$C210))*(INDEX(_xlfn.ANCHORARRAY(Sintesi!$C$15),1,$C210)&gt;0),0,IF(($E210=INDEX(_xlfn.ANCHORARRAY(Sintesi!$C$14),1,$C210))*(INDEX(_xlfn.ANCHORARRAY(Sintesi!$C$15),1,$C210)&lt;0)+($E210&gt;=$E209)*($E210&lt;=INDEX($E:$E,MATCH(TRUE,INDEX((ISNUMBER($E:$E)),0),0)))*($E210&gt;INDEX(_xlfn.ANCHORARRAY(Sintesi!$C$14),1,$C210))*($E210&lt;=INDEX(_xlfn.ANCHORARRAY(Sintesi!$C$15),1,$C210))*(INDEX(_xlfn.ANCHORARRAY(Sintesi!$C$15),1,$C210)&gt;0),1,IF(($E210&gt;=$E209)*($E210&lt;=INDEX($E:$E,MATCH(TRUE,INDEX((ISNUMBER($E:$E)),0),0)))*($E210&gt;INDEX(_xlfn.ANCHORARRAY(Sintesi!$C$14),1,$C210))*($E210&lt;INDEX(_xlfn.ANCHORARRAY(Sintesi!$C$16),1,$C210))*(INDEX(_xlfn.ANCHORARRAY(Sintesi!$C$15),1,$C210)&lt;0)+($E210&gt;=$E209)*($E210&lt;=INDEX($E:$E,MATCH(TRUE,INDEX((ISNUMBER($E:$E)),0),0)))*($E210&gt;INDEX(_xlfn.ANCHORARRAY(Sintesi!$C$15),1,$C210))*($E210&lt;INDEX(_xlfn.ANCHORARRAY(Sintesi!$C$16),1,$C210))*(INDEX(_xlfn.ANCHORARRAY(Sintesi!$C$15),1,$C210)&gt;0),2,IF($E210=(INDEX(_xlfn.ANCHORARRAY(Sintesi!$C$16),1,$C210)),3,4)))),0),IF($C210&gt;0,IF(($E210=INDEX(_xlfn.ANCHORARRAY(Sintesi!$C$14),1,$C210))*(INDEX(_xlfn.ANCHORARRAY(Sintesi!$C$15),1,$C210)&gt;0),0,IF(($E210=INDEX(_xlfn.ANCHORARRAY(Sintesi!$C$14),1,$C210))*(INDEX(_xlfn.ANCHORARRAY(Sintesi!$C$15),1,$C210)&lt;0)+($E210&gt;=LOOKUP(2,1/($E:$E&lt;&gt;""),$E:$E))*($E210&lt;=INDEX($E:$E,MATCH(TRUE,INDEX((ISNUMBER($E:$E)),0),0)))*($E210&gt;INDEX(_xlfn.ANCHORARRAY(Sintesi!$C$14),1,$C210))*($E210&lt;=INDEX(_xlfn.ANCHORARRAY(Sintesi!$C$15),1,$C210))*(INDEX(_xlfn.ANCHORARRAY(Sintesi!$C$15),1,$C210)&gt;0),1,IF(($E210&gt;=LOOKUP(2,1/($E:$E&lt;&gt;""),$E:$E))*($E210&lt;=INDEX($E:$E,MATCH(TRUE,INDEX((ISNUMBER($E:$E)),0),0)))*($E210&gt;INDEX(_xlfn.ANCHORARRAY(Sintesi!$C$14),1,$C210))*($E210&lt;INDEX(_xlfn.ANCHORARRAY(Sintesi!$C$16),1,$C210))*(INDEX(_xlfn.ANCHORARRAY(Sintesi!$C$15),1,$C210)&lt;0)+($E210&gt;=LOOKUP(2,1/($E:$E&lt;&gt;""),$E:$E))*($E210&lt;=INDEX($E:$E,MATCH(TRUE,INDEX((ISNUMBER($E:$E)),0),0)))*($E210&gt;INDEX(_xlfn.ANCHORARRAY(Sintesi!$C$15),1,$C210))*($E210&lt;INDEX(_xlfn.ANCHORARRAY(Sintesi!$C$16),1,$C210))*(INDEX(_xlfn.ANCHORARRAY(Sintesi!$C$15),1,$C210)&gt;0),2,IF($E210=(INDEX(_xlfn.ANCHORARRAY(Sintesi!$C$16),1,$C210)),3,4)))),0)),IF(ISNUMBER($E209),IF($C210&gt;0,IF(($E210=INDEX(_xlfn.ANCHORARRAY(Sintesi!$C$14),1,$C210))*(INDEX(_xlfn.ANCHORARRAY(Sintesi!$C$15),1,$C210)&gt;0),0,IF(($E210=INDEX(_xlfn.ANCHORARRAY(Sintesi!$C$14),1,$C210))*(INDEX(_xlfn.ANCHORARRAY(Sintesi!$C$15),1,$C210)&lt;0)+($E210&gt;=$E209)*($E210&lt;=$E211)*($E210&gt;INDEX(_xlfn.ANCHORARRAY(Sintesi!$C$14),1,$C210))*($E210&lt;=INDEX(_xlfn.ANCHORARRAY(Sintesi!$C$15),1,$C210))*(INDEX(_xlfn.ANCHORARRAY(Sintesi!$C$15),1,$C210)&gt;0),1,IF(($E210&gt;=$E209)*($E210&lt;=$E211)*($E210&gt;INDEX(_xlfn.ANCHORARRAY(Sintesi!$C$14),1,$C210))*($E210&lt;INDEX(_xlfn.ANCHORARRAY(Sintesi!$C$16),1,$C210))*(INDEX(_xlfn.ANCHORARRAY(Sintesi!$C$15),1,$C210)&lt;0)+($E210&gt;=$E209)*($E210&lt;=$E211)*($E210&gt;INDEX(_xlfn.ANCHORARRAY(Sintesi!$C$15),1,$C210))*($E210&lt;INDEX(_xlfn.ANCHORARRAY(Sintesi!$C$16),1,$C210))*(INDEX(_xlfn.ANCHORARRAY(Sintesi!$C$15),1,$C210)&gt;0),2,IF($E210=(INDEX(_xlfn.ANCHORARRAY(Sintesi!$C$16),1,$C210)),3,4)))),0),IF($C210&gt;0,IF(($E210=INDEX(_xlfn.ANCHORARRAY(Sintesi!$C$14),1,$C210))*(INDEX(_xlfn.ANCHORARRAY(Sintesi!$C$15),1,$C210)&gt;0),0,IF(($E210=INDEX(_xlfn.ANCHORARRAY(Sintesi!$C$14),1,$C210))*(INDEX(_xlfn.ANCHORARRAY(Sintesi!$C$15),1,$C210)&lt;0)+($E210&gt;=LOOKUP(2,1/($E:$E&lt;&gt;""),$E:$E))*($E210&lt;=$E211)*($E210&gt;INDEX(_xlfn.ANCHORARRAY(Sintesi!$C$14),1,$C210))*($E210&lt;=INDEX(_xlfn.ANCHORARRAY(Sintesi!$C$15),1,$C210))*(INDEX(_xlfn.ANCHORARRAY(Sintesi!$C$15),1,$C210)&gt;0),1,IF(($E210&gt;=LOOKUP(2,1/($E:$E&lt;&gt;""),$E:$E))*($E210&lt;=$E211)*($E210&gt;INDEX(_xlfn.ANCHORARRAY(Sintesi!$C$14),1,$C210))*($E210&lt;INDEX(_xlfn.ANCHORARRAY(Sintesi!$C$16),1,$C210))*(INDEX(_xlfn.ANCHORARRAY(Sintesi!$C$15),1,$C210)&lt;0)+($E210&gt;=LOOKUP(2,1/($E:$E&lt;&gt;""),$E:$E))*($E210&lt;=$E211)*($E210&gt;INDEX(_xlfn.ANCHORARRAY(Sintesi!$C$15),1,$C210))*($E210&lt;INDEX(_xlfn.ANCHORARRAY(Sintesi!$C$16),1,$C210))*(INDEX(_xlfn.ANCHORARRAY(Sintesi!$C$15),1,$C210)&gt;0),2,IF($E210=(INDEX(_xlfn.ANCHORARRAY(Sintesi!$C$16),1,$C210)),3,4)))),0)))</f>
        <v/>
      </c>
      <c r="E210" s="1">
        <f>'Paste cell here'!F210</f>
        <v/>
      </c>
      <c r="F210" s="1">
        <f>'Paste cell here'!C210</f>
        <v/>
      </c>
      <c r="G210" s="1">
        <f>'Paste cell here'!D210</f>
        <v/>
      </c>
      <c r="H210" s="1">
        <f>'Paste cell here'!E210</f>
        <v/>
      </c>
      <c r="I210" s="1">
        <f>'Paste cell here'!X210</f>
        <v/>
      </c>
      <c r="J210" s="1">
        <f>'Paste cell here'!Y210+'Paste cell here'!S210</f>
        <v/>
      </c>
      <c r="K210" s="1">
        <f>I210/H210</f>
        <v/>
      </c>
      <c r="L210" s="1">
        <f>AVERAGE(($F210+$G210)/2-($F210-$G210)/2*COS(PI()*(8-VLOOKUP(MONTH(B210),$O$1:$Q$13,3))/(VLOOKUP(MONTH(B210),$O$1:$Q$13,2)-VLOOKUP(MONTH(B210),$O$1:$Q$13,3))),($F210+$G210)/2-($F210-$G210)/2*COS(PI()*(9-VLOOKUP(MONTH(B210),$O$1:$Q$13,3))/(VLOOKUP(MONTH(B210),$O$1:$Q$13,2)-VLOOKUP(MONTH(B210),$O$1:$Q$13,3))),($F210+$G210)/2-($F210-$G210)/2*COS(PI()*(10-VLOOKUP(MONTH(B210),$O$1:$Q$13,3))/(VLOOKUP(MONTH(B210),$O$1:$Q$13,2)-VLOOKUP(MONTH(B210),$O$1:$Q$13,3))),($F210+$G210)/2-($F210-$G210)/2*COS(PI()*(11-VLOOKUP(MONTH(B210),$O$1:$Q$13,3))/(VLOOKUP(MONTH(B210),$O$1:$Q$13,2)-VLOOKUP(MONTH(B210),$O$1:$Q$13,3))),($F210+$G210)/2-($F210-$G210)/2*COS(PI()*(12-VLOOKUP(MONTH(B210),$O$1:$Q$13,3))/(VLOOKUP(MONTH(B210),$O$1:$Q$13,2)-VLOOKUP(MONTH(B210),$O$1:$Q$13,3))),($F210+$G210)/2-($F210-$G210)/2*COS(PI()*(13-VLOOKUP(MONTH(B210),$O$1:$Q$13,3))/(VLOOKUP(MONTH(B210),$O$1:$Q$13,2)-VLOOKUP(MONTH(B210),$O$1:$Q$13,3))),($F210+$G210)/2-($F210-$G210)/2*COS(PI()*(14-VLOOKUP(MONTH(B210),$O$1:$Q$13,3))/(VLOOKUP(MONTH(B210),$O$1:$Q$13,2)-VLOOKUP(MONTH(B210),$O$1:$Q$13,3))))</f>
        <v/>
      </c>
      <c r="M210" s="1">
        <f t="array" ref="M210">IF(AND(A210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,A210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),IF(L210&lt;_xlfn.IFNA(INDEX(_xlfn.ANCHORARRAY(Sintesi!$C$17)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,1,IF(L210&gt;=_xlfn.IFNA(INDEX(_xlfn.ANCHORARRAY(Sintesi!$C$18)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,0,1-(L210-_xlfn.IFNA(INDEX(_xlfn.ANCHORARRAY(Sintesi!$C$17)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)/(_xlfn.IFNA(INDEX(_xlfn.ANCHORARRAY(Sintesi!$C$18)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-_xlfn.IFNA(INDEX(_xlfn.ANCHORARRAY(Sintesi!$C$17)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))),0)</f>
        <v/>
      </c>
    </row>
    <row r="211">
      <c r="A211" s="1">
        <f>'Paste cell here'!A211</f>
        <v/>
      </c>
      <c r="B211" s="2">
        <f>DATE(Sintesi!$C$4-1,12,31)+A211</f>
        <v/>
      </c>
      <c r="C211" s="34">
        <f t="array" ref="C211">_xlfn.IFNA(MATCH(1,(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)*(_xlfn.ANCHORARRAY(Sintesi!$C$15)&gt;=0)+(_xlfn.ANCHORARRAY(Sintesi!$C$15)&lt;0),0),0)</f>
        <v/>
      </c>
      <c r="D211" s="1">
        <f t="array" ref="D211">IF(ISBLANK($E212),IF(ISNUMBER($E210),IF($C211&gt;0,IF(($E211=INDEX(_xlfn.ANCHORARRAY(Sintesi!$C$14),1,$C211))*(INDEX(_xlfn.ANCHORARRAY(Sintesi!$C$15),1,$C211)&gt;0),0,IF(($E211=INDEX(_xlfn.ANCHORARRAY(Sintesi!$C$14),1,$C211))*(INDEX(_xlfn.ANCHORARRAY(Sintesi!$C$15),1,$C211)&lt;0)+($E211&gt;=$E210)*($E211&lt;=INDEX($E:$E,MATCH(TRUE,INDEX((ISNUMBER($E:$E)),0),0)))*($E211&gt;INDEX(_xlfn.ANCHORARRAY(Sintesi!$C$14),1,$C211))*($E211&lt;=INDEX(_xlfn.ANCHORARRAY(Sintesi!$C$15),1,$C211))*(INDEX(_xlfn.ANCHORARRAY(Sintesi!$C$15),1,$C211)&gt;0),1,IF(($E211&gt;=$E210)*($E211&lt;=INDEX($E:$E,MATCH(TRUE,INDEX((ISNUMBER($E:$E)),0),0)))*($E211&gt;INDEX(_xlfn.ANCHORARRAY(Sintesi!$C$14),1,$C211))*($E211&lt;INDEX(_xlfn.ANCHORARRAY(Sintesi!$C$16),1,$C211))*(INDEX(_xlfn.ANCHORARRAY(Sintesi!$C$15),1,$C211)&lt;0)+($E211&gt;=$E210)*($E211&lt;=INDEX($E:$E,MATCH(TRUE,INDEX((ISNUMBER($E:$E)),0),0)))*($E211&gt;INDEX(_xlfn.ANCHORARRAY(Sintesi!$C$15),1,$C211))*($E211&lt;INDEX(_xlfn.ANCHORARRAY(Sintesi!$C$16),1,$C211))*(INDEX(_xlfn.ANCHORARRAY(Sintesi!$C$15),1,$C211)&gt;0),2,IF($E211=(INDEX(_xlfn.ANCHORARRAY(Sintesi!$C$16),1,$C211)),3,4)))),0),IF($C211&gt;0,IF(($E211=INDEX(_xlfn.ANCHORARRAY(Sintesi!$C$14),1,$C211))*(INDEX(_xlfn.ANCHORARRAY(Sintesi!$C$15),1,$C211)&gt;0),0,IF(($E211=INDEX(_xlfn.ANCHORARRAY(Sintesi!$C$14),1,$C211))*(INDEX(_xlfn.ANCHORARRAY(Sintesi!$C$15),1,$C211)&lt;0)+($E211&gt;=LOOKUP(2,1/($E:$E&lt;&gt;""),$E:$E))*($E211&lt;=INDEX($E:$E,MATCH(TRUE,INDEX((ISNUMBER($E:$E)),0),0)))*($E211&gt;INDEX(_xlfn.ANCHORARRAY(Sintesi!$C$14),1,$C211))*($E211&lt;=INDEX(_xlfn.ANCHORARRAY(Sintesi!$C$15),1,$C211))*(INDEX(_xlfn.ANCHORARRAY(Sintesi!$C$15),1,$C211)&gt;0),1,IF(($E211&gt;=LOOKUP(2,1/($E:$E&lt;&gt;""),$E:$E))*($E211&lt;=INDEX($E:$E,MATCH(TRUE,INDEX((ISNUMBER($E:$E)),0),0)))*($E211&gt;INDEX(_xlfn.ANCHORARRAY(Sintesi!$C$14),1,$C211))*($E211&lt;INDEX(_xlfn.ANCHORARRAY(Sintesi!$C$16),1,$C211))*(INDEX(_xlfn.ANCHORARRAY(Sintesi!$C$15),1,$C211)&lt;0)+($E211&gt;=LOOKUP(2,1/($E:$E&lt;&gt;""),$E:$E))*($E211&lt;=INDEX($E:$E,MATCH(TRUE,INDEX((ISNUMBER($E:$E)),0),0)))*($E211&gt;INDEX(_xlfn.ANCHORARRAY(Sintesi!$C$15),1,$C211))*($E211&lt;INDEX(_xlfn.ANCHORARRAY(Sintesi!$C$16),1,$C211))*(INDEX(_xlfn.ANCHORARRAY(Sintesi!$C$15),1,$C211)&gt;0),2,IF($E211=(INDEX(_xlfn.ANCHORARRAY(Sintesi!$C$16),1,$C211)),3,4)))),0)),IF(ISNUMBER($E210),IF($C211&gt;0,IF(($E211=INDEX(_xlfn.ANCHORARRAY(Sintesi!$C$14),1,$C211))*(INDEX(_xlfn.ANCHORARRAY(Sintesi!$C$15),1,$C211)&gt;0),0,IF(($E211=INDEX(_xlfn.ANCHORARRAY(Sintesi!$C$14),1,$C211))*(INDEX(_xlfn.ANCHORARRAY(Sintesi!$C$15),1,$C211)&lt;0)+($E211&gt;=$E210)*($E211&lt;=$E212)*($E211&gt;INDEX(_xlfn.ANCHORARRAY(Sintesi!$C$14),1,$C211))*($E211&lt;=INDEX(_xlfn.ANCHORARRAY(Sintesi!$C$15),1,$C211))*(INDEX(_xlfn.ANCHORARRAY(Sintesi!$C$15),1,$C211)&gt;0),1,IF(($E211&gt;=$E210)*($E211&lt;=$E212)*($E211&gt;INDEX(_xlfn.ANCHORARRAY(Sintesi!$C$14),1,$C211))*($E211&lt;INDEX(_xlfn.ANCHORARRAY(Sintesi!$C$16),1,$C211))*(INDEX(_xlfn.ANCHORARRAY(Sintesi!$C$15),1,$C211)&lt;0)+($E211&gt;=$E210)*($E211&lt;=$E212)*($E211&gt;INDEX(_xlfn.ANCHORARRAY(Sintesi!$C$15),1,$C211))*($E211&lt;INDEX(_xlfn.ANCHORARRAY(Sintesi!$C$16),1,$C211))*(INDEX(_xlfn.ANCHORARRAY(Sintesi!$C$15),1,$C211)&gt;0),2,IF($E211=(INDEX(_xlfn.ANCHORARRAY(Sintesi!$C$16),1,$C211)),3,4)))),0),IF($C211&gt;0,IF(($E211=INDEX(_xlfn.ANCHORARRAY(Sintesi!$C$14),1,$C211))*(INDEX(_xlfn.ANCHORARRAY(Sintesi!$C$15),1,$C211)&gt;0),0,IF(($E211=INDEX(_xlfn.ANCHORARRAY(Sintesi!$C$14),1,$C211))*(INDEX(_xlfn.ANCHORARRAY(Sintesi!$C$15),1,$C211)&lt;0)+($E211&gt;=LOOKUP(2,1/($E:$E&lt;&gt;""),$E:$E))*($E211&lt;=$E212)*($E211&gt;INDEX(_xlfn.ANCHORARRAY(Sintesi!$C$14),1,$C211))*($E211&lt;=INDEX(_xlfn.ANCHORARRAY(Sintesi!$C$15),1,$C211))*(INDEX(_xlfn.ANCHORARRAY(Sintesi!$C$15),1,$C211)&gt;0),1,IF(($E211&gt;=LOOKUP(2,1/($E:$E&lt;&gt;""),$E:$E))*($E211&lt;=$E212)*($E211&gt;INDEX(_xlfn.ANCHORARRAY(Sintesi!$C$14),1,$C211))*($E211&lt;INDEX(_xlfn.ANCHORARRAY(Sintesi!$C$16),1,$C211))*(INDEX(_xlfn.ANCHORARRAY(Sintesi!$C$15),1,$C211)&lt;0)+($E211&gt;=LOOKUP(2,1/($E:$E&lt;&gt;""),$E:$E))*($E211&lt;=$E212)*($E211&gt;INDEX(_xlfn.ANCHORARRAY(Sintesi!$C$15),1,$C211))*($E211&lt;INDEX(_xlfn.ANCHORARRAY(Sintesi!$C$16),1,$C211))*(INDEX(_xlfn.ANCHORARRAY(Sintesi!$C$15),1,$C211)&gt;0),2,IF($E211=(INDEX(_xlfn.ANCHORARRAY(Sintesi!$C$16),1,$C211)),3,4)))),0)))</f>
        <v/>
      </c>
      <c r="E211" s="1">
        <f>'Paste cell here'!F211</f>
        <v/>
      </c>
      <c r="F211" s="1">
        <f>'Paste cell here'!C211</f>
        <v/>
      </c>
      <c r="G211" s="1">
        <f>'Paste cell here'!D211</f>
        <v/>
      </c>
      <c r="H211" s="1">
        <f>'Paste cell here'!E211</f>
        <v/>
      </c>
      <c r="I211" s="1">
        <f>'Paste cell here'!X211</f>
        <v/>
      </c>
      <c r="J211" s="1">
        <f>'Paste cell here'!Y211+'Paste cell here'!S211</f>
        <v/>
      </c>
      <c r="K211" s="1">
        <f>I211/H211</f>
        <v/>
      </c>
      <c r="L211" s="1">
        <f>AVERAGE(($F211+$G211)/2-($F211-$G211)/2*COS(PI()*(8-VLOOKUP(MONTH(B211),$O$1:$Q$13,3))/(VLOOKUP(MONTH(B211),$O$1:$Q$13,2)-VLOOKUP(MONTH(B211),$O$1:$Q$13,3))),($F211+$G211)/2-($F211-$G211)/2*COS(PI()*(9-VLOOKUP(MONTH(B211),$O$1:$Q$13,3))/(VLOOKUP(MONTH(B211),$O$1:$Q$13,2)-VLOOKUP(MONTH(B211),$O$1:$Q$13,3))),($F211+$G211)/2-($F211-$G211)/2*COS(PI()*(10-VLOOKUP(MONTH(B211),$O$1:$Q$13,3))/(VLOOKUP(MONTH(B211),$O$1:$Q$13,2)-VLOOKUP(MONTH(B211),$O$1:$Q$13,3))),($F211+$G211)/2-($F211-$G211)/2*COS(PI()*(11-VLOOKUP(MONTH(B211),$O$1:$Q$13,3))/(VLOOKUP(MONTH(B211),$O$1:$Q$13,2)-VLOOKUP(MONTH(B211),$O$1:$Q$13,3))),($F211+$G211)/2-($F211-$G211)/2*COS(PI()*(12-VLOOKUP(MONTH(B211),$O$1:$Q$13,3))/(VLOOKUP(MONTH(B211),$O$1:$Q$13,2)-VLOOKUP(MONTH(B211),$O$1:$Q$13,3))),($F211+$G211)/2-($F211-$G211)/2*COS(PI()*(13-VLOOKUP(MONTH(B211),$O$1:$Q$13,3))/(VLOOKUP(MONTH(B211),$O$1:$Q$13,2)-VLOOKUP(MONTH(B211),$O$1:$Q$13,3))),($F211+$G211)/2-($F211-$G211)/2*COS(PI()*(14-VLOOKUP(MONTH(B211),$O$1:$Q$13,3))/(VLOOKUP(MONTH(B211),$O$1:$Q$13,2)-VLOOKUP(MONTH(B211),$O$1:$Q$13,3))))</f>
        <v/>
      </c>
      <c r="M211" s="1">
        <f t="array" ref="M211">IF(AND(A211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,A211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),IF(L211&lt;_xlfn.IFNA(INDEX(_xlfn.ANCHORARRAY(Sintesi!$C$17)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,1,IF(L211&gt;=_xlfn.IFNA(INDEX(_xlfn.ANCHORARRAY(Sintesi!$C$18)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,0,1-(L211-_xlfn.IFNA(INDEX(_xlfn.ANCHORARRAY(Sintesi!$C$17)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)/(_xlfn.IFNA(INDEX(_xlfn.ANCHORARRAY(Sintesi!$C$18)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-_xlfn.IFNA(INDEX(_xlfn.ANCHORARRAY(Sintesi!$C$17)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))),0)</f>
        <v/>
      </c>
    </row>
    <row r="212">
      <c r="A212" s="1">
        <f>'Paste cell here'!A212</f>
        <v/>
      </c>
      <c r="B212" s="2">
        <f>DATE(Sintesi!$C$4-1,12,31)+A212</f>
        <v/>
      </c>
      <c r="C212" s="34">
        <f t="array" ref="C212">_xlfn.IFNA(MATCH(1,(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)*(_xlfn.ANCHORARRAY(Sintesi!$C$15)&gt;=0)+(_xlfn.ANCHORARRAY(Sintesi!$C$15)&lt;0),0),0)</f>
        <v/>
      </c>
      <c r="D212" s="1">
        <f t="array" ref="D212">IF(ISBLANK($E213),IF(ISNUMBER($E211),IF($C212&gt;0,IF(($E212=INDEX(_xlfn.ANCHORARRAY(Sintesi!$C$14),1,$C212))*(INDEX(_xlfn.ANCHORARRAY(Sintesi!$C$15),1,$C212)&gt;0),0,IF(($E212=INDEX(_xlfn.ANCHORARRAY(Sintesi!$C$14),1,$C212))*(INDEX(_xlfn.ANCHORARRAY(Sintesi!$C$15),1,$C212)&lt;0)+($E212&gt;=$E211)*($E212&lt;=INDEX($E:$E,MATCH(TRUE,INDEX((ISNUMBER($E:$E)),0),0)))*($E212&gt;INDEX(_xlfn.ANCHORARRAY(Sintesi!$C$14),1,$C212))*($E212&lt;=INDEX(_xlfn.ANCHORARRAY(Sintesi!$C$15),1,$C212))*(INDEX(_xlfn.ANCHORARRAY(Sintesi!$C$15),1,$C212)&gt;0),1,IF(($E212&gt;=$E211)*($E212&lt;=INDEX($E:$E,MATCH(TRUE,INDEX((ISNUMBER($E:$E)),0),0)))*($E212&gt;INDEX(_xlfn.ANCHORARRAY(Sintesi!$C$14),1,$C212))*($E212&lt;INDEX(_xlfn.ANCHORARRAY(Sintesi!$C$16),1,$C212))*(INDEX(_xlfn.ANCHORARRAY(Sintesi!$C$15),1,$C212)&lt;0)+($E212&gt;=$E211)*($E212&lt;=INDEX($E:$E,MATCH(TRUE,INDEX((ISNUMBER($E:$E)),0),0)))*($E212&gt;INDEX(_xlfn.ANCHORARRAY(Sintesi!$C$15),1,$C212))*($E212&lt;INDEX(_xlfn.ANCHORARRAY(Sintesi!$C$16),1,$C212))*(INDEX(_xlfn.ANCHORARRAY(Sintesi!$C$15),1,$C212)&gt;0),2,IF($E212=(INDEX(_xlfn.ANCHORARRAY(Sintesi!$C$16),1,$C212)),3,4)))),0),IF($C212&gt;0,IF(($E212=INDEX(_xlfn.ANCHORARRAY(Sintesi!$C$14),1,$C212))*(INDEX(_xlfn.ANCHORARRAY(Sintesi!$C$15),1,$C212)&gt;0),0,IF(($E212=INDEX(_xlfn.ANCHORARRAY(Sintesi!$C$14),1,$C212))*(INDEX(_xlfn.ANCHORARRAY(Sintesi!$C$15),1,$C212)&lt;0)+($E212&gt;=LOOKUP(2,1/($E:$E&lt;&gt;""),$E:$E))*($E212&lt;=INDEX($E:$E,MATCH(TRUE,INDEX((ISNUMBER($E:$E)),0),0)))*($E212&gt;INDEX(_xlfn.ANCHORARRAY(Sintesi!$C$14),1,$C212))*($E212&lt;=INDEX(_xlfn.ANCHORARRAY(Sintesi!$C$15),1,$C212))*(INDEX(_xlfn.ANCHORARRAY(Sintesi!$C$15),1,$C212)&gt;0),1,IF(($E212&gt;=LOOKUP(2,1/($E:$E&lt;&gt;""),$E:$E))*($E212&lt;=INDEX($E:$E,MATCH(TRUE,INDEX((ISNUMBER($E:$E)),0),0)))*($E212&gt;INDEX(_xlfn.ANCHORARRAY(Sintesi!$C$14),1,$C212))*($E212&lt;INDEX(_xlfn.ANCHORARRAY(Sintesi!$C$16),1,$C212))*(INDEX(_xlfn.ANCHORARRAY(Sintesi!$C$15),1,$C212)&lt;0)+($E212&gt;=LOOKUP(2,1/($E:$E&lt;&gt;""),$E:$E))*($E212&lt;=INDEX($E:$E,MATCH(TRUE,INDEX((ISNUMBER($E:$E)),0),0)))*($E212&gt;INDEX(_xlfn.ANCHORARRAY(Sintesi!$C$15),1,$C212))*($E212&lt;INDEX(_xlfn.ANCHORARRAY(Sintesi!$C$16),1,$C212))*(INDEX(_xlfn.ANCHORARRAY(Sintesi!$C$15),1,$C212)&gt;0),2,IF($E212=(INDEX(_xlfn.ANCHORARRAY(Sintesi!$C$16),1,$C212)),3,4)))),0)),IF(ISNUMBER($E211),IF($C212&gt;0,IF(($E212=INDEX(_xlfn.ANCHORARRAY(Sintesi!$C$14),1,$C212))*(INDEX(_xlfn.ANCHORARRAY(Sintesi!$C$15),1,$C212)&gt;0),0,IF(($E212=INDEX(_xlfn.ANCHORARRAY(Sintesi!$C$14),1,$C212))*(INDEX(_xlfn.ANCHORARRAY(Sintesi!$C$15),1,$C212)&lt;0)+($E212&gt;=$E211)*($E212&lt;=$E213)*($E212&gt;INDEX(_xlfn.ANCHORARRAY(Sintesi!$C$14),1,$C212))*($E212&lt;=INDEX(_xlfn.ANCHORARRAY(Sintesi!$C$15),1,$C212))*(INDEX(_xlfn.ANCHORARRAY(Sintesi!$C$15),1,$C212)&gt;0),1,IF(($E212&gt;=$E211)*($E212&lt;=$E213)*($E212&gt;INDEX(_xlfn.ANCHORARRAY(Sintesi!$C$14),1,$C212))*($E212&lt;INDEX(_xlfn.ANCHORARRAY(Sintesi!$C$16),1,$C212))*(INDEX(_xlfn.ANCHORARRAY(Sintesi!$C$15),1,$C212)&lt;0)+($E212&gt;=$E211)*($E212&lt;=$E213)*($E212&gt;INDEX(_xlfn.ANCHORARRAY(Sintesi!$C$15),1,$C212))*($E212&lt;INDEX(_xlfn.ANCHORARRAY(Sintesi!$C$16),1,$C212))*(INDEX(_xlfn.ANCHORARRAY(Sintesi!$C$15),1,$C212)&gt;0),2,IF($E212=(INDEX(_xlfn.ANCHORARRAY(Sintesi!$C$16),1,$C212)),3,4)))),0),IF($C212&gt;0,IF(($E212=INDEX(_xlfn.ANCHORARRAY(Sintesi!$C$14),1,$C212))*(INDEX(_xlfn.ANCHORARRAY(Sintesi!$C$15),1,$C212)&gt;0),0,IF(($E212=INDEX(_xlfn.ANCHORARRAY(Sintesi!$C$14),1,$C212))*(INDEX(_xlfn.ANCHORARRAY(Sintesi!$C$15),1,$C212)&lt;0)+($E212&gt;=LOOKUP(2,1/($E:$E&lt;&gt;""),$E:$E))*($E212&lt;=$E213)*($E212&gt;INDEX(_xlfn.ANCHORARRAY(Sintesi!$C$14),1,$C212))*($E212&lt;=INDEX(_xlfn.ANCHORARRAY(Sintesi!$C$15),1,$C212))*(INDEX(_xlfn.ANCHORARRAY(Sintesi!$C$15),1,$C212)&gt;0),1,IF(($E212&gt;=LOOKUP(2,1/($E:$E&lt;&gt;""),$E:$E))*($E212&lt;=$E213)*($E212&gt;INDEX(_xlfn.ANCHORARRAY(Sintesi!$C$14),1,$C212))*($E212&lt;INDEX(_xlfn.ANCHORARRAY(Sintesi!$C$16),1,$C212))*(INDEX(_xlfn.ANCHORARRAY(Sintesi!$C$15),1,$C212)&lt;0)+($E212&gt;=LOOKUP(2,1/($E:$E&lt;&gt;""),$E:$E))*($E212&lt;=$E213)*($E212&gt;INDEX(_xlfn.ANCHORARRAY(Sintesi!$C$15),1,$C212))*($E212&lt;INDEX(_xlfn.ANCHORARRAY(Sintesi!$C$16),1,$C212))*(INDEX(_xlfn.ANCHORARRAY(Sintesi!$C$15),1,$C212)&gt;0),2,IF($E212=(INDEX(_xlfn.ANCHORARRAY(Sintesi!$C$16),1,$C212)),3,4)))),0)))</f>
        <v/>
      </c>
      <c r="E212" s="1">
        <f>'Paste cell here'!F212</f>
        <v/>
      </c>
      <c r="F212" s="1">
        <f>'Paste cell here'!C212</f>
        <v/>
      </c>
      <c r="G212" s="1">
        <f>'Paste cell here'!D212</f>
        <v/>
      </c>
      <c r="H212" s="1">
        <f>'Paste cell here'!E212</f>
        <v/>
      </c>
      <c r="I212" s="1">
        <f>'Paste cell here'!X212</f>
        <v/>
      </c>
      <c r="J212" s="1">
        <f>'Paste cell here'!Y212+'Paste cell here'!S212</f>
        <v/>
      </c>
      <c r="K212" s="1">
        <f>I212/H212</f>
        <v/>
      </c>
      <c r="L212" s="1">
        <f>AVERAGE(($F212+$G212)/2-($F212-$G212)/2*COS(PI()*(8-VLOOKUP(MONTH(B212),$O$1:$Q$13,3))/(VLOOKUP(MONTH(B212),$O$1:$Q$13,2)-VLOOKUP(MONTH(B212),$O$1:$Q$13,3))),($F212+$G212)/2-($F212-$G212)/2*COS(PI()*(9-VLOOKUP(MONTH(B212),$O$1:$Q$13,3))/(VLOOKUP(MONTH(B212),$O$1:$Q$13,2)-VLOOKUP(MONTH(B212),$O$1:$Q$13,3))),($F212+$G212)/2-($F212-$G212)/2*COS(PI()*(10-VLOOKUP(MONTH(B212),$O$1:$Q$13,3))/(VLOOKUP(MONTH(B212),$O$1:$Q$13,2)-VLOOKUP(MONTH(B212),$O$1:$Q$13,3))),($F212+$G212)/2-($F212-$G212)/2*COS(PI()*(11-VLOOKUP(MONTH(B212),$O$1:$Q$13,3))/(VLOOKUP(MONTH(B212),$O$1:$Q$13,2)-VLOOKUP(MONTH(B212),$O$1:$Q$13,3))),($F212+$G212)/2-($F212-$G212)/2*COS(PI()*(12-VLOOKUP(MONTH(B212),$O$1:$Q$13,3))/(VLOOKUP(MONTH(B212),$O$1:$Q$13,2)-VLOOKUP(MONTH(B212),$O$1:$Q$13,3))),($F212+$G212)/2-($F212-$G212)/2*COS(PI()*(13-VLOOKUP(MONTH(B212),$O$1:$Q$13,3))/(VLOOKUP(MONTH(B212),$O$1:$Q$13,2)-VLOOKUP(MONTH(B212),$O$1:$Q$13,3))),($F212+$G212)/2-($F212-$G212)/2*COS(PI()*(14-VLOOKUP(MONTH(B212),$O$1:$Q$13,3))/(VLOOKUP(MONTH(B212),$O$1:$Q$13,2)-VLOOKUP(MONTH(B212),$O$1:$Q$13,3))))</f>
        <v/>
      </c>
      <c r="M212" s="1">
        <f t="array" ref="M212">IF(AND(A212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,A212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),IF(L212&lt;_xlfn.IFNA(INDEX(_xlfn.ANCHORARRAY(Sintesi!$C$17)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,1,IF(L212&gt;=_xlfn.IFNA(INDEX(_xlfn.ANCHORARRAY(Sintesi!$C$18)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,0,1-(L212-_xlfn.IFNA(INDEX(_xlfn.ANCHORARRAY(Sintesi!$C$17)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)/(_xlfn.IFNA(INDEX(_xlfn.ANCHORARRAY(Sintesi!$C$18)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-_xlfn.IFNA(INDEX(_xlfn.ANCHORARRAY(Sintesi!$C$17)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))),0)</f>
        <v/>
      </c>
    </row>
    <row r="213">
      <c r="A213" s="1">
        <f>'Paste cell here'!A213</f>
        <v/>
      </c>
      <c r="B213" s="2">
        <f>DATE(Sintesi!$C$4-1,12,31)+A213</f>
        <v/>
      </c>
      <c r="C213" s="34">
        <f t="array" ref="C213">_xlfn.IFNA(MATCH(1,(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)*(_xlfn.ANCHORARRAY(Sintesi!$C$15)&gt;=0)+(_xlfn.ANCHORARRAY(Sintesi!$C$15)&lt;0),0),0)</f>
        <v/>
      </c>
      <c r="D213" s="1">
        <f t="array" ref="D213">IF(ISBLANK($E214),IF(ISNUMBER($E212),IF($C213&gt;0,IF(($E213=INDEX(_xlfn.ANCHORARRAY(Sintesi!$C$14),1,$C213))*(INDEX(_xlfn.ANCHORARRAY(Sintesi!$C$15),1,$C213)&gt;0),0,IF(($E213=INDEX(_xlfn.ANCHORARRAY(Sintesi!$C$14),1,$C213))*(INDEX(_xlfn.ANCHORARRAY(Sintesi!$C$15),1,$C213)&lt;0)+($E213&gt;=$E212)*($E213&lt;=INDEX($E:$E,MATCH(TRUE,INDEX((ISNUMBER($E:$E)),0),0)))*($E213&gt;INDEX(_xlfn.ANCHORARRAY(Sintesi!$C$14),1,$C213))*($E213&lt;=INDEX(_xlfn.ANCHORARRAY(Sintesi!$C$15),1,$C213))*(INDEX(_xlfn.ANCHORARRAY(Sintesi!$C$15),1,$C213)&gt;0),1,IF(($E213&gt;=$E212)*($E213&lt;=INDEX($E:$E,MATCH(TRUE,INDEX((ISNUMBER($E:$E)),0),0)))*($E213&gt;INDEX(_xlfn.ANCHORARRAY(Sintesi!$C$14),1,$C213))*($E213&lt;INDEX(_xlfn.ANCHORARRAY(Sintesi!$C$16),1,$C213))*(INDEX(_xlfn.ANCHORARRAY(Sintesi!$C$15),1,$C213)&lt;0)+($E213&gt;=$E212)*($E213&lt;=INDEX($E:$E,MATCH(TRUE,INDEX((ISNUMBER($E:$E)),0),0)))*($E213&gt;INDEX(_xlfn.ANCHORARRAY(Sintesi!$C$15),1,$C213))*($E213&lt;INDEX(_xlfn.ANCHORARRAY(Sintesi!$C$16),1,$C213))*(INDEX(_xlfn.ANCHORARRAY(Sintesi!$C$15),1,$C213)&gt;0),2,IF($E213=(INDEX(_xlfn.ANCHORARRAY(Sintesi!$C$16),1,$C213)),3,4)))),0),IF($C213&gt;0,IF(($E213=INDEX(_xlfn.ANCHORARRAY(Sintesi!$C$14),1,$C213))*(INDEX(_xlfn.ANCHORARRAY(Sintesi!$C$15),1,$C213)&gt;0),0,IF(($E213=INDEX(_xlfn.ANCHORARRAY(Sintesi!$C$14),1,$C213))*(INDEX(_xlfn.ANCHORARRAY(Sintesi!$C$15),1,$C213)&lt;0)+($E213&gt;=LOOKUP(2,1/($E:$E&lt;&gt;""),$E:$E))*($E213&lt;=INDEX($E:$E,MATCH(TRUE,INDEX((ISNUMBER($E:$E)),0),0)))*($E213&gt;INDEX(_xlfn.ANCHORARRAY(Sintesi!$C$14),1,$C213))*($E213&lt;=INDEX(_xlfn.ANCHORARRAY(Sintesi!$C$15),1,$C213))*(INDEX(_xlfn.ANCHORARRAY(Sintesi!$C$15),1,$C213)&gt;0),1,IF(($E213&gt;=LOOKUP(2,1/($E:$E&lt;&gt;""),$E:$E))*($E213&lt;=INDEX($E:$E,MATCH(TRUE,INDEX((ISNUMBER($E:$E)),0),0)))*($E213&gt;INDEX(_xlfn.ANCHORARRAY(Sintesi!$C$14),1,$C213))*($E213&lt;INDEX(_xlfn.ANCHORARRAY(Sintesi!$C$16),1,$C213))*(INDEX(_xlfn.ANCHORARRAY(Sintesi!$C$15),1,$C213)&lt;0)+($E213&gt;=LOOKUP(2,1/($E:$E&lt;&gt;""),$E:$E))*($E213&lt;=INDEX($E:$E,MATCH(TRUE,INDEX((ISNUMBER($E:$E)),0),0)))*($E213&gt;INDEX(_xlfn.ANCHORARRAY(Sintesi!$C$15),1,$C213))*($E213&lt;INDEX(_xlfn.ANCHORARRAY(Sintesi!$C$16),1,$C213))*(INDEX(_xlfn.ANCHORARRAY(Sintesi!$C$15),1,$C213)&gt;0),2,IF($E213=(INDEX(_xlfn.ANCHORARRAY(Sintesi!$C$16),1,$C213)),3,4)))),0)),IF(ISNUMBER($E212),IF($C213&gt;0,IF(($E213=INDEX(_xlfn.ANCHORARRAY(Sintesi!$C$14),1,$C213))*(INDEX(_xlfn.ANCHORARRAY(Sintesi!$C$15),1,$C213)&gt;0),0,IF(($E213=INDEX(_xlfn.ANCHORARRAY(Sintesi!$C$14),1,$C213))*(INDEX(_xlfn.ANCHORARRAY(Sintesi!$C$15),1,$C213)&lt;0)+($E213&gt;=$E212)*($E213&lt;=$E214)*($E213&gt;INDEX(_xlfn.ANCHORARRAY(Sintesi!$C$14),1,$C213))*($E213&lt;=INDEX(_xlfn.ANCHORARRAY(Sintesi!$C$15),1,$C213))*(INDEX(_xlfn.ANCHORARRAY(Sintesi!$C$15),1,$C213)&gt;0),1,IF(($E213&gt;=$E212)*($E213&lt;=$E214)*($E213&gt;INDEX(_xlfn.ANCHORARRAY(Sintesi!$C$14),1,$C213))*($E213&lt;INDEX(_xlfn.ANCHORARRAY(Sintesi!$C$16),1,$C213))*(INDEX(_xlfn.ANCHORARRAY(Sintesi!$C$15),1,$C213)&lt;0)+($E213&gt;=$E212)*($E213&lt;=$E214)*($E213&gt;INDEX(_xlfn.ANCHORARRAY(Sintesi!$C$15),1,$C213))*($E213&lt;INDEX(_xlfn.ANCHORARRAY(Sintesi!$C$16),1,$C213))*(INDEX(_xlfn.ANCHORARRAY(Sintesi!$C$15),1,$C213)&gt;0),2,IF($E213=(INDEX(_xlfn.ANCHORARRAY(Sintesi!$C$16),1,$C213)),3,4)))),0),IF($C213&gt;0,IF(($E213=INDEX(_xlfn.ANCHORARRAY(Sintesi!$C$14),1,$C213))*(INDEX(_xlfn.ANCHORARRAY(Sintesi!$C$15),1,$C213)&gt;0),0,IF(($E213=INDEX(_xlfn.ANCHORARRAY(Sintesi!$C$14),1,$C213))*(INDEX(_xlfn.ANCHORARRAY(Sintesi!$C$15),1,$C213)&lt;0)+($E213&gt;=LOOKUP(2,1/($E:$E&lt;&gt;""),$E:$E))*($E213&lt;=$E214)*($E213&gt;INDEX(_xlfn.ANCHORARRAY(Sintesi!$C$14),1,$C213))*($E213&lt;=INDEX(_xlfn.ANCHORARRAY(Sintesi!$C$15),1,$C213))*(INDEX(_xlfn.ANCHORARRAY(Sintesi!$C$15),1,$C213)&gt;0),1,IF(($E213&gt;=LOOKUP(2,1/($E:$E&lt;&gt;""),$E:$E))*($E213&lt;=$E214)*($E213&gt;INDEX(_xlfn.ANCHORARRAY(Sintesi!$C$14),1,$C213))*($E213&lt;INDEX(_xlfn.ANCHORARRAY(Sintesi!$C$16),1,$C213))*(INDEX(_xlfn.ANCHORARRAY(Sintesi!$C$15),1,$C213)&lt;0)+($E213&gt;=LOOKUP(2,1/($E:$E&lt;&gt;""),$E:$E))*($E213&lt;=$E214)*($E213&gt;INDEX(_xlfn.ANCHORARRAY(Sintesi!$C$15),1,$C213))*($E213&lt;INDEX(_xlfn.ANCHORARRAY(Sintesi!$C$16),1,$C213))*(INDEX(_xlfn.ANCHORARRAY(Sintesi!$C$15),1,$C213)&gt;0),2,IF($E213=(INDEX(_xlfn.ANCHORARRAY(Sintesi!$C$16),1,$C213)),3,4)))),0)))</f>
        <v/>
      </c>
      <c r="E213" s="1">
        <f>'Paste cell here'!F213</f>
        <v/>
      </c>
      <c r="F213" s="1">
        <f>'Paste cell here'!C213</f>
        <v/>
      </c>
      <c r="G213" s="1">
        <f>'Paste cell here'!D213</f>
        <v/>
      </c>
      <c r="H213" s="1">
        <f>'Paste cell here'!E213</f>
        <v/>
      </c>
      <c r="I213" s="1">
        <f>'Paste cell here'!X213</f>
        <v/>
      </c>
      <c r="J213" s="1">
        <f>'Paste cell here'!Y213+'Paste cell here'!S213</f>
        <v/>
      </c>
      <c r="K213" s="1">
        <f>I213/H213</f>
        <v/>
      </c>
      <c r="L213" s="1">
        <f>AVERAGE(($F213+$G213)/2-($F213-$G213)/2*COS(PI()*(8-VLOOKUP(MONTH(B213),$O$1:$Q$13,3))/(VLOOKUP(MONTH(B213),$O$1:$Q$13,2)-VLOOKUP(MONTH(B213),$O$1:$Q$13,3))),($F213+$G213)/2-($F213-$G213)/2*COS(PI()*(9-VLOOKUP(MONTH(B213),$O$1:$Q$13,3))/(VLOOKUP(MONTH(B213),$O$1:$Q$13,2)-VLOOKUP(MONTH(B213),$O$1:$Q$13,3))),($F213+$G213)/2-($F213-$G213)/2*COS(PI()*(10-VLOOKUP(MONTH(B213),$O$1:$Q$13,3))/(VLOOKUP(MONTH(B213),$O$1:$Q$13,2)-VLOOKUP(MONTH(B213),$O$1:$Q$13,3))),($F213+$G213)/2-($F213-$G213)/2*COS(PI()*(11-VLOOKUP(MONTH(B213),$O$1:$Q$13,3))/(VLOOKUP(MONTH(B213),$O$1:$Q$13,2)-VLOOKUP(MONTH(B213),$O$1:$Q$13,3))),($F213+$G213)/2-($F213-$G213)/2*COS(PI()*(12-VLOOKUP(MONTH(B213),$O$1:$Q$13,3))/(VLOOKUP(MONTH(B213),$O$1:$Q$13,2)-VLOOKUP(MONTH(B213),$O$1:$Q$13,3))),($F213+$G213)/2-($F213-$G213)/2*COS(PI()*(13-VLOOKUP(MONTH(B213),$O$1:$Q$13,3))/(VLOOKUP(MONTH(B213),$O$1:$Q$13,2)-VLOOKUP(MONTH(B213),$O$1:$Q$13,3))),($F213+$G213)/2-($F213-$G213)/2*COS(PI()*(14-VLOOKUP(MONTH(B213),$O$1:$Q$13,3))/(VLOOKUP(MONTH(B213),$O$1:$Q$13,2)-VLOOKUP(MONTH(B213),$O$1:$Q$13,3))))</f>
        <v/>
      </c>
      <c r="M213" s="1">
        <f t="array" ref="M213">IF(AND(A213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,A213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),IF(L213&lt;_xlfn.IFNA(INDEX(_xlfn.ANCHORARRAY(Sintesi!$C$17)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,1,IF(L213&gt;=_xlfn.IFNA(INDEX(_xlfn.ANCHORARRAY(Sintesi!$C$18)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,0,1-(L213-_xlfn.IFNA(INDEX(_xlfn.ANCHORARRAY(Sintesi!$C$17)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)/(_xlfn.IFNA(INDEX(_xlfn.ANCHORARRAY(Sintesi!$C$18)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-_xlfn.IFNA(INDEX(_xlfn.ANCHORARRAY(Sintesi!$C$17)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))),0)</f>
        <v/>
      </c>
    </row>
    <row r="214">
      <c r="A214" s="1">
        <f>'Paste cell here'!A214</f>
        <v/>
      </c>
      <c r="B214" s="2">
        <f>DATE(Sintesi!$C$4-1,12,31)+A214</f>
        <v/>
      </c>
      <c r="C214" s="34">
        <f t="array" ref="C214">_xlfn.IFNA(MATCH(1,(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)*(_xlfn.ANCHORARRAY(Sintesi!$C$15)&gt;=0)+(_xlfn.ANCHORARRAY(Sintesi!$C$15)&lt;0),0),0)</f>
        <v/>
      </c>
      <c r="D214" s="1">
        <f t="array" ref="D214">IF(ISBLANK($E215),IF(ISNUMBER($E213),IF($C214&gt;0,IF(($E214=INDEX(_xlfn.ANCHORARRAY(Sintesi!$C$14),1,$C214))*(INDEX(_xlfn.ANCHORARRAY(Sintesi!$C$15),1,$C214)&gt;0),0,IF(($E214=INDEX(_xlfn.ANCHORARRAY(Sintesi!$C$14),1,$C214))*(INDEX(_xlfn.ANCHORARRAY(Sintesi!$C$15),1,$C214)&lt;0)+($E214&gt;=$E213)*($E214&lt;=INDEX($E:$E,MATCH(TRUE,INDEX((ISNUMBER($E:$E)),0),0)))*($E214&gt;INDEX(_xlfn.ANCHORARRAY(Sintesi!$C$14),1,$C214))*($E214&lt;=INDEX(_xlfn.ANCHORARRAY(Sintesi!$C$15),1,$C214))*(INDEX(_xlfn.ANCHORARRAY(Sintesi!$C$15),1,$C214)&gt;0),1,IF(($E214&gt;=$E213)*($E214&lt;=INDEX($E:$E,MATCH(TRUE,INDEX((ISNUMBER($E:$E)),0),0)))*($E214&gt;INDEX(_xlfn.ANCHORARRAY(Sintesi!$C$14),1,$C214))*($E214&lt;INDEX(_xlfn.ANCHORARRAY(Sintesi!$C$16),1,$C214))*(INDEX(_xlfn.ANCHORARRAY(Sintesi!$C$15),1,$C214)&lt;0)+($E214&gt;=$E213)*($E214&lt;=INDEX($E:$E,MATCH(TRUE,INDEX((ISNUMBER($E:$E)),0),0)))*($E214&gt;INDEX(_xlfn.ANCHORARRAY(Sintesi!$C$15),1,$C214))*($E214&lt;INDEX(_xlfn.ANCHORARRAY(Sintesi!$C$16),1,$C214))*(INDEX(_xlfn.ANCHORARRAY(Sintesi!$C$15),1,$C214)&gt;0),2,IF($E214=(INDEX(_xlfn.ANCHORARRAY(Sintesi!$C$16),1,$C214)),3,4)))),0),IF($C214&gt;0,IF(($E214=INDEX(_xlfn.ANCHORARRAY(Sintesi!$C$14),1,$C214))*(INDEX(_xlfn.ANCHORARRAY(Sintesi!$C$15),1,$C214)&gt;0),0,IF(($E214=INDEX(_xlfn.ANCHORARRAY(Sintesi!$C$14),1,$C214))*(INDEX(_xlfn.ANCHORARRAY(Sintesi!$C$15),1,$C214)&lt;0)+($E214&gt;=LOOKUP(2,1/($E:$E&lt;&gt;""),$E:$E))*($E214&lt;=INDEX($E:$E,MATCH(TRUE,INDEX((ISNUMBER($E:$E)),0),0)))*($E214&gt;INDEX(_xlfn.ANCHORARRAY(Sintesi!$C$14),1,$C214))*($E214&lt;=INDEX(_xlfn.ANCHORARRAY(Sintesi!$C$15),1,$C214))*(INDEX(_xlfn.ANCHORARRAY(Sintesi!$C$15),1,$C214)&gt;0),1,IF(($E214&gt;=LOOKUP(2,1/($E:$E&lt;&gt;""),$E:$E))*($E214&lt;=INDEX($E:$E,MATCH(TRUE,INDEX((ISNUMBER($E:$E)),0),0)))*($E214&gt;INDEX(_xlfn.ANCHORARRAY(Sintesi!$C$14),1,$C214))*($E214&lt;INDEX(_xlfn.ANCHORARRAY(Sintesi!$C$16),1,$C214))*(INDEX(_xlfn.ANCHORARRAY(Sintesi!$C$15),1,$C214)&lt;0)+($E214&gt;=LOOKUP(2,1/($E:$E&lt;&gt;""),$E:$E))*($E214&lt;=INDEX($E:$E,MATCH(TRUE,INDEX((ISNUMBER($E:$E)),0),0)))*($E214&gt;INDEX(_xlfn.ANCHORARRAY(Sintesi!$C$15),1,$C214))*($E214&lt;INDEX(_xlfn.ANCHORARRAY(Sintesi!$C$16),1,$C214))*(INDEX(_xlfn.ANCHORARRAY(Sintesi!$C$15),1,$C214)&gt;0),2,IF($E214=(INDEX(_xlfn.ANCHORARRAY(Sintesi!$C$16),1,$C214)),3,4)))),0)),IF(ISNUMBER($E213),IF($C214&gt;0,IF(($E214=INDEX(_xlfn.ANCHORARRAY(Sintesi!$C$14),1,$C214))*(INDEX(_xlfn.ANCHORARRAY(Sintesi!$C$15),1,$C214)&gt;0),0,IF(($E214=INDEX(_xlfn.ANCHORARRAY(Sintesi!$C$14),1,$C214))*(INDEX(_xlfn.ANCHORARRAY(Sintesi!$C$15),1,$C214)&lt;0)+($E214&gt;=$E213)*($E214&lt;=$E215)*($E214&gt;INDEX(_xlfn.ANCHORARRAY(Sintesi!$C$14),1,$C214))*($E214&lt;=INDEX(_xlfn.ANCHORARRAY(Sintesi!$C$15),1,$C214))*(INDEX(_xlfn.ANCHORARRAY(Sintesi!$C$15),1,$C214)&gt;0),1,IF(($E214&gt;=$E213)*($E214&lt;=$E215)*($E214&gt;INDEX(_xlfn.ANCHORARRAY(Sintesi!$C$14),1,$C214))*($E214&lt;INDEX(_xlfn.ANCHORARRAY(Sintesi!$C$16),1,$C214))*(INDEX(_xlfn.ANCHORARRAY(Sintesi!$C$15),1,$C214)&lt;0)+($E214&gt;=$E213)*($E214&lt;=$E215)*($E214&gt;INDEX(_xlfn.ANCHORARRAY(Sintesi!$C$15),1,$C214))*($E214&lt;INDEX(_xlfn.ANCHORARRAY(Sintesi!$C$16),1,$C214))*(INDEX(_xlfn.ANCHORARRAY(Sintesi!$C$15),1,$C214)&gt;0),2,IF($E214=(INDEX(_xlfn.ANCHORARRAY(Sintesi!$C$16),1,$C214)),3,4)))),0),IF($C214&gt;0,IF(($E214=INDEX(_xlfn.ANCHORARRAY(Sintesi!$C$14),1,$C214))*(INDEX(_xlfn.ANCHORARRAY(Sintesi!$C$15),1,$C214)&gt;0),0,IF(($E214=INDEX(_xlfn.ANCHORARRAY(Sintesi!$C$14),1,$C214))*(INDEX(_xlfn.ANCHORARRAY(Sintesi!$C$15),1,$C214)&lt;0)+($E214&gt;=LOOKUP(2,1/($E:$E&lt;&gt;""),$E:$E))*($E214&lt;=$E215)*($E214&gt;INDEX(_xlfn.ANCHORARRAY(Sintesi!$C$14),1,$C214))*($E214&lt;=INDEX(_xlfn.ANCHORARRAY(Sintesi!$C$15),1,$C214))*(INDEX(_xlfn.ANCHORARRAY(Sintesi!$C$15),1,$C214)&gt;0),1,IF(($E214&gt;=LOOKUP(2,1/($E:$E&lt;&gt;""),$E:$E))*($E214&lt;=$E215)*($E214&gt;INDEX(_xlfn.ANCHORARRAY(Sintesi!$C$14),1,$C214))*($E214&lt;INDEX(_xlfn.ANCHORARRAY(Sintesi!$C$16),1,$C214))*(INDEX(_xlfn.ANCHORARRAY(Sintesi!$C$15),1,$C214)&lt;0)+($E214&gt;=LOOKUP(2,1/($E:$E&lt;&gt;""),$E:$E))*($E214&lt;=$E215)*($E214&gt;INDEX(_xlfn.ANCHORARRAY(Sintesi!$C$15),1,$C214))*($E214&lt;INDEX(_xlfn.ANCHORARRAY(Sintesi!$C$16),1,$C214))*(INDEX(_xlfn.ANCHORARRAY(Sintesi!$C$15),1,$C214)&gt;0),2,IF($E214=(INDEX(_xlfn.ANCHORARRAY(Sintesi!$C$16),1,$C214)),3,4)))),0)))</f>
        <v/>
      </c>
      <c r="E214" s="1">
        <f>'Paste cell here'!F214</f>
        <v/>
      </c>
      <c r="F214" s="1">
        <f>'Paste cell here'!C214</f>
        <v/>
      </c>
      <c r="G214" s="1">
        <f>'Paste cell here'!D214</f>
        <v/>
      </c>
      <c r="H214" s="1">
        <f>'Paste cell here'!E214</f>
        <v/>
      </c>
      <c r="I214" s="1">
        <f>'Paste cell here'!X214</f>
        <v/>
      </c>
      <c r="J214" s="1">
        <f>'Paste cell here'!Y214+'Paste cell here'!S214</f>
        <v/>
      </c>
      <c r="K214" s="1">
        <f>I214/H214</f>
        <v/>
      </c>
      <c r="L214" s="1">
        <f>AVERAGE(($F214+$G214)/2-($F214-$G214)/2*COS(PI()*(8-VLOOKUP(MONTH(B214),$O$1:$Q$13,3))/(VLOOKUP(MONTH(B214),$O$1:$Q$13,2)-VLOOKUP(MONTH(B214),$O$1:$Q$13,3))),($F214+$G214)/2-($F214-$G214)/2*COS(PI()*(9-VLOOKUP(MONTH(B214),$O$1:$Q$13,3))/(VLOOKUP(MONTH(B214),$O$1:$Q$13,2)-VLOOKUP(MONTH(B214),$O$1:$Q$13,3))),($F214+$G214)/2-($F214-$G214)/2*COS(PI()*(10-VLOOKUP(MONTH(B214),$O$1:$Q$13,3))/(VLOOKUP(MONTH(B214),$O$1:$Q$13,2)-VLOOKUP(MONTH(B214),$O$1:$Q$13,3))),($F214+$G214)/2-($F214-$G214)/2*COS(PI()*(11-VLOOKUP(MONTH(B214),$O$1:$Q$13,3))/(VLOOKUP(MONTH(B214),$O$1:$Q$13,2)-VLOOKUP(MONTH(B214),$O$1:$Q$13,3))),($F214+$G214)/2-($F214-$G214)/2*COS(PI()*(12-VLOOKUP(MONTH(B214),$O$1:$Q$13,3))/(VLOOKUP(MONTH(B214),$O$1:$Q$13,2)-VLOOKUP(MONTH(B214),$O$1:$Q$13,3))),($F214+$G214)/2-($F214-$G214)/2*COS(PI()*(13-VLOOKUP(MONTH(B214),$O$1:$Q$13,3))/(VLOOKUP(MONTH(B214),$O$1:$Q$13,2)-VLOOKUP(MONTH(B214),$O$1:$Q$13,3))),($F214+$G214)/2-($F214-$G214)/2*COS(PI()*(14-VLOOKUP(MONTH(B214),$O$1:$Q$13,3))/(VLOOKUP(MONTH(B214),$O$1:$Q$13,2)-VLOOKUP(MONTH(B214),$O$1:$Q$13,3))))</f>
        <v/>
      </c>
      <c r="M214" s="1">
        <f t="array" ref="M214">IF(AND(A214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,A214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),IF(L214&lt;_xlfn.IFNA(INDEX(_xlfn.ANCHORARRAY(Sintesi!$C$17)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,1,IF(L214&gt;=_xlfn.IFNA(INDEX(_xlfn.ANCHORARRAY(Sintesi!$C$18)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,0,1-(L214-_xlfn.IFNA(INDEX(_xlfn.ANCHORARRAY(Sintesi!$C$17)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)/(_xlfn.IFNA(INDEX(_xlfn.ANCHORARRAY(Sintesi!$C$18)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-_xlfn.IFNA(INDEX(_xlfn.ANCHORARRAY(Sintesi!$C$17)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))),0)</f>
        <v/>
      </c>
    </row>
    <row r="215">
      <c r="A215" s="1">
        <f>'Paste cell here'!A215</f>
        <v/>
      </c>
      <c r="B215" s="2">
        <f>DATE(Sintesi!$C$4-1,12,31)+A215</f>
        <v/>
      </c>
      <c r="C215" s="34">
        <f t="array" ref="C215">_xlfn.IFNA(MATCH(1,(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)*(_xlfn.ANCHORARRAY(Sintesi!$C$15)&gt;=0)+(_xlfn.ANCHORARRAY(Sintesi!$C$15)&lt;0),0),0)</f>
        <v/>
      </c>
      <c r="D215" s="1">
        <f t="array" ref="D215">IF(ISBLANK($E216),IF(ISNUMBER($E214),IF($C215&gt;0,IF(($E215=INDEX(_xlfn.ANCHORARRAY(Sintesi!$C$14),1,$C215))*(INDEX(_xlfn.ANCHORARRAY(Sintesi!$C$15),1,$C215)&gt;0),0,IF(($E215=INDEX(_xlfn.ANCHORARRAY(Sintesi!$C$14),1,$C215))*(INDEX(_xlfn.ANCHORARRAY(Sintesi!$C$15),1,$C215)&lt;0)+($E215&gt;=$E214)*($E215&lt;=INDEX($E:$E,MATCH(TRUE,INDEX((ISNUMBER($E:$E)),0),0)))*($E215&gt;INDEX(_xlfn.ANCHORARRAY(Sintesi!$C$14),1,$C215))*($E215&lt;=INDEX(_xlfn.ANCHORARRAY(Sintesi!$C$15),1,$C215))*(INDEX(_xlfn.ANCHORARRAY(Sintesi!$C$15),1,$C215)&gt;0),1,IF(($E215&gt;=$E214)*($E215&lt;=INDEX($E:$E,MATCH(TRUE,INDEX((ISNUMBER($E:$E)),0),0)))*($E215&gt;INDEX(_xlfn.ANCHORARRAY(Sintesi!$C$14),1,$C215))*($E215&lt;INDEX(_xlfn.ANCHORARRAY(Sintesi!$C$16),1,$C215))*(INDEX(_xlfn.ANCHORARRAY(Sintesi!$C$15),1,$C215)&lt;0)+($E215&gt;=$E214)*($E215&lt;=INDEX($E:$E,MATCH(TRUE,INDEX((ISNUMBER($E:$E)),0),0)))*($E215&gt;INDEX(_xlfn.ANCHORARRAY(Sintesi!$C$15),1,$C215))*($E215&lt;INDEX(_xlfn.ANCHORARRAY(Sintesi!$C$16),1,$C215))*(INDEX(_xlfn.ANCHORARRAY(Sintesi!$C$15),1,$C215)&gt;0),2,IF($E215=(INDEX(_xlfn.ANCHORARRAY(Sintesi!$C$16),1,$C215)),3,4)))),0),IF($C215&gt;0,IF(($E215=INDEX(_xlfn.ANCHORARRAY(Sintesi!$C$14),1,$C215))*(INDEX(_xlfn.ANCHORARRAY(Sintesi!$C$15),1,$C215)&gt;0),0,IF(($E215=INDEX(_xlfn.ANCHORARRAY(Sintesi!$C$14),1,$C215))*(INDEX(_xlfn.ANCHORARRAY(Sintesi!$C$15),1,$C215)&lt;0)+($E215&gt;=LOOKUP(2,1/($E:$E&lt;&gt;""),$E:$E))*($E215&lt;=INDEX($E:$E,MATCH(TRUE,INDEX((ISNUMBER($E:$E)),0),0)))*($E215&gt;INDEX(_xlfn.ANCHORARRAY(Sintesi!$C$14),1,$C215))*($E215&lt;=INDEX(_xlfn.ANCHORARRAY(Sintesi!$C$15),1,$C215))*(INDEX(_xlfn.ANCHORARRAY(Sintesi!$C$15),1,$C215)&gt;0),1,IF(($E215&gt;=LOOKUP(2,1/($E:$E&lt;&gt;""),$E:$E))*($E215&lt;=INDEX($E:$E,MATCH(TRUE,INDEX((ISNUMBER($E:$E)),0),0)))*($E215&gt;INDEX(_xlfn.ANCHORARRAY(Sintesi!$C$14),1,$C215))*($E215&lt;INDEX(_xlfn.ANCHORARRAY(Sintesi!$C$16),1,$C215))*(INDEX(_xlfn.ANCHORARRAY(Sintesi!$C$15),1,$C215)&lt;0)+($E215&gt;=LOOKUP(2,1/($E:$E&lt;&gt;""),$E:$E))*($E215&lt;=INDEX($E:$E,MATCH(TRUE,INDEX((ISNUMBER($E:$E)),0),0)))*($E215&gt;INDEX(_xlfn.ANCHORARRAY(Sintesi!$C$15),1,$C215))*($E215&lt;INDEX(_xlfn.ANCHORARRAY(Sintesi!$C$16),1,$C215))*(INDEX(_xlfn.ANCHORARRAY(Sintesi!$C$15),1,$C215)&gt;0),2,IF($E215=(INDEX(_xlfn.ANCHORARRAY(Sintesi!$C$16),1,$C215)),3,4)))),0)),IF(ISNUMBER($E214),IF($C215&gt;0,IF(($E215=INDEX(_xlfn.ANCHORARRAY(Sintesi!$C$14),1,$C215))*(INDEX(_xlfn.ANCHORARRAY(Sintesi!$C$15),1,$C215)&gt;0),0,IF(($E215=INDEX(_xlfn.ANCHORARRAY(Sintesi!$C$14),1,$C215))*(INDEX(_xlfn.ANCHORARRAY(Sintesi!$C$15),1,$C215)&lt;0)+($E215&gt;=$E214)*($E215&lt;=$E216)*($E215&gt;INDEX(_xlfn.ANCHORARRAY(Sintesi!$C$14),1,$C215))*($E215&lt;=INDEX(_xlfn.ANCHORARRAY(Sintesi!$C$15),1,$C215))*(INDEX(_xlfn.ANCHORARRAY(Sintesi!$C$15),1,$C215)&gt;0),1,IF(($E215&gt;=$E214)*($E215&lt;=$E216)*($E215&gt;INDEX(_xlfn.ANCHORARRAY(Sintesi!$C$14),1,$C215))*($E215&lt;INDEX(_xlfn.ANCHORARRAY(Sintesi!$C$16),1,$C215))*(INDEX(_xlfn.ANCHORARRAY(Sintesi!$C$15),1,$C215)&lt;0)+($E215&gt;=$E214)*($E215&lt;=$E216)*($E215&gt;INDEX(_xlfn.ANCHORARRAY(Sintesi!$C$15),1,$C215))*($E215&lt;INDEX(_xlfn.ANCHORARRAY(Sintesi!$C$16),1,$C215))*(INDEX(_xlfn.ANCHORARRAY(Sintesi!$C$15),1,$C215)&gt;0),2,IF($E215=(INDEX(_xlfn.ANCHORARRAY(Sintesi!$C$16),1,$C215)),3,4)))),0),IF($C215&gt;0,IF(($E215=INDEX(_xlfn.ANCHORARRAY(Sintesi!$C$14),1,$C215))*(INDEX(_xlfn.ANCHORARRAY(Sintesi!$C$15),1,$C215)&gt;0),0,IF(($E215=INDEX(_xlfn.ANCHORARRAY(Sintesi!$C$14),1,$C215))*(INDEX(_xlfn.ANCHORARRAY(Sintesi!$C$15),1,$C215)&lt;0)+($E215&gt;=LOOKUP(2,1/($E:$E&lt;&gt;""),$E:$E))*($E215&lt;=$E216)*($E215&gt;INDEX(_xlfn.ANCHORARRAY(Sintesi!$C$14),1,$C215))*($E215&lt;=INDEX(_xlfn.ANCHORARRAY(Sintesi!$C$15),1,$C215))*(INDEX(_xlfn.ANCHORARRAY(Sintesi!$C$15),1,$C215)&gt;0),1,IF(($E215&gt;=LOOKUP(2,1/($E:$E&lt;&gt;""),$E:$E))*($E215&lt;=$E216)*($E215&gt;INDEX(_xlfn.ANCHORARRAY(Sintesi!$C$14),1,$C215))*($E215&lt;INDEX(_xlfn.ANCHORARRAY(Sintesi!$C$16),1,$C215))*(INDEX(_xlfn.ANCHORARRAY(Sintesi!$C$15),1,$C215)&lt;0)+($E215&gt;=LOOKUP(2,1/($E:$E&lt;&gt;""),$E:$E))*($E215&lt;=$E216)*($E215&gt;INDEX(_xlfn.ANCHORARRAY(Sintesi!$C$15),1,$C215))*($E215&lt;INDEX(_xlfn.ANCHORARRAY(Sintesi!$C$16),1,$C215))*(INDEX(_xlfn.ANCHORARRAY(Sintesi!$C$15),1,$C215)&gt;0),2,IF($E215=(INDEX(_xlfn.ANCHORARRAY(Sintesi!$C$16),1,$C215)),3,4)))),0)))</f>
        <v/>
      </c>
      <c r="E215" s="1">
        <f>'Paste cell here'!F215</f>
        <v/>
      </c>
      <c r="F215" s="1">
        <f>'Paste cell here'!C215</f>
        <v/>
      </c>
      <c r="G215" s="1">
        <f>'Paste cell here'!D215</f>
        <v/>
      </c>
      <c r="H215" s="1">
        <f>'Paste cell here'!E215</f>
        <v/>
      </c>
      <c r="I215" s="1">
        <f>'Paste cell here'!X215</f>
        <v/>
      </c>
      <c r="J215" s="1">
        <f>'Paste cell here'!Y215+'Paste cell here'!S215</f>
        <v/>
      </c>
      <c r="K215" s="1">
        <f>I215/H215</f>
        <v/>
      </c>
      <c r="L215" s="1">
        <f>AVERAGE(($F215+$G215)/2-($F215-$G215)/2*COS(PI()*(8-VLOOKUP(MONTH(B215),$O$1:$Q$13,3))/(VLOOKUP(MONTH(B215),$O$1:$Q$13,2)-VLOOKUP(MONTH(B215),$O$1:$Q$13,3))),($F215+$G215)/2-($F215-$G215)/2*COS(PI()*(9-VLOOKUP(MONTH(B215),$O$1:$Q$13,3))/(VLOOKUP(MONTH(B215),$O$1:$Q$13,2)-VLOOKUP(MONTH(B215),$O$1:$Q$13,3))),($F215+$G215)/2-($F215-$G215)/2*COS(PI()*(10-VLOOKUP(MONTH(B215),$O$1:$Q$13,3))/(VLOOKUP(MONTH(B215),$O$1:$Q$13,2)-VLOOKUP(MONTH(B215),$O$1:$Q$13,3))),($F215+$G215)/2-($F215-$G215)/2*COS(PI()*(11-VLOOKUP(MONTH(B215),$O$1:$Q$13,3))/(VLOOKUP(MONTH(B215),$O$1:$Q$13,2)-VLOOKUP(MONTH(B215),$O$1:$Q$13,3))),($F215+$G215)/2-($F215-$G215)/2*COS(PI()*(12-VLOOKUP(MONTH(B215),$O$1:$Q$13,3))/(VLOOKUP(MONTH(B215),$O$1:$Q$13,2)-VLOOKUP(MONTH(B215),$O$1:$Q$13,3))),($F215+$G215)/2-($F215-$G215)/2*COS(PI()*(13-VLOOKUP(MONTH(B215),$O$1:$Q$13,3))/(VLOOKUP(MONTH(B215),$O$1:$Q$13,2)-VLOOKUP(MONTH(B215),$O$1:$Q$13,3))),($F215+$G215)/2-($F215-$G215)/2*COS(PI()*(14-VLOOKUP(MONTH(B215),$O$1:$Q$13,3))/(VLOOKUP(MONTH(B215),$O$1:$Q$13,2)-VLOOKUP(MONTH(B215),$O$1:$Q$13,3))))</f>
        <v/>
      </c>
      <c r="M215" s="1">
        <f t="array" ref="M215">IF(AND(A215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,A215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),IF(L215&lt;_xlfn.IFNA(INDEX(_xlfn.ANCHORARRAY(Sintesi!$C$17)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,1,IF(L215&gt;=_xlfn.IFNA(INDEX(_xlfn.ANCHORARRAY(Sintesi!$C$18)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,0,1-(L215-_xlfn.IFNA(INDEX(_xlfn.ANCHORARRAY(Sintesi!$C$17)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)/(_xlfn.IFNA(INDEX(_xlfn.ANCHORARRAY(Sintesi!$C$18)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-_xlfn.IFNA(INDEX(_xlfn.ANCHORARRAY(Sintesi!$C$17)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))),0)</f>
        <v/>
      </c>
    </row>
    <row r="216">
      <c r="A216" s="1">
        <f>'Paste cell here'!A216</f>
        <v/>
      </c>
      <c r="B216" s="2">
        <f>DATE(Sintesi!$C$4-1,12,31)+A216</f>
        <v/>
      </c>
      <c r="C216" s="34">
        <f t="array" ref="C216">_xlfn.IFNA(MATCH(1,(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)*(_xlfn.ANCHORARRAY(Sintesi!$C$15)&gt;=0)+(_xlfn.ANCHORARRAY(Sintesi!$C$15)&lt;0),0),0)</f>
        <v/>
      </c>
      <c r="D216" s="1">
        <f t="array" ref="D216">IF(ISBLANK($E217),IF(ISNUMBER($E215),IF($C216&gt;0,IF(($E216=INDEX(_xlfn.ANCHORARRAY(Sintesi!$C$14),1,$C216))*(INDEX(_xlfn.ANCHORARRAY(Sintesi!$C$15),1,$C216)&gt;0),0,IF(($E216=INDEX(_xlfn.ANCHORARRAY(Sintesi!$C$14),1,$C216))*(INDEX(_xlfn.ANCHORARRAY(Sintesi!$C$15),1,$C216)&lt;0)+($E216&gt;=$E215)*($E216&lt;=INDEX($E:$E,MATCH(TRUE,INDEX((ISNUMBER($E:$E)),0),0)))*($E216&gt;INDEX(_xlfn.ANCHORARRAY(Sintesi!$C$14),1,$C216))*($E216&lt;=INDEX(_xlfn.ANCHORARRAY(Sintesi!$C$15),1,$C216))*(INDEX(_xlfn.ANCHORARRAY(Sintesi!$C$15),1,$C216)&gt;0),1,IF(($E216&gt;=$E215)*($E216&lt;=INDEX($E:$E,MATCH(TRUE,INDEX((ISNUMBER($E:$E)),0),0)))*($E216&gt;INDEX(_xlfn.ANCHORARRAY(Sintesi!$C$14),1,$C216))*($E216&lt;INDEX(_xlfn.ANCHORARRAY(Sintesi!$C$16),1,$C216))*(INDEX(_xlfn.ANCHORARRAY(Sintesi!$C$15),1,$C216)&lt;0)+($E216&gt;=$E215)*($E216&lt;=INDEX($E:$E,MATCH(TRUE,INDEX((ISNUMBER($E:$E)),0),0)))*($E216&gt;INDEX(_xlfn.ANCHORARRAY(Sintesi!$C$15),1,$C216))*($E216&lt;INDEX(_xlfn.ANCHORARRAY(Sintesi!$C$16),1,$C216))*(INDEX(_xlfn.ANCHORARRAY(Sintesi!$C$15),1,$C216)&gt;0),2,IF($E216=(INDEX(_xlfn.ANCHORARRAY(Sintesi!$C$16),1,$C216)),3,4)))),0),IF($C216&gt;0,IF(($E216=INDEX(_xlfn.ANCHORARRAY(Sintesi!$C$14),1,$C216))*(INDEX(_xlfn.ANCHORARRAY(Sintesi!$C$15),1,$C216)&gt;0),0,IF(($E216=INDEX(_xlfn.ANCHORARRAY(Sintesi!$C$14),1,$C216))*(INDEX(_xlfn.ANCHORARRAY(Sintesi!$C$15),1,$C216)&lt;0)+($E216&gt;=LOOKUP(2,1/($E:$E&lt;&gt;""),$E:$E))*($E216&lt;=INDEX($E:$E,MATCH(TRUE,INDEX((ISNUMBER($E:$E)),0),0)))*($E216&gt;INDEX(_xlfn.ANCHORARRAY(Sintesi!$C$14),1,$C216))*($E216&lt;=INDEX(_xlfn.ANCHORARRAY(Sintesi!$C$15),1,$C216))*(INDEX(_xlfn.ANCHORARRAY(Sintesi!$C$15),1,$C216)&gt;0),1,IF(($E216&gt;=LOOKUP(2,1/($E:$E&lt;&gt;""),$E:$E))*($E216&lt;=INDEX($E:$E,MATCH(TRUE,INDEX((ISNUMBER($E:$E)),0),0)))*($E216&gt;INDEX(_xlfn.ANCHORARRAY(Sintesi!$C$14),1,$C216))*($E216&lt;INDEX(_xlfn.ANCHORARRAY(Sintesi!$C$16),1,$C216))*(INDEX(_xlfn.ANCHORARRAY(Sintesi!$C$15),1,$C216)&lt;0)+($E216&gt;=LOOKUP(2,1/($E:$E&lt;&gt;""),$E:$E))*($E216&lt;=INDEX($E:$E,MATCH(TRUE,INDEX((ISNUMBER($E:$E)),0),0)))*($E216&gt;INDEX(_xlfn.ANCHORARRAY(Sintesi!$C$15),1,$C216))*($E216&lt;INDEX(_xlfn.ANCHORARRAY(Sintesi!$C$16),1,$C216))*(INDEX(_xlfn.ANCHORARRAY(Sintesi!$C$15),1,$C216)&gt;0),2,IF($E216=(INDEX(_xlfn.ANCHORARRAY(Sintesi!$C$16),1,$C216)),3,4)))),0)),IF(ISNUMBER($E215),IF($C216&gt;0,IF(($E216=INDEX(_xlfn.ANCHORARRAY(Sintesi!$C$14),1,$C216))*(INDEX(_xlfn.ANCHORARRAY(Sintesi!$C$15),1,$C216)&gt;0),0,IF(($E216=INDEX(_xlfn.ANCHORARRAY(Sintesi!$C$14),1,$C216))*(INDEX(_xlfn.ANCHORARRAY(Sintesi!$C$15),1,$C216)&lt;0)+($E216&gt;=$E215)*($E216&lt;=$E217)*($E216&gt;INDEX(_xlfn.ANCHORARRAY(Sintesi!$C$14),1,$C216))*($E216&lt;=INDEX(_xlfn.ANCHORARRAY(Sintesi!$C$15),1,$C216))*(INDEX(_xlfn.ANCHORARRAY(Sintesi!$C$15),1,$C216)&gt;0),1,IF(($E216&gt;=$E215)*($E216&lt;=$E217)*($E216&gt;INDEX(_xlfn.ANCHORARRAY(Sintesi!$C$14),1,$C216))*($E216&lt;INDEX(_xlfn.ANCHORARRAY(Sintesi!$C$16),1,$C216))*(INDEX(_xlfn.ANCHORARRAY(Sintesi!$C$15),1,$C216)&lt;0)+($E216&gt;=$E215)*($E216&lt;=$E217)*($E216&gt;INDEX(_xlfn.ANCHORARRAY(Sintesi!$C$15),1,$C216))*($E216&lt;INDEX(_xlfn.ANCHORARRAY(Sintesi!$C$16),1,$C216))*(INDEX(_xlfn.ANCHORARRAY(Sintesi!$C$15),1,$C216)&gt;0),2,IF($E216=(INDEX(_xlfn.ANCHORARRAY(Sintesi!$C$16),1,$C216)),3,4)))),0),IF($C216&gt;0,IF(($E216=INDEX(_xlfn.ANCHORARRAY(Sintesi!$C$14),1,$C216))*(INDEX(_xlfn.ANCHORARRAY(Sintesi!$C$15),1,$C216)&gt;0),0,IF(($E216=INDEX(_xlfn.ANCHORARRAY(Sintesi!$C$14),1,$C216))*(INDEX(_xlfn.ANCHORARRAY(Sintesi!$C$15),1,$C216)&lt;0)+($E216&gt;=LOOKUP(2,1/($E:$E&lt;&gt;""),$E:$E))*($E216&lt;=$E217)*($E216&gt;INDEX(_xlfn.ANCHORARRAY(Sintesi!$C$14),1,$C216))*($E216&lt;=INDEX(_xlfn.ANCHORARRAY(Sintesi!$C$15),1,$C216))*(INDEX(_xlfn.ANCHORARRAY(Sintesi!$C$15),1,$C216)&gt;0),1,IF(($E216&gt;=LOOKUP(2,1/($E:$E&lt;&gt;""),$E:$E))*($E216&lt;=$E217)*($E216&gt;INDEX(_xlfn.ANCHORARRAY(Sintesi!$C$14),1,$C216))*($E216&lt;INDEX(_xlfn.ANCHORARRAY(Sintesi!$C$16),1,$C216))*(INDEX(_xlfn.ANCHORARRAY(Sintesi!$C$15),1,$C216)&lt;0)+($E216&gt;=LOOKUP(2,1/($E:$E&lt;&gt;""),$E:$E))*($E216&lt;=$E217)*($E216&gt;INDEX(_xlfn.ANCHORARRAY(Sintesi!$C$15),1,$C216))*($E216&lt;INDEX(_xlfn.ANCHORARRAY(Sintesi!$C$16),1,$C216))*(INDEX(_xlfn.ANCHORARRAY(Sintesi!$C$15),1,$C216)&gt;0),2,IF($E216=(INDEX(_xlfn.ANCHORARRAY(Sintesi!$C$16),1,$C216)),3,4)))),0)))</f>
        <v/>
      </c>
      <c r="E216" s="1">
        <f>'Paste cell here'!F216</f>
        <v/>
      </c>
      <c r="F216" s="1">
        <f>'Paste cell here'!C216</f>
        <v/>
      </c>
      <c r="G216" s="1">
        <f>'Paste cell here'!D216</f>
        <v/>
      </c>
      <c r="H216" s="1">
        <f>'Paste cell here'!E216</f>
        <v/>
      </c>
      <c r="I216" s="1">
        <f>'Paste cell here'!X216</f>
        <v/>
      </c>
      <c r="J216" s="1">
        <f>'Paste cell here'!Y216+'Paste cell here'!S216</f>
        <v/>
      </c>
      <c r="K216" s="1">
        <f>I216/H216</f>
        <v/>
      </c>
      <c r="L216" s="1">
        <f>AVERAGE(($F216+$G216)/2-($F216-$G216)/2*COS(PI()*(8-VLOOKUP(MONTH(B216),$O$1:$Q$13,3))/(VLOOKUP(MONTH(B216),$O$1:$Q$13,2)-VLOOKUP(MONTH(B216),$O$1:$Q$13,3))),($F216+$G216)/2-($F216-$G216)/2*COS(PI()*(9-VLOOKUP(MONTH(B216),$O$1:$Q$13,3))/(VLOOKUP(MONTH(B216),$O$1:$Q$13,2)-VLOOKUP(MONTH(B216),$O$1:$Q$13,3))),($F216+$G216)/2-($F216-$G216)/2*COS(PI()*(10-VLOOKUP(MONTH(B216),$O$1:$Q$13,3))/(VLOOKUP(MONTH(B216),$O$1:$Q$13,2)-VLOOKUP(MONTH(B216),$O$1:$Q$13,3))),($F216+$G216)/2-($F216-$G216)/2*COS(PI()*(11-VLOOKUP(MONTH(B216),$O$1:$Q$13,3))/(VLOOKUP(MONTH(B216),$O$1:$Q$13,2)-VLOOKUP(MONTH(B216),$O$1:$Q$13,3))),($F216+$G216)/2-($F216-$G216)/2*COS(PI()*(12-VLOOKUP(MONTH(B216),$O$1:$Q$13,3))/(VLOOKUP(MONTH(B216),$O$1:$Q$13,2)-VLOOKUP(MONTH(B216),$O$1:$Q$13,3))),($F216+$G216)/2-($F216-$G216)/2*COS(PI()*(13-VLOOKUP(MONTH(B216),$O$1:$Q$13,3))/(VLOOKUP(MONTH(B216),$O$1:$Q$13,2)-VLOOKUP(MONTH(B216),$O$1:$Q$13,3))),($F216+$G216)/2-($F216-$G216)/2*COS(PI()*(14-VLOOKUP(MONTH(B216),$O$1:$Q$13,3))/(VLOOKUP(MONTH(B216),$O$1:$Q$13,2)-VLOOKUP(MONTH(B216),$O$1:$Q$13,3))))</f>
        <v/>
      </c>
      <c r="M216" s="1">
        <f t="array" ref="M216">IF(AND(A216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,A216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),IF(L216&lt;_xlfn.IFNA(INDEX(_xlfn.ANCHORARRAY(Sintesi!$C$17)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,1,IF(L216&gt;=_xlfn.IFNA(INDEX(_xlfn.ANCHORARRAY(Sintesi!$C$18)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,0,1-(L216-_xlfn.IFNA(INDEX(_xlfn.ANCHORARRAY(Sintesi!$C$17)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)/(_xlfn.IFNA(INDEX(_xlfn.ANCHORARRAY(Sintesi!$C$18)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-_xlfn.IFNA(INDEX(_xlfn.ANCHORARRAY(Sintesi!$C$17)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))),0)</f>
        <v/>
      </c>
    </row>
    <row r="217">
      <c r="A217" s="1">
        <f>'Paste cell here'!A217</f>
        <v/>
      </c>
      <c r="B217" s="2">
        <f>DATE(Sintesi!$C$4-1,12,31)+A217</f>
        <v/>
      </c>
      <c r="C217" s="34">
        <f t="array" ref="C217">_xlfn.IFNA(MATCH(1,(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)*(_xlfn.ANCHORARRAY(Sintesi!$C$15)&gt;=0)+(_xlfn.ANCHORARRAY(Sintesi!$C$15)&lt;0),0),0)</f>
        <v/>
      </c>
      <c r="D217" s="1">
        <f t="array" ref="D217">IF(ISBLANK($E218),IF(ISNUMBER($E216),IF($C217&gt;0,IF(($E217=INDEX(_xlfn.ANCHORARRAY(Sintesi!$C$14),1,$C217))*(INDEX(_xlfn.ANCHORARRAY(Sintesi!$C$15),1,$C217)&gt;0),0,IF(($E217=INDEX(_xlfn.ANCHORARRAY(Sintesi!$C$14),1,$C217))*(INDEX(_xlfn.ANCHORARRAY(Sintesi!$C$15),1,$C217)&lt;0)+($E217&gt;=$E216)*($E217&lt;=INDEX($E:$E,MATCH(TRUE,INDEX((ISNUMBER($E:$E)),0),0)))*($E217&gt;INDEX(_xlfn.ANCHORARRAY(Sintesi!$C$14),1,$C217))*($E217&lt;=INDEX(_xlfn.ANCHORARRAY(Sintesi!$C$15),1,$C217))*(INDEX(_xlfn.ANCHORARRAY(Sintesi!$C$15),1,$C217)&gt;0),1,IF(($E217&gt;=$E216)*($E217&lt;=INDEX($E:$E,MATCH(TRUE,INDEX((ISNUMBER($E:$E)),0),0)))*($E217&gt;INDEX(_xlfn.ANCHORARRAY(Sintesi!$C$14),1,$C217))*($E217&lt;INDEX(_xlfn.ANCHORARRAY(Sintesi!$C$16),1,$C217))*(INDEX(_xlfn.ANCHORARRAY(Sintesi!$C$15),1,$C217)&lt;0)+($E217&gt;=$E216)*($E217&lt;=INDEX($E:$E,MATCH(TRUE,INDEX((ISNUMBER($E:$E)),0),0)))*($E217&gt;INDEX(_xlfn.ANCHORARRAY(Sintesi!$C$15),1,$C217))*($E217&lt;INDEX(_xlfn.ANCHORARRAY(Sintesi!$C$16),1,$C217))*(INDEX(_xlfn.ANCHORARRAY(Sintesi!$C$15),1,$C217)&gt;0),2,IF($E217=(INDEX(_xlfn.ANCHORARRAY(Sintesi!$C$16),1,$C217)),3,4)))),0),IF($C217&gt;0,IF(($E217=INDEX(_xlfn.ANCHORARRAY(Sintesi!$C$14),1,$C217))*(INDEX(_xlfn.ANCHORARRAY(Sintesi!$C$15),1,$C217)&gt;0),0,IF(($E217=INDEX(_xlfn.ANCHORARRAY(Sintesi!$C$14),1,$C217))*(INDEX(_xlfn.ANCHORARRAY(Sintesi!$C$15),1,$C217)&lt;0)+($E217&gt;=LOOKUP(2,1/($E:$E&lt;&gt;""),$E:$E))*($E217&lt;=INDEX($E:$E,MATCH(TRUE,INDEX((ISNUMBER($E:$E)),0),0)))*($E217&gt;INDEX(_xlfn.ANCHORARRAY(Sintesi!$C$14),1,$C217))*($E217&lt;=INDEX(_xlfn.ANCHORARRAY(Sintesi!$C$15),1,$C217))*(INDEX(_xlfn.ANCHORARRAY(Sintesi!$C$15),1,$C217)&gt;0),1,IF(($E217&gt;=LOOKUP(2,1/($E:$E&lt;&gt;""),$E:$E))*($E217&lt;=INDEX($E:$E,MATCH(TRUE,INDEX((ISNUMBER($E:$E)),0),0)))*($E217&gt;INDEX(_xlfn.ANCHORARRAY(Sintesi!$C$14),1,$C217))*($E217&lt;INDEX(_xlfn.ANCHORARRAY(Sintesi!$C$16),1,$C217))*(INDEX(_xlfn.ANCHORARRAY(Sintesi!$C$15),1,$C217)&lt;0)+($E217&gt;=LOOKUP(2,1/($E:$E&lt;&gt;""),$E:$E))*($E217&lt;=INDEX($E:$E,MATCH(TRUE,INDEX((ISNUMBER($E:$E)),0),0)))*($E217&gt;INDEX(_xlfn.ANCHORARRAY(Sintesi!$C$15),1,$C217))*($E217&lt;INDEX(_xlfn.ANCHORARRAY(Sintesi!$C$16),1,$C217))*(INDEX(_xlfn.ANCHORARRAY(Sintesi!$C$15),1,$C217)&gt;0),2,IF($E217=(INDEX(_xlfn.ANCHORARRAY(Sintesi!$C$16),1,$C217)),3,4)))),0)),IF(ISNUMBER($E216),IF($C217&gt;0,IF(($E217=INDEX(_xlfn.ANCHORARRAY(Sintesi!$C$14),1,$C217))*(INDEX(_xlfn.ANCHORARRAY(Sintesi!$C$15),1,$C217)&gt;0),0,IF(($E217=INDEX(_xlfn.ANCHORARRAY(Sintesi!$C$14),1,$C217))*(INDEX(_xlfn.ANCHORARRAY(Sintesi!$C$15),1,$C217)&lt;0)+($E217&gt;=$E216)*($E217&lt;=$E218)*($E217&gt;INDEX(_xlfn.ANCHORARRAY(Sintesi!$C$14),1,$C217))*($E217&lt;=INDEX(_xlfn.ANCHORARRAY(Sintesi!$C$15),1,$C217))*(INDEX(_xlfn.ANCHORARRAY(Sintesi!$C$15),1,$C217)&gt;0),1,IF(($E217&gt;=$E216)*($E217&lt;=$E218)*($E217&gt;INDEX(_xlfn.ANCHORARRAY(Sintesi!$C$14),1,$C217))*($E217&lt;INDEX(_xlfn.ANCHORARRAY(Sintesi!$C$16),1,$C217))*(INDEX(_xlfn.ANCHORARRAY(Sintesi!$C$15),1,$C217)&lt;0)+($E217&gt;=$E216)*($E217&lt;=$E218)*($E217&gt;INDEX(_xlfn.ANCHORARRAY(Sintesi!$C$15),1,$C217))*($E217&lt;INDEX(_xlfn.ANCHORARRAY(Sintesi!$C$16),1,$C217))*(INDEX(_xlfn.ANCHORARRAY(Sintesi!$C$15),1,$C217)&gt;0),2,IF($E217=(INDEX(_xlfn.ANCHORARRAY(Sintesi!$C$16),1,$C217)),3,4)))),0),IF($C217&gt;0,IF(($E217=INDEX(_xlfn.ANCHORARRAY(Sintesi!$C$14),1,$C217))*(INDEX(_xlfn.ANCHORARRAY(Sintesi!$C$15),1,$C217)&gt;0),0,IF(($E217=INDEX(_xlfn.ANCHORARRAY(Sintesi!$C$14),1,$C217))*(INDEX(_xlfn.ANCHORARRAY(Sintesi!$C$15),1,$C217)&lt;0)+($E217&gt;=LOOKUP(2,1/($E:$E&lt;&gt;""),$E:$E))*($E217&lt;=$E218)*($E217&gt;INDEX(_xlfn.ANCHORARRAY(Sintesi!$C$14),1,$C217))*($E217&lt;=INDEX(_xlfn.ANCHORARRAY(Sintesi!$C$15),1,$C217))*(INDEX(_xlfn.ANCHORARRAY(Sintesi!$C$15),1,$C217)&gt;0),1,IF(($E217&gt;=LOOKUP(2,1/($E:$E&lt;&gt;""),$E:$E))*($E217&lt;=$E218)*($E217&gt;INDEX(_xlfn.ANCHORARRAY(Sintesi!$C$14),1,$C217))*($E217&lt;INDEX(_xlfn.ANCHORARRAY(Sintesi!$C$16),1,$C217))*(INDEX(_xlfn.ANCHORARRAY(Sintesi!$C$15),1,$C217)&lt;0)+($E217&gt;=LOOKUP(2,1/($E:$E&lt;&gt;""),$E:$E))*($E217&lt;=$E218)*($E217&gt;INDEX(_xlfn.ANCHORARRAY(Sintesi!$C$15),1,$C217))*($E217&lt;INDEX(_xlfn.ANCHORARRAY(Sintesi!$C$16),1,$C217))*(INDEX(_xlfn.ANCHORARRAY(Sintesi!$C$15),1,$C217)&gt;0),2,IF($E217=(INDEX(_xlfn.ANCHORARRAY(Sintesi!$C$16),1,$C217)),3,4)))),0)))</f>
        <v/>
      </c>
      <c r="E217" s="1">
        <f>'Paste cell here'!F217</f>
        <v/>
      </c>
      <c r="F217" s="1">
        <f>'Paste cell here'!C217</f>
        <v/>
      </c>
      <c r="G217" s="1">
        <f>'Paste cell here'!D217</f>
        <v/>
      </c>
      <c r="H217" s="1">
        <f>'Paste cell here'!E217</f>
        <v/>
      </c>
      <c r="I217" s="1">
        <f>'Paste cell here'!X217</f>
        <v/>
      </c>
      <c r="J217" s="1">
        <f>'Paste cell here'!Y217+'Paste cell here'!S217</f>
        <v/>
      </c>
      <c r="K217" s="1">
        <f>I217/H217</f>
        <v/>
      </c>
      <c r="L217" s="1">
        <f>AVERAGE(($F217+$G217)/2-($F217-$G217)/2*COS(PI()*(8-VLOOKUP(MONTH(B217),$O$1:$Q$13,3))/(VLOOKUP(MONTH(B217),$O$1:$Q$13,2)-VLOOKUP(MONTH(B217),$O$1:$Q$13,3))),($F217+$G217)/2-($F217-$G217)/2*COS(PI()*(9-VLOOKUP(MONTH(B217),$O$1:$Q$13,3))/(VLOOKUP(MONTH(B217),$O$1:$Q$13,2)-VLOOKUP(MONTH(B217),$O$1:$Q$13,3))),($F217+$G217)/2-($F217-$G217)/2*COS(PI()*(10-VLOOKUP(MONTH(B217),$O$1:$Q$13,3))/(VLOOKUP(MONTH(B217),$O$1:$Q$13,2)-VLOOKUP(MONTH(B217),$O$1:$Q$13,3))),($F217+$G217)/2-($F217-$G217)/2*COS(PI()*(11-VLOOKUP(MONTH(B217),$O$1:$Q$13,3))/(VLOOKUP(MONTH(B217),$O$1:$Q$13,2)-VLOOKUP(MONTH(B217),$O$1:$Q$13,3))),($F217+$G217)/2-($F217-$G217)/2*COS(PI()*(12-VLOOKUP(MONTH(B217),$O$1:$Q$13,3))/(VLOOKUP(MONTH(B217),$O$1:$Q$13,2)-VLOOKUP(MONTH(B217),$O$1:$Q$13,3))),($F217+$G217)/2-($F217-$G217)/2*COS(PI()*(13-VLOOKUP(MONTH(B217),$O$1:$Q$13,3))/(VLOOKUP(MONTH(B217),$O$1:$Q$13,2)-VLOOKUP(MONTH(B217),$O$1:$Q$13,3))),($F217+$G217)/2-($F217-$G217)/2*COS(PI()*(14-VLOOKUP(MONTH(B217),$O$1:$Q$13,3))/(VLOOKUP(MONTH(B217),$O$1:$Q$13,2)-VLOOKUP(MONTH(B217),$O$1:$Q$13,3))))</f>
        <v/>
      </c>
      <c r="M217" s="1">
        <f t="array" ref="M217">IF(AND(A217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,A217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),IF(L217&lt;_xlfn.IFNA(INDEX(_xlfn.ANCHORARRAY(Sintesi!$C$17)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,1,IF(L217&gt;=_xlfn.IFNA(INDEX(_xlfn.ANCHORARRAY(Sintesi!$C$18)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,0,1-(L217-_xlfn.IFNA(INDEX(_xlfn.ANCHORARRAY(Sintesi!$C$17)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)/(_xlfn.IFNA(INDEX(_xlfn.ANCHORARRAY(Sintesi!$C$18)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-_xlfn.IFNA(INDEX(_xlfn.ANCHORARRAY(Sintesi!$C$17)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))),0)</f>
        <v/>
      </c>
    </row>
    <row r="218">
      <c r="A218" s="1">
        <f>'Paste cell here'!A218</f>
        <v/>
      </c>
      <c r="B218" s="2">
        <f>DATE(Sintesi!$C$4-1,12,31)+A218</f>
        <v/>
      </c>
      <c r="C218" s="34">
        <f t="array" ref="C218">_xlfn.IFNA(MATCH(1,(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)*(_xlfn.ANCHORARRAY(Sintesi!$C$15)&gt;=0)+(_xlfn.ANCHORARRAY(Sintesi!$C$15)&lt;0),0),0)</f>
        <v/>
      </c>
      <c r="D218" s="1">
        <f t="array" ref="D218">IF(ISBLANK($E219),IF(ISNUMBER($E217),IF($C218&gt;0,IF(($E218=INDEX(_xlfn.ANCHORARRAY(Sintesi!$C$14),1,$C218))*(INDEX(_xlfn.ANCHORARRAY(Sintesi!$C$15),1,$C218)&gt;0),0,IF(($E218=INDEX(_xlfn.ANCHORARRAY(Sintesi!$C$14),1,$C218))*(INDEX(_xlfn.ANCHORARRAY(Sintesi!$C$15),1,$C218)&lt;0)+($E218&gt;=$E217)*($E218&lt;=INDEX($E:$E,MATCH(TRUE,INDEX((ISNUMBER($E:$E)),0),0)))*($E218&gt;INDEX(_xlfn.ANCHORARRAY(Sintesi!$C$14),1,$C218))*($E218&lt;=INDEX(_xlfn.ANCHORARRAY(Sintesi!$C$15),1,$C218))*(INDEX(_xlfn.ANCHORARRAY(Sintesi!$C$15),1,$C218)&gt;0),1,IF(($E218&gt;=$E217)*($E218&lt;=INDEX($E:$E,MATCH(TRUE,INDEX((ISNUMBER($E:$E)),0),0)))*($E218&gt;INDEX(_xlfn.ANCHORARRAY(Sintesi!$C$14),1,$C218))*($E218&lt;INDEX(_xlfn.ANCHORARRAY(Sintesi!$C$16),1,$C218))*(INDEX(_xlfn.ANCHORARRAY(Sintesi!$C$15),1,$C218)&lt;0)+($E218&gt;=$E217)*($E218&lt;=INDEX($E:$E,MATCH(TRUE,INDEX((ISNUMBER($E:$E)),0),0)))*($E218&gt;INDEX(_xlfn.ANCHORARRAY(Sintesi!$C$15),1,$C218))*($E218&lt;INDEX(_xlfn.ANCHORARRAY(Sintesi!$C$16),1,$C218))*(INDEX(_xlfn.ANCHORARRAY(Sintesi!$C$15),1,$C218)&gt;0),2,IF($E218=(INDEX(_xlfn.ANCHORARRAY(Sintesi!$C$16),1,$C218)),3,4)))),0),IF($C218&gt;0,IF(($E218=INDEX(_xlfn.ANCHORARRAY(Sintesi!$C$14),1,$C218))*(INDEX(_xlfn.ANCHORARRAY(Sintesi!$C$15),1,$C218)&gt;0),0,IF(($E218=INDEX(_xlfn.ANCHORARRAY(Sintesi!$C$14),1,$C218))*(INDEX(_xlfn.ANCHORARRAY(Sintesi!$C$15),1,$C218)&lt;0)+($E218&gt;=LOOKUP(2,1/($E:$E&lt;&gt;""),$E:$E))*($E218&lt;=INDEX($E:$E,MATCH(TRUE,INDEX((ISNUMBER($E:$E)),0),0)))*($E218&gt;INDEX(_xlfn.ANCHORARRAY(Sintesi!$C$14),1,$C218))*($E218&lt;=INDEX(_xlfn.ANCHORARRAY(Sintesi!$C$15),1,$C218))*(INDEX(_xlfn.ANCHORARRAY(Sintesi!$C$15),1,$C218)&gt;0),1,IF(($E218&gt;=LOOKUP(2,1/($E:$E&lt;&gt;""),$E:$E))*($E218&lt;=INDEX($E:$E,MATCH(TRUE,INDEX((ISNUMBER($E:$E)),0),0)))*($E218&gt;INDEX(_xlfn.ANCHORARRAY(Sintesi!$C$14),1,$C218))*($E218&lt;INDEX(_xlfn.ANCHORARRAY(Sintesi!$C$16),1,$C218))*(INDEX(_xlfn.ANCHORARRAY(Sintesi!$C$15),1,$C218)&lt;0)+($E218&gt;=LOOKUP(2,1/($E:$E&lt;&gt;""),$E:$E))*($E218&lt;=INDEX($E:$E,MATCH(TRUE,INDEX((ISNUMBER($E:$E)),0),0)))*($E218&gt;INDEX(_xlfn.ANCHORARRAY(Sintesi!$C$15),1,$C218))*($E218&lt;INDEX(_xlfn.ANCHORARRAY(Sintesi!$C$16),1,$C218))*(INDEX(_xlfn.ANCHORARRAY(Sintesi!$C$15),1,$C218)&gt;0),2,IF($E218=(INDEX(_xlfn.ANCHORARRAY(Sintesi!$C$16),1,$C218)),3,4)))),0)),IF(ISNUMBER($E217),IF($C218&gt;0,IF(($E218=INDEX(_xlfn.ANCHORARRAY(Sintesi!$C$14),1,$C218))*(INDEX(_xlfn.ANCHORARRAY(Sintesi!$C$15),1,$C218)&gt;0),0,IF(($E218=INDEX(_xlfn.ANCHORARRAY(Sintesi!$C$14),1,$C218))*(INDEX(_xlfn.ANCHORARRAY(Sintesi!$C$15),1,$C218)&lt;0)+($E218&gt;=$E217)*($E218&lt;=$E219)*($E218&gt;INDEX(_xlfn.ANCHORARRAY(Sintesi!$C$14),1,$C218))*($E218&lt;=INDEX(_xlfn.ANCHORARRAY(Sintesi!$C$15),1,$C218))*(INDEX(_xlfn.ANCHORARRAY(Sintesi!$C$15),1,$C218)&gt;0),1,IF(($E218&gt;=$E217)*($E218&lt;=$E219)*($E218&gt;INDEX(_xlfn.ANCHORARRAY(Sintesi!$C$14),1,$C218))*($E218&lt;INDEX(_xlfn.ANCHORARRAY(Sintesi!$C$16),1,$C218))*(INDEX(_xlfn.ANCHORARRAY(Sintesi!$C$15),1,$C218)&lt;0)+($E218&gt;=$E217)*($E218&lt;=$E219)*($E218&gt;INDEX(_xlfn.ANCHORARRAY(Sintesi!$C$15),1,$C218))*($E218&lt;INDEX(_xlfn.ANCHORARRAY(Sintesi!$C$16),1,$C218))*(INDEX(_xlfn.ANCHORARRAY(Sintesi!$C$15),1,$C218)&gt;0),2,IF($E218=(INDEX(_xlfn.ANCHORARRAY(Sintesi!$C$16),1,$C218)),3,4)))),0),IF($C218&gt;0,IF(($E218=INDEX(_xlfn.ANCHORARRAY(Sintesi!$C$14),1,$C218))*(INDEX(_xlfn.ANCHORARRAY(Sintesi!$C$15),1,$C218)&gt;0),0,IF(($E218=INDEX(_xlfn.ANCHORARRAY(Sintesi!$C$14),1,$C218))*(INDEX(_xlfn.ANCHORARRAY(Sintesi!$C$15),1,$C218)&lt;0)+($E218&gt;=LOOKUP(2,1/($E:$E&lt;&gt;""),$E:$E))*($E218&lt;=$E219)*($E218&gt;INDEX(_xlfn.ANCHORARRAY(Sintesi!$C$14),1,$C218))*($E218&lt;=INDEX(_xlfn.ANCHORARRAY(Sintesi!$C$15),1,$C218))*(INDEX(_xlfn.ANCHORARRAY(Sintesi!$C$15),1,$C218)&gt;0),1,IF(($E218&gt;=LOOKUP(2,1/($E:$E&lt;&gt;""),$E:$E))*($E218&lt;=$E219)*($E218&gt;INDEX(_xlfn.ANCHORARRAY(Sintesi!$C$14),1,$C218))*($E218&lt;INDEX(_xlfn.ANCHORARRAY(Sintesi!$C$16),1,$C218))*(INDEX(_xlfn.ANCHORARRAY(Sintesi!$C$15),1,$C218)&lt;0)+($E218&gt;=LOOKUP(2,1/($E:$E&lt;&gt;""),$E:$E))*($E218&lt;=$E219)*($E218&gt;INDEX(_xlfn.ANCHORARRAY(Sintesi!$C$15),1,$C218))*($E218&lt;INDEX(_xlfn.ANCHORARRAY(Sintesi!$C$16),1,$C218))*(INDEX(_xlfn.ANCHORARRAY(Sintesi!$C$15),1,$C218)&gt;0),2,IF($E218=(INDEX(_xlfn.ANCHORARRAY(Sintesi!$C$16),1,$C218)),3,4)))),0)))</f>
        <v/>
      </c>
      <c r="E218" s="1">
        <f>'Paste cell here'!F218</f>
        <v/>
      </c>
      <c r="F218" s="1">
        <f>'Paste cell here'!C218</f>
        <v/>
      </c>
      <c r="G218" s="1">
        <f>'Paste cell here'!D218</f>
        <v/>
      </c>
      <c r="H218" s="1">
        <f>'Paste cell here'!E218</f>
        <v/>
      </c>
      <c r="I218" s="1">
        <f>'Paste cell here'!X218</f>
        <v/>
      </c>
      <c r="J218" s="1">
        <f>'Paste cell here'!Y218+'Paste cell here'!S218</f>
        <v/>
      </c>
      <c r="K218" s="1">
        <f>I218/H218</f>
        <v/>
      </c>
      <c r="L218" s="1">
        <f>AVERAGE(($F218+$G218)/2-($F218-$G218)/2*COS(PI()*(8-VLOOKUP(MONTH(B218),$O$1:$Q$13,3))/(VLOOKUP(MONTH(B218),$O$1:$Q$13,2)-VLOOKUP(MONTH(B218),$O$1:$Q$13,3))),($F218+$G218)/2-($F218-$G218)/2*COS(PI()*(9-VLOOKUP(MONTH(B218),$O$1:$Q$13,3))/(VLOOKUP(MONTH(B218),$O$1:$Q$13,2)-VLOOKUP(MONTH(B218),$O$1:$Q$13,3))),($F218+$G218)/2-($F218-$G218)/2*COS(PI()*(10-VLOOKUP(MONTH(B218),$O$1:$Q$13,3))/(VLOOKUP(MONTH(B218),$O$1:$Q$13,2)-VLOOKUP(MONTH(B218),$O$1:$Q$13,3))),($F218+$G218)/2-($F218-$G218)/2*COS(PI()*(11-VLOOKUP(MONTH(B218),$O$1:$Q$13,3))/(VLOOKUP(MONTH(B218),$O$1:$Q$13,2)-VLOOKUP(MONTH(B218),$O$1:$Q$13,3))),($F218+$G218)/2-($F218-$G218)/2*COS(PI()*(12-VLOOKUP(MONTH(B218),$O$1:$Q$13,3))/(VLOOKUP(MONTH(B218),$O$1:$Q$13,2)-VLOOKUP(MONTH(B218),$O$1:$Q$13,3))),($F218+$G218)/2-($F218-$G218)/2*COS(PI()*(13-VLOOKUP(MONTH(B218),$O$1:$Q$13,3))/(VLOOKUP(MONTH(B218),$O$1:$Q$13,2)-VLOOKUP(MONTH(B218),$O$1:$Q$13,3))),($F218+$G218)/2-($F218-$G218)/2*COS(PI()*(14-VLOOKUP(MONTH(B218),$O$1:$Q$13,3))/(VLOOKUP(MONTH(B218),$O$1:$Q$13,2)-VLOOKUP(MONTH(B218),$O$1:$Q$13,3))))</f>
        <v/>
      </c>
      <c r="M218" s="1">
        <f t="array" ref="M218">IF(AND(A218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,A218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),IF(L218&lt;_xlfn.IFNA(INDEX(_xlfn.ANCHORARRAY(Sintesi!$C$17)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,1,IF(L218&gt;=_xlfn.IFNA(INDEX(_xlfn.ANCHORARRAY(Sintesi!$C$18)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,0,1-(L218-_xlfn.IFNA(INDEX(_xlfn.ANCHORARRAY(Sintesi!$C$17)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)/(_xlfn.IFNA(INDEX(_xlfn.ANCHORARRAY(Sintesi!$C$18)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-_xlfn.IFNA(INDEX(_xlfn.ANCHORARRAY(Sintesi!$C$17)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))),0)</f>
        <v/>
      </c>
    </row>
    <row r="219">
      <c r="A219" s="1">
        <f>'Paste cell here'!A219</f>
        <v/>
      </c>
      <c r="B219" s="2">
        <f>DATE(Sintesi!$C$4-1,12,31)+A219</f>
        <v/>
      </c>
      <c r="C219" s="34">
        <f t="array" ref="C219">_xlfn.IFNA(MATCH(1,(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)*(_xlfn.ANCHORARRAY(Sintesi!$C$15)&gt;=0)+(_xlfn.ANCHORARRAY(Sintesi!$C$15)&lt;0),0),0)</f>
        <v/>
      </c>
      <c r="D219" s="1">
        <f t="array" ref="D219">IF(ISBLANK($E220),IF(ISNUMBER($E218),IF($C219&gt;0,IF(($E219=INDEX(_xlfn.ANCHORARRAY(Sintesi!$C$14),1,$C219))*(INDEX(_xlfn.ANCHORARRAY(Sintesi!$C$15),1,$C219)&gt;0),0,IF(($E219=INDEX(_xlfn.ANCHORARRAY(Sintesi!$C$14),1,$C219))*(INDEX(_xlfn.ANCHORARRAY(Sintesi!$C$15),1,$C219)&lt;0)+($E219&gt;=$E218)*($E219&lt;=INDEX($E:$E,MATCH(TRUE,INDEX((ISNUMBER($E:$E)),0),0)))*($E219&gt;INDEX(_xlfn.ANCHORARRAY(Sintesi!$C$14),1,$C219))*($E219&lt;=INDEX(_xlfn.ANCHORARRAY(Sintesi!$C$15),1,$C219))*(INDEX(_xlfn.ANCHORARRAY(Sintesi!$C$15),1,$C219)&gt;0),1,IF(($E219&gt;=$E218)*($E219&lt;=INDEX($E:$E,MATCH(TRUE,INDEX((ISNUMBER($E:$E)),0),0)))*($E219&gt;INDEX(_xlfn.ANCHORARRAY(Sintesi!$C$14),1,$C219))*($E219&lt;INDEX(_xlfn.ANCHORARRAY(Sintesi!$C$16),1,$C219))*(INDEX(_xlfn.ANCHORARRAY(Sintesi!$C$15),1,$C219)&lt;0)+($E219&gt;=$E218)*($E219&lt;=INDEX($E:$E,MATCH(TRUE,INDEX((ISNUMBER($E:$E)),0),0)))*($E219&gt;INDEX(_xlfn.ANCHORARRAY(Sintesi!$C$15),1,$C219))*($E219&lt;INDEX(_xlfn.ANCHORARRAY(Sintesi!$C$16),1,$C219))*(INDEX(_xlfn.ANCHORARRAY(Sintesi!$C$15),1,$C219)&gt;0),2,IF($E219=(INDEX(_xlfn.ANCHORARRAY(Sintesi!$C$16),1,$C219)),3,4)))),0),IF($C219&gt;0,IF(($E219=INDEX(_xlfn.ANCHORARRAY(Sintesi!$C$14),1,$C219))*(INDEX(_xlfn.ANCHORARRAY(Sintesi!$C$15),1,$C219)&gt;0),0,IF(($E219=INDEX(_xlfn.ANCHORARRAY(Sintesi!$C$14),1,$C219))*(INDEX(_xlfn.ANCHORARRAY(Sintesi!$C$15),1,$C219)&lt;0)+($E219&gt;=LOOKUP(2,1/($E:$E&lt;&gt;""),$E:$E))*($E219&lt;=INDEX($E:$E,MATCH(TRUE,INDEX((ISNUMBER($E:$E)),0),0)))*($E219&gt;INDEX(_xlfn.ANCHORARRAY(Sintesi!$C$14),1,$C219))*($E219&lt;=INDEX(_xlfn.ANCHORARRAY(Sintesi!$C$15),1,$C219))*(INDEX(_xlfn.ANCHORARRAY(Sintesi!$C$15),1,$C219)&gt;0),1,IF(($E219&gt;=LOOKUP(2,1/($E:$E&lt;&gt;""),$E:$E))*($E219&lt;=INDEX($E:$E,MATCH(TRUE,INDEX((ISNUMBER($E:$E)),0),0)))*($E219&gt;INDEX(_xlfn.ANCHORARRAY(Sintesi!$C$14),1,$C219))*($E219&lt;INDEX(_xlfn.ANCHORARRAY(Sintesi!$C$16),1,$C219))*(INDEX(_xlfn.ANCHORARRAY(Sintesi!$C$15),1,$C219)&lt;0)+($E219&gt;=LOOKUP(2,1/($E:$E&lt;&gt;""),$E:$E))*($E219&lt;=INDEX($E:$E,MATCH(TRUE,INDEX((ISNUMBER($E:$E)),0),0)))*($E219&gt;INDEX(_xlfn.ANCHORARRAY(Sintesi!$C$15),1,$C219))*($E219&lt;INDEX(_xlfn.ANCHORARRAY(Sintesi!$C$16),1,$C219))*(INDEX(_xlfn.ANCHORARRAY(Sintesi!$C$15),1,$C219)&gt;0),2,IF($E219=(INDEX(_xlfn.ANCHORARRAY(Sintesi!$C$16),1,$C219)),3,4)))),0)),IF(ISNUMBER($E218),IF($C219&gt;0,IF(($E219=INDEX(_xlfn.ANCHORARRAY(Sintesi!$C$14),1,$C219))*(INDEX(_xlfn.ANCHORARRAY(Sintesi!$C$15),1,$C219)&gt;0),0,IF(($E219=INDEX(_xlfn.ANCHORARRAY(Sintesi!$C$14),1,$C219))*(INDEX(_xlfn.ANCHORARRAY(Sintesi!$C$15),1,$C219)&lt;0)+($E219&gt;=$E218)*($E219&lt;=$E220)*($E219&gt;INDEX(_xlfn.ANCHORARRAY(Sintesi!$C$14),1,$C219))*($E219&lt;=INDEX(_xlfn.ANCHORARRAY(Sintesi!$C$15),1,$C219))*(INDEX(_xlfn.ANCHORARRAY(Sintesi!$C$15),1,$C219)&gt;0),1,IF(($E219&gt;=$E218)*($E219&lt;=$E220)*($E219&gt;INDEX(_xlfn.ANCHORARRAY(Sintesi!$C$14),1,$C219))*($E219&lt;INDEX(_xlfn.ANCHORARRAY(Sintesi!$C$16),1,$C219))*(INDEX(_xlfn.ANCHORARRAY(Sintesi!$C$15),1,$C219)&lt;0)+($E219&gt;=$E218)*($E219&lt;=$E220)*($E219&gt;INDEX(_xlfn.ANCHORARRAY(Sintesi!$C$15),1,$C219))*($E219&lt;INDEX(_xlfn.ANCHORARRAY(Sintesi!$C$16),1,$C219))*(INDEX(_xlfn.ANCHORARRAY(Sintesi!$C$15),1,$C219)&gt;0),2,IF($E219=(INDEX(_xlfn.ANCHORARRAY(Sintesi!$C$16),1,$C219)),3,4)))),0),IF($C219&gt;0,IF(($E219=INDEX(_xlfn.ANCHORARRAY(Sintesi!$C$14),1,$C219))*(INDEX(_xlfn.ANCHORARRAY(Sintesi!$C$15),1,$C219)&gt;0),0,IF(($E219=INDEX(_xlfn.ANCHORARRAY(Sintesi!$C$14),1,$C219))*(INDEX(_xlfn.ANCHORARRAY(Sintesi!$C$15),1,$C219)&lt;0)+($E219&gt;=LOOKUP(2,1/($E:$E&lt;&gt;""),$E:$E))*($E219&lt;=$E220)*($E219&gt;INDEX(_xlfn.ANCHORARRAY(Sintesi!$C$14),1,$C219))*($E219&lt;=INDEX(_xlfn.ANCHORARRAY(Sintesi!$C$15),1,$C219))*(INDEX(_xlfn.ANCHORARRAY(Sintesi!$C$15),1,$C219)&gt;0),1,IF(($E219&gt;=LOOKUP(2,1/($E:$E&lt;&gt;""),$E:$E))*($E219&lt;=$E220)*($E219&gt;INDEX(_xlfn.ANCHORARRAY(Sintesi!$C$14),1,$C219))*($E219&lt;INDEX(_xlfn.ANCHORARRAY(Sintesi!$C$16),1,$C219))*(INDEX(_xlfn.ANCHORARRAY(Sintesi!$C$15),1,$C219)&lt;0)+($E219&gt;=LOOKUP(2,1/($E:$E&lt;&gt;""),$E:$E))*($E219&lt;=$E220)*($E219&gt;INDEX(_xlfn.ANCHORARRAY(Sintesi!$C$15),1,$C219))*($E219&lt;INDEX(_xlfn.ANCHORARRAY(Sintesi!$C$16),1,$C219))*(INDEX(_xlfn.ANCHORARRAY(Sintesi!$C$15),1,$C219)&gt;0),2,IF($E219=(INDEX(_xlfn.ANCHORARRAY(Sintesi!$C$16),1,$C219)),3,4)))),0)))</f>
        <v/>
      </c>
      <c r="E219" s="1">
        <f>'Paste cell here'!F219</f>
        <v/>
      </c>
      <c r="F219" s="1">
        <f>'Paste cell here'!C219</f>
        <v/>
      </c>
      <c r="G219" s="1">
        <f>'Paste cell here'!D219</f>
        <v/>
      </c>
      <c r="H219" s="1">
        <f>'Paste cell here'!E219</f>
        <v/>
      </c>
      <c r="I219" s="1">
        <f>'Paste cell here'!X219</f>
        <v/>
      </c>
      <c r="J219" s="1">
        <f>'Paste cell here'!Y219+'Paste cell here'!S219</f>
        <v/>
      </c>
      <c r="K219" s="1">
        <f>I219/H219</f>
        <v/>
      </c>
      <c r="L219" s="1">
        <f>AVERAGE(($F219+$G219)/2-($F219-$G219)/2*COS(PI()*(8-VLOOKUP(MONTH(B219),$O$1:$Q$13,3))/(VLOOKUP(MONTH(B219),$O$1:$Q$13,2)-VLOOKUP(MONTH(B219),$O$1:$Q$13,3))),($F219+$G219)/2-($F219-$G219)/2*COS(PI()*(9-VLOOKUP(MONTH(B219),$O$1:$Q$13,3))/(VLOOKUP(MONTH(B219),$O$1:$Q$13,2)-VLOOKUP(MONTH(B219),$O$1:$Q$13,3))),($F219+$G219)/2-($F219-$G219)/2*COS(PI()*(10-VLOOKUP(MONTH(B219),$O$1:$Q$13,3))/(VLOOKUP(MONTH(B219),$O$1:$Q$13,2)-VLOOKUP(MONTH(B219),$O$1:$Q$13,3))),($F219+$G219)/2-($F219-$G219)/2*COS(PI()*(11-VLOOKUP(MONTH(B219),$O$1:$Q$13,3))/(VLOOKUP(MONTH(B219),$O$1:$Q$13,2)-VLOOKUP(MONTH(B219),$O$1:$Q$13,3))),($F219+$G219)/2-($F219-$G219)/2*COS(PI()*(12-VLOOKUP(MONTH(B219),$O$1:$Q$13,3))/(VLOOKUP(MONTH(B219),$O$1:$Q$13,2)-VLOOKUP(MONTH(B219),$O$1:$Q$13,3))),($F219+$G219)/2-($F219-$G219)/2*COS(PI()*(13-VLOOKUP(MONTH(B219),$O$1:$Q$13,3))/(VLOOKUP(MONTH(B219),$O$1:$Q$13,2)-VLOOKUP(MONTH(B219),$O$1:$Q$13,3))),($F219+$G219)/2-($F219-$G219)/2*COS(PI()*(14-VLOOKUP(MONTH(B219),$O$1:$Q$13,3))/(VLOOKUP(MONTH(B219),$O$1:$Q$13,2)-VLOOKUP(MONTH(B219),$O$1:$Q$13,3))))</f>
        <v/>
      </c>
      <c r="M219" s="1">
        <f t="array" ref="M219">IF(AND(A219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,A219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),IF(L219&lt;_xlfn.IFNA(INDEX(_xlfn.ANCHORARRAY(Sintesi!$C$17)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,1,IF(L219&gt;=_xlfn.IFNA(INDEX(_xlfn.ANCHORARRAY(Sintesi!$C$18)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,0,1-(L219-_xlfn.IFNA(INDEX(_xlfn.ANCHORARRAY(Sintesi!$C$17)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)/(_xlfn.IFNA(INDEX(_xlfn.ANCHORARRAY(Sintesi!$C$18)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-_xlfn.IFNA(INDEX(_xlfn.ANCHORARRAY(Sintesi!$C$17)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))),0)</f>
        <v/>
      </c>
    </row>
    <row r="220">
      <c r="A220" s="1">
        <f>'Paste cell here'!A220</f>
        <v/>
      </c>
      <c r="B220" s="2">
        <f>DATE(Sintesi!$C$4-1,12,31)+A220</f>
        <v/>
      </c>
      <c r="C220" s="34">
        <f t="array" ref="C220">_xlfn.IFNA(MATCH(1,(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)*(_xlfn.ANCHORARRAY(Sintesi!$C$15)&gt;=0)+(_xlfn.ANCHORARRAY(Sintesi!$C$15)&lt;0),0),0)</f>
        <v/>
      </c>
      <c r="D220" s="1">
        <f t="array" ref="D220">IF(ISBLANK($E221),IF(ISNUMBER($E219),IF($C220&gt;0,IF(($E220=INDEX(_xlfn.ANCHORARRAY(Sintesi!$C$14),1,$C220))*(INDEX(_xlfn.ANCHORARRAY(Sintesi!$C$15),1,$C220)&gt;0),0,IF(($E220=INDEX(_xlfn.ANCHORARRAY(Sintesi!$C$14),1,$C220))*(INDEX(_xlfn.ANCHORARRAY(Sintesi!$C$15),1,$C220)&lt;0)+($E220&gt;=$E219)*($E220&lt;=INDEX($E:$E,MATCH(TRUE,INDEX((ISNUMBER($E:$E)),0),0)))*($E220&gt;INDEX(_xlfn.ANCHORARRAY(Sintesi!$C$14),1,$C220))*($E220&lt;=INDEX(_xlfn.ANCHORARRAY(Sintesi!$C$15),1,$C220))*(INDEX(_xlfn.ANCHORARRAY(Sintesi!$C$15),1,$C220)&gt;0),1,IF(($E220&gt;=$E219)*($E220&lt;=INDEX($E:$E,MATCH(TRUE,INDEX((ISNUMBER($E:$E)),0),0)))*($E220&gt;INDEX(_xlfn.ANCHORARRAY(Sintesi!$C$14),1,$C220))*($E220&lt;INDEX(_xlfn.ANCHORARRAY(Sintesi!$C$16),1,$C220))*(INDEX(_xlfn.ANCHORARRAY(Sintesi!$C$15),1,$C220)&lt;0)+($E220&gt;=$E219)*($E220&lt;=INDEX($E:$E,MATCH(TRUE,INDEX((ISNUMBER($E:$E)),0),0)))*($E220&gt;INDEX(_xlfn.ANCHORARRAY(Sintesi!$C$15),1,$C220))*($E220&lt;INDEX(_xlfn.ANCHORARRAY(Sintesi!$C$16),1,$C220))*(INDEX(_xlfn.ANCHORARRAY(Sintesi!$C$15),1,$C220)&gt;0),2,IF($E220=(INDEX(_xlfn.ANCHORARRAY(Sintesi!$C$16),1,$C220)),3,4)))),0),IF($C220&gt;0,IF(($E220=INDEX(_xlfn.ANCHORARRAY(Sintesi!$C$14),1,$C220))*(INDEX(_xlfn.ANCHORARRAY(Sintesi!$C$15),1,$C220)&gt;0),0,IF(($E220=INDEX(_xlfn.ANCHORARRAY(Sintesi!$C$14),1,$C220))*(INDEX(_xlfn.ANCHORARRAY(Sintesi!$C$15),1,$C220)&lt;0)+($E220&gt;=LOOKUP(2,1/($E:$E&lt;&gt;""),$E:$E))*($E220&lt;=INDEX($E:$E,MATCH(TRUE,INDEX((ISNUMBER($E:$E)),0),0)))*($E220&gt;INDEX(_xlfn.ANCHORARRAY(Sintesi!$C$14),1,$C220))*($E220&lt;=INDEX(_xlfn.ANCHORARRAY(Sintesi!$C$15),1,$C220))*(INDEX(_xlfn.ANCHORARRAY(Sintesi!$C$15),1,$C220)&gt;0),1,IF(($E220&gt;=LOOKUP(2,1/($E:$E&lt;&gt;""),$E:$E))*($E220&lt;=INDEX($E:$E,MATCH(TRUE,INDEX((ISNUMBER($E:$E)),0),0)))*($E220&gt;INDEX(_xlfn.ANCHORARRAY(Sintesi!$C$14),1,$C220))*($E220&lt;INDEX(_xlfn.ANCHORARRAY(Sintesi!$C$16),1,$C220))*(INDEX(_xlfn.ANCHORARRAY(Sintesi!$C$15),1,$C220)&lt;0)+($E220&gt;=LOOKUP(2,1/($E:$E&lt;&gt;""),$E:$E))*($E220&lt;=INDEX($E:$E,MATCH(TRUE,INDEX((ISNUMBER($E:$E)),0),0)))*($E220&gt;INDEX(_xlfn.ANCHORARRAY(Sintesi!$C$15),1,$C220))*($E220&lt;INDEX(_xlfn.ANCHORARRAY(Sintesi!$C$16),1,$C220))*(INDEX(_xlfn.ANCHORARRAY(Sintesi!$C$15),1,$C220)&gt;0),2,IF($E220=(INDEX(_xlfn.ANCHORARRAY(Sintesi!$C$16),1,$C220)),3,4)))),0)),IF(ISNUMBER($E219),IF($C220&gt;0,IF(($E220=INDEX(_xlfn.ANCHORARRAY(Sintesi!$C$14),1,$C220))*(INDEX(_xlfn.ANCHORARRAY(Sintesi!$C$15),1,$C220)&gt;0),0,IF(($E220=INDEX(_xlfn.ANCHORARRAY(Sintesi!$C$14),1,$C220))*(INDEX(_xlfn.ANCHORARRAY(Sintesi!$C$15),1,$C220)&lt;0)+($E220&gt;=$E219)*($E220&lt;=$E221)*($E220&gt;INDEX(_xlfn.ANCHORARRAY(Sintesi!$C$14),1,$C220))*($E220&lt;=INDEX(_xlfn.ANCHORARRAY(Sintesi!$C$15),1,$C220))*(INDEX(_xlfn.ANCHORARRAY(Sintesi!$C$15),1,$C220)&gt;0),1,IF(($E220&gt;=$E219)*($E220&lt;=$E221)*($E220&gt;INDEX(_xlfn.ANCHORARRAY(Sintesi!$C$14),1,$C220))*($E220&lt;INDEX(_xlfn.ANCHORARRAY(Sintesi!$C$16),1,$C220))*(INDEX(_xlfn.ANCHORARRAY(Sintesi!$C$15),1,$C220)&lt;0)+($E220&gt;=$E219)*($E220&lt;=$E221)*($E220&gt;INDEX(_xlfn.ANCHORARRAY(Sintesi!$C$15),1,$C220))*($E220&lt;INDEX(_xlfn.ANCHORARRAY(Sintesi!$C$16),1,$C220))*(INDEX(_xlfn.ANCHORARRAY(Sintesi!$C$15),1,$C220)&gt;0),2,IF($E220=(INDEX(_xlfn.ANCHORARRAY(Sintesi!$C$16),1,$C220)),3,4)))),0),IF($C220&gt;0,IF(($E220=INDEX(_xlfn.ANCHORARRAY(Sintesi!$C$14),1,$C220))*(INDEX(_xlfn.ANCHORARRAY(Sintesi!$C$15),1,$C220)&gt;0),0,IF(($E220=INDEX(_xlfn.ANCHORARRAY(Sintesi!$C$14),1,$C220))*(INDEX(_xlfn.ANCHORARRAY(Sintesi!$C$15),1,$C220)&lt;0)+($E220&gt;=LOOKUP(2,1/($E:$E&lt;&gt;""),$E:$E))*($E220&lt;=$E221)*($E220&gt;INDEX(_xlfn.ANCHORARRAY(Sintesi!$C$14),1,$C220))*($E220&lt;=INDEX(_xlfn.ANCHORARRAY(Sintesi!$C$15),1,$C220))*(INDEX(_xlfn.ANCHORARRAY(Sintesi!$C$15),1,$C220)&gt;0),1,IF(($E220&gt;=LOOKUP(2,1/($E:$E&lt;&gt;""),$E:$E))*($E220&lt;=$E221)*($E220&gt;INDEX(_xlfn.ANCHORARRAY(Sintesi!$C$14),1,$C220))*($E220&lt;INDEX(_xlfn.ANCHORARRAY(Sintesi!$C$16),1,$C220))*(INDEX(_xlfn.ANCHORARRAY(Sintesi!$C$15),1,$C220)&lt;0)+($E220&gt;=LOOKUP(2,1/($E:$E&lt;&gt;""),$E:$E))*($E220&lt;=$E221)*($E220&gt;INDEX(_xlfn.ANCHORARRAY(Sintesi!$C$15),1,$C220))*($E220&lt;INDEX(_xlfn.ANCHORARRAY(Sintesi!$C$16),1,$C220))*(INDEX(_xlfn.ANCHORARRAY(Sintesi!$C$15),1,$C220)&gt;0),2,IF($E220=(INDEX(_xlfn.ANCHORARRAY(Sintesi!$C$16),1,$C220)),3,4)))),0)))</f>
        <v/>
      </c>
      <c r="E220" s="1">
        <f>'Paste cell here'!F220</f>
        <v/>
      </c>
      <c r="F220" s="1">
        <f>'Paste cell here'!C220</f>
        <v/>
      </c>
      <c r="G220" s="1">
        <f>'Paste cell here'!D220</f>
        <v/>
      </c>
      <c r="H220" s="1">
        <f>'Paste cell here'!E220</f>
        <v/>
      </c>
      <c r="I220" s="1">
        <f>'Paste cell here'!X220</f>
        <v/>
      </c>
      <c r="J220" s="1">
        <f>'Paste cell here'!Y220+'Paste cell here'!S220</f>
        <v/>
      </c>
      <c r="K220" s="1">
        <f>I220/H220</f>
        <v/>
      </c>
      <c r="L220" s="1">
        <f>AVERAGE(($F220+$G220)/2-($F220-$G220)/2*COS(PI()*(8-VLOOKUP(MONTH(B220),$O$1:$Q$13,3))/(VLOOKUP(MONTH(B220),$O$1:$Q$13,2)-VLOOKUP(MONTH(B220),$O$1:$Q$13,3))),($F220+$G220)/2-($F220-$G220)/2*COS(PI()*(9-VLOOKUP(MONTH(B220),$O$1:$Q$13,3))/(VLOOKUP(MONTH(B220),$O$1:$Q$13,2)-VLOOKUP(MONTH(B220),$O$1:$Q$13,3))),($F220+$G220)/2-($F220-$G220)/2*COS(PI()*(10-VLOOKUP(MONTH(B220),$O$1:$Q$13,3))/(VLOOKUP(MONTH(B220),$O$1:$Q$13,2)-VLOOKUP(MONTH(B220),$O$1:$Q$13,3))),($F220+$G220)/2-($F220-$G220)/2*COS(PI()*(11-VLOOKUP(MONTH(B220),$O$1:$Q$13,3))/(VLOOKUP(MONTH(B220),$O$1:$Q$13,2)-VLOOKUP(MONTH(B220),$O$1:$Q$13,3))),($F220+$G220)/2-($F220-$G220)/2*COS(PI()*(12-VLOOKUP(MONTH(B220),$O$1:$Q$13,3))/(VLOOKUP(MONTH(B220),$O$1:$Q$13,2)-VLOOKUP(MONTH(B220),$O$1:$Q$13,3))),($F220+$G220)/2-($F220-$G220)/2*COS(PI()*(13-VLOOKUP(MONTH(B220),$O$1:$Q$13,3))/(VLOOKUP(MONTH(B220),$O$1:$Q$13,2)-VLOOKUP(MONTH(B220),$O$1:$Q$13,3))),($F220+$G220)/2-($F220-$G220)/2*COS(PI()*(14-VLOOKUP(MONTH(B220),$O$1:$Q$13,3))/(VLOOKUP(MONTH(B220),$O$1:$Q$13,2)-VLOOKUP(MONTH(B220),$O$1:$Q$13,3))))</f>
        <v/>
      </c>
      <c r="M220" s="1">
        <f t="array" ref="M220">IF(AND(A220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,A220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),IF(L220&lt;_xlfn.IFNA(INDEX(_xlfn.ANCHORARRAY(Sintesi!$C$17)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,1,IF(L220&gt;=_xlfn.IFNA(INDEX(_xlfn.ANCHORARRAY(Sintesi!$C$18)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,0,1-(L220-_xlfn.IFNA(INDEX(_xlfn.ANCHORARRAY(Sintesi!$C$17)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)/(_xlfn.IFNA(INDEX(_xlfn.ANCHORARRAY(Sintesi!$C$18)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-_xlfn.IFNA(INDEX(_xlfn.ANCHORARRAY(Sintesi!$C$17)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))),0)</f>
        <v/>
      </c>
    </row>
    <row r="221">
      <c r="A221" s="1">
        <f>'Paste cell here'!A221</f>
        <v/>
      </c>
      <c r="B221" s="2">
        <f>DATE(Sintesi!$C$4-1,12,31)+A221</f>
        <v/>
      </c>
      <c r="C221" s="34">
        <f t="array" ref="C221">_xlfn.IFNA(MATCH(1,(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)*(_xlfn.ANCHORARRAY(Sintesi!$C$15)&gt;=0)+(_xlfn.ANCHORARRAY(Sintesi!$C$15)&lt;0),0),0)</f>
        <v/>
      </c>
      <c r="D221" s="1">
        <f t="array" ref="D221">IF(ISBLANK($E222),IF(ISNUMBER($E220),IF($C221&gt;0,IF(($E221=INDEX(_xlfn.ANCHORARRAY(Sintesi!$C$14),1,$C221))*(INDEX(_xlfn.ANCHORARRAY(Sintesi!$C$15),1,$C221)&gt;0),0,IF(($E221=INDEX(_xlfn.ANCHORARRAY(Sintesi!$C$14),1,$C221))*(INDEX(_xlfn.ANCHORARRAY(Sintesi!$C$15),1,$C221)&lt;0)+($E221&gt;=$E220)*($E221&lt;=INDEX($E:$E,MATCH(TRUE,INDEX((ISNUMBER($E:$E)),0),0)))*($E221&gt;INDEX(_xlfn.ANCHORARRAY(Sintesi!$C$14),1,$C221))*($E221&lt;=INDEX(_xlfn.ANCHORARRAY(Sintesi!$C$15),1,$C221))*(INDEX(_xlfn.ANCHORARRAY(Sintesi!$C$15),1,$C221)&gt;0),1,IF(($E221&gt;=$E220)*($E221&lt;=INDEX($E:$E,MATCH(TRUE,INDEX((ISNUMBER($E:$E)),0),0)))*($E221&gt;INDEX(_xlfn.ANCHORARRAY(Sintesi!$C$14),1,$C221))*($E221&lt;INDEX(_xlfn.ANCHORARRAY(Sintesi!$C$16),1,$C221))*(INDEX(_xlfn.ANCHORARRAY(Sintesi!$C$15),1,$C221)&lt;0)+($E221&gt;=$E220)*($E221&lt;=INDEX($E:$E,MATCH(TRUE,INDEX((ISNUMBER($E:$E)),0),0)))*($E221&gt;INDEX(_xlfn.ANCHORARRAY(Sintesi!$C$15),1,$C221))*($E221&lt;INDEX(_xlfn.ANCHORARRAY(Sintesi!$C$16),1,$C221))*(INDEX(_xlfn.ANCHORARRAY(Sintesi!$C$15),1,$C221)&gt;0),2,IF($E221=(INDEX(_xlfn.ANCHORARRAY(Sintesi!$C$16),1,$C221)),3,4)))),0),IF($C221&gt;0,IF(($E221=INDEX(_xlfn.ANCHORARRAY(Sintesi!$C$14),1,$C221))*(INDEX(_xlfn.ANCHORARRAY(Sintesi!$C$15),1,$C221)&gt;0),0,IF(($E221=INDEX(_xlfn.ANCHORARRAY(Sintesi!$C$14),1,$C221))*(INDEX(_xlfn.ANCHORARRAY(Sintesi!$C$15),1,$C221)&lt;0)+($E221&gt;=LOOKUP(2,1/($E:$E&lt;&gt;""),$E:$E))*($E221&lt;=INDEX($E:$E,MATCH(TRUE,INDEX((ISNUMBER($E:$E)),0),0)))*($E221&gt;INDEX(_xlfn.ANCHORARRAY(Sintesi!$C$14),1,$C221))*($E221&lt;=INDEX(_xlfn.ANCHORARRAY(Sintesi!$C$15),1,$C221))*(INDEX(_xlfn.ANCHORARRAY(Sintesi!$C$15),1,$C221)&gt;0),1,IF(($E221&gt;=LOOKUP(2,1/($E:$E&lt;&gt;""),$E:$E))*($E221&lt;=INDEX($E:$E,MATCH(TRUE,INDEX((ISNUMBER($E:$E)),0),0)))*($E221&gt;INDEX(_xlfn.ANCHORARRAY(Sintesi!$C$14),1,$C221))*($E221&lt;INDEX(_xlfn.ANCHORARRAY(Sintesi!$C$16),1,$C221))*(INDEX(_xlfn.ANCHORARRAY(Sintesi!$C$15),1,$C221)&lt;0)+($E221&gt;=LOOKUP(2,1/($E:$E&lt;&gt;""),$E:$E))*($E221&lt;=INDEX($E:$E,MATCH(TRUE,INDEX((ISNUMBER($E:$E)),0),0)))*($E221&gt;INDEX(_xlfn.ANCHORARRAY(Sintesi!$C$15),1,$C221))*($E221&lt;INDEX(_xlfn.ANCHORARRAY(Sintesi!$C$16),1,$C221))*(INDEX(_xlfn.ANCHORARRAY(Sintesi!$C$15),1,$C221)&gt;0),2,IF($E221=(INDEX(_xlfn.ANCHORARRAY(Sintesi!$C$16),1,$C221)),3,4)))),0)),IF(ISNUMBER($E220),IF($C221&gt;0,IF(($E221=INDEX(_xlfn.ANCHORARRAY(Sintesi!$C$14),1,$C221))*(INDEX(_xlfn.ANCHORARRAY(Sintesi!$C$15),1,$C221)&gt;0),0,IF(($E221=INDEX(_xlfn.ANCHORARRAY(Sintesi!$C$14),1,$C221))*(INDEX(_xlfn.ANCHORARRAY(Sintesi!$C$15),1,$C221)&lt;0)+($E221&gt;=$E220)*($E221&lt;=$E222)*($E221&gt;INDEX(_xlfn.ANCHORARRAY(Sintesi!$C$14),1,$C221))*($E221&lt;=INDEX(_xlfn.ANCHORARRAY(Sintesi!$C$15),1,$C221))*(INDEX(_xlfn.ANCHORARRAY(Sintesi!$C$15),1,$C221)&gt;0),1,IF(($E221&gt;=$E220)*($E221&lt;=$E222)*($E221&gt;INDEX(_xlfn.ANCHORARRAY(Sintesi!$C$14),1,$C221))*($E221&lt;INDEX(_xlfn.ANCHORARRAY(Sintesi!$C$16),1,$C221))*(INDEX(_xlfn.ANCHORARRAY(Sintesi!$C$15),1,$C221)&lt;0)+($E221&gt;=$E220)*($E221&lt;=$E222)*($E221&gt;INDEX(_xlfn.ANCHORARRAY(Sintesi!$C$15),1,$C221))*($E221&lt;INDEX(_xlfn.ANCHORARRAY(Sintesi!$C$16),1,$C221))*(INDEX(_xlfn.ANCHORARRAY(Sintesi!$C$15),1,$C221)&gt;0),2,IF($E221=(INDEX(_xlfn.ANCHORARRAY(Sintesi!$C$16),1,$C221)),3,4)))),0),IF($C221&gt;0,IF(($E221=INDEX(_xlfn.ANCHORARRAY(Sintesi!$C$14),1,$C221))*(INDEX(_xlfn.ANCHORARRAY(Sintesi!$C$15),1,$C221)&gt;0),0,IF(($E221=INDEX(_xlfn.ANCHORARRAY(Sintesi!$C$14),1,$C221))*(INDEX(_xlfn.ANCHORARRAY(Sintesi!$C$15),1,$C221)&lt;0)+($E221&gt;=LOOKUP(2,1/($E:$E&lt;&gt;""),$E:$E))*($E221&lt;=$E222)*($E221&gt;INDEX(_xlfn.ANCHORARRAY(Sintesi!$C$14),1,$C221))*($E221&lt;=INDEX(_xlfn.ANCHORARRAY(Sintesi!$C$15),1,$C221))*(INDEX(_xlfn.ANCHORARRAY(Sintesi!$C$15),1,$C221)&gt;0),1,IF(($E221&gt;=LOOKUP(2,1/($E:$E&lt;&gt;""),$E:$E))*($E221&lt;=$E222)*($E221&gt;INDEX(_xlfn.ANCHORARRAY(Sintesi!$C$14),1,$C221))*($E221&lt;INDEX(_xlfn.ANCHORARRAY(Sintesi!$C$16),1,$C221))*(INDEX(_xlfn.ANCHORARRAY(Sintesi!$C$15),1,$C221)&lt;0)+($E221&gt;=LOOKUP(2,1/($E:$E&lt;&gt;""),$E:$E))*($E221&lt;=$E222)*($E221&gt;INDEX(_xlfn.ANCHORARRAY(Sintesi!$C$15),1,$C221))*($E221&lt;INDEX(_xlfn.ANCHORARRAY(Sintesi!$C$16),1,$C221))*(INDEX(_xlfn.ANCHORARRAY(Sintesi!$C$15),1,$C221)&gt;0),2,IF($E221=(INDEX(_xlfn.ANCHORARRAY(Sintesi!$C$16),1,$C221)),3,4)))),0)))</f>
        <v/>
      </c>
      <c r="E221" s="1">
        <f>'Paste cell here'!F221</f>
        <v/>
      </c>
      <c r="F221" s="1">
        <f>'Paste cell here'!C221</f>
        <v/>
      </c>
      <c r="G221" s="1">
        <f>'Paste cell here'!D221</f>
        <v/>
      </c>
      <c r="H221" s="1">
        <f>'Paste cell here'!E221</f>
        <v/>
      </c>
      <c r="I221" s="1">
        <f>'Paste cell here'!X221</f>
        <v/>
      </c>
      <c r="J221" s="1">
        <f>'Paste cell here'!Y221+'Paste cell here'!S221</f>
        <v/>
      </c>
      <c r="K221" s="1">
        <f>I221/H221</f>
        <v/>
      </c>
      <c r="L221" s="1">
        <f>AVERAGE(($F221+$G221)/2-($F221-$G221)/2*COS(PI()*(8-VLOOKUP(MONTH(B221),$O$1:$Q$13,3))/(VLOOKUP(MONTH(B221),$O$1:$Q$13,2)-VLOOKUP(MONTH(B221),$O$1:$Q$13,3))),($F221+$G221)/2-($F221-$G221)/2*COS(PI()*(9-VLOOKUP(MONTH(B221),$O$1:$Q$13,3))/(VLOOKUP(MONTH(B221),$O$1:$Q$13,2)-VLOOKUP(MONTH(B221),$O$1:$Q$13,3))),($F221+$G221)/2-($F221-$G221)/2*COS(PI()*(10-VLOOKUP(MONTH(B221),$O$1:$Q$13,3))/(VLOOKUP(MONTH(B221),$O$1:$Q$13,2)-VLOOKUP(MONTH(B221),$O$1:$Q$13,3))),($F221+$G221)/2-($F221-$G221)/2*COS(PI()*(11-VLOOKUP(MONTH(B221),$O$1:$Q$13,3))/(VLOOKUP(MONTH(B221),$O$1:$Q$13,2)-VLOOKUP(MONTH(B221),$O$1:$Q$13,3))),($F221+$G221)/2-($F221-$G221)/2*COS(PI()*(12-VLOOKUP(MONTH(B221),$O$1:$Q$13,3))/(VLOOKUP(MONTH(B221),$O$1:$Q$13,2)-VLOOKUP(MONTH(B221),$O$1:$Q$13,3))),($F221+$G221)/2-($F221-$G221)/2*COS(PI()*(13-VLOOKUP(MONTH(B221),$O$1:$Q$13,3))/(VLOOKUP(MONTH(B221),$O$1:$Q$13,2)-VLOOKUP(MONTH(B221),$O$1:$Q$13,3))),($F221+$G221)/2-($F221-$G221)/2*COS(PI()*(14-VLOOKUP(MONTH(B221),$O$1:$Q$13,3))/(VLOOKUP(MONTH(B221),$O$1:$Q$13,2)-VLOOKUP(MONTH(B221),$O$1:$Q$13,3))))</f>
        <v/>
      </c>
      <c r="M221" s="1">
        <f t="array" ref="M221">IF(AND(A221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,A221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),IF(L221&lt;_xlfn.IFNA(INDEX(_xlfn.ANCHORARRAY(Sintesi!$C$17)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,1,IF(L221&gt;=_xlfn.IFNA(INDEX(_xlfn.ANCHORARRAY(Sintesi!$C$18)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,0,1-(L221-_xlfn.IFNA(INDEX(_xlfn.ANCHORARRAY(Sintesi!$C$17)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)/(_xlfn.IFNA(INDEX(_xlfn.ANCHORARRAY(Sintesi!$C$18)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-_xlfn.IFNA(INDEX(_xlfn.ANCHORARRAY(Sintesi!$C$17)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))),0)</f>
        <v/>
      </c>
    </row>
    <row r="222">
      <c r="A222" s="1">
        <f>'Paste cell here'!A222</f>
        <v/>
      </c>
      <c r="B222" s="2">
        <f>DATE(Sintesi!$C$4-1,12,31)+A222</f>
        <v/>
      </c>
      <c r="C222" s="34">
        <f t="array" ref="C222">_xlfn.IFNA(MATCH(1,(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)*(_xlfn.ANCHORARRAY(Sintesi!$C$15)&gt;=0)+(_xlfn.ANCHORARRAY(Sintesi!$C$15)&lt;0),0),0)</f>
        <v/>
      </c>
      <c r="D222" s="1">
        <f t="array" ref="D222">IF(ISBLANK($E223),IF(ISNUMBER($E221),IF($C222&gt;0,IF(($E222=INDEX(_xlfn.ANCHORARRAY(Sintesi!$C$14),1,$C222))*(INDEX(_xlfn.ANCHORARRAY(Sintesi!$C$15),1,$C222)&gt;0),0,IF(($E222=INDEX(_xlfn.ANCHORARRAY(Sintesi!$C$14),1,$C222))*(INDEX(_xlfn.ANCHORARRAY(Sintesi!$C$15),1,$C222)&lt;0)+($E222&gt;=$E221)*($E222&lt;=INDEX($E:$E,MATCH(TRUE,INDEX((ISNUMBER($E:$E)),0),0)))*($E222&gt;INDEX(_xlfn.ANCHORARRAY(Sintesi!$C$14),1,$C222))*($E222&lt;=INDEX(_xlfn.ANCHORARRAY(Sintesi!$C$15),1,$C222))*(INDEX(_xlfn.ANCHORARRAY(Sintesi!$C$15),1,$C222)&gt;0),1,IF(($E222&gt;=$E221)*($E222&lt;=INDEX($E:$E,MATCH(TRUE,INDEX((ISNUMBER($E:$E)),0),0)))*($E222&gt;INDEX(_xlfn.ANCHORARRAY(Sintesi!$C$14),1,$C222))*($E222&lt;INDEX(_xlfn.ANCHORARRAY(Sintesi!$C$16),1,$C222))*(INDEX(_xlfn.ANCHORARRAY(Sintesi!$C$15),1,$C222)&lt;0)+($E222&gt;=$E221)*($E222&lt;=INDEX($E:$E,MATCH(TRUE,INDEX((ISNUMBER($E:$E)),0),0)))*($E222&gt;INDEX(_xlfn.ANCHORARRAY(Sintesi!$C$15),1,$C222))*($E222&lt;INDEX(_xlfn.ANCHORARRAY(Sintesi!$C$16),1,$C222))*(INDEX(_xlfn.ANCHORARRAY(Sintesi!$C$15),1,$C222)&gt;0),2,IF($E222=(INDEX(_xlfn.ANCHORARRAY(Sintesi!$C$16),1,$C222)),3,4)))),0),IF($C222&gt;0,IF(($E222=INDEX(_xlfn.ANCHORARRAY(Sintesi!$C$14),1,$C222))*(INDEX(_xlfn.ANCHORARRAY(Sintesi!$C$15),1,$C222)&gt;0),0,IF(($E222=INDEX(_xlfn.ANCHORARRAY(Sintesi!$C$14),1,$C222))*(INDEX(_xlfn.ANCHORARRAY(Sintesi!$C$15),1,$C222)&lt;0)+($E222&gt;=LOOKUP(2,1/($E:$E&lt;&gt;""),$E:$E))*($E222&lt;=INDEX($E:$E,MATCH(TRUE,INDEX((ISNUMBER($E:$E)),0),0)))*($E222&gt;INDEX(_xlfn.ANCHORARRAY(Sintesi!$C$14),1,$C222))*($E222&lt;=INDEX(_xlfn.ANCHORARRAY(Sintesi!$C$15),1,$C222))*(INDEX(_xlfn.ANCHORARRAY(Sintesi!$C$15),1,$C222)&gt;0),1,IF(($E222&gt;=LOOKUP(2,1/($E:$E&lt;&gt;""),$E:$E))*($E222&lt;=INDEX($E:$E,MATCH(TRUE,INDEX((ISNUMBER($E:$E)),0),0)))*($E222&gt;INDEX(_xlfn.ANCHORARRAY(Sintesi!$C$14),1,$C222))*($E222&lt;INDEX(_xlfn.ANCHORARRAY(Sintesi!$C$16),1,$C222))*(INDEX(_xlfn.ANCHORARRAY(Sintesi!$C$15),1,$C222)&lt;0)+($E222&gt;=LOOKUP(2,1/($E:$E&lt;&gt;""),$E:$E))*($E222&lt;=INDEX($E:$E,MATCH(TRUE,INDEX((ISNUMBER($E:$E)),0),0)))*($E222&gt;INDEX(_xlfn.ANCHORARRAY(Sintesi!$C$15),1,$C222))*($E222&lt;INDEX(_xlfn.ANCHORARRAY(Sintesi!$C$16),1,$C222))*(INDEX(_xlfn.ANCHORARRAY(Sintesi!$C$15),1,$C222)&gt;0),2,IF($E222=(INDEX(_xlfn.ANCHORARRAY(Sintesi!$C$16),1,$C222)),3,4)))),0)),IF(ISNUMBER($E221),IF($C222&gt;0,IF(($E222=INDEX(_xlfn.ANCHORARRAY(Sintesi!$C$14),1,$C222))*(INDEX(_xlfn.ANCHORARRAY(Sintesi!$C$15),1,$C222)&gt;0),0,IF(($E222=INDEX(_xlfn.ANCHORARRAY(Sintesi!$C$14),1,$C222))*(INDEX(_xlfn.ANCHORARRAY(Sintesi!$C$15),1,$C222)&lt;0)+($E222&gt;=$E221)*($E222&lt;=$E223)*($E222&gt;INDEX(_xlfn.ANCHORARRAY(Sintesi!$C$14),1,$C222))*($E222&lt;=INDEX(_xlfn.ANCHORARRAY(Sintesi!$C$15),1,$C222))*(INDEX(_xlfn.ANCHORARRAY(Sintesi!$C$15),1,$C222)&gt;0),1,IF(($E222&gt;=$E221)*($E222&lt;=$E223)*($E222&gt;INDEX(_xlfn.ANCHORARRAY(Sintesi!$C$14),1,$C222))*($E222&lt;INDEX(_xlfn.ANCHORARRAY(Sintesi!$C$16),1,$C222))*(INDEX(_xlfn.ANCHORARRAY(Sintesi!$C$15),1,$C222)&lt;0)+($E222&gt;=$E221)*($E222&lt;=$E223)*($E222&gt;INDEX(_xlfn.ANCHORARRAY(Sintesi!$C$15),1,$C222))*($E222&lt;INDEX(_xlfn.ANCHORARRAY(Sintesi!$C$16),1,$C222))*(INDEX(_xlfn.ANCHORARRAY(Sintesi!$C$15),1,$C222)&gt;0),2,IF($E222=(INDEX(_xlfn.ANCHORARRAY(Sintesi!$C$16),1,$C222)),3,4)))),0),IF($C222&gt;0,IF(($E222=INDEX(_xlfn.ANCHORARRAY(Sintesi!$C$14),1,$C222))*(INDEX(_xlfn.ANCHORARRAY(Sintesi!$C$15),1,$C222)&gt;0),0,IF(($E222=INDEX(_xlfn.ANCHORARRAY(Sintesi!$C$14),1,$C222))*(INDEX(_xlfn.ANCHORARRAY(Sintesi!$C$15),1,$C222)&lt;0)+($E222&gt;=LOOKUP(2,1/($E:$E&lt;&gt;""),$E:$E))*($E222&lt;=$E223)*($E222&gt;INDEX(_xlfn.ANCHORARRAY(Sintesi!$C$14),1,$C222))*($E222&lt;=INDEX(_xlfn.ANCHORARRAY(Sintesi!$C$15),1,$C222))*(INDEX(_xlfn.ANCHORARRAY(Sintesi!$C$15),1,$C222)&gt;0),1,IF(($E222&gt;=LOOKUP(2,1/($E:$E&lt;&gt;""),$E:$E))*($E222&lt;=$E223)*($E222&gt;INDEX(_xlfn.ANCHORARRAY(Sintesi!$C$14),1,$C222))*($E222&lt;INDEX(_xlfn.ANCHORARRAY(Sintesi!$C$16),1,$C222))*(INDEX(_xlfn.ANCHORARRAY(Sintesi!$C$15),1,$C222)&lt;0)+($E222&gt;=LOOKUP(2,1/($E:$E&lt;&gt;""),$E:$E))*($E222&lt;=$E223)*($E222&gt;INDEX(_xlfn.ANCHORARRAY(Sintesi!$C$15),1,$C222))*($E222&lt;INDEX(_xlfn.ANCHORARRAY(Sintesi!$C$16),1,$C222))*(INDEX(_xlfn.ANCHORARRAY(Sintesi!$C$15),1,$C222)&gt;0),2,IF($E222=(INDEX(_xlfn.ANCHORARRAY(Sintesi!$C$16),1,$C222)),3,4)))),0)))</f>
        <v/>
      </c>
      <c r="E222" s="1">
        <f>'Paste cell here'!F222</f>
        <v/>
      </c>
      <c r="F222" s="1">
        <f>'Paste cell here'!C222</f>
        <v/>
      </c>
      <c r="G222" s="1">
        <f>'Paste cell here'!D222</f>
        <v/>
      </c>
      <c r="H222" s="1">
        <f>'Paste cell here'!E222</f>
        <v/>
      </c>
      <c r="I222" s="1">
        <f>'Paste cell here'!X222</f>
        <v/>
      </c>
      <c r="J222" s="1">
        <f>'Paste cell here'!Y222+'Paste cell here'!S222</f>
        <v/>
      </c>
      <c r="K222" s="1">
        <f>I222/H222</f>
        <v/>
      </c>
      <c r="L222" s="1">
        <f>AVERAGE(($F222+$G222)/2-($F222-$G222)/2*COS(PI()*(8-VLOOKUP(MONTH(B222),$O$1:$Q$13,3))/(VLOOKUP(MONTH(B222),$O$1:$Q$13,2)-VLOOKUP(MONTH(B222),$O$1:$Q$13,3))),($F222+$G222)/2-($F222-$G222)/2*COS(PI()*(9-VLOOKUP(MONTH(B222),$O$1:$Q$13,3))/(VLOOKUP(MONTH(B222),$O$1:$Q$13,2)-VLOOKUP(MONTH(B222),$O$1:$Q$13,3))),($F222+$G222)/2-($F222-$G222)/2*COS(PI()*(10-VLOOKUP(MONTH(B222),$O$1:$Q$13,3))/(VLOOKUP(MONTH(B222),$O$1:$Q$13,2)-VLOOKUP(MONTH(B222),$O$1:$Q$13,3))),($F222+$G222)/2-($F222-$G222)/2*COS(PI()*(11-VLOOKUP(MONTH(B222),$O$1:$Q$13,3))/(VLOOKUP(MONTH(B222),$O$1:$Q$13,2)-VLOOKUP(MONTH(B222),$O$1:$Q$13,3))),($F222+$G222)/2-($F222-$G222)/2*COS(PI()*(12-VLOOKUP(MONTH(B222),$O$1:$Q$13,3))/(VLOOKUP(MONTH(B222),$O$1:$Q$13,2)-VLOOKUP(MONTH(B222),$O$1:$Q$13,3))),($F222+$G222)/2-($F222-$G222)/2*COS(PI()*(13-VLOOKUP(MONTH(B222),$O$1:$Q$13,3))/(VLOOKUP(MONTH(B222),$O$1:$Q$13,2)-VLOOKUP(MONTH(B222),$O$1:$Q$13,3))),($F222+$G222)/2-($F222-$G222)/2*COS(PI()*(14-VLOOKUP(MONTH(B222),$O$1:$Q$13,3))/(VLOOKUP(MONTH(B222),$O$1:$Q$13,2)-VLOOKUP(MONTH(B222),$O$1:$Q$13,3))))</f>
        <v/>
      </c>
      <c r="M222" s="1">
        <f t="array" ref="M222">IF(AND(A222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,A222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),IF(L222&lt;_xlfn.IFNA(INDEX(_xlfn.ANCHORARRAY(Sintesi!$C$17)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,1,IF(L222&gt;=_xlfn.IFNA(INDEX(_xlfn.ANCHORARRAY(Sintesi!$C$18)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,0,1-(L222-_xlfn.IFNA(INDEX(_xlfn.ANCHORARRAY(Sintesi!$C$17)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)/(_xlfn.IFNA(INDEX(_xlfn.ANCHORARRAY(Sintesi!$C$18)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-_xlfn.IFNA(INDEX(_xlfn.ANCHORARRAY(Sintesi!$C$17)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))),0)</f>
        <v/>
      </c>
    </row>
    <row r="223">
      <c r="A223" s="1">
        <f>'Paste cell here'!A223</f>
        <v/>
      </c>
      <c r="B223" s="2">
        <f>DATE(Sintesi!$C$4-1,12,31)+A223</f>
        <v/>
      </c>
      <c r="C223" s="34">
        <f t="array" ref="C223">_xlfn.IFNA(MATCH(1,(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)*(_xlfn.ANCHORARRAY(Sintesi!$C$15)&gt;=0)+(_xlfn.ANCHORARRAY(Sintesi!$C$15)&lt;0),0),0)</f>
        <v/>
      </c>
      <c r="D223" s="1">
        <f t="array" ref="D223">IF(ISBLANK($E224),IF(ISNUMBER($E222),IF($C223&gt;0,IF(($E223=INDEX(_xlfn.ANCHORARRAY(Sintesi!$C$14),1,$C223))*(INDEX(_xlfn.ANCHORARRAY(Sintesi!$C$15),1,$C223)&gt;0),0,IF(($E223=INDEX(_xlfn.ANCHORARRAY(Sintesi!$C$14),1,$C223))*(INDEX(_xlfn.ANCHORARRAY(Sintesi!$C$15),1,$C223)&lt;0)+($E223&gt;=$E222)*($E223&lt;=INDEX($E:$E,MATCH(TRUE,INDEX((ISNUMBER($E:$E)),0),0)))*($E223&gt;INDEX(_xlfn.ANCHORARRAY(Sintesi!$C$14),1,$C223))*($E223&lt;=INDEX(_xlfn.ANCHORARRAY(Sintesi!$C$15),1,$C223))*(INDEX(_xlfn.ANCHORARRAY(Sintesi!$C$15),1,$C223)&gt;0),1,IF(($E223&gt;=$E222)*($E223&lt;=INDEX($E:$E,MATCH(TRUE,INDEX((ISNUMBER($E:$E)),0),0)))*($E223&gt;INDEX(_xlfn.ANCHORARRAY(Sintesi!$C$14),1,$C223))*($E223&lt;INDEX(_xlfn.ANCHORARRAY(Sintesi!$C$16),1,$C223))*(INDEX(_xlfn.ANCHORARRAY(Sintesi!$C$15),1,$C223)&lt;0)+($E223&gt;=$E222)*($E223&lt;=INDEX($E:$E,MATCH(TRUE,INDEX((ISNUMBER($E:$E)),0),0)))*($E223&gt;INDEX(_xlfn.ANCHORARRAY(Sintesi!$C$15),1,$C223))*($E223&lt;INDEX(_xlfn.ANCHORARRAY(Sintesi!$C$16),1,$C223))*(INDEX(_xlfn.ANCHORARRAY(Sintesi!$C$15),1,$C223)&gt;0),2,IF($E223=(INDEX(_xlfn.ANCHORARRAY(Sintesi!$C$16),1,$C223)),3,4)))),0),IF($C223&gt;0,IF(($E223=INDEX(_xlfn.ANCHORARRAY(Sintesi!$C$14),1,$C223))*(INDEX(_xlfn.ANCHORARRAY(Sintesi!$C$15),1,$C223)&gt;0),0,IF(($E223=INDEX(_xlfn.ANCHORARRAY(Sintesi!$C$14),1,$C223))*(INDEX(_xlfn.ANCHORARRAY(Sintesi!$C$15),1,$C223)&lt;0)+($E223&gt;=LOOKUP(2,1/($E:$E&lt;&gt;""),$E:$E))*($E223&lt;=INDEX($E:$E,MATCH(TRUE,INDEX((ISNUMBER($E:$E)),0),0)))*($E223&gt;INDEX(_xlfn.ANCHORARRAY(Sintesi!$C$14),1,$C223))*($E223&lt;=INDEX(_xlfn.ANCHORARRAY(Sintesi!$C$15),1,$C223))*(INDEX(_xlfn.ANCHORARRAY(Sintesi!$C$15),1,$C223)&gt;0),1,IF(($E223&gt;=LOOKUP(2,1/($E:$E&lt;&gt;""),$E:$E))*($E223&lt;=INDEX($E:$E,MATCH(TRUE,INDEX((ISNUMBER($E:$E)),0),0)))*($E223&gt;INDEX(_xlfn.ANCHORARRAY(Sintesi!$C$14),1,$C223))*($E223&lt;INDEX(_xlfn.ANCHORARRAY(Sintesi!$C$16),1,$C223))*(INDEX(_xlfn.ANCHORARRAY(Sintesi!$C$15),1,$C223)&lt;0)+($E223&gt;=LOOKUP(2,1/($E:$E&lt;&gt;""),$E:$E))*($E223&lt;=INDEX($E:$E,MATCH(TRUE,INDEX((ISNUMBER($E:$E)),0),0)))*($E223&gt;INDEX(_xlfn.ANCHORARRAY(Sintesi!$C$15),1,$C223))*($E223&lt;INDEX(_xlfn.ANCHORARRAY(Sintesi!$C$16),1,$C223))*(INDEX(_xlfn.ANCHORARRAY(Sintesi!$C$15),1,$C223)&gt;0),2,IF($E223=(INDEX(_xlfn.ANCHORARRAY(Sintesi!$C$16),1,$C223)),3,4)))),0)),IF(ISNUMBER($E222),IF($C223&gt;0,IF(($E223=INDEX(_xlfn.ANCHORARRAY(Sintesi!$C$14),1,$C223))*(INDEX(_xlfn.ANCHORARRAY(Sintesi!$C$15),1,$C223)&gt;0),0,IF(($E223=INDEX(_xlfn.ANCHORARRAY(Sintesi!$C$14),1,$C223))*(INDEX(_xlfn.ANCHORARRAY(Sintesi!$C$15),1,$C223)&lt;0)+($E223&gt;=$E222)*($E223&lt;=$E224)*($E223&gt;INDEX(_xlfn.ANCHORARRAY(Sintesi!$C$14),1,$C223))*($E223&lt;=INDEX(_xlfn.ANCHORARRAY(Sintesi!$C$15),1,$C223))*(INDEX(_xlfn.ANCHORARRAY(Sintesi!$C$15),1,$C223)&gt;0),1,IF(($E223&gt;=$E222)*($E223&lt;=$E224)*($E223&gt;INDEX(_xlfn.ANCHORARRAY(Sintesi!$C$14),1,$C223))*($E223&lt;INDEX(_xlfn.ANCHORARRAY(Sintesi!$C$16),1,$C223))*(INDEX(_xlfn.ANCHORARRAY(Sintesi!$C$15),1,$C223)&lt;0)+($E223&gt;=$E222)*($E223&lt;=$E224)*($E223&gt;INDEX(_xlfn.ANCHORARRAY(Sintesi!$C$15),1,$C223))*($E223&lt;INDEX(_xlfn.ANCHORARRAY(Sintesi!$C$16),1,$C223))*(INDEX(_xlfn.ANCHORARRAY(Sintesi!$C$15),1,$C223)&gt;0),2,IF($E223=(INDEX(_xlfn.ANCHORARRAY(Sintesi!$C$16),1,$C223)),3,4)))),0),IF($C223&gt;0,IF(($E223=INDEX(_xlfn.ANCHORARRAY(Sintesi!$C$14),1,$C223))*(INDEX(_xlfn.ANCHORARRAY(Sintesi!$C$15),1,$C223)&gt;0),0,IF(($E223=INDEX(_xlfn.ANCHORARRAY(Sintesi!$C$14),1,$C223))*(INDEX(_xlfn.ANCHORARRAY(Sintesi!$C$15),1,$C223)&lt;0)+($E223&gt;=LOOKUP(2,1/($E:$E&lt;&gt;""),$E:$E))*($E223&lt;=$E224)*($E223&gt;INDEX(_xlfn.ANCHORARRAY(Sintesi!$C$14),1,$C223))*($E223&lt;=INDEX(_xlfn.ANCHORARRAY(Sintesi!$C$15),1,$C223))*(INDEX(_xlfn.ANCHORARRAY(Sintesi!$C$15),1,$C223)&gt;0),1,IF(($E223&gt;=LOOKUP(2,1/($E:$E&lt;&gt;""),$E:$E))*($E223&lt;=$E224)*($E223&gt;INDEX(_xlfn.ANCHORARRAY(Sintesi!$C$14),1,$C223))*($E223&lt;INDEX(_xlfn.ANCHORARRAY(Sintesi!$C$16),1,$C223))*(INDEX(_xlfn.ANCHORARRAY(Sintesi!$C$15),1,$C223)&lt;0)+($E223&gt;=LOOKUP(2,1/($E:$E&lt;&gt;""),$E:$E))*($E223&lt;=$E224)*($E223&gt;INDEX(_xlfn.ANCHORARRAY(Sintesi!$C$15),1,$C223))*($E223&lt;INDEX(_xlfn.ANCHORARRAY(Sintesi!$C$16),1,$C223))*(INDEX(_xlfn.ANCHORARRAY(Sintesi!$C$15),1,$C223)&gt;0),2,IF($E223=(INDEX(_xlfn.ANCHORARRAY(Sintesi!$C$16),1,$C223)),3,4)))),0)))</f>
        <v/>
      </c>
      <c r="E223" s="1">
        <f>'Paste cell here'!F223</f>
        <v/>
      </c>
      <c r="F223" s="1">
        <f>'Paste cell here'!C223</f>
        <v/>
      </c>
      <c r="G223" s="1">
        <f>'Paste cell here'!D223</f>
        <v/>
      </c>
      <c r="H223" s="1">
        <f>'Paste cell here'!E223</f>
        <v/>
      </c>
      <c r="I223" s="1">
        <f>'Paste cell here'!X223</f>
        <v/>
      </c>
      <c r="J223" s="1">
        <f>'Paste cell here'!Y223+'Paste cell here'!S223</f>
        <v/>
      </c>
      <c r="K223" s="1">
        <f>I223/H223</f>
        <v/>
      </c>
      <c r="L223" s="1">
        <f>AVERAGE(($F223+$G223)/2-($F223-$G223)/2*COS(PI()*(8-VLOOKUP(MONTH(B223),$O$1:$Q$13,3))/(VLOOKUP(MONTH(B223),$O$1:$Q$13,2)-VLOOKUP(MONTH(B223),$O$1:$Q$13,3))),($F223+$G223)/2-($F223-$G223)/2*COS(PI()*(9-VLOOKUP(MONTH(B223),$O$1:$Q$13,3))/(VLOOKUP(MONTH(B223),$O$1:$Q$13,2)-VLOOKUP(MONTH(B223),$O$1:$Q$13,3))),($F223+$G223)/2-($F223-$G223)/2*COS(PI()*(10-VLOOKUP(MONTH(B223),$O$1:$Q$13,3))/(VLOOKUP(MONTH(B223),$O$1:$Q$13,2)-VLOOKUP(MONTH(B223),$O$1:$Q$13,3))),($F223+$G223)/2-($F223-$G223)/2*COS(PI()*(11-VLOOKUP(MONTH(B223),$O$1:$Q$13,3))/(VLOOKUP(MONTH(B223),$O$1:$Q$13,2)-VLOOKUP(MONTH(B223),$O$1:$Q$13,3))),($F223+$G223)/2-($F223-$G223)/2*COS(PI()*(12-VLOOKUP(MONTH(B223),$O$1:$Q$13,3))/(VLOOKUP(MONTH(B223),$O$1:$Q$13,2)-VLOOKUP(MONTH(B223),$O$1:$Q$13,3))),($F223+$G223)/2-($F223-$G223)/2*COS(PI()*(13-VLOOKUP(MONTH(B223),$O$1:$Q$13,3))/(VLOOKUP(MONTH(B223),$O$1:$Q$13,2)-VLOOKUP(MONTH(B223),$O$1:$Q$13,3))),($F223+$G223)/2-($F223-$G223)/2*COS(PI()*(14-VLOOKUP(MONTH(B223),$O$1:$Q$13,3))/(VLOOKUP(MONTH(B223),$O$1:$Q$13,2)-VLOOKUP(MONTH(B223),$O$1:$Q$13,3))))</f>
        <v/>
      </c>
      <c r="M223" s="1">
        <f t="array" ref="M223">IF(AND(A223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,A223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),IF(L223&lt;_xlfn.IFNA(INDEX(_xlfn.ANCHORARRAY(Sintesi!$C$17)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,1,IF(L223&gt;=_xlfn.IFNA(INDEX(_xlfn.ANCHORARRAY(Sintesi!$C$18)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,0,1-(L223-_xlfn.IFNA(INDEX(_xlfn.ANCHORARRAY(Sintesi!$C$17)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)/(_xlfn.IFNA(INDEX(_xlfn.ANCHORARRAY(Sintesi!$C$18)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-_xlfn.IFNA(INDEX(_xlfn.ANCHORARRAY(Sintesi!$C$17)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))),0)</f>
        <v/>
      </c>
    </row>
    <row r="224">
      <c r="A224" s="1">
        <f>'Paste cell here'!A224</f>
        <v/>
      </c>
      <c r="B224" s="2">
        <f>DATE(Sintesi!$C$4-1,12,31)+A224</f>
        <v/>
      </c>
      <c r="C224" s="34">
        <f t="array" ref="C224">_xlfn.IFNA(MATCH(1,(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)*(_xlfn.ANCHORARRAY(Sintesi!$C$15)&gt;=0)+(_xlfn.ANCHORARRAY(Sintesi!$C$15)&lt;0),0),0)</f>
        <v/>
      </c>
      <c r="D224" s="1">
        <f t="array" ref="D224">IF(ISBLANK($E225),IF(ISNUMBER($E223),IF($C224&gt;0,IF(($E224=INDEX(_xlfn.ANCHORARRAY(Sintesi!$C$14),1,$C224))*(INDEX(_xlfn.ANCHORARRAY(Sintesi!$C$15),1,$C224)&gt;0),0,IF(($E224=INDEX(_xlfn.ANCHORARRAY(Sintesi!$C$14),1,$C224))*(INDEX(_xlfn.ANCHORARRAY(Sintesi!$C$15),1,$C224)&lt;0)+($E224&gt;=$E223)*($E224&lt;=INDEX($E:$E,MATCH(TRUE,INDEX((ISNUMBER($E:$E)),0),0)))*($E224&gt;INDEX(_xlfn.ANCHORARRAY(Sintesi!$C$14),1,$C224))*($E224&lt;=INDEX(_xlfn.ANCHORARRAY(Sintesi!$C$15),1,$C224))*(INDEX(_xlfn.ANCHORARRAY(Sintesi!$C$15),1,$C224)&gt;0),1,IF(($E224&gt;=$E223)*($E224&lt;=INDEX($E:$E,MATCH(TRUE,INDEX((ISNUMBER($E:$E)),0),0)))*($E224&gt;INDEX(_xlfn.ANCHORARRAY(Sintesi!$C$14),1,$C224))*($E224&lt;INDEX(_xlfn.ANCHORARRAY(Sintesi!$C$16),1,$C224))*(INDEX(_xlfn.ANCHORARRAY(Sintesi!$C$15),1,$C224)&lt;0)+($E224&gt;=$E223)*($E224&lt;=INDEX($E:$E,MATCH(TRUE,INDEX((ISNUMBER($E:$E)),0),0)))*($E224&gt;INDEX(_xlfn.ANCHORARRAY(Sintesi!$C$15),1,$C224))*($E224&lt;INDEX(_xlfn.ANCHORARRAY(Sintesi!$C$16),1,$C224))*(INDEX(_xlfn.ANCHORARRAY(Sintesi!$C$15),1,$C224)&gt;0),2,IF($E224=(INDEX(_xlfn.ANCHORARRAY(Sintesi!$C$16),1,$C224)),3,4)))),0),IF($C224&gt;0,IF(($E224=INDEX(_xlfn.ANCHORARRAY(Sintesi!$C$14),1,$C224))*(INDEX(_xlfn.ANCHORARRAY(Sintesi!$C$15),1,$C224)&gt;0),0,IF(($E224=INDEX(_xlfn.ANCHORARRAY(Sintesi!$C$14),1,$C224))*(INDEX(_xlfn.ANCHORARRAY(Sintesi!$C$15),1,$C224)&lt;0)+($E224&gt;=LOOKUP(2,1/($E:$E&lt;&gt;""),$E:$E))*($E224&lt;=INDEX($E:$E,MATCH(TRUE,INDEX((ISNUMBER($E:$E)),0),0)))*($E224&gt;INDEX(_xlfn.ANCHORARRAY(Sintesi!$C$14),1,$C224))*($E224&lt;=INDEX(_xlfn.ANCHORARRAY(Sintesi!$C$15),1,$C224))*(INDEX(_xlfn.ANCHORARRAY(Sintesi!$C$15),1,$C224)&gt;0),1,IF(($E224&gt;=LOOKUP(2,1/($E:$E&lt;&gt;""),$E:$E))*($E224&lt;=INDEX($E:$E,MATCH(TRUE,INDEX((ISNUMBER($E:$E)),0),0)))*($E224&gt;INDEX(_xlfn.ANCHORARRAY(Sintesi!$C$14),1,$C224))*($E224&lt;INDEX(_xlfn.ANCHORARRAY(Sintesi!$C$16),1,$C224))*(INDEX(_xlfn.ANCHORARRAY(Sintesi!$C$15),1,$C224)&lt;0)+($E224&gt;=LOOKUP(2,1/($E:$E&lt;&gt;""),$E:$E))*($E224&lt;=INDEX($E:$E,MATCH(TRUE,INDEX((ISNUMBER($E:$E)),0),0)))*($E224&gt;INDEX(_xlfn.ANCHORARRAY(Sintesi!$C$15),1,$C224))*($E224&lt;INDEX(_xlfn.ANCHORARRAY(Sintesi!$C$16),1,$C224))*(INDEX(_xlfn.ANCHORARRAY(Sintesi!$C$15),1,$C224)&gt;0),2,IF($E224=(INDEX(_xlfn.ANCHORARRAY(Sintesi!$C$16),1,$C224)),3,4)))),0)),IF(ISNUMBER($E223),IF($C224&gt;0,IF(($E224=INDEX(_xlfn.ANCHORARRAY(Sintesi!$C$14),1,$C224))*(INDEX(_xlfn.ANCHORARRAY(Sintesi!$C$15),1,$C224)&gt;0),0,IF(($E224=INDEX(_xlfn.ANCHORARRAY(Sintesi!$C$14),1,$C224))*(INDEX(_xlfn.ANCHORARRAY(Sintesi!$C$15),1,$C224)&lt;0)+($E224&gt;=$E223)*($E224&lt;=$E225)*($E224&gt;INDEX(_xlfn.ANCHORARRAY(Sintesi!$C$14),1,$C224))*($E224&lt;=INDEX(_xlfn.ANCHORARRAY(Sintesi!$C$15),1,$C224))*(INDEX(_xlfn.ANCHORARRAY(Sintesi!$C$15),1,$C224)&gt;0),1,IF(($E224&gt;=$E223)*($E224&lt;=$E225)*($E224&gt;INDEX(_xlfn.ANCHORARRAY(Sintesi!$C$14),1,$C224))*($E224&lt;INDEX(_xlfn.ANCHORARRAY(Sintesi!$C$16),1,$C224))*(INDEX(_xlfn.ANCHORARRAY(Sintesi!$C$15),1,$C224)&lt;0)+($E224&gt;=$E223)*($E224&lt;=$E225)*($E224&gt;INDEX(_xlfn.ANCHORARRAY(Sintesi!$C$15),1,$C224))*($E224&lt;INDEX(_xlfn.ANCHORARRAY(Sintesi!$C$16),1,$C224))*(INDEX(_xlfn.ANCHORARRAY(Sintesi!$C$15),1,$C224)&gt;0),2,IF($E224=(INDEX(_xlfn.ANCHORARRAY(Sintesi!$C$16),1,$C224)),3,4)))),0),IF($C224&gt;0,IF(($E224=INDEX(_xlfn.ANCHORARRAY(Sintesi!$C$14),1,$C224))*(INDEX(_xlfn.ANCHORARRAY(Sintesi!$C$15),1,$C224)&gt;0),0,IF(($E224=INDEX(_xlfn.ANCHORARRAY(Sintesi!$C$14),1,$C224))*(INDEX(_xlfn.ANCHORARRAY(Sintesi!$C$15),1,$C224)&lt;0)+($E224&gt;=LOOKUP(2,1/($E:$E&lt;&gt;""),$E:$E))*($E224&lt;=$E225)*($E224&gt;INDEX(_xlfn.ANCHORARRAY(Sintesi!$C$14),1,$C224))*($E224&lt;=INDEX(_xlfn.ANCHORARRAY(Sintesi!$C$15),1,$C224))*(INDEX(_xlfn.ANCHORARRAY(Sintesi!$C$15),1,$C224)&gt;0),1,IF(($E224&gt;=LOOKUP(2,1/($E:$E&lt;&gt;""),$E:$E))*($E224&lt;=$E225)*($E224&gt;INDEX(_xlfn.ANCHORARRAY(Sintesi!$C$14),1,$C224))*($E224&lt;INDEX(_xlfn.ANCHORARRAY(Sintesi!$C$16),1,$C224))*(INDEX(_xlfn.ANCHORARRAY(Sintesi!$C$15),1,$C224)&lt;0)+($E224&gt;=LOOKUP(2,1/($E:$E&lt;&gt;""),$E:$E))*($E224&lt;=$E225)*($E224&gt;INDEX(_xlfn.ANCHORARRAY(Sintesi!$C$15),1,$C224))*($E224&lt;INDEX(_xlfn.ANCHORARRAY(Sintesi!$C$16),1,$C224))*(INDEX(_xlfn.ANCHORARRAY(Sintesi!$C$15),1,$C224)&gt;0),2,IF($E224=(INDEX(_xlfn.ANCHORARRAY(Sintesi!$C$16),1,$C224)),3,4)))),0)))</f>
        <v/>
      </c>
      <c r="E224" s="1">
        <f>'Paste cell here'!F224</f>
        <v/>
      </c>
      <c r="F224" s="1">
        <f>'Paste cell here'!C224</f>
        <v/>
      </c>
      <c r="G224" s="1">
        <f>'Paste cell here'!D224</f>
        <v/>
      </c>
      <c r="H224" s="1">
        <f>'Paste cell here'!E224</f>
        <v/>
      </c>
      <c r="I224" s="1">
        <f>'Paste cell here'!X224</f>
        <v/>
      </c>
      <c r="J224" s="1">
        <f>'Paste cell here'!Y224+'Paste cell here'!S224</f>
        <v/>
      </c>
      <c r="K224" s="1">
        <f>I224/H224</f>
        <v/>
      </c>
      <c r="L224" s="1">
        <f>AVERAGE(($F224+$G224)/2-($F224-$G224)/2*COS(PI()*(8-VLOOKUP(MONTH(B224),$O$1:$Q$13,3))/(VLOOKUP(MONTH(B224),$O$1:$Q$13,2)-VLOOKUP(MONTH(B224),$O$1:$Q$13,3))),($F224+$G224)/2-($F224-$G224)/2*COS(PI()*(9-VLOOKUP(MONTH(B224),$O$1:$Q$13,3))/(VLOOKUP(MONTH(B224),$O$1:$Q$13,2)-VLOOKUP(MONTH(B224),$O$1:$Q$13,3))),($F224+$G224)/2-($F224-$G224)/2*COS(PI()*(10-VLOOKUP(MONTH(B224),$O$1:$Q$13,3))/(VLOOKUP(MONTH(B224),$O$1:$Q$13,2)-VLOOKUP(MONTH(B224),$O$1:$Q$13,3))),($F224+$G224)/2-($F224-$G224)/2*COS(PI()*(11-VLOOKUP(MONTH(B224),$O$1:$Q$13,3))/(VLOOKUP(MONTH(B224),$O$1:$Q$13,2)-VLOOKUP(MONTH(B224),$O$1:$Q$13,3))),($F224+$G224)/2-($F224-$G224)/2*COS(PI()*(12-VLOOKUP(MONTH(B224),$O$1:$Q$13,3))/(VLOOKUP(MONTH(B224),$O$1:$Q$13,2)-VLOOKUP(MONTH(B224),$O$1:$Q$13,3))),($F224+$G224)/2-($F224-$G224)/2*COS(PI()*(13-VLOOKUP(MONTH(B224),$O$1:$Q$13,3))/(VLOOKUP(MONTH(B224),$O$1:$Q$13,2)-VLOOKUP(MONTH(B224),$O$1:$Q$13,3))),($F224+$G224)/2-($F224-$G224)/2*COS(PI()*(14-VLOOKUP(MONTH(B224),$O$1:$Q$13,3))/(VLOOKUP(MONTH(B224),$O$1:$Q$13,2)-VLOOKUP(MONTH(B224),$O$1:$Q$13,3))))</f>
        <v/>
      </c>
      <c r="M224" s="1">
        <f t="array" ref="M224">IF(AND(A224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,A224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),IF(L224&lt;_xlfn.IFNA(INDEX(_xlfn.ANCHORARRAY(Sintesi!$C$17)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,1,IF(L224&gt;=_xlfn.IFNA(INDEX(_xlfn.ANCHORARRAY(Sintesi!$C$18)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,0,1-(L224-_xlfn.IFNA(INDEX(_xlfn.ANCHORARRAY(Sintesi!$C$17)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)/(_xlfn.IFNA(INDEX(_xlfn.ANCHORARRAY(Sintesi!$C$18)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-_xlfn.IFNA(INDEX(_xlfn.ANCHORARRAY(Sintesi!$C$17)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))),0)</f>
        <v/>
      </c>
    </row>
    <row r="225">
      <c r="A225" s="1">
        <f>'Paste cell here'!A225</f>
        <v/>
      </c>
      <c r="B225" s="2">
        <f>DATE(Sintesi!$C$4-1,12,31)+A225</f>
        <v/>
      </c>
      <c r="C225" s="34">
        <f t="array" ref="C225">_xlfn.IFNA(MATCH(1,(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)*(_xlfn.ANCHORARRAY(Sintesi!$C$15)&gt;=0)+(_xlfn.ANCHORARRAY(Sintesi!$C$15)&lt;0),0),0)</f>
        <v/>
      </c>
      <c r="D225" s="1">
        <f t="array" ref="D225">IF(ISBLANK($E226),IF(ISNUMBER($E224),IF($C225&gt;0,IF(($E225=INDEX(_xlfn.ANCHORARRAY(Sintesi!$C$14),1,$C225))*(INDEX(_xlfn.ANCHORARRAY(Sintesi!$C$15),1,$C225)&gt;0),0,IF(($E225=INDEX(_xlfn.ANCHORARRAY(Sintesi!$C$14),1,$C225))*(INDEX(_xlfn.ANCHORARRAY(Sintesi!$C$15),1,$C225)&lt;0)+($E225&gt;=$E224)*($E225&lt;=INDEX($E:$E,MATCH(TRUE,INDEX((ISNUMBER($E:$E)),0),0)))*($E225&gt;INDEX(_xlfn.ANCHORARRAY(Sintesi!$C$14),1,$C225))*($E225&lt;=INDEX(_xlfn.ANCHORARRAY(Sintesi!$C$15),1,$C225))*(INDEX(_xlfn.ANCHORARRAY(Sintesi!$C$15),1,$C225)&gt;0),1,IF(($E225&gt;=$E224)*($E225&lt;=INDEX($E:$E,MATCH(TRUE,INDEX((ISNUMBER($E:$E)),0),0)))*($E225&gt;INDEX(_xlfn.ANCHORARRAY(Sintesi!$C$14),1,$C225))*($E225&lt;INDEX(_xlfn.ANCHORARRAY(Sintesi!$C$16),1,$C225))*(INDEX(_xlfn.ANCHORARRAY(Sintesi!$C$15),1,$C225)&lt;0)+($E225&gt;=$E224)*($E225&lt;=INDEX($E:$E,MATCH(TRUE,INDEX((ISNUMBER($E:$E)),0),0)))*($E225&gt;INDEX(_xlfn.ANCHORARRAY(Sintesi!$C$15),1,$C225))*($E225&lt;INDEX(_xlfn.ANCHORARRAY(Sintesi!$C$16),1,$C225))*(INDEX(_xlfn.ANCHORARRAY(Sintesi!$C$15),1,$C225)&gt;0),2,IF($E225=(INDEX(_xlfn.ANCHORARRAY(Sintesi!$C$16),1,$C225)),3,4)))),0),IF($C225&gt;0,IF(($E225=INDEX(_xlfn.ANCHORARRAY(Sintesi!$C$14),1,$C225))*(INDEX(_xlfn.ANCHORARRAY(Sintesi!$C$15),1,$C225)&gt;0),0,IF(($E225=INDEX(_xlfn.ANCHORARRAY(Sintesi!$C$14),1,$C225))*(INDEX(_xlfn.ANCHORARRAY(Sintesi!$C$15),1,$C225)&lt;0)+($E225&gt;=LOOKUP(2,1/($E:$E&lt;&gt;""),$E:$E))*($E225&lt;=INDEX($E:$E,MATCH(TRUE,INDEX((ISNUMBER($E:$E)),0),0)))*($E225&gt;INDEX(_xlfn.ANCHORARRAY(Sintesi!$C$14),1,$C225))*($E225&lt;=INDEX(_xlfn.ANCHORARRAY(Sintesi!$C$15),1,$C225))*(INDEX(_xlfn.ANCHORARRAY(Sintesi!$C$15),1,$C225)&gt;0),1,IF(($E225&gt;=LOOKUP(2,1/($E:$E&lt;&gt;""),$E:$E))*($E225&lt;=INDEX($E:$E,MATCH(TRUE,INDEX((ISNUMBER($E:$E)),0),0)))*($E225&gt;INDEX(_xlfn.ANCHORARRAY(Sintesi!$C$14),1,$C225))*($E225&lt;INDEX(_xlfn.ANCHORARRAY(Sintesi!$C$16),1,$C225))*(INDEX(_xlfn.ANCHORARRAY(Sintesi!$C$15),1,$C225)&lt;0)+($E225&gt;=LOOKUP(2,1/($E:$E&lt;&gt;""),$E:$E))*($E225&lt;=INDEX($E:$E,MATCH(TRUE,INDEX((ISNUMBER($E:$E)),0),0)))*($E225&gt;INDEX(_xlfn.ANCHORARRAY(Sintesi!$C$15),1,$C225))*($E225&lt;INDEX(_xlfn.ANCHORARRAY(Sintesi!$C$16),1,$C225))*(INDEX(_xlfn.ANCHORARRAY(Sintesi!$C$15),1,$C225)&gt;0),2,IF($E225=(INDEX(_xlfn.ANCHORARRAY(Sintesi!$C$16),1,$C225)),3,4)))),0)),IF(ISNUMBER($E224),IF($C225&gt;0,IF(($E225=INDEX(_xlfn.ANCHORARRAY(Sintesi!$C$14),1,$C225))*(INDEX(_xlfn.ANCHORARRAY(Sintesi!$C$15),1,$C225)&gt;0),0,IF(($E225=INDEX(_xlfn.ANCHORARRAY(Sintesi!$C$14),1,$C225))*(INDEX(_xlfn.ANCHORARRAY(Sintesi!$C$15),1,$C225)&lt;0)+($E225&gt;=$E224)*($E225&lt;=$E226)*($E225&gt;INDEX(_xlfn.ANCHORARRAY(Sintesi!$C$14),1,$C225))*($E225&lt;=INDEX(_xlfn.ANCHORARRAY(Sintesi!$C$15),1,$C225))*(INDEX(_xlfn.ANCHORARRAY(Sintesi!$C$15),1,$C225)&gt;0),1,IF(($E225&gt;=$E224)*($E225&lt;=$E226)*($E225&gt;INDEX(_xlfn.ANCHORARRAY(Sintesi!$C$14),1,$C225))*($E225&lt;INDEX(_xlfn.ANCHORARRAY(Sintesi!$C$16),1,$C225))*(INDEX(_xlfn.ANCHORARRAY(Sintesi!$C$15),1,$C225)&lt;0)+($E225&gt;=$E224)*($E225&lt;=$E226)*($E225&gt;INDEX(_xlfn.ANCHORARRAY(Sintesi!$C$15),1,$C225))*($E225&lt;INDEX(_xlfn.ANCHORARRAY(Sintesi!$C$16),1,$C225))*(INDEX(_xlfn.ANCHORARRAY(Sintesi!$C$15),1,$C225)&gt;0),2,IF($E225=(INDEX(_xlfn.ANCHORARRAY(Sintesi!$C$16),1,$C225)),3,4)))),0),IF($C225&gt;0,IF(($E225=INDEX(_xlfn.ANCHORARRAY(Sintesi!$C$14),1,$C225))*(INDEX(_xlfn.ANCHORARRAY(Sintesi!$C$15),1,$C225)&gt;0),0,IF(($E225=INDEX(_xlfn.ANCHORARRAY(Sintesi!$C$14),1,$C225))*(INDEX(_xlfn.ANCHORARRAY(Sintesi!$C$15),1,$C225)&lt;0)+($E225&gt;=LOOKUP(2,1/($E:$E&lt;&gt;""),$E:$E))*($E225&lt;=$E226)*($E225&gt;INDEX(_xlfn.ANCHORARRAY(Sintesi!$C$14),1,$C225))*($E225&lt;=INDEX(_xlfn.ANCHORARRAY(Sintesi!$C$15),1,$C225))*(INDEX(_xlfn.ANCHORARRAY(Sintesi!$C$15),1,$C225)&gt;0),1,IF(($E225&gt;=LOOKUP(2,1/($E:$E&lt;&gt;""),$E:$E))*($E225&lt;=$E226)*($E225&gt;INDEX(_xlfn.ANCHORARRAY(Sintesi!$C$14),1,$C225))*($E225&lt;INDEX(_xlfn.ANCHORARRAY(Sintesi!$C$16),1,$C225))*(INDEX(_xlfn.ANCHORARRAY(Sintesi!$C$15),1,$C225)&lt;0)+($E225&gt;=LOOKUP(2,1/($E:$E&lt;&gt;""),$E:$E))*($E225&lt;=$E226)*($E225&gt;INDEX(_xlfn.ANCHORARRAY(Sintesi!$C$15),1,$C225))*($E225&lt;INDEX(_xlfn.ANCHORARRAY(Sintesi!$C$16),1,$C225))*(INDEX(_xlfn.ANCHORARRAY(Sintesi!$C$15),1,$C225)&gt;0),2,IF($E225=(INDEX(_xlfn.ANCHORARRAY(Sintesi!$C$16),1,$C225)),3,4)))),0)))</f>
        <v/>
      </c>
      <c r="E225" s="1">
        <f>'Paste cell here'!F225</f>
        <v/>
      </c>
      <c r="F225" s="1">
        <f>'Paste cell here'!C225</f>
        <v/>
      </c>
      <c r="G225" s="1">
        <f>'Paste cell here'!D225</f>
        <v/>
      </c>
      <c r="H225" s="1">
        <f>'Paste cell here'!E225</f>
        <v/>
      </c>
      <c r="I225" s="1">
        <f>'Paste cell here'!X225</f>
        <v/>
      </c>
      <c r="J225" s="1">
        <f>'Paste cell here'!Y225+'Paste cell here'!S225</f>
        <v/>
      </c>
      <c r="K225" s="1">
        <f>I225/H225</f>
        <v/>
      </c>
      <c r="L225" s="1">
        <f>AVERAGE(($F225+$G225)/2-($F225-$G225)/2*COS(PI()*(8-VLOOKUP(MONTH(B225),$O$1:$Q$13,3))/(VLOOKUP(MONTH(B225),$O$1:$Q$13,2)-VLOOKUP(MONTH(B225),$O$1:$Q$13,3))),($F225+$G225)/2-($F225-$G225)/2*COS(PI()*(9-VLOOKUP(MONTH(B225),$O$1:$Q$13,3))/(VLOOKUP(MONTH(B225),$O$1:$Q$13,2)-VLOOKUP(MONTH(B225),$O$1:$Q$13,3))),($F225+$G225)/2-($F225-$G225)/2*COS(PI()*(10-VLOOKUP(MONTH(B225),$O$1:$Q$13,3))/(VLOOKUP(MONTH(B225),$O$1:$Q$13,2)-VLOOKUP(MONTH(B225),$O$1:$Q$13,3))),($F225+$G225)/2-($F225-$G225)/2*COS(PI()*(11-VLOOKUP(MONTH(B225),$O$1:$Q$13,3))/(VLOOKUP(MONTH(B225),$O$1:$Q$13,2)-VLOOKUP(MONTH(B225),$O$1:$Q$13,3))),($F225+$G225)/2-($F225-$G225)/2*COS(PI()*(12-VLOOKUP(MONTH(B225),$O$1:$Q$13,3))/(VLOOKUP(MONTH(B225),$O$1:$Q$13,2)-VLOOKUP(MONTH(B225),$O$1:$Q$13,3))),($F225+$G225)/2-($F225-$G225)/2*COS(PI()*(13-VLOOKUP(MONTH(B225),$O$1:$Q$13,3))/(VLOOKUP(MONTH(B225),$O$1:$Q$13,2)-VLOOKUP(MONTH(B225),$O$1:$Q$13,3))),($F225+$G225)/2-($F225-$G225)/2*COS(PI()*(14-VLOOKUP(MONTH(B225),$O$1:$Q$13,3))/(VLOOKUP(MONTH(B225),$O$1:$Q$13,2)-VLOOKUP(MONTH(B225),$O$1:$Q$13,3))))</f>
        <v/>
      </c>
      <c r="M225" s="1">
        <f t="array" ref="M225">IF(AND(A225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,A225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),IF(L225&lt;_xlfn.IFNA(INDEX(_xlfn.ANCHORARRAY(Sintesi!$C$17)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,1,IF(L225&gt;=_xlfn.IFNA(INDEX(_xlfn.ANCHORARRAY(Sintesi!$C$18)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,0,1-(L225-_xlfn.IFNA(INDEX(_xlfn.ANCHORARRAY(Sintesi!$C$17)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)/(_xlfn.IFNA(INDEX(_xlfn.ANCHORARRAY(Sintesi!$C$18)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-_xlfn.IFNA(INDEX(_xlfn.ANCHORARRAY(Sintesi!$C$17)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))),0)</f>
        <v/>
      </c>
    </row>
    <row r="226">
      <c r="A226" s="1">
        <f>'Paste cell here'!A226</f>
        <v/>
      </c>
      <c r="B226" s="2">
        <f>DATE(Sintesi!$C$4-1,12,31)+A226</f>
        <v/>
      </c>
      <c r="C226" s="34">
        <f t="array" ref="C226">_xlfn.IFNA(MATCH(1,(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)*(_xlfn.ANCHORARRAY(Sintesi!$C$15)&gt;=0)+(_xlfn.ANCHORARRAY(Sintesi!$C$15)&lt;0),0),0)</f>
        <v/>
      </c>
      <c r="D226" s="1">
        <f t="array" ref="D226">IF(ISBLANK($E227),IF(ISNUMBER($E225),IF($C226&gt;0,IF(($E226=INDEX(_xlfn.ANCHORARRAY(Sintesi!$C$14),1,$C226))*(INDEX(_xlfn.ANCHORARRAY(Sintesi!$C$15),1,$C226)&gt;0),0,IF(($E226=INDEX(_xlfn.ANCHORARRAY(Sintesi!$C$14),1,$C226))*(INDEX(_xlfn.ANCHORARRAY(Sintesi!$C$15),1,$C226)&lt;0)+($E226&gt;=$E225)*($E226&lt;=INDEX($E:$E,MATCH(TRUE,INDEX((ISNUMBER($E:$E)),0),0)))*($E226&gt;INDEX(_xlfn.ANCHORARRAY(Sintesi!$C$14),1,$C226))*($E226&lt;=INDEX(_xlfn.ANCHORARRAY(Sintesi!$C$15),1,$C226))*(INDEX(_xlfn.ANCHORARRAY(Sintesi!$C$15),1,$C226)&gt;0),1,IF(($E226&gt;=$E225)*($E226&lt;=INDEX($E:$E,MATCH(TRUE,INDEX((ISNUMBER($E:$E)),0),0)))*($E226&gt;INDEX(_xlfn.ANCHORARRAY(Sintesi!$C$14),1,$C226))*($E226&lt;INDEX(_xlfn.ANCHORARRAY(Sintesi!$C$16),1,$C226))*(INDEX(_xlfn.ANCHORARRAY(Sintesi!$C$15),1,$C226)&lt;0)+($E226&gt;=$E225)*($E226&lt;=INDEX($E:$E,MATCH(TRUE,INDEX((ISNUMBER($E:$E)),0),0)))*($E226&gt;INDEX(_xlfn.ANCHORARRAY(Sintesi!$C$15),1,$C226))*($E226&lt;INDEX(_xlfn.ANCHORARRAY(Sintesi!$C$16),1,$C226))*(INDEX(_xlfn.ANCHORARRAY(Sintesi!$C$15),1,$C226)&gt;0),2,IF($E226=(INDEX(_xlfn.ANCHORARRAY(Sintesi!$C$16),1,$C226)),3,4)))),0),IF($C226&gt;0,IF(($E226=INDEX(_xlfn.ANCHORARRAY(Sintesi!$C$14),1,$C226))*(INDEX(_xlfn.ANCHORARRAY(Sintesi!$C$15),1,$C226)&gt;0),0,IF(($E226=INDEX(_xlfn.ANCHORARRAY(Sintesi!$C$14),1,$C226))*(INDEX(_xlfn.ANCHORARRAY(Sintesi!$C$15),1,$C226)&lt;0)+($E226&gt;=LOOKUP(2,1/($E:$E&lt;&gt;""),$E:$E))*($E226&lt;=INDEX($E:$E,MATCH(TRUE,INDEX((ISNUMBER($E:$E)),0),0)))*($E226&gt;INDEX(_xlfn.ANCHORARRAY(Sintesi!$C$14),1,$C226))*($E226&lt;=INDEX(_xlfn.ANCHORARRAY(Sintesi!$C$15),1,$C226))*(INDEX(_xlfn.ANCHORARRAY(Sintesi!$C$15),1,$C226)&gt;0),1,IF(($E226&gt;=LOOKUP(2,1/($E:$E&lt;&gt;""),$E:$E))*($E226&lt;=INDEX($E:$E,MATCH(TRUE,INDEX((ISNUMBER($E:$E)),0),0)))*($E226&gt;INDEX(_xlfn.ANCHORARRAY(Sintesi!$C$14),1,$C226))*($E226&lt;INDEX(_xlfn.ANCHORARRAY(Sintesi!$C$16),1,$C226))*(INDEX(_xlfn.ANCHORARRAY(Sintesi!$C$15),1,$C226)&lt;0)+($E226&gt;=LOOKUP(2,1/($E:$E&lt;&gt;""),$E:$E))*($E226&lt;=INDEX($E:$E,MATCH(TRUE,INDEX((ISNUMBER($E:$E)),0),0)))*($E226&gt;INDEX(_xlfn.ANCHORARRAY(Sintesi!$C$15),1,$C226))*($E226&lt;INDEX(_xlfn.ANCHORARRAY(Sintesi!$C$16),1,$C226))*(INDEX(_xlfn.ANCHORARRAY(Sintesi!$C$15),1,$C226)&gt;0),2,IF($E226=(INDEX(_xlfn.ANCHORARRAY(Sintesi!$C$16),1,$C226)),3,4)))),0)),IF(ISNUMBER($E225),IF($C226&gt;0,IF(($E226=INDEX(_xlfn.ANCHORARRAY(Sintesi!$C$14),1,$C226))*(INDEX(_xlfn.ANCHORARRAY(Sintesi!$C$15),1,$C226)&gt;0),0,IF(($E226=INDEX(_xlfn.ANCHORARRAY(Sintesi!$C$14),1,$C226))*(INDEX(_xlfn.ANCHORARRAY(Sintesi!$C$15),1,$C226)&lt;0)+($E226&gt;=$E225)*($E226&lt;=$E227)*($E226&gt;INDEX(_xlfn.ANCHORARRAY(Sintesi!$C$14),1,$C226))*($E226&lt;=INDEX(_xlfn.ANCHORARRAY(Sintesi!$C$15),1,$C226))*(INDEX(_xlfn.ANCHORARRAY(Sintesi!$C$15),1,$C226)&gt;0),1,IF(($E226&gt;=$E225)*($E226&lt;=$E227)*($E226&gt;INDEX(_xlfn.ANCHORARRAY(Sintesi!$C$14),1,$C226))*($E226&lt;INDEX(_xlfn.ANCHORARRAY(Sintesi!$C$16),1,$C226))*(INDEX(_xlfn.ANCHORARRAY(Sintesi!$C$15),1,$C226)&lt;0)+($E226&gt;=$E225)*($E226&lt;=$E227)*($E226&gt;INDEX(_xlfn.ANCHORARRAY(Sintesi!$C$15),1,$C226))*($E226&lt;INDEX(_xlfn.ANCHORARRAY(Sintesi!$C$16),1,$C226))*(INDEX(_xlfn.ANCHORARRAY(Sintesi!$C$15),1,$C226)&gt;0),2,IF($E226=(INDEX(_xlfn.ANCHORARRAY(Sintesi!$C$16),1,$C226)),3,4)))),0),IF($C226&gt;0,IF(($E226=INDEX(_xlfn.ANCHORARRAY(Sintesi!$C$14),1,$C226))*(INDEX(_xlfn.ANCHORARRAY(Sintesi!$C$15),1,$C226)&gt;0),0,IF(($E226=INDEX(_xlfn.ANCHORARRAY(Sintesi!$C$14),1,$C226))*(INDEX(_xlfn.ANCHORARRAY(Sintesi!$C$15),1,$C226)&lt;0)+($E226&gt;=LOOKUP(2,1/($E:$E&lt;&gt;""),$E:$E))*($E226&lt;=$E227)*($E226&gt;INDEX(_xlfn.ANCHORARRAY(Sintesi!$C$14),1,$C226))*($E226&lt;=INDEX(_xlfn.ANCHORARRAY(Sintesi!$C$15),1,$C226))*(INDEX(_xlfn.ANCHORARRAY(Sintesi!$C$15),1,$C226)&gt;0),1,IF(($E226&gt;=LOOKUP(2,1/($E:$E&lt;&gt;""),$E:$E))*($E226&lt;=$E227)*($E226&gt;INDEX(_xlfn.ANCHORARRAY(Sintesi!$C$14),1,$C226))*($E226&lt;INDEX(_xlfn.ANCHORARRAY(Sintesi!$C$16),1,$C226))*(INDEX(_xlfn.ANCHORARRAY(Sintesi!$C$15),1,$C226)&lt;0)+($E226&gt;=LOOKUP(2,1/($E:$E&lt;&gt;""),$E:$E))*($E226&lt;=$E227)*($E226&gt;INDEX(_xlfn.ANCHORARRAY(Sintesi!$C$15),1,$C226))*($E226&lt;INDEX(_xlfn.ANCHORARRAY(Sintesi!$C$16),1,$C226))*(INDEX(_xlfn.ANCHORARRAY(Sintesi!$C$15),1,$C226)&gt;0),2,IF($E226=(INDEX(_xlfn.ANCHORARRAY(Sintesi!$C$16),1,$C226)),3,4)))),0)))</f>
        <v/>
      </c>
      <c r="E226" s="1">
        <f>'Paste cell here'!F226</f>
        <v/>
      </c>
      <c r="F226" s="1">
        <f>'Paste cell here'!C226</f>
        <v/>
      </c>
      <c r="G226" s="1">
        <f>'Paste cell here'!D226</f>
        <v/>
      </c>
      <c r="H226" s="1">
        <f>'Paste cell here'!E226</f>
        <v/>
      </c>
      <c r="I226" s="1">
        <f>'Paste cell here'!X226</f>
        <v/>
      </c>
      <c r="J226" s="1">
        <f>'Paste cell here'!Y226+'Paste cell here'!S226</f>
        <v/>
      </c>
      <c r="K226" s="1">
        <f>I226/H226</f>
        <v/>
      </c>
      <c r="L226" s="1">
        <f>AVERAGE(($F226+$G226)/2-($F226-$G226)/2*COS(PI()*(8-VLOOKUP(MONTH(B226),$O$1:$Q$13,3))/(VLOOKUP(MONTH(B226),$O$1:$Q$13,2)-VLOOKUP(MONTH(B226),$O$1:$Q$13,3))),($F226+$G226)/2-($F226-$G226)/2*COS(PI()*(9-VLOOKUP(MONTH(B226),$O$1:$Q$13,3))/(VLOOKUP(MONTH(B226),$O$1:$Q$13,2)-VLOOKUP(MONTH(B226),$O$1:$Q$13,3))),($F226+$G226)/2-($F226-$G226)/2*COS(PI()*(10-VLOOKUP(MONTH(B226),$O$1:$Q$13,3))/(VLOOKUP(MONTH(B226),$O$1:$Q$13,2)-VLOOKUP(MONTH(B226),$O$1:$Q$13,3))),($F226+$G226)/2-($F226-$G226)/2*COS(PI()*(11-VLOOKUP(MONTH(B226),$O$1:$Q$13,3))/(VLOOKUP(MONTH(B226),$O$1:$Q$13,2)-VLOOKUP(MONTH(B226),$O$1:$Q$13,3))),($F226+$G226)/2-($F226-$G226)/2*COS(PI()*(12-VLOOKUP(MONTH(B226),$O$1:$Q$13,3))/(VLOOKUP(MONTH(B226),$O$1:$Q$13,2)-VLOOKUP(MONTH(B226),$O$1:$Q$13,3))),($F226+$G226)/2-($F226-$G226)/2*COS(PI()*(13-VLOOKUP(MONTH(B226),$O$1:$Q$13,3))/(VLOOKUP(MONTH(B226),$O$1:$Q$13,2)-VLOOKUP(MONTH(B226),$O$1:$Q$13,3))),($F226+$G226)/2-($F226-$G226)/2*COS(PI()*(14-VLOOKUP(MONTH(B226),$O$1:$Q$13,3))/(VLOOKUP(MONTH(B226),$O$1:$Q$13,2)-VLOOKUP(MONTH(B226),$O$1:$Q$13,3))))</f>
        <v/>
      </c>
      <c r="M226" s="1">
        <f t="array" ref="M226">IF(AND(A226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,A226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),IF(L226&lt;_xlfn.IFNA(INDEX(_xlfn.ANCHORARRAY(Sintesi!$C$17)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,1,IF(L226&gt;=_xlfn.IFNA(INDEX(_xlfn.ANCHORARRAY(Sintesi!$C$18)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,0,1-(L226-_xlfn.IFNA(INDEX(_xlfn.ANCHORARRAY(Sintesi!$C$17)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)/(_xlfn.IFNA(INDEX(_xlfn.ANCHORARRAY(Sintesi!$C$18)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-_xlfn.IFNA(INDEX(_xlfn.ANCHORARRAY(Sintesi!$C$17)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))),0)</f>
        <v/>
      </c>
    </row>
    <row r="227">
      <c r="A227" s="1">
        <f>'Paste cell here'!A227</f>
        <v/>
      </c>
      <c r="B227" s="2">
        <f>DATE(Sintesi!$C$4-1,12,31)+A227</f>
        <v/>
      </c>
      <c r="C227" s="34">
        <f t="array" ref="C227">_xlfn.IFNA(MATCH(1,(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)*(_xlfn.ANCHORARRAY(Sintesi!$C$15)&gt;=0)+(_xlfn.ANCHORARRAY(Sintesi!$C$15)&lt;0),0),0)</f>
        <v/>
      </c>
      <c r="D227" s="1">
        <f t="array" ref="D227">IF(ISBLANK($E228),IF(ISNUMBER($E226),IF($C227&gt;0,IF(($E227=INDEX(_xlfn.ANCHORARRAY(Sintesi!$C$14),1,$C227))*(INDEX(_xlfn.ANCHORARRAY(Sintesi!$C$15),1,$C227)&gt;0),0,IF(($E227=INDEX(_xlfn.ANCHORARRAY(Sintesi!$C$14),1,$C227))*(INDEX(_xlfn.ANCHORARRAY(Sintesi!$C$15),1,$C227)&lt;0)+($E227&gt;=$E226)*($E227&lt;=INDEX($E:$E,MATCH(TRUE,INDEX((ISNUMBER($E:$E)),0),0)))*($E227&gt;INDEX(_xlfn.ANCHORARRAY(Sintesi!$C$14),1,$C227))*($E227&lt;=INDEX(_xlfn.ANCHORARRAY(Sintesi!$C$15),1,$C227))*(INDEX(_xlfn.ANCHORARRAY(Sintesi!$C$15),1,$C227)&gt;0),1,IF(($E227&gt;=$E226)*($E227&lt;=INDEX($E:$E,MATCH(TRUE,INDEX((ISNUMBER($E:$E)),0),0)))*($E227&gt;INDEX(_xlfn.ANCHORARRAY(Sintesi!$C$14),1,$C227))*($E227&lt;INDEX(_xlfn.ANCHORARRAY(Sintesi!$C$16),1,$C227))*(INDEX(_xlfn.ANCHORARRAY(Sintesi!$C$15),1,$C227)&lt;0)+($E227&gt;=$E226)*($E227&lt;=INDEX($E:$E,MATCH(TRUE,INDEX((ISNUMBER($E:$E)),0),0)))*($E227&gt;INDEX(_xlfn.ANCHORARRAY(Sintesi!$C$15),1,$C227))*($E227&lt;INDEX(_xlfn.ANCHORARRAY(Sintesi!$C$16),1,$C227))*(INDEX(_xlfn.ANCHORARRAY(Sintesi!$C$15),1,$C227)&gt;0),2,IF($E227=(INDEX(_xlfn.ANCHORARRAY(Sintesi!$C$16),1,$C227)),3,4)))),0),IF($C227&gt;0,IF(($E227=INDEX(_xlfn.ANCHORARRAY(Sintesi!$C$14),1,$C227))*(INDEX(_xlfn.ANCHORARRAY(Sintesi!$C$15),1,$C227)&gt;0),0,IF(($E227=INDEX(_xlfn.ANCHORARRAY(Sintesi!$C$14),1,$C227))*(INDEX(_xlfn.ANCHORARRAY(Sintesi!$C$15),1,$C227)&lt;0)+($E227&gt;=LOOKUP(2,1/($E:$E&lt;&gt;""),$E:$E))*($E227&lt;=INDEX($E:$E,MATCH(TRUE,INDEX((ISNUMBER($E:$E)),0),0)))*($E227&gt;INDEX(_xlfn.ANCHORARRAY(Sintesi!$C$14),1,$C227))*($E227&lt;=INDEX(_xlfn.ANCHORARRAY(Sintesi!$C$15),1,$C227))*(INDEX(_xlfn.ANCHORARRAY(Sintesi!$C$15),1,$C227)&gt;0),1,IF(($E227&gt;=LOOKUP(2,1/($E:$E&lt;&gt;""),$E:$E))*($E227&lt;=INDEX($E:$E,MATCH(TRUE,INDEX((ISNUMBER($E:$E)),0),0)))*($E227&gt;INDEX(_xlfn.ANCHORARRAY(Sintesi!$C$14),1,$C227))*($E227&lt;INDEX(_xlfn.ANCHORARRAY(Sintesi!$C$16),1,$C227))*(INDEX(_xlfn.ANCHORARRAY(Sintesi!$C$15),1,$C227)&lt;0)+($E227&gt;=LOOKUP(2,1/($E:$E&lt;&gt;""),$E:$E))*($E227&lt;=INDEX($E:$E,MATCH(TRUE,INDEX((ISNUMBER($E:$E)),0),0)))*($E227&gt;INDEX(_xlfn.ANCHORARRAY(Sintesi!$C$15),1,$C227))*($E227&lt;INDEX(_xlfn.ANCHORARRAY(Sintesi!$C$16),1,$C227))*(INDEX(_xlfn.ANCHORARRAY(Sintesi!$C$15),1,$C227)&gt;0),2,IF($E227=(INDEX(_xlfn.ANCHORARRAY(Sintesi!$C$16),1,$C227)),3,4)))),0)),IF(ISNUMBER($E226),IF($C227&gt;0,IF(($E227=INDEX(_xlfn.ANCHORARRAY(Sintesi!$C$14),1,$C227))*(INDEX(_xlfn.ANCHORARRAY(Sintesi!$C$15),1,$C227)&gt;0),0,IF(($E227=INDEX(_xlfn.ANCHORARRAY(Sintesi!$C$14),1,$C227))*(INDEX(_xlfn.ANCHORARRAY(Sintesi!$C$15),1,$C227)&lt;0)+($E227&gt;=$E226)*($E227&lt;=$E228)*($E227&gt;INDEX(_xlfn.ANCHORARRAY(Sintesi!$C$14),1,$C227))*($E227&lt;=INDEX(_xlfn.ANCHORARRAY(Sintesi!$C$15),1,$C227))*(INDEX(_xlfn.ANCHORARRAY(Sintesi!$C$15),1,$C227)&gt;0),1,IF(($E227&gt;=$E226)*($E227&lt;=$E228)*($E227&gt;INDEX(_xlfn.ANCHORARRAY(Sintesi!$C$14),1,$C227))*($E227&lt;INDEX(_xlfn.ANCHORARRAY(Sintesi!$C$16),1,$C227))*(INDEX(_xlfn.ANCHORARRAY(Sintesi!$C$15),1,$C227)&lt;0)+($E227&gt;=$E226)*($E227&lt;=$E228)*($E227&gt;INDEX(_xlfn.ANCHORARRAY(Sintesi!$C$15),1,$C227))*($E227&lt;INDEX(_xlfn.ANCHORARRAY(Sintesi!$C$16),1,$C227))*(INDEX(_xlfn.ANCHORARRAY(Sintesi!$C$15),1,$C227)&gt;0),2,IF($E227=(INDEX(_xlfn.ANCHORARRAY(Sintesi!$C$16),1,$C227)),3,4)))),0),IF($C227&gt;0,IF(($E227=INDEX(_xlfn.ANCHORARRAY(Sintesi!$C$14),1,$C227))*(INDEX(_xlfn.ANCHORARRAY(Sintesi!$C$15),1,$C227)&gt;0),0,IF(($E227=INDEX(_xlfn.ANCHORARRAY(Sintesi!$C$14),1,$C227))*(INDEX(_xlfn.ANCHORARRAY(Sintesi!$C$15),1,$C227)&lt;0)+($E227&gt;=LOOKUP(2,1/($E:$E&lt;&gt;""),$E:$E))*($E227&lt;=$E228)*($E227&gt;INDEX(_xlfn.ANCHORARRAY(Sintesi!$C$14),1,$C227))*($E227&lt;=INDEX(_xlfn.ANCHORARRAY(Sintesi!$C$15),1,$C227))*(INDEX(_xlfn.ANCHORARRAY(Sintesi!$C$15),1,$C227)&gt;0),1,IF(($E227&gt;=LOOKUP(2,1/($E:$E&lt;&gt;""),$E:$E))*($E227&lt;=$E228)*($E227&gt;INDEX(_xlfn.ANCHORARRAY(Sintesi!$C$14),1,$C227))*($E227&lt;INDEX(_xlfn.ANCHORARRAY(Sintesi!$C$16),1,$C227))*(INDEX(_xlfn.ANCHORARRAY(Sintesi!$C$15),1,$C227)&lt;0)+($E227&gt;=LOOKUP(2,1/($E:$E&lt;&gt;""),$E:$E))*($E227&lt;=$E228)*($E227&gt;INDEX(_xlfn.ANCHORARRAY(Sintesi!$C$15),1,$C227))*($E227&lt;INDEX(_xlfn.ANCHORARRAY(Sintesi!$C$16),1,$C227))*(INDEX(_xlfn.ANCHORARRAY(Sintesi!$C$15),1,$C227)&gt;0),2,IF($E227=(INDEX(_xlfn.ANCHORARRAY(Sintesi!$C$16),1,$C227)),3,4)))),0)))</f>
        <v/>
      </c>
      <c r="E227" s="1">
        <f>'Paste cell here'!F227</f>
        <v/>
      </c>
      <c r="F227" s="1">
        <f>'Paste cell here'!C227</f>
        <v/>
      </c>
      <c r="G227" s="1">
        <f>'Paste cell here'!D227</f>
        <v/>
      </c>
      <c r="H227" s="1">
        <f>'Paste cell here'!E227</f>
        <v/>
      </c>
      <c r="I227" s="1">
        <f>'Paste cell here'!X227</f>
        <v/>
      </c>
      <c r="J227" s="1">
        <f>'Paste cell here'!Y227+'Paste cell here'!S227</f>
        <v/>
      </c>
      <c r="K227" s="1">
        <f>I227/H227</f>
        <v/>
      </c>
      <c r="L227" s="1">
        <f>AVERAGE(($F227+$G227)/2-($F227-$G227)/2*COS(PI()*(8-VLOOKUP(MONTH(B227),$O$1:$Q$13,3))/(VLOOKUP(MONTH(B227),$O$1:$Q$13,2)-VLOOKUP(MONTH(B227),$O$1:$Q$13,3))),($F227+$G227)/2-($F227-$G227)/2*COS(PI()*(9-VLOOKUP(MONTH(B227),$O$1:$Q$13,3))/(VLOOKUP(MONTH(B227),$O$1:$Q$13,2)-VLOOKUP(MONTH(B227),$O$1:$Q$13,3))),($F227+$G227)/2-($F227-$G227)/2*COS(PI()*(10-VLOOKUP(MONTH(B227),$O$1:$Q$13,3))/(VLOOKUP(MONTH(B227),$O$1:$Q$13,2)-VLOOKUP(MONTH(B227),$O$1:$Q$13,3))),($F227+$G227)/2-($F227-$G227)/2*COS(PI()*(11-VLOOKUP(MONTH(B227),$O$1:$Q$13,3))/(VLOOKUP(MONTH(B227),$O$1:$Q$13,2)-VLOOKUP(MONTH(B227),$O$1:$Q$13,3))),($F227+$G227)/2-($F227-$G227)/2*COS(PI()*(12-VLOOKUP(MONTH(B227),$O$1:$Q$13,3))/(VLOOKUP(MONTH(B227),$O$1:$Q$13,2)-VLOOKUP(MONTH(B227),$O$1:$Q$13,3))),($F227+$G227)/2-($F227-$G227)/2*COS(PI()*(13-VLOOKUP(MONTH(B227),$O$1:$Q$13,3))/(VLOOKUP(MONTH(B227),$O$1:$Q$13,2)-VLOOKUP(MONTH(B227),$O$1:$Q$13,3))),($F227+$G227)/2-($F227-$G227)/2*COS(PI()*(14-VLOOKUP(MONTH(B227),$O$1:$Q$13,3))/(VLOOKUP(MONTH(B227),$O$1:$Q$13,2)-VLOOKUP(MONTH(B227),$O$1:$Q$13,3))))</f>
        <v/>
      </c>
      <c r="M227" s="1">
        <f t="array" ref="M227">IF(AND(A227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,A227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),IF(L227&lt;_xlfn.IFNA(INDEX(_xlfn.ANCHORARRAY(Sintesi!$C$17)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,1,IF(L227&gt;=_xlfn.IFNA(INDEX(_xlfn.ANCHORARRAY(Sintesi!$C$18)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,0,1-(L227-_xlfn.IFNA(INDEX(_xlfn.ANCHORARRAY(Sintesi!$C$17)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)/(_xlfn.IFNA(INDEX(_xlfn.ANCHORARRAY(Sintesi!$C$18)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-_xlfn.IFNA(INDEX(_xlfn.ANCHORARRAY(Sintesi!$C$17)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))),0)</f>
        <v/>
      </c>
    </row>
    <row r="228">
      <c r="A228" s="1">
        <f>'Paste cell here'!A228</f>
        <v/>
      </c>
      <c r="B228" s="2">
        <f>DATE(Sintesi!$C$4-1,12,31)+A228</f>
        <v/>
      </c>
      <c r="C228" s="34">
        <f t="array" ref="C228">_xlfn.IFNA(MATCH(1,(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)*(_xlfn.ANCHORARRAY(Sintesi!$C$15)&gt;=0)+(_xlfn.ANCHORARRAY(Sintesi!$C$15)&lt;0),0),0)</f>
        <v/>
      </c>
      <c r="D228" s="1">
        <f t="array" ref="D228">IF(ISBLANK($E229),IF(ISNUMBER($E227),IF($C228&gt;0,IF(($E228=INDEX(_xlfn.ANCHORARRAY(Sintesi!$C$14),1,$C228))*(INDEX(_xlfn.ANCHORARRAY(Sintesi!$C$15),1,$C228)&gt;0),0,IF(($E228=INDEX(_xlfn.ANCHORARRAY(Sintesi!$C$14),1,$C228))*(INDEX(_xlfn.ANCHORARRAY(Sintesi!$C$15),1,$C228)&lt;0)+($E228&gt;=$E227)*($E228&lt;=INDEX($E:$E,MATCH(TRUE,INDEX((ISNUMBER($E:$E)),0),0)))*($E228&gt;INDEX(_xlfn.ANCHORARRAY(Sintesi!$C$14),1,$C228))*($E228&lt;=INDEX(_xlfn.ANCHORARRAY(Sintesi!$C$15),1,$C228))*(INDEX(_xlfn.ANCHORARRAY(Sintesi!$C$15),1,$C228)&gt;0),1,IF(($E228&gt;=$E227)*($E228&lt;=INDEX($E:$E,MATCH(TRUE,INDEX((ISNUMBER($E:$E)),0),0)))*($E228&gt;INDEX(_xlfn.ANCHORARRAY(Sintesi!$C$14),1,$C228))*($E228&lt;INDEX(_xlfn.ANCHORARRAY(Sintesi!$C$16),1,$C228))*(INDEX(_xlfn.ANCHORARRAY(Sintesi!$C$15),1,$C228)&lt;0)+($E228&gt;=$E227)*($E228&lt;=INDEX($E:$E,MATCH(TRUE,INDEX((ISNUMBER($E:$E)),0),0)))*($E228&gt;INDEX(_xlfn.ANCHORARRAY(Sintesi!$C$15),1,$C228))*($E228&lt;INDEX(_xlfn.ANCHORARRAY(Sintesi!$C$16),1,$C228))*(INDEX(_xlfn.ANCHORARRAY(Sintesi!$C$15),1,$C228)&gt;0),2,IF($E228=(INDEX(_xlfn.ANCHORARRAY(Sintesi!$C$16),1,$C228)),3,4)))),0),IF($C228&gt;0,IF(($E228=INDEX(_xlfn.ANCHORARRAY(Sintesi!$C$14),1,$C228))*(INDEX(_xlfn.ANCHORARRAY(Sintesi!$C$15),1,$C228)&gt;0),0,IF(($E228=INDEX(_xlfn.ANCHORARRAY(Sintesi!$C$14),1,$C228))*(INDEX(_xlfn.ANCHORARRAY(Sintesi!$C$15),1,$C228)&lt;0)+($E228&gt;=LOOKUP(2,1/($E:$E&lt;&gt;""),$E:$E))*($E228&lt;=INDEX($E:$E,MATCH(TRUE,INDEX((ISNUMBER($E:$E)),0),0)))*($E228&gt;INDEX(_xlfn.ANCHORARRAY(Sintesi!$C$14),1,$C228))*($E228&lt;=INDEX(_xlfn.ANCHORARRAY(Sintesi!$C$15),1,$C228))*(INDEX(_xlfn.ANCHORARRAY(Sintesi!$C$15),1,$C228)&gt;0),1,IF(($E228&gt;=LOOKUP(2,1/($E:$E&lt;&gt;""),$E:$E))*($E228&lt;=INDEX($E:$E,MATCH(TRUE,INDEX((ISNUMBER($E:$E)),0),0)))*($E228&gt;INDEX(_xlfn.ANCHORARRAY(Sintesi!$C$14),1,$C228))*($E228&lt;INDEX(_xlfn.ANCHORARRAY(Sintesi!$C$16),1,$C228))*(INDEX(_xlfn.ANCHORARRAY(Sintesi!$C$15),1,$C228)&lt;0)+($E228&gt;=LOOKUP(2,1/($E:$E&lt;&gt;""),$E:$E))*($E228&lt;=INDEX($E:$E,MATCH(TRUE,INDEX((ISNUMBER($E:$E)),0),0)))*($E228&gt;INDEX(_xlfn.ANCHORARRAY(Sintesi!$C$15),1,$C228))*($E228&lt;INDEX(_xlfn.ANCHORARRAY(Sintesi!$C$16),1,$C228))*(INDEX(_xlfn.ANCHORARRAY(Sintesi!$C$15),1,$C228)&gt;0),2,IF($E228=(INDEX(_xlfn.ANCHORARRAY(Sintesi!$C$16),1,$C228)),3,4)))),0)),IF(ISNUMBER($E227),IF($C228&gt;0,IF(($E228=INDEX(_xlfn.ANCHORARRAY(Sintesi!$C$14),1,$C228))*(INDEX(_xlfn.ANCHORARRAY(Sintesi!$C$15),1,$C228)&gt;0),0,IF(($E228=INDEX(_xlfn.ANCHORARRAY(Sintesi!$C$14),1,$C228))*(INDEX(_xlfn.ANCHORARRAY(Sintesi!$C$15),1,$C228)&lt;0)+($E228&gt;=$E227)*($E228&lt;=$E229)*($E228&gt;INDEX(_xlfn.ANCHORARRAY(Sintesi!$C$14),1,$C228))*($E228&lt;=INDEX(_xlfn.ANCHORARRAY(Sintesi!$C$15),1,$C228))*(INDEX(_xlfn.ANCHORARRAY(Sintesi!$C$15),1,$C228)&gt;0),1,IF(($E228&gt;=$E227)*($E228&lt;=$E229)*($E228&gt;INDEX(_xlfn.ANCHORARRAY(Sintesi!$C$14),1,$C228))*($E228&lt;INDEX(_xlfn.ANCHORARRAY(Sintesi!$C$16),1,$C228))*(INDEX(_xlfn.ANCHORARRAY(Sintesi!$C$15),1,$C228)&lt;0)+($E228&gt;=$E227)*($E228&lt;=$E229)*($E228&gt;INDEX(_xlfn.ANCHORARRAY(Sintesi!$C$15),1,$C228))*($E228&lt;INDEX(_xlfn.ANCHORARRAY(Sintesi!$C$16),1,$C228))*(INDEX(_xlfn.ANCHORARRAY(Sintesi!$C$15),1,$C228)&gt;0),2,IF($E228=(INDEX(_xlfn.ANCHORARRAY(Sintesi!$C$16),1,$C228)),3,4)))),0),IF($C228&gt;0,IF(($E228=INDEX(_xlfn.ANCHORARRAY(Sintesi!$C$14),1,$C228))*(INDEX(_xlfn.ANCHORARRAY(Sintesi!$C$15),1,$C228)&gt;0),0,IF(($E228=INDEX(_xlfn.ANCHORARRAY(Sintesi!$C$14),1,$C228))*(INDEX(_xlfn.ANCHORARRAY(Sintesi!$C$15),1,$C228)&lt;0)+($E228&gt;=LOOKUP(2,1/($E:$E&lt;&gt;""),$E:$E))*($E228&lt;=$E229)*($E228&gt;INDEX(_xlfn.ANCHORARRAY(Sintesi!$C$14),1,$C228))*($E228&lt;=INDEX(_xlfn.ANCHORARRAY(Sintesi!$C$15),1,$C228))*(INDEX(_xlfn.ANCHORARRAY(Sintesi!$C$15),1,$C228)&gt;0),1,IF(($E228&gt;=LOOKUP(2,1/($E:$E&lt;&gt;""),$E:$E))*($E228&lt;=$E229)*($E228&gt;INDEX(_xlfn.ANCHORARRAY(Sintesi!$C$14),1,$C228))*($E228&lt;INDEX(_xlfn.ANCHORARRAY(Sintesi!$C$16),1,$C228))*(INDEX(_xlfn.ANCHORARRAY(Sintesi!$C$15),1,$C228)&lt;0)+($E228&gt;=LOOKUP(2,1/($E:$E&lt;&gt;""),$E:$E))*($E228&lt;=$E229)*($E228&gt;INDEX(_xlfn.ANCHORARRAY(Sintesi!$C$15),1,$C228))*($E228&lt;INDEX(_xlfn.ANCHORARRAY(Sintesi!$C$16),1,$C228))*(INDEX(_xlfn.ANCHORARRAY(Sintesi!$C$15),1,$C228)&gt;0),2,IF($E228=(INDEX(_xlfn.ANCHORARRAY(Sintesi!$C$16),1,$C228)),3,4)))),0)))</f>
        <v/>
      </c>
      <c r="E228" s="1">
        <f>'Paste cell here'!F228</f>
        <v/>
      </c>
      <c r="F228" s="1">
        <f>'Paste cell here'!C228</f>
        <v/>
      </c>
      <c r="G228" s="1">
        <f>'Paste cell here'!D228</f>
        <v/>
      </c>
      <c r="H228" s="1">
        <f>'Paste cell here'!E228</f>
        <v/>
      </c>
      <c r="I228" s="1">
        <f>'Paste cell here'!X228</f>
        <v/>
      </c>
      <c r="J228" s="1">
        <f>'Paste cell here'!Y228+'Paste cell here'!S228</f>
        <v/>
      </c>
      <c r="K228" s="1">
        <f>I228/H228</f>
        <v/>
      </c>
      <c r="L228" s="1">
        <f>AVERAGE(($F228+$G228)/2-($F228-$G228)/2*COS(PI()*(8-VLOOKUP(MONTH(B228),$O$1:$Q$13,3))/(VLOOKUP(MONTH(B228),$O$1:$Q$13,2)-VLOOKUP(MONTH(B228),$O$1:$Q$13,3))),($F228+$G228)/2-($F228-$G228)/2*COS(PI()*(9-VLOOKUP(MONTH(B228),$O$1:$Q$13,3))/(VLOOKUP(MONTH(B228),$O$1:$Q$13,2)-VLOOKUP(MONTH(B228),$O$1:$Q$13,3))),($F228+$G228)/2-($F228-$G228)/2*COS(PI()*(10-VLOOKUP(MONTH(B228),$O$1:$Q$13,3))/(VLOOKUP(MONTH(B228),$O$1:$Q$13,2)-VLOOKUP(MONTH(B228),$O$1:$Q$13,3))),($F228+$G228)/2-($F228-$G228)/2*COS(PI()*(11-VLOOKUP(MONTH(B228),$O$1:$Q$13,3))/(VLOOKUP(MONTH(B228),$O$1:$Q$13,2)-VLOOKUP(MONTH(B228),$O$1:$Q$13,3))),($F228+$G228)/2-($F228-$G228)/2*COS(PI()*(12-VLOOKUP(MONTH(B228),$O$1:$Q$13,3))/(VLOOKUP(MONTH(B228),$O$1:$Q$13,2)-VLOOKUP(MONTH(B228),$O$1:$Q$13,3))),($F228+$G228)/2-($F228-$G228)/2*COS(PI()*(13-VLOOKUP(MONTH(B228),$O$1:$Q$13,3))/(VLOOKUP(MONTH(B228),$O$1:$Q$13,2)-VLOOKUP(MONTH(B228),$O$1:$Q$13,3))),($F228+$G228)/2-($F228-$G228)/2*COS(PI()*(14-VLOOKUP(MONTH(B228),$O$1:$Q$13,3))/(VLOOKUP(MONTH(B228),$O$1:$Q$13,2)-VLOOKUP(MONTH(B228),$O$1:$Q$13,3))))</f>
        <v/>
      </c>
      <c r="M228" s="1">
        <f t="array" ref="M228">IF(AND(A228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,A228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),IF(L228&lt;_xlfn.IFNA(INDEX(_xlfn.ANCHORARRAY(Sintesi!$C$17)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,1,IF(L228&gt;=_xlfn.IFNA(INDEX(_xlfn.ANCHORARRAY(Sintesi!$C$18)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,0,1-(L228-_xlfn.IFNA(INDEX(_xlfn.ANCHORARRAY(Sintesi!$C$17)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)/(_xlfn.IFNA(INDEX(_xlfn.ANCHORARRAY(Sintesi!$C$18)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-_xlfn.IFNA(INDEX(_xlfn.ANCHORARRAY(Sintesi!$C$17)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))),0)</f>
        <v/>
      </c>
    </row>
    <row r="229">
      <c r="A229" s="1">
        <f>'Paste cell here'!A229</f>
        <v/>
      </c>
      <c r="B229" s="2">
        <f>DATE(Sintesi!$C$4-1,12,31)+A229</f>
        <v/>
      </c>
      <c r="C229" s="34">
        <f t="array" ref="C229">_xlfn.IFNA(MATCH(1,(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)*(_xlfn.ANCHORARRAY(Sintesi!$C$15)&gt;=0)+(_xlfn.ANCHORARRAY(Sintesi!$C$15)&lt;0),0),0)</f>
        <v/>
      </c>
      <c r="D229" s="1">
        <f t="array" ref="D229">IF(ISBLANK($E230),IF(ISNUMBER($E228),IF($C229&gt;0,IF(($E229=INDEX(_xlfn.ANCHORARRAY(Sintesi!$C$14),1,$C229))*(INDEX(_xlfn.ANCHORARRAY(Sintesi!$C$15),1,$C229)&gt;0),0,IF(($E229=INDEX(_xlfn.ANCHORARRAY(Sintesi!$C$14),1,$C229))*(INDEX(_xlfn.ANCHORARRAY(Sintesi!$C$15),1,$C229)&lt;0)+($E229&gt;=$E228)*($E229&lt;=INDEX($E:$E,MATCH(TRUE,INDEX((ISNUMBER($E:$E)),0),0)))*($E229&gt;INDEX(_xlfn.ANCHORARRAY(Sintesi!$C$14),1,$C229))*($E229&lt;=INDEX(_xlfn.ANCHORARRAY(Sintesi!$C$15),1,$C229))*(INDEX(_xlfn.ANCHORARRAY(Sintesi!$C$15),1,$C229)&gt;0),1,IF(($E229&gt;=$E228)*($E229&lt;=INDEX($E:$E,MATCH(TRUE,INDEX((ISNUMBER($E:$E)),0),0)))*($E229&gt;INDEX(_xlfn.ANCHORARRAY(Sintesi!$C$14),1,$C229))*($E229&lt;INDEX(_xlfn.ANCHORARRAY(Sintesi!$C$16),1,$C229))*(INDEX(_xlfn.ANCHORARRAY(Sintesi!$C$15),1,$C229)&lt;0)+($E229&gt;=$E228)*($E229&lt;=INDEX($E:$E,MATCH(TRUE,INDEX((ISNUMBER($E:$E)),0),0)))*($E229&gt;INDEX(_xlfn.ANCHORARRAY(Sintesi!$C$15),1,$C229))*($E229&lt;INDEX(_xlfn.ANCHORARRAY(Sintesi!$C$16),1,$C229))*(INDEX(_xlfn.ANCHORARRAY(Sintesi!$C$15),1,$C229)&gt;0),2,IF($E229=(INDEX(_xlfn.ANCHORARRAY(Sintesi!$C$16),1,$C229)),3,4)))),0),IF($C229&gt;0,IF(($E229=INDEX(_xlfn.ANCHORARRAY(Sintesi!$C$14),1,$C229))*(INDEX(_xlfn.ANCHORARRAY(Sintesi!$C$15),1,$C229)&gt;0),0,IF(($E229=INDEX(_xlfn.ANCHORARRAY(Sintesi!$C$14),1,$C229))*(INDEX(_xlfn.ANCHORARRAY(Sintesi!$C$15),1,$C229)&lt;0)+($E229&gt;=LOOKUP(2,1/($E:$E&lt;&gt;""),$E:$E))*($E229&lt;=INDEX($E:$E,MATCH(TRUE,INDEX((ISNUMBER($E:$E)),0),0)))*($E229&gt;INDEX(_xlfn.ANCHORARRAY(Sintesi!$C$14),1,$C229))*($E229&lt;=INDEX(_xlfn.ANCHORARRAY(Sintesi!$C$15),1,$C229))*(INDEX(_xlfn.ANCHORARRAY(Sintesi!$C$15),1,$C229)&gt;0),1,IF(($E229&gt;=LOOKUP(2,1/($E:$E&lt;&gt;""),$E:$E))*($E229&lt;=INDEX($E:$E,MATCH(TRUE,INDEX((ISNUMBER($E:$E)),0),0)))*($E229&gt;INDEX(_xlfn.ANCHORARRAY(Sintesi!$C$14),1,$C229))*($E229&lt;INDEX(_xlfn.ANCHORARRAY(Sintesi!$C$16),1,$C229))*(INDEX(_xlfn.ANCHORARRAY(Sintesi!$C$15),1,$C229)&lt;0)+($E229&gt;=LOOKUP(2,1/($E:$E&lt;&gt;""),$E:$E))*($E229&lt;=INDEX($E:$E,MATCH(TRUE,INDEX((ISNUMBER($E:$E)),0),0)))*($E229&gt;INDEX(_xlfn.ANCHORARRAY(Sintesi!$C$15),1,$C229))*($E229&lt;INDEX(_xlfn.ANCHORARRAY(Sintesi!$C$16),1,$C229))*(INDEX(_xlfn.ANCHORARRAY(Sintesi!$C$15),1,$C229)&gt;0),2,IF($E229=(INDEX(_xlfn.ANCHORARRAY(Sintesi!$C$16),1,$C229)),3,4)))),0)),IF(ISNUMBER($E228),IF($C229&gt;0,IF(($E229=INDEX(_xlfn.ANCHORARRAY(Sintesi!$C$14),1,$C229))*(INDEX(_xlfn.ANCHORARRAY(Sintesi!$C$15),1,$C229)&gt;0),0,IF(($E229=INDEX(_xlfn.ANCHORARRAY(Sintesi!$C$14),1,$C229))*(INDEX(_xlfn.ANCHORARRAY(Sintesi!$C$15),1,$C229)&lt;0)+($E229&gt;=$E228)*($E229&lt;=$E230)*($E229&gt;INDEX(_xlfn.ANCHORARRAY(Sintesi!$C$14),1,$C229))*($E229&lt;=INDEX(_xlfn.ANCHORARRAY(Sintesi!$C$15),1,$C229))*(INDEX(_xlfn.ANCHORARRAY(Sintesi!$C$15),1,$C229)&gt;0),1,IF(($E229&gt;=$E228)*($E229&lt;=$E230)*($E229&gt;INDEX(_xlfn.ANCHORARRAY(Sintesi!$C$14),1,$C229))*($E229&lt;INDEX(_xlfn.ANCHORARRAY(Sintesi!$C$16),1,$C229))*(INDEX(_xlfn.ANCHORARRAY(Sintesi!$C$15),1,$C229)&lt;0)+($E229&gt;=$E228)*($E229&lt;=$E230)*($E229&gt;INDEX(_xlfn.ANCHORARRAY(Sintesi!$C$15),1,$C229))*($E229&lt;INDEX(_xlfn.ANCHORARRAY(Sintesi!$C$16),1,$C229))*(INDEX(_xlfn.ANCHORARRAY(Sintesi!$C$15),1,$C229)&gt;0),2,IF($E229=(INDEX(_xlfn.ANCHORARRAY(Sintesi!$C$16),1,$C229)),3,4)))),0),IF($C229&gt;0,IF(($E229=INDEX(_xlfn.ANCHORARRAY(Sintesi!$C$14),1,$C229))*(INDEX(_xlfn.ANCHORARRAY(Sintesi!$C$15),1,$C229)&gt;0),0,IF(($E229=INDEX(_xlfn.ANCHORARRAY(Sintesi!$C$14),1,$C229))*(INDEX(_xlfn.ANCHORARRAY(Sintesi!$C$15),1,$C229)&lt;0)+($E229&gt;=LOOKUP(2,1/($E:$E&lt;&gt;""),$E:$E))*($E229&lt;=$E230)*($E229&gt;INDEX(_xlfn.ANCHORARRAY(Sintesi!$C$14),1,$C229))*($E229&lt;=INDEX(_xlfn.ANCHORARRAY(Sintesi!$C$15),1,$C229))*(INDEX(_xlfn.ANCHORARRAY(Sintesi!$C$15),1,$C229)&gt;0),1,IF(($E229&gt;=LOOKUP(2,1/($E:$E&lt;&gt;""),$E:$E))*($E229&lt;=$E230)*($E229&gt;INDEX(_xlfn.ANCHORARRAY(Sintesi!$C$14),1,$C229))*($E229&lt;INDEX(_xlfn.ANCHORARRAY(Sintesi!$C$16),1,$C229))*(INDEX(_xlfn.ANCHORARRAY(Sintesi!$C$15),1,$C229)&lt;0)+($E229&gt;=LOOKUP(2,1/($E:$E&lt;&gt;""),$E:$E))*($E229&lt;=$E230)*($E229&gt;INDEX(_xlfn.ANCHORARRAY(Sintesi!$C$15),1,$C229))*($E229&lt;INDEX(_xlfn.ANCHORARRAY(Sintesi!$C$16),1,$C229))*(INDEX(_xlfn.ANCHORARRAY(Sintesi!$C$15),1,$C229)&gt;0),2,IF($E229=(INDEX(_xlfn.ANCHORARRAY(Sintesi!$C$16),1,$C229)),3,4)))),0)))</f>
        <v/>
      </c>
      <c r="E229" s="1">
        <f>'Paste cell here'!F229</f>
        <v/>
      </c>
      <c r="F229" s="1">
        <f>'Paste cell here'!C229</f>
        <v/>
      </c>
      <c r="G229" s="1">
        <f>'Paste cell here'!D229</f>
        <v/>
      </c>
      <c r="H229" s="1">
        <f>'Paste cell here'!E229</f>
        <v/>
      </c>
      <c r="I229" s="1">
        <f>'Paste cell here'!X229</f>
        <v/>
      </c>
      <c r="J229" s="1">
        <f>'Paste cell here'!Y229+'Paste cell here'!S229</f>
        <v/>
      </c>
      <c r="K229" s="1">
        <f>I229/H229</f>
        <v/>
      </c>
      <c r="L229" s="1">
        <f>AVERAGE(($F229+$G229)/2-($F229-$G229)/2*COS(PI()*(8-VLOOKUP(MONTH(B229),$O$1:$Q$13,3))/(VLOOKUP(MONTH(B229),$O$1:$Q$13,2)-VLOOKUP(MONTH(B229),$O$1:$Q$13,3))),($F229+$G229)/2-($F229-$G229)/2*COS(PI()*(9-VLOOKUP(MONTH(B229),$O$1:$Q$13,3))/(VLOOKUP(MONTH(B229),$O$1:$Q$13,2)-VLOOKUP(MONTH(B229),$O$1:$Q$13,3))),($F229+$G229)/2-($F229-$G229)/2*COS(PI()*(10-VLOOKUP(MONTH(B229),$O$1:$Q$13,3))/(VLOOKUP(MONTH(B229),$O$1:$Q$13,2)-VLOOKUP(MONTH(B229),$O$1:$Q$13,3))),($F229+$G229)/2-($F229-$G229)/2*COS(PI()*(11-VLOOKUP(MONTH(B229),$O$1:$Q$13,3))/(VLOOKUP(MONTH(B229),$O$1:$Q$13,2)-VLOOKUP(MONTH(B229),$O$1:$Q$13,3))),($F229+$G229)/2-($F229-$G229)/2*COS(PI()*(12-VLOOKUP(MONTH(B229),$O$1:$Q$13,3))/(VLOOKUP(MONTH(B229),$O$1:$Q$13,2)-VLOOKUP(MONTH(B229),$O$1:$Q$13,3))),($F229+$G229)/2-($F229-$G229)/2*COS(PI()*(13-VLOOKUP(MONTH(B229),$O$1:$Q$13,3))/(VLOOKUP(MONTH(B229),$O$1:$Q$13,2)-VLOOKUP(MONTH(B229),$O$1:$Q$13,3))),($F229+$G229)/2-($F229-$G229)/2*COS(PI()*(14-VLOOKUP(MONTH(B229),$O$1:$Q$13,3))/(VLOOKUP(MONTH(B229),$O$1:$Q$13,2)-VLOOKUP(MONTH(B229),$O$1:$Q$13,3))))</f>
        <v/>
      </c>
      <c r="M229" s="1">
        <f t="array" ref="M229">IF(AND(A229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,A229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),IF(L229&lt;_xlfn.IFNA(INDEX(_xlfn.ANCHORARRAY(Sintesi!$C$17)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,1,IF(L229&gt;=_xlfn.IFNA(INDEX(_xlfn.ANCHORARRAY(Sintesi!$C$18)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,0,1-(L229-_xlfn.IFNA(INDEX(_xlfn.ANCHORARRAY(Sintesi!$C$17)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)/(_xlfn.IFNA(INDEX(_xlfn.ANCHORARRAY(Sintesi!$C$18)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-_xlfn.IFNA(INDEX(_xlfn.ANCHORARRAY(Sintesi!$C$17)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))),0)</f>
        <v/>
      </c>
    </row>
    <row r="230">
      <c r="A230" s="1">
        <f>'Paste cell here'!A230</f>
        <v/>
      </c>
      <c r="B230" s="2">
        <f>DATE(Sintesi!$C$4-1,12,31)+A230</f>
        <v/>
      </c>
      <c r="C230" s="34">
        <f t="array" ref="C230">_xlfn.IFNA(MATCH(1,(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)*(_xlfn.ANCHORARRAY(Sintesi!$C$15)&gt;=0)+(_xlfn.ANCHORARRAY(Sintesi!$C$15)&lt;0),0),0)</f>
        <v/>
      </c>
      <c r="D230" s="1">
        <f t="array" ref="D230">IF(ISBLANK($E231),IF(ISNUMBER($E229),IF($C230&gt;0,IF(($E230=INDEX(_xlfn.ANCHORARRAY(Sintesi!$C$14),1,$C230))*(INDEX(_xlfn.ANCHORARRAY(Sintesi!$C$15),1,$C230)&gt;0),0,IF(($E230=INDEX(_xlfn.ANCHORARRAY(Sintesi!$C$14),1,$C230))*(INDEX(_xlfn.ANCHORARRAY(Sintesi!$C$15),1,$C230)&lt;0)+($E230&gt;=$E229)*($E230&lt;=INDEX($E:$E,MATCH(TRUE,INDEX((ISNUMBER($E:$E)),0),0)))*($E230&gt;INDEX(_xlfn.ANCHORARRAY(Sintesi!$C$14),1,$C230))*($E230&lt;=INDEX(_xlfn.ANCHORARRAY(Sintesi!$C$15),1,$C230))*(INDEX(_xlfn.ANCHORARRAY(Sintesi!$C$15),1,$C230)&gt;0),1,IF(($E230&gt;=$E229)*($E230&lt;=INDEX($E:$E,MATCH(TRUE,INDEX((ISNUMBER($E:$E)),0),0)))*($E230&gt;INDEX(_xlfn.ANCHORARRAY(Sintesi!$C$14),1,$C230))*($E230&lt;INDEX(_xlfn.ANCHORARRAY(Sintesi!$C$16),1,$C230))*(INDEX(_xlfn.ANCHORARRAY(Sintesi!$C$15),1,$C230)&lt;0)+($E230&gt;=$E229)*($E230&lt;=INDEX($E:$E,MATCH(TRUE,INDEX((ISNUMBER($E:$E)),0),0)))*($E230&gt;INDEX(_xlfn.ANCHORARRAY(Sintesi!$C$15),1,$C230))*($E230&lt;INDEX(_xlfn.ANCHORARRAY(Sintesi!$C$16),1,$C230))*(INDEX(_xlfn.ANCHORARRAY(Sintesi!$C$15),1,$C230)&gt;0),2,IF($E230=(INDEX(_xlfn.ANCHORARRAY(Sintesi!$C$16),1,$C230)),3,4)))),0),IF($C230&gt;0,IF(($E230=INDEX(_xlfn.ANCHORARRAY(Sintesi!$C$14),1,$C230))*(INDEX(_xlfn.ANCHORARRAY(Sintesi!$C$15),1,$C230)&gt;0),0,IF(($E230=INDEX(_xlfn.ANCHORARRAY(Sintesi!$C$14),1,$C230))*(INDEX(_xlfn.ANCHORARRAY(Sintesi!$C$15),1,$C230)&lt;0)+($E230&gt;=LOOKUP(2,1/($E:$E&lt;&gt;""),$E:$E))*($E230&lt;=INDEX($E:$E,MATCH(TRUE,INDEX((ISNUMBER($E:$E)),0),0)))*($E230&gt;INDEX(_xlfn.ANCHORARRAY(Sintesi!$C$14),1,$C230))*($E230&lt;=INDEX(_xlfn.ANCHORARRAY(Sintesi!$C$15),1,$C230))*(INDEX(_xlfn.ANCHORARRAY(Sintesi!$C$15),1,$C230)&gt;0),1,IF(($E230&gt;=LOOKUP(2,1/($E:$E&lt;&gt;""),$E:$E))*($E230&lt;=INDEX($E:$E,MATCH(TRUE,INDEX((ISNUMBER($E:$E)),0),0)))*($E230&gt;INDEX(_xlfn.ANCHORARRAY(Sintesi!$C$14),1,$C230))*($E230&lt;INDEX(_xlfn.ANCHORARRAY(Sintesi!$C$16),1,$C230))*(INDEX(_xlfn.ANCHORARRAY(Sintesi!$C$15),1,$C230)&lt;0)+($E230&gt;=LOOKUP(2,1/($E:$E&lt;&gt;""),$E:$E))*($E230&lt;=INDEX($E:$E,MATCH(TRUE,INDEX((ISNUMBER($E:$E)),0),0)))*($E230&gt;INDEX(_xlfn.ANCHORARRAY(Sintesi!$C$15),1,$C230))*($E230&lt;INDEX(_xlfn.ANCHORARRAY(Sintesi!$C$16),1,$C230))*(INDEX(_xlfn.ANCHORARRAY(Sintesi!$C$15),1,$C230)&gt;0),2,IF($E230=(INDEX(_xlfn.ANCHORARRAY(Sintesi!$C$16),1,$C230)),3,4)))),0)),IF(ISNUMBER($E229),IF($C230&gt;0,IF(($E230=INDEX(_xlfn.ANCHORARRAY(Sintesi!$C$14),1,$C230))*(INDEX(_xlfn.ANCHORARRAY(Sintesi!$C$15),1,$C230)&gt;0),0,IF(($E230=INDEX(_xlfn.ANCHORARRAY(Sintesi!$C$14),1,$C230))*(INDEX(_xlfn.ANCHORARRAY(Sintesi!$C$15),1,$C230)&lt;0)+($E230&gt;=$E229)*($E230&lt;=$E231)*($E230&gt;INDEX(_xlfn.ANCHORARRAY(Sintesi!$C$14),1,$C230))*($E230&lt;=INDEX(_xlfn.ANCHORARRAY(Sintesi!$C$15),1,$C230))*(INDEX(_xlfn.ANCHORARRAY(Sintesi!$C$15),1,$C230)&gt;0),1,IF(($E230&gt;=$E229)*($E230&lt;=$E231)*($E230&gt;INDEX(_xlfn.ANCHORARRAY(Sintesi!$C$14),1,$C230))*($E230&lt;INDEX(_xlfn.ANCHORARRAY(Sintesi!$C$16),1,$C230))*(INDEX(_xlfn.ANCHORARRAY(Sintesi!$C$15),1,$C230)&lt;0)+($E230&gt;=$E229)*($E230&lt;=$E231)*($E230&gt;INDEX(_xlfn.ANCHORARRAY(Sintesi!$C$15),1,$C230))*($E230&lt;INDEX(_xlfn.ANCHORARRAY(Sintesi!$C$16),1,$C230))*(INDEX(_xlfn.ANCHORARRAY(Sintesi!$C$15),1,$C230)&gt;0),2,IF($E230=(INDEX(_xlfn.ANCHORARRAY(Sintesi!$C$16),1,$C230)),3,4)))),0),IF($C230&gt;0,IF(($E230=INDEX(_xlfn.ANCHORARRAY(Sintesi!$C$14),1,$C230))*(INDEX(_xlfn.ANCHORARRAY(Sintesi!$C$15),1,$C230)&gt;0),0,IF(($E230=INDEX(_xlfn.ANCHORARRAY(Sintesi!$C$14),1,$C230))*(INDEX(_xlfn.ANCHORARRAY(Sintesi!$C$15),1,$C230)&lt;0)+($E230&gt;=LOOKUP(2,1/($E:$E&lt;&gt;""),$E:$E))*($E230&lt;=$E231)*($E230&gt;INDEX(_xlfn.ANCHORARRAY(Sintesi!$C$14),1,$C230))*($E230&lt;=INDEX(_xlfn.ANCHORARRAY(Sintesi!$C$15),1,$C230))*(INDEX(_xlfn.ANCHORARRAY(Sintesi!$C$15),1,$C230)&gt;0),1,IF(($E230&gt;=LOOKUP(2,1/($E:$E&lt;&gt;""),$E:$E))*($E230&lt;=$E231)*($E230&gt;INDEX(_xlfn.ANCHORARRAY(Sintesi!$C$14),1,$C230))*($E230&lt;INDEX(_xlfn.ANCHORARRAY(Sintesi!$C$16),1,$C230))*(INDEX(_xlfn.ANCHORARRAY(Sintesi!$C$15),1,$C230)&lt;0)+($E230&gt;=LOOKUP(2,1/($E:$E&lt;&gt;""),$E:$E))*($E230&lt;=$E231)*($E230&gt;INDEX(_xlfn.ANCHORARRAY(Sintesi!$C$15),1,$C230))*($E230&lt;INDEX(_xlfn.ANCHORARRAY(Sintesi!$C$16),1,$C230))*(INDEX(_xlfn.ANCHORARRAY(Sintesi!$C$15),1,$C230)&gt;0),2,IF($E230=(INDEX(_xlfn.ANCHORARRAY(Sintesi!$C$16),1,$C230)),3,4)))),0)))</f>
        <v/>
      </c>
      <c r="E230" s="1">
        <f>'Paste cell here'!F230</f>
        <v/>
      </c>
      <c r="F230" s="1">
        <f>'Paste cell here'!C230</f>
        <v/>
      </c>
      <c r="G230" s="1">
        <f>'Paste cell here'!D230</f>
        <v/>
      </c>
      <c r="H230" s="1">
        <f>'Paste cell here'!E230</f>
        <v/>
      </c>
      <c r="I230" s="1">
        <f>'Paste cell here'!X230</f>
        <v/>
      </c>
      <c r="J230" s="1">
        <f>'Paste cell here'!Y230+'Paste cell here'!S230</f>
        <v/>
      </c>
      <c r="K230" s="1">
        <f>I230/H230</f>
        <v/>
      </c>
      <c r="L230" s="1">
        <f>AVERAGE(($F230+$G230)/2-($F230-$G230)/2*COS(PI()*(8-VLOOKUP(MONTH(B230),$O$1:$Q$13,3))/(VLOOKUP(MONTH(B230),$O$1:$Q$13,2)-VLOOKUP(MONTH(B230),$O$1:$Q$13,3))),($F230+$G230)/2-($F230-$G230)/2*COS(PI()*(9-VLOOKUP(MONTH(B230),$O$1:$Q$13,3))/(VLOOKUP(MONTH(B230),$O$1:$Q$13,2)-VLOOKUP(MONTH(B230),$O$1:$Q$13,3))),($F230+$G230)/2-($F230-$G230)/2*COS(PI()*(10-VLOOKUP(MONTH(B230),$O$1:$Q$13,3))/(VLOOKUP(MONTH(B230),$O$1:$Q$13,2)-VLOOKUP(MONTH(B230),$O$1:$Q$13,3))),($F230+$G230)/2-($F230-$G230)/2*COS(PI()*(11-VLOOKUP(MONTH(B230),$O$1:$Q$13,3))/(VLOOKUP(MONTH(B230),$O$1:$Q$13,2)-VLOOKUP(MONTH(B230),$O$1:$Q$13,3))),($F230+$G230)/2-($F230-$G230)/2*COS(PI()*(12-VLOOKUP(MONTH(B230),$O$1:$Q$13,3))/(VLOOKUP(MONTH(B230),$O$1:$Q$13,2)-VLOOKUP(MONTH(B230),$O$1:$Q$13,3))),($F230+$G230)/2-($F230-$G230)/2*COS(PI()*(13-VLOOKUP(MONTH(B230),$O$1:$Q$13,3))/(VLOOKUP(MONTH(B230),$O$1:$Q$13,2)-VLOOKUP(MONTH(B230),$O$1:$Q$13,3))),($F230+$G230)/2-($F230-$G230)/2*COS(PI()*(14-VLOOKUP(MONTH(B230),$O$1:$Q$13,3))/(VLOOKUP(MONTH(B230),$O$1:$Q$13,2)-VLOOKUP(MONTH(B230),$O$1:$Q$13,3))))</f>
        <v/>
      </c>
      <c r="M230" s="1">
        <f t="array" ref="M230">IF(AND(A230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,A230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),IF(L230&lt;_xlfn.IFNA(INDEX(_xlfn.ANCHORARRAY(Sintesi!$C$17)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,1,IF(L230&gt;=_xlfn.IFNA(INDEX(_xlfn.ANCHORARRAY(Sintesi!$C$18)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,0,1-(L230-_xlfn.IFNA(INDEX(_xlfn.ANCHORARRAY(Sintesi!$C$17)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)/(_xlfn.IFNA(INDEX(_xlfn.ANCHORARRAY(Sintesi!$C$18)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-_xlfn.IFNA(INDEX(_xlfn.ANCHORARRAY(Sintesi!$C$17)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))),0)</f>
        <v/>
      </c>
    </row>
    <row r="231">
      <c r="A231" s="1">
        <f>'Paste cell here'!A231</f>
        <v/>
      </c>
      <c r="B231" s="2">
        <f>DATE(Sintesi!$C$4-1,12,31)+A231</f>
        <v/>
      </c>
      <c r="C231" s="34">
        <f t="array" ref="C231">_xlfn.IFNA(MATCH(1,(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)*(_xlfn.ANCHORARRAY(Sintesi!$C$15)&gt;=0)+(_xlfn.ANCHORARRAY(Sintesi!$C$15)&lt;0),0),0)</f>
        <v/>
      </c>
      <c r="D231" s="1">
        <f t="array" ref="D231">IF(ISBLANK($E232),IF(ISNUMBER($E230),IF($C231&gt;0,IF(($E231=INDEX(_xlfn.ANCHORARRAY(Sintesi!$C$14),1,$C231))*(INDEX(_xlfn.ANCHORARRAY(Sintesi!$C$15),1,$C231)&gt;0),0,IF(($E231=INDEX(_xlfn.ANCHORARRAY(Sintesi!$C$14),1,$C231))*(INDEX(_xlfn.ANCHORARRAY(Sintesi!$C$15),1,$C231)&lt;0)+($E231&gt;=$E230)*($E231&lt;=INDEX($E:$E,MATCH(TRUE,INDEX((ISNUMBER($E:$E)),0),0)))*($E231&gt;INDEX(_xlfn.ANCHORARRAY(Sintesi!$C$14),1,$C231))*($E231&lt;=INDEX(_xlfn.ANCHORARRAY(Sintesi!$C$15),1,$C231))*(INDEX(_xlfn.ANCHORARRAY(Sintesi!$C$15),1,$C231)&gt;0),1,IF(($E231&gt;=$E230)*($E231&lt;=INDEX($E:$E,MATCH(TRUE,INDEX((ISNUMBER($E:$E)),0),0)))*($E231&gt;INDEX(_xlfn.ANCHORARRAY(Sintesi!$C$14),1,$C231))*($E231&lt;INDEX(_xlfn.ANCHORARRAY(Sintesi!$C$16),1,$C231))*(INDEX(_xlfn.ANCHORARRAY(Sintesi!$C$15),1,$C231)&lt;0)+($E231&gt;=$E230)*($E231&lt;=INDEX($E:$E,MATCH(TRUE,INDEX((ISNUMBER($E:$E)),0),0)))*($E231&gt;INDEX(_xlfn.ANCHORARRAY(Sintesi!$C$15),1,$C231))*($E231&lt;INDEX(_xlfn.ANCHORARRAY(Sintesi!$C$16),1,$C231))*(INDEX(_xlfn.ANCHORARRAY(Sintesi!$C$15),1,$C231)&gt;0),2,IF($E231=(INDEX(_xlfn.ANCHORARRAY(Sintesi!$C$16),1,$C231)),3,4)))),0),IF($C231&gt;0,IF(($E231=INDEX(_xlfn.ANCHORARRAY(Sintesi!$C$14),1,$C231))*(INDEX(_xlfn.ANCHORARRAY(Sintesi!$C$15),1,$C231)&gt;0),0,IF(($E231=INDEX(_xlfn.ANCHORARRAY(Sintesi!$C$14),1,$C231))*(INDEX(_xlfn.ANCHORARRAY(Sintesi!$C$15),1,$C231)&lt;0)+($E231&gt;=LOOKUP(2,1/($E:$E&lt;&gt;""),$E:$E))*($E231&lt;=INDEX($E:$E,MATCH(TRUE,INDEX((ISNUMBER($E:$E)),0),0)))*($E231&gt;INDEX(_xlfn.ANCHORARRAY(Sintesi!$C$14),1,$C231))*($E231&lt;=INDEX(_xlfn.ANCHORARRAY(Sintesi!$C$15),1,$C231))*(INDEX(_xlfn.ANCHORARRAY(Sintesi!$C$15),1,$C231)&gt;0),1,IF(($E231&gt;=LOOKUP(2,1/($E:$E&lt;&gt;""),$E:$E))*($E231&lt;=INDEX($E:$E,MATCH(TRUE,INDEX((ISNUMBER($E:$E)),0),0)))*($E231&gt;INDEX(_xlfn.ANCHORARRAY(Sintesi!$C$14),1,$C231))*($E231&lt;INDEX(_xlfn.ANCHORARRAY(Sintesi!$C$16),1,$C231))*(INDEX(_xlfn.ANCHORARRAY(Sintesi!$C$15),1,$C231)&lt;0)+($E231&gt;=LOOKUP(2,1/($E:$E&lt;&gt;""),$E:$E))*($E231&lt;=INDEX($E:$E,MATCH(TRUE,INDEX((ISNUMBER($E:$E)),0),0)))*($E231&gt;INDEX(_xlfn.ANCHORARRAY(Sintesi!$C$15),1,$C231))*($E231&lt;INDEX(_xlfn.ANCHORARRAY(Sintesi!$C$16),1,$C231))*(INDEX(_xlfn.ANCHORARRAY(Sintesi!$C$15),1,$C231)&gt;0),2,IF($E231=(INDEX(_xlfn.ANCHORARRAY(Sintesi!$C$16),1,$C231)),3,4)))),0)),IF(ISNUMBER($E230),IF($C231&gt;0,IF(($E231=INDEX(_xlfn.ANCHORARRAY(Sintesi!$C$14),1,$C231))*(INDEX(_xlfn.ANCHORARRAY(Sintesi!$C$15),1,$C231)&gt;0),0,IF(($E231=INDEX(_xlfn.ANCHORARRAY(Sintesi!$C$14),1,$C231))*(INDEX(_xlfn.ANCHORARRAY(Sintesi!$C$15),1,$C231)&lt;0)+($E231&gt;=$E230)*($E231&lt;=$E232)*($E231&gt;INDEX(_xlfn.ANCHORARRAY(Sintesi!$C$14),1,$C231))*($E231&lt;=INDEX(_xlfn.ANCHORARRAY(Sintesi!$C$15),1,$C231))*(INDEX(_xlfn.ANCHORARRAY(Sintesi!$C$15),1,$C231)&gt;0),1,IF(($E231&gt;=$E230)*($E231&lt;=$E232)*($E231&gt;INDEX(_xlfn.ANCHORARRAY(Sintesi!$C$14),1,$C231))*($E231&lt;INDEX(_xlfn.ANCHORARRAY(Sintesi!$C$16),1,$C231))*(INDEX(_xlfn.ANCHORARRAY(Sintesi!$C$15),1,$C231)&lt;0)+($E231&gt;=$E230)*($E231&lt;=$E232)*($E231&gt;INDEX(_xlfn.ANCHORARRAY(Sintesi!$C$15),1,$C231))*($E231&lt;INDEX(_xlfn.ANCHORARRAY(Sintesi!$C$16),1,$C231))*(INDEX(_xlfn.ANCHORARRAY(Sintesi!$C$15),1,$C231)&gt;0),2,IF($E231=(INDEX(_xlfn.ANCHORARRAY(Sintesi!$C$16),1,$C231)),3,4)))),0),IF($C231&gt;0,IF(($E231=INDEX(_xlfn.ANCHORARRAY(Sintesi!$C$14),1,$C231))*(INDEX(_xlfn.ANCHORARRAY(Sintesi!$C$15),1,$C231)&gt;0),0,IF(($E231=INDEX(_xlfn.ANCHORARRAY(Sintesi!$C$14),1,$C231))*(INDEX(_xlfn.ANCHORARRAY(Sintesi!$C$15),1,$C231)&lt;0)+($E231&gt;=LOOKUP(2,1/($E:$E&lt;&gt;""),$E:$E))*($E231&lt;=$E232)*($E231&gt;INDEX(_xlfn.ANCHORARRAY(Sintesi!$C$14),1,$C231))*($E231&lt;=INDEX(_xlfn.ANCHORARRAY(Sintesi!$C$15),1,$C231))*(INDEX(_xlfn.ANCHORARRAY(Sintesi!$C$15),1,$C231)&gt;0),1,IF(($E231&gt;=LOOKUP(2,1/($E:$E&lt;&gt;""),$E:$E))*($E231&lt;=$E232)*($E231&gt;INDEX(_xlfn.ANCHORARRAY(Sintesi!$C$14),1,$C231))*($E231&lt;INDEX(_xlfn.ANCHORARRAY(Sintesi!$C$16),1,$C231))*(INDEX(_xlfn.ANCHORARRAY(Sintesi!$C$15),1,$C231)&lt;0)+($E231&gt;=LOOKUP(2,1/($E:$E&lt;&gt;""),$E:$E))*($E231&lt;=$E232)*($E231&gt;INDEX(_xlfn.ANCHORARRAY(Sintesi!$C$15),1,$C231))*($E231&lt;INDEX(_xlfn.ANCHORARRAY(Sintesi!$C$16),1,$C231))*(INDEX(_xlfn.ANCHORARRAY(Sintesi!$C$15),1,$C231)&gt;0),2,IF($E231=(INDEX(_xlfn.ANCHORARRAY(Sintesi!$C$16),1,$C231)),3,4)))),0)))</f>
        <v/>
      </c>
      <c r="E231" s="1">
        <f>'Paste cell here'!F231</f>
        <v/>
      </c>
      <c r="F231" s="1">
        <f>'Paste cell here'!C231</f>
        <v/>
      </c>
      <c r="G231" s="1">
        <f>'Paste cell here'!D231</f>
        <v/>
      </c>
      <c r="H231" s="1">
        <f>'Paste cell here'!E231</f>
        <v/>
      </c>
      <c r="I231" s="1">
        <f>'Paste cell here'!X231</f>
        <v/>
      </c>
      <c r="J231" s="1">
        <f>'Paste cell here'!Y231+'Paste cell here'!S231</f>
        <v/>
      </c>
      <c r="K231" s="1">
        <f>I231/H231</f>
        <v/>
      </c>
      <c r="L231" s="1">
        <f>AVERAGE(($F231+$G231)/2-($F231-$G231)/2*COS(PI()*(8-VLOOKUP(MONTH(B231),$O$1:$Q$13,3))/(VLOOKUP(MONTH(B231),$O$1:$Q$13,2)-VLOOKUP(MONTH(B231),$O$1:$Q$13,3))),($F231+$G231)/2-($F231-$G231)/2*COS(PI()*(9-VLOOKUP(MONTH(B231),$O$1:$Q$13,3))/(VLOOKUP(MONTH(B231),$O$1:$Q$13,2)-VLOOKUP(MONTH(B231),$O$1:$Q$13,3))),($F231+$G231)/2-($F231-$G231)/2*COS(PI()*(10-VLOOKUP(MONTH(B231),$O$1:$Q$13,3))/(VLOOKUP(MONTH(B231),$O$1:$Q$13,2)-VLOOKUP(MONTH(B231),$O$1:$Q$13,3))),($F231+$G231)/2-($F231-$G231)/2*COS(PI()*(11-VLOOKUP(MONTH(B231),$O$1:$Q$13,3))/(VLOOKUP(MONTH(B231),$O$1:$Q$13,2)-VLOOKUP(MONTH(B231),$O$1:$Q$13,3))),($F231+$G231)/2-($F231-$G231)/2*COS(PI()*(12-VLOOKUP(MONTH(B231),$O$1:$Q$13,3))/(VLOOKUP(MONTH(B231),$O$1:$Q$13,2)-VLOOKUP(MONTH(B231),$O$1:$Q$13,3))),($F231+$G231)/2-($F231-$G231)/2*COS(PI()*(13-VLOOKUP(MONTH(B231),$O$1:$Q$13,3))/(VLOOKUP(MONTH(B231),$O$1:$Q$13,2)-VLOOKUP(MONTH(B231),$O$1:$Q$13,3))),($F231+$G231)/2-($F231-$G231)/2*COS(PI()*(14-VLOOKUP(MONTH(B231),$O$1:$Q$13,3))/(VLOOKUP(MONTH(B231),$O$1:$Q$13,2)-VLOOKUP(MONTH(B231),$O$1:$Q$13,3))))</f>
        <v/>
      </c>
      <c r="M231" s="1">
        <f t="array" ref="M231">IF(AND(A231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,A231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),IF(L231&lt;_xlfn.IFNA(INDEX(_xlfn.ANCHORARRAY(Sintesi!$C$17)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,1,IF(L231&gt;=_xlfn.IFNA(INDEX(_xlfn.ANCHORARRAY(Sintesi!$C$18)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,0,1-(L231-_xlfn.IFNA(INDEX(_xlfn.ANCHORARRAY(Sintesi!$C$17)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)/(_xlfn.IFNA(INDEX(_xlfn.ANCHORARRAY(Sintesi!$C$18)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-_xlfn.IFNA(INDEX(_xlfn.ANCHORARRAY(Sintesi!$C$17)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))),0)</f>
        <v/>
      </c>
    </row>
    <row r="232">
      <c r="A232" s="1">
        <f>'Paste cell here'!A232</f>
        <v/>
      </c>
      <c r="B232" s="2">
        <f>DATE(Sintesi!$C$4-1,12,31)+A232</f>
        <v/>
      </c>
      <c r="C232" s="34">
        <f t="array" ref="C232">_xlfn.IFNA(MATCH(1,(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)*(_xlfn.ANCHORARRAY(Sintesi!$C$15)&gt;=0)+(_xlfn.ANCHORARRAY(Sintesi!$C$15)&lt;0),0),0)</f>
        <v/>
      </c>
      <c r="D232" s="1">
        <f t="array" ref="D232">IF(ISBLANK($E233),IF(ISNUMBER($E231),IF($C232&gt;0,IF(($E232=INDEX(_xlfn.ANCHORARRAY(Sintesi!$C$14),1,$C232))*(INDEX(_xlfn.ANCHORARRAY(Sintesi!$C$15),1,$C232)&gt;0),0,IF(($E232=INDEX(_xlfn.ANCHORARRAY(Sintesi!$C$14),1,$C232))*(INDEX(_xlfn.ANCHORARRAY(Sintesi!$C$15),1,$C232)&lt;0)+($E232&gt;=$E231)*($E232&lt;=INDEX($E:$E,MATCH(TRUE,INDEX((ISNUMBER($E:$E)),0),0)))*($E232&gt;INDEX(_xlfn.ANCHORARRAY(Sintesi!$C$14),1,$C232))*($E232&lt;=INDEX(_xlfn.ANCHORARRAY(Sintesi!$C$15),1,$C232))*(INDEX(_xlfn.ANCHORARRAY(Sintesi!$C$15),1,$C232)&gt;0),1,IF(($E232&gt;=$E231)*($E232&lt;=INDEX($E:$E,MATCH(TRUE,INDEX((ISNUMBER($E:$E)),0),0)))*($E232&gt;INDEX(_xlfn.ANCHORARRAY(Sintesi!$C$14),1,$C232))*($E232&lt;INDEX(_xlfn.ANCHORARRAY(Sintesi!$C$16),1,$C232))*(INDEX(_xlfn.ANCHORARRAY(Sintesi!$C$15),1,$C232)&lt;0)+($E232&gt;=$E231)*($E232&lt;=INDEX($E:$E,MATCH(TRUE,INDEX((ISNUMBER($E:$E)),0),0)))*($E232&gt;INDEX(_xlfn.ANCHORARRAY(Sintesi!$C$15),1,$C232))*($E232&lt;INDEX(_xlfn.ANCHORARRAY(Sintesi!$C$16),1,$C232))*(INDEX(_xlfn.ANCHORARRAY(Sintesi!$C$15),1,$C232)&gt;0),2,IF($E232=(INDEX(_xlfn.ANCHORARRAY(Sintesi!$C$16),1,$C232)),3,4)))),0),IF($C232&gt;0,IF(($E232=INDEX(_xlfn.ANCHORARRAY(Sintesi!$C$14),1,$C232))*(INDEX(_xlfn.ANCHORARRAY(Sintesi!$C$15),1,$C232)&gt;0),0,IF(($E232=INDEX(_xlfn.ANCHORARRAY(Sintesi!$C$14),1,$C232))*(INDEX(_xlfn.ANCHORARRAY(Sintesi!$C$15),1,$C232)&lt;0)+($E232&gt;=LOOKUP(2,1/($E:$E&lt;&gt;""),$E:$E))*($E232&lt;=INDEX($E:$E,MATCH(TRUE,INDEX((ISNUMBER($E:$E)),0),0)))*($E232&gt;INDEX(_xlfn.ANCHORARRAY(Sintesi!$C$14),1,$C232))*($E232&lt;=INDEX(_xlfn.ANCHORARRAY(Sintesi!$C$15),1,$C232))*(INDEX(_xlfn.ANCHORARRAY(Sintesi!$C$15),1,$C232)&gt;0),1,IF(($E232&gt;=LOOKUP(2,1/($E:$E&lt;&gt;""),$E:$E))*($E232&lt;=INDEX($E:$E,MATCH(TRUE,INDEX((ISNUMBER($E:$E)),0),0)))*($E232&gt;INDEX(_xlfn.ANCHORARRAY(Sintesi!$C$14),1,$C232))*($E232&lt;INDEX(_xlfn.ANCHORARRAY(Sintesi!$C$16),1,$C232))*(INDEX(_xlfn.ANCHORARRAY(Sintesi!$C$15),1,$C232)&lt;0)+($E232&gt;=LOOKUP(2,1/($E:$E&lt;&gt;""),$E:$E))*($E232&lt;=INDEX($E:$E,MATCH(TRUE,INDEX((ISNUMBER($E:$E)),0),0)))*($E232&gt;INDEX(_xlfn.ANCHORARRAY(Sintesi!$C$15),1,$C232))*($E232&lt;INDEX(_xlfn.ANCHORARRAY(Sintesi!$C$16),1,$C232))*(INDEX(_xlfn.ANCHORARRAY(Sintesi!$C$15),1,$C232)&gt;0),2,IF($E232=(INDEX(_xlfn.ANCHORARRAY(Sintesi!$C$16),1,$C232)),3,4)))),0)),IF(ISNUMBER($E231),IF($C232&gt;0,IF(($E232=INDEX(_xlfn.ANCHORARRAY(Sintesi!$C$14),1,$C232))*(INDEX(_xlfn.ANCHORARRAY(Sintesi!$C$15),1,$C232)&gt;0),0,IF(($E232=INDEX(_xlfn.ANCHORARRAY(Sintesi!$C$14),1,$C232))*(INDEX(_xlfn.ANCHORARRAY(Sintesi!$C$15),1,$C232)&lt;0)+($E232&gt;=$E231)*($E232&lt;=$E233)*($E232&gt;INDEX(_xlfn.ANCHORARRAY(Sintesi!$C$14),1,$C232))*($E232&lt;=INDEX(_xlfn.ANCHORARRAY(Sintesi!$C$15),1,$C232))*(INDEX(_xlfn.ANCHORARRAY(Sintesi!$C$15),1,$C232)&gt;0),1,IF(($E232&gt;=$E231)*($E232&lt;=$E233)*($E232&gt;INDEX(_xlfn.ANCHORARRAY(Sintesi!$C$14),1,$C232))*($E232&lt;INDEX(_xlfn.ANCHORARRAY(Sintesi!$C$16),1,$C232))*(INDEX(_xlfn.ANCHORARRAY(Sintesi!$C$15),1,$C232)&lt;0)+($E232&gt;=$E231)*($E232&lt;=$E233)*($E232&gt;INDEX(_xlfn.ANCHORARRAY(Sintesi!$C$15),1,$C232))*($E232&lt;INDEX(_xlfn.ANCHORARRAY(Sintesi!$C$16),1,$C232))*(INDEX(_xlfn.ANCHORARRAY(Sintesi!$C$15),1,$C232)&gt;0),2,IF($E232=(INDEX(_xlfn.ANCHORARRAY(Sintesi!$C$16),1,$C232)),3,4)))),0),IF($C232&gt;0,IF(($E232=INDEX(_xlfn.ANCHORARRAY(Sintesi!$C$14),1,$C232))*(INDEX(_xlfn.ANCHORARRAY(Sintesi!$C$15),1,$C232)&gt;0),0,IF(($E232=INDEX(_xlfn.ANCHORARRAY(Sintesi!$C$14),1,$C232))*(INDEX(_xlfn.ANCHORARRAY(Sintesi!$C$15),1,$C232)&lt;0)+($E232&gt;=LOOKUP(2,1/($E:$E&lt;&gt;""),$E:$E))*($E232&lt;=$E233)*($E232&gt;INDEX(_xlfn.ANCHORARRAY(Sintesi!$C$14),1,$C232))*($E232&lt;=INDEX(_xlfn.ANCHORARRAY(Sintesi!$C$15),1,$C232))*(INDEX(_xlfn.ANCHORARRAY(Sintesi!$C$15),1,$C232)&gt;0),1,IF(($E232&gt;=LOOKUP(2,1/($E:$E&lt;&gt;""),$E:$E))*($E232&lt;=$E233)*($E232&gt;INDEX(_xlfn.ANCHORARRAY(Sintesi!$C$14),1,$C232))*($E232&lt;INDEX(_xlfn.ANCHORARRAY(Sintesi!$C$16),1,$C232))*(INDEX(_xlfn.ANCHORARRAY(Sintesi!$C$15),1,$C232)&lt;0)+($E232&gt;=LOOKUP(2,1/($E:$E&lt;&gt;""),$E:$E))*($E232&lt;=$E233)*($E232&gt;INDEX(_xlfn.ANCHORARRAY(Sintesi!$C$15),1,$C232))*($E232&lt;INDEX(_xlfn.ANCHORARRAY(Sintesi!$C$16),1,$C232))*(INDEX(_xlfn.ANCHORARRAY(Sintesi!$C$15),1,$C232)&gt;0),2,IF($E232=(INDEX(_xlfn.ANCHORARRAY(Sintesi!$C$16),1,$C232)),3,4)))),0)))</f>
        <v/>
      </c>
      <c r="E232" s="1">
        <f>'Paste cell here'!F232</f>
        <v/>
      </c>
      <c r="F232" s="1">
        <f>'Paste cell here'!C232</f>
        <v/>
      </c>
      <c r="G232" s="1">
        <f>'Paste cell here'!D232</f>
        <v/>
      </c>
      <c r="H232" s="1">
        <f>'Paste cell here'!E232</f>
        <v/>
      </c>
      <c r="I232" s="1">
        <f>'Paste cell here'!X232</f>
        <v/>
      </c>
      <c r="J232" s="1">
        <f>'Paste cell here'!Y232+'Paste cell here'!S232</f>
        <v/>
      </c>
      <c r="K232" s="1">
        <f>I232/H232</f>
        <v/>
      </c>
      <c r="L232" s="1">
        <f>AVERAGE(($F232+$G232)/2-($F232-$G232)/2*COS(PI()*(8-VLOOKUP(MONTH(B232),$O$1:$Q$13,3))/(VLOOKUP(MONTH(B232),$O$1:$Q$13,2)-VLOOKUP(MONTH(B232),$O$1:$Q$13,3))),($F232+$G232)/2-($F232-$G232)/2*COS(PI()*(9-VLOOKUP(MONTH(B232),$O$1:$Q$13,3))/(VLOOKUP(MONTH(B232),$O$1:$Q$13,2)-VLOOKUP(MONTH(B232),$O$1:$Q$13,3))),($F232+$G232)/2-($F232-$G232)/2*COS(PI()*(10-VLOOKUP(MONTH(B232),$O$1:$Q$13,3))/(VLOOKUP(MONTH(B232),$O$1:$Q$13,2)-VLOOKUP(MONTH(B232),$O$1:$Q$13,3))),($F232+$G232)/2-($F232-$G232)/2*COS(PI()*(11-VLOOKUP(MONTH(B232),$O$1:$Q$13,3))/(VLOOKUP(MONTH(B232),$O$1:$Q$13,2)-VLOOKUP(MONTH(B232),$O$1:$Q$13,3))),($F232+$G232)/2-($F232-$G232)/2*COS(PI()*(12-VLOOKUP(MONTH(B232),$O$1:$Q$13,3))/(VLOOKUP(MONTH(B232),$O$1:$Q$13,2)-VLOOKUP(MONTH(B232),$O$1:$Q$13,3))),($F232+$G232)/2-($F232-$G232)/2*COS(PI()*(13-VLOOKUP(MONTH(B232),$O$1:$Q$13,3))/(VLOOKUP(MONTH(B232),$O$1:$Q$13,2)-VLOOKUP(MONTH(B232),$O$1:$Q$13,3))),($F232+$G232)/2-($F232-$G232)/2*COS(PI()*(14-VLOOKUP(MONTH(B232),$O$1:$Q$13,3))/(VLOOKUP(MONTH(B232),$O$1:$Q$13,2)-VLOOKUP(MONTH(B232),$O$1:$Q$13,3))))</f>
        <v/>
      </c>
      <c r="M232" s="1">
        <f t="array" ref="M232">IF(AND(A232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,A232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),IF(L232&lt;_xlfn.IFNA(INDEX(_xlfn.ANCHORARRAY(Sintesi!$C$17)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,1,IF(L232&gt;=_xlfn.IFNA(INDEX(_xlfn.ANCHORARRAY(Sintesi!$C$18)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,0,1-(L232-_xlfn.IFNA(INDEX(_xlfn.ANCHORARRAY(Sintesi!$C$17)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)/(_xlfn.IFNA(INDEX(_xlfn.ANCHORARRAY(Sintesi!$C$18)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-_xlfn.IFNA(INDEX(_xlfn.ANCHORARRAY(Sintesi!$C$17)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))),0)</f>
        <v/>
      </c>
    </row>
    <row r="233">
      <c r="A233" s="1">
        <f>'Paste cell here'!A233</f>
        <v/>
      </c>
      <c r="B233" s="2">
        <f>DATE(Sintesi!$C$4-1,12,31)+A233</f>
        <v/>
      </c>
      <c r="C233" s="34">
        <f t="array" ref="C233">_xlfn.IFNA(MATCH(1,(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)*(_xlfn.ANCHORARRAY(Sintesi!$C$15)&gt;=0)+(_xlfn.ANCHORARRAY(Sintesi!$C$15)&lt;0),0),0)</f>
        <v/>
      </c>
      <c r="D233" s="1">
        <f t="array" ref="D233">IF(ISBLANK($E234),IF(ISNUMBER($E232),IF($C233&gt;0,IF(($E233=INDEX(_xlfn.ANCHORARRAY(Sintesi!$C$14),1,$C233))*(INDEX(_xlfn.ANCHORARRAY(Sintesi!$C$15),1,$C233)&gt;0),0,IF(($E233=INDEX(_xlfn.ANCHORARRAY(Sintesi!$C$14),1,$C233))*(INDEX(_xlfn.ANCHORARRAY(Sintesi!$C$15),1,$C233)&lt;0)+($E233&gt;=$E232)*($E233&lt;=INDEX($E:$E,MATCH(TRUE,INDEX((ISNUMBER($E:$E)),0),0)))*($E233&gt;INDEX(_xlfn.ANCHORARRAY(Sintesi!$C$14),1,$C233))*($E233&lt;=INDEX(_xlfn.ANCHORARRAY(Sintesi!$C$15),1,$C233))*(INDEX(_xlfn.ANCHORARRAY(Sintesi!$C$15),1,$C233)&gt;0),1,IF(($E233&gt;=$E232)*($E233&lt;=INDEX($E:$E,MATCH(TRUE,INDEX((ISNUMBER($E:$E)),0),0)))*($E233&gt;INDEX(_xlfn.ANCHORARRAY(Sintesi!$C$14),1,$C233))*($E233&lt;INDEX(_xlfn.ANCHORARRAY(Sintesi!$C$16),1,$C233))*(INDEX(_xlfn.ANCHORARRAY(Sintesi!$C$15),1,$C233)&lt;0)+($E233&gt;=$E232)*($E233&lt;=INDEX($E:$E,MATCH(TRUE,INDEX((ISNUMBER($E:$E)),0),0)))*($E233&gt;INDEX(_xlfn.ANCHORARRAY(Sintesi!$C$15),1,$C233))*($E233&lt;INDEX(_xlfn.ANCHORARRAY(Sintesi!$C$16),1,$C233))*(INDEX(_xlfn.ANCHORARRAY(Sintesi!$C$15),1,$C233)&gt;0),2,IF($E233=(INDEX(_xlfn.ANCHORARRAY(Sintesi!$C$16),1,$C233)),3,4)))),0),IF($C233&gt;0,IF(($E233=INDEX(_xlfn.ANCHORARRAY(Sintesi!$C$14),1,$C233))*(INDEX(_xlfn.ANCHORARRAY(Sintesi!$C$15),1,$C233)&gt;0),0,IF(($E233=INDEX(_xlfn.ANCHORARRAY(Sintesi!$C$14),1,$C233))*(INDEX(_xlfn.ANCHORARRAY(Sintesi!$C$15),1,$C233)&lt;0)+($E233&gt;=LOOKUP(2,1/($E:$E&lt;&gt;""),$E:$E))*($E233&lt;=INDEX($E:$E,MATCH(TRUE,INDEX((ISNUMBER($E:$E)),0),0)))*($E233&gt;INDEX(_xlfn.ANCHORARRAY(Sintesi!$C$14),1,$C233))*($E233&lt;=INDEX(_xlfn.ANCHORARRAY(Sintesi!$C$15),1,$C233))*(INDEX(_xlfn.ANCHORARRAY(Sintesi!$C$15),1,$C233)&gt;0),1,IF(($E233&gt;=LOOKUP(2,1/($E:$E&lt;&gt;""),$E:$E))*($E233&lt;=INDEX($E:$E,MATCH(TRUE,INDEX((ISNUMBER($E:$E)),0),0)))*($E233&gt;INDEX(_xlfn.ANCHORARRAY(Sintesi!$C$14),1,$C233))*($E233&lt;INDEX(_xlfn.ANCHORARRAY(Sintesi!$C$16),1,$C233))*(INDEX(_xlfn.ANCHORARRAY(Sintesi!$C$15),1,$C233)&lt;0)+($E233&gt;=LOOKUP(2,1/($E:$E&lt;&gt;""),$E:$E))*($E233&lt;=INDEX($E:$E,MATCH(TRUE,INDEX((ISNUMBER($E:$E)),0),0)))*($E233&gt;INDEX(_xlfn.ANCHORARRAY(Sintesi!$C$15),1,$C233))*($E233&lt;INDEX(_xlfn.ANCHORARRAY(Sintesi!$C$16),1,$C233))*(INDEX(_xlfn.ANCHORARRAY(Sintesi!$C$15),1,$C233)&gt;0),2,IF($E233=(INDEX(_xlfn.ANCHORARRAY(Sintesi!$C$16),1,$C233)),3,4)))),0)),IF(ISNUMBER($E232),IF($C233&gt;0,IF(($E233=INDEX(_xlfn.ANCHORARRAY(Sintesi!$C$14),1,$C233))*(INDEX(_xlfn.ANCHORARRAY(Sintesi!$C$15),1,$C233)&gt;0),0,IF(($E233=INDEX(_xlfn.ANCHORARRAY(Sintesi!$C$14),1,$C233))*(INDEX(_xlfn.ANCHORARRAY(Sintesi!$C$15),1,$C233)&lt;0)+($E233&gt;=$E232)*($E233&lt;=$E234)*($E233&gt;INDEX(_xlfn.ANCHORARRAY(Sintesi!$C$14),1,$C233))*($E233&lt;=INDEX(_xlfn.ANCHORARRAY(Sintesi!$C$15),1,$C233))*(INDEX(_xlfn.ANCHORARRAY(Sintesi!$C$15),1,$C233)&gt;0),1,IF(($E233&gt;=$E232)*($E233&lt;=$E234)*($E233&gt;INDEX(_xlfn.ANCHORARRAY(Sintesi!$C$14),1,$C233))*($E233&lt;INDEX(_xlfn.ANCHORARRAY(Sintesi!$C$16),1,$C233))*(INDEX(_xlfn.ANCHORARRAY(Sintesi!$C$15),1,$C233)&lt;0)+($E233&gt;=$E232)*($E233&lt;=$E234)*($E233&gt;INDEX(_xlfn.ANCHORARRAY(Sintesi!$C$15),1,$C233))*($E233&lt;INDEX(_xlfn.ANCHORARRAY(Sintesi!$C$16),1,$C233))*(INDEX(_xlfn.ANCHORARRAY(Sintesi!$C$15),1,$C233)&gt;0),2,IF($E233=(INDEX(_xlfn.ANCHORARRAY(Sintesi!$C$16),1,$C233)),3,4)))),0),IF($C233&gt;0,IF(($E233=INDEX(_xlfn.ANCHORARRAY(Sintesi!$C$14),1,$C233))*(INDEX(_xlfn.ANCHORARRAY(Sintesi!$C$15),1,$C233)&gt;0),0,IF(($E233=INDEX(_xlfn.ANCHORARRAY(Sintesi!$C$14),1,$C233))*(INDEX(_xlfn.ANCHORARRAY(Sintesi!$C$15),1,$C233)&lt;0)+($E233&gt;=LOOKUP(2,1/($E:$E&lt;&gt;""),$E:$E))*($E233&lt;=$E234)*($E233&gt;INDEX(_xlfn.ANCHORARRAY(Sintesi!$C$14),1,$C233))*($E233&lt;=INDEX(_xlfn.ANCHORARRAY(Sintesi!$C$15),1,$C233))*(INDEX(_xlfn.ANCHORARRAY(Sintesi!$C$15),1,$C233)&gt;0),1,IF(($E233&gt;=LOOKUP(2,1/($E:$E&lt;&gt;""),$E:$E))*($E233&lt;=$E234)*($E233&gt;INDEX(_xlfn.ANCHORARRAY(Sintesi!$C$14),1,$C233))*($E233&lt;INDEX(_xlfn.ANCHORARRAY(Sintesi!$C$16),1,$C233))*(INDEX(_xlfn.ANCHORARRAY(Sintesi!$C$15),1,$C233)&lt;0)+($E233&gt;=LOOKUP(2,1/($E:$E&lt;&gt;""),$E:$E))*($E233&lt;=$E234)*($E233&gt;INDEX(_xlfn.ANCHORARRAY(Sintesi!$C$15),1,$C233))*($E233&lt;INDEX(_xlfn.ANCHORARRAY(Sintesi!$C$16),1,$C233))*(INDEX(_xlfn.ANCHORARRAY(Sintesi!$C$15),1,$C233)&gt;0),2,IF($E233=(INDEX(_xlfn.ANCHORARRAY(Sintesi!$C$16),1,$C233)),3,4)))),0)))</f>
        <v/>
      </c>
      <c r="E233" s="1">
        <f>'Paste cell here'!F233</f>
        <v/>
      </c>
      <c r="F233" s="1">
        <f>'Paste cell here'!C233</f>
        <v/>
      </c>
      <c r="G233" s="1">
        <f>'Paste cell here'!D233</f>
        <v/>
      </c>
      <c r="H233" s="1">
        <f>'Paste cell here'!E233</f>
        <v/>
      </c>
      <c r="I233" s="1">
        <f>'Paste cell here'!X233</f>
        <v/>
      </c>
      <c r="J233" s="1">
        <f>'Paste cell here'!Y233+'Paste cell here'!S233</f>
        <v/>
      </c>
      <c r="K233" s="1">
        <f>I233/H233</f>
        <v/>
      </c>
      <c r="L233" s="1">
        <f>AVERAGE(($F233+$G233)/2-($F233-$G233)/2*COS(PI()*(8-VLOOKUP(MONTH(B233),$O$1:$Q$13,3))/(VLOOKUP(MONTH(B233),$O$1:$Q$13,2)-VLOOKUP(MONTH(B233),$O$1:$Q$13,3))),($F233+$G233)/2-($F233-$G233)/2*COS(PI()*(9-VLOOKUP(MONTH(B233),$O$1:$Q$13,3))/(VLOOKUP(MONTH(B233),$O$1:$Q$13,2)-VLOOKUP(MONTH(B233),$O$1:$Q$13,3))),($F233+$G233)/2-($F233-$G233)/2*COS(PI()*(10-VLOOKUP(MONTH(B233),$O$1:$Q$13,3))/(VLOOKUP(MONTH(B233),$O$1:$Q$13,2)-VLOOKUP(MONTH(B233),$O$1:$Q$13,3))),($F233+$G233)/2-($F233-$G233)/2*COS(PI()*(11-VLOOKUP(MONTH(B233),$O$1:$Q$13,3))/(VLOOKUP(MONTH(B233),$O$1:$Q$13,2)-VLOOKUP(MONTH(B233),$O$1:$Q$13,3))),($F233+$G233)/2-($F233-$G233)/2*COS(PI()*(12-VLOOKUP(MONTH(B233),$O$1:$Q$13,3))/(VLOOKUP(MONTH(B233),$O$1:$Q$13,2)-VLOOKUP(MONTH(B233),$O$1:$Q$13,3))),($F233+$G233)/2-($F233-$G233)/2*COS(PI()*(13-VLOOKUP(MONTH(B233),$O$1:$Q$13,3))/(VLOOKUP(MONTH(B233),$O$1:$Q$13,2)-VLOOKUP(MONTH(B233),$O$1:$Q$13,3))),($F233+$G233)/2-($F233-$G233)/2*COS(PI()*(14-VLOOKUP(MONTH(B233),$O$1:$Q$13,3))/(VLOOKUP(MONTH(B233),$O$1:$Q$13,2)-VLOOKUP(MONTH(B233),$O$1:$Q$13,3))))</f>
        <v/>
      </c>
      <c r="M233" s="1">
        <f t="array" ref="M233">IF(AND(A233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,A233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),IF(L233&lt;_xlfn.IFNA(INDEX(_xlfn.ANCHORARRAY(Sintesi!$C$17)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,1,IF(L233&gt;=_xlfn.IFNA(INDEX(_xlfn.ANCHORARRAY(Sintesi!$C$18)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,0,1-(L233-_xlfn.IFNA(INDEX(_xlfn.ANCHORARRAY(Sintesi!$C$17)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)/(_xlfn.IFNA(INDEX(_xlfn.ANCHORARRAY(Sintesi!$C$18)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-_xlfn.IFNA(INDEX(_xlfn.ANCHORARRAY(Sintesi!$C$17)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))),0)</f>
        <v/>
      </c>
    </row>
    <row r="234">
      <c r="A234" s="1">
        <f>'Paste cell here'!A234</f>
        <v/>
      </c>
      <c r="B234" s="2">
        <f>DATE(Sintesi!$C$4-1,12,31)+A234</f>
        <v/>
      </c>
      <c r="C234" s="34">
        <f t="array" ref="C234">_xlfn.IFNA(MATCH(1,(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)*(_xlfn.ANCHORARRAY(Sintesi!$C$15)&gt;=0)+(_xlfn.ANCHORARRAY(Sintesi!$C$15)&lt;0),0),0)</f>
        <v/>
      </c>
      <c r="D234" s="1">
        <f t="array" ref="D234">IF(ISBLANK($E235),IF(ISNUMBER($E233),IF($C234&gt;0,IF(($E234=INDEX(_xlfn.ANCHORARRAY(Sintesi!$C$14),1,$C234))*(INDEX(_xlfn.ANCHORARRAY(Sintesi!$C$15),1,$C234)&gt;0),0,IF(($E234=INDEX(_xlfn.ANCHORARRAY(Sintesi!$C$14),1,$C234))*(INDEX(_xlfn.ANCHORARRAY(Sintesi!$C$15),1,$C234)&lt;0)+($E234&gt;=$E233)*($E234&lt;=INDEX($E:$E,MATCH(TRUE,INDEX((ISNUMBER($E:$E)),0),0)))*($E234&gt;INDEX(_xlfn.ANCHORARRAY(Sintesi!$C$14),1,$C234))*($E234&lt;=INDEX(_xlfn.ANCHORARRAY(Sintesi!$C$15),1,$C234))*(INDEX(_xlfn.ANCHORARRAY(Sintesi!$C$15),1,$C234)&gt;0),1,IF(($E234&gt;=$E233)*($E234&lt;=INDEX($E:$E,MATCH(TRUE,INDEX((ISNUMBER($E:$E)),0),0)))*($E234&gt;INDEX(_xlfn.ANCHORARRAY(Sintesi!$C$14),1,$C234))*($E234&lt;INDEX(_xlfn.ANCHORARRAY(Sintesi!$C$16),1,$C234))*(INDEX(_xlfn.ANCHORARRAY(Sintesi!$C$15),1,$C234)&lt;0)+($E234&gt;=$E233)*($E234&lt;=INDEX($E:$E,MATCH(TRUE,INDEX((ISNUMBER($E:$E)),0),0)))*($E234&gt;INDEX(_xlfn.ANCHORARRAY(Sintesi!$C$15),1,$C234))*($E234&lt;INDEX(_xlfn.ANCHORARRAY(Sintesi!$C$16),1,$C234))*(INDEX(_xlfn.ANCHORARRAY(Sintesi!$C$15),1,$C234)&gt;0),2,IF($E234=(INDEX(_xlfn.ANCHORARRAY(Sintesi!$C$16),1,$C234)),3,4)))),0),IF($C234&gt;0,IF(($E234=INDEX(_xlfn.ANCHORARRAY(Sintesi!$C$14),1,$C234))*(INDEX(_xlfn.ANCHORARRAY(Sintesi!$C$15),1,$C234)&gt;0),0,IF(($E234=INDEX(_xlfn.ANCHORARRAY(Sintesi!$C$14),1,$C234))*(INDEX(_xlfn.ANCHORARRAY(Sintesi!$C$15),1,$C234)&lt;0)+($E234&gt;=LOOKUP(2,1/($E:$E&lt;&gt;""),$E:$E))*($E234&lt;=INDEX($E:$E,MATCH(TRUE,INDEX((ISNUMBER($E:$E)),0),0)))*($E234&gt;INDEX(_xlfn.ANCHORARRAY(Sintesi!$C$14),1,$C234))*($E234&lt;=INDEX(_xlfn.ANCHORARRAY(Sintesi!$C$15),1,$C234))*(INDEX(_xlfn.ANCHORARRAY(Sintesi!$C$15),1,$C234)&gt;0),1,IF(($E234&gt;=LOOKUP(2,1/($E:$E&lt;&gt;""),$E:$E))*($E234&lt;=INDEX($E:$E,MATCH(TRUE,INDEX((ISNUMBER($E:$E)),0),0)))*($E234&gt;INDEX(_xlfn.ANCHORARRAY(Sintesi!$C$14),1,$C234))*($E234&lt;INDEX(_xlfn.ANCHORARRAY(Sintesi!$C$16),1,$C234))*(INDEX(_xlfn.ANCHORARRAY(Sintesi!$C$15),1,$C234)&lt;0)+($E234&gt;=LOOKUP(2,1/($E:$E&lt;&gt;""),$E:$E))*($E234&lt;=INDEX($E:$E,MATCH(TRUE,INDEX((ISNUMBER($E:$E)),0),0)))*($E234&gt;INDEX(_xlfn.ANCHORARRAY(Sintesi!$C$15),1,$C234))*($E234&lt;INDEX(_xlfn.ANCHORARRAY(Sintesi!$C$16),1,$C234))*(INDEX(_xlfn.ANCHORARRAY(Sintesi!$C$15),1,$C234)&gt;0),2,IF($E234=(INDEX(_xlfn.ANCHORARRAY(Sintesi!$C$16),1,$C234)),3,4)))),0)),IF(ISNUMBER($E233),IF($C234&gt;0,IF(($E234=INDEX(_xlfn.ANCHORARRAY(Sintesi!$C$14),1,$C234))*(INDEX(_xlfn.ANCHORARRAY(Sintesi!$C$15),1,$C234)&gt;0),0,IF(($E234=INDEX(_xlfn.ANCHORARRAY(Sintesi!$C$14),1,$C234))*(INDEX(_xlfn.ANCHORARRAY(Sintesi!$C$15),1,$C234)&lt;0)+($E234&gt;=$E233)*($E234&lt;=$E235)*($E234&gt;INDEX(_xlfn.ANCHORARRAY(Sintesi!$C$14),1,$C234))*($E234&lt;=INDEX(_xlfn.ANCHORARRAY(Sintesi!$C$15),1,$C234))*(INDEX(_xlfn.ANCHORARRAY(Sintesi!$C$15),1,$C234)&gt;0),1,IF(($E234&gt;=$E233)*($E234&lt;=$E235)*($E234&gt;INDEX(_xlfn.ANCHORARRAY(Sintesi!$C$14),1,$C234))*($E234&lt;INDEX(_xlfn.ANCHORARRAY(Sintesi!$C$16),1,$C234))*(INDEX(_xlfn.ANCHORARRAY(Sintesi!$C$15),1,$C234)&lt;0)+($E234&gt;=$E233)*($E234&lt;=$E235)*($E234&gt;INDEX(_xlfn.ANCHORARRAY(Sintesi!$C$15),1,$C234))*($E234&lt;INDEX(_xlfn.ANCHORARRAY(Sintesi!$C$16),1,$C234))*(INDEX(_xlfn.ANCHORARRAY(Sintesi!$C$15),1,$C234)&gt;0),2,IF($E234=(INDEX(_xlfn.ANCHORARRAY(Sintesi!$C$16),1,$C234)),3,4)))),0),IF($C234&gt;0,IF(($E234=INDEX(_xlfn.ANCHORARRAY(Sintesi!$C$14),1,$C234))*(INDEX(_xlfn.ANCHORARRAY(Sintesi!$C$15),1,$C234)&gt;0),0,IF(($E234=INDEX(_xlfn.ANCHORARRAY(Sintesi!$C$14),1,$C234))*(INDEX(_xlfn.ANCHORARRAY(Sintesi!$C$15),1,$C234)&lt;0)+($E234&gt;=LOOKUP(2,1/($E:$E&lt;&gt;""),$E:$E))*($E234&lt;=$E235)*($E234&gt;INDEX(_xlfn.ANCHORARRAY(Sintesi!$C$14),1,$C234))*($E234&lt;=INDEX(_xlfn.ANCHORARRAY(Sintesi!$C$15),1,$C234))*(INDEX(_xlfn.ANCHORARRAY(Sintesi!$C$15),1,$C234)&gt;0),1,IF(($E234&gt;=LOOKUP(2,1/($E:$E&lt;&gt;""),$E:$E))*($E234&lt;=$E235)*($E234&gt;INDEX(_xlfn.ANCHORARRAY(Sintesi!$C$14),1,$C234))*($E234&lt;INDEX(_xlfn.ANCHORARRAY(Sintesi!$C$16),1,$C234))*(INDEX(_xlfn.ANCHORARRAY(Sintesi!$C$15),1,$C234)&lt;0)+($E234&gt;=LOOKUP(2,1/($E:$E&lt;&gt;""),$E:$E))*($E234&lt;=$E235)*($E234&gt;INDEX(_xlfn.ANCHORARRAY(Sintesi!$C$15),1,$C234))*($E234&lt;INDEX(_xlfn.ANCHORARRAY(Sintesi!$C$16),1,$C234))*(INDEX(_xlfn.ANCHORARRAY(Sintesi!$C$15),1,$C234)&gt;0),2,IF($E234=(INDEX(_xlfn.ANCHORARRAY(Sintesi!$C$16),1,$C234)),3,4)))),0)))</f>
        <v/>
      </c>
      <c r="E234" s="1">
        <f>'Paste cell here'!F234</f>
        <v/>
      </c>
      <c r="F234" s="1">
        <f>'Paste cell here'!C234</f>
        <v/>
      </c>
      <c r="G234" s="1">
        <f>'Paste cell here'!D234</f>
        <v/>
      </c>
      <c r="H234" s="1">
        <f>'Paste cell here'!E234</f>
        <v/>
      </c>
      <c r="I234" s="1">
        <f>'Paste cell here'!X234</f>
        <v/>
      </c>
      <c r="J234" s="1">
        <f>'Paste cell here'!Y234+'Paste cell here'!S234</f>
        <v/>
      </c>
      <c r="K234" s="1">
        <f>I234/H234</f>
        <v/>
      </c>
      <c r="L234" s="1">
        <f>AVERAGE(($F234+$G234)/2-($F234-$G234)/2*COS(PI()*(8-VLOOKUP(MONTH(B234),$O$1:$Q$13,3))/(VLOOKUP(MONTH(B234),$O$1:$Q$13,2)-VLOOKUP(MONTH(B234),$O$1:$Q$13,3))),($F234+$G234)/2-($F234-$G234)/2*COS(PI()*(9-VLOOKUP(MONTH(B234),$O$1:$Q$13,3))/(VLOOKUP(MONTH(B234),$O$1:$Q$13,2)-VLOOKUP(MONTH(B234),$O$1:$Q$13,3))),($F234+$G234)/2-($F234-$G234)/2*COS(PI()*(10-VLOOKUP(MONTH(B234),$O$1:$Q$13,3))/(VLOOKUP(MONTH(B234),$O$1:$Q$13,2)-VLOOKUP(MONTH(B234),$O$1:$Q$13,3))),($F234+$G234)/2-($F234-$G234)/2*COS(PI()*(11-VLOOKUP(MONTH(B234),$O$1:$Q$13,3))/(VLOOKUP(MONTH(B234),$O$1:$Q$13,2)-VLOOKUP(MONTH(B234),$O$1:$Q$13,3))),($F234+$G234)/2-($F234-$G234)/2*COS(PI()*(12-VLOOKUP(MONTH(B234),$O$1:$Q$13,3))/(VLOOKUP(MONTH(B234),$O$1:$Q$13,2)-VLOOKUP(MONTH(B234),$O$1:$Q$13,3))),($F234+$G234)/2-($F234-$G234)/2*COS(PI()*(13-VLOOKUP(MONTH(B234),$O$1:$Q$13,3))/(VLOOKUP(MONTH(B234),$O$1:$Q$13,2)-VLOOKUP(MONTH(B234),$O$1:$Q$13,3))),($F234+$G234)/2-($F234-$G234)/2*COS(PI()*(14-VLOOKUP(MONTH(B234),$O$1:$Q$13,3))/(VLOOKUP(MONTH(B234),$O$1:$Q$13,2)-VLOOKUP(MONTH(B234),$O$1:$Q$13,3))))</f>
        <v/>
      </c>
      <c r="M234" s="1">
        <f t="array" ref="M234">IF(AND(A234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,A234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),IF(L234&lt;_xlfn.IFNA(INDEX(_xlfn.ANCHORARRAY(Sintesi!$C$17)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,1,IF(L234&gt;=_xlfn.IFNA(INDEX(_xlfn.ANCHORARRAY(Sintesi!$C$18)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,0,1-(L234-_xlfn.IFNA(INDEX(_xlfn.ANCHORARRAY(Sintesi!$C$17)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)/(_xlfn.IFNA(INDEX(_xlfn.ANCHORARRAY(Sintesi!$C$18)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-_xlfn.IFNA(INDEX(_xlfn.ANCHORARRAY(Sintesi!$C$17)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))),0)</f>
        <v/>
      </c>
    </row>
    <row r="235">
      <c r="A235" s="1">
        <f>'Paste cell here'!A235</f>
        <v/>
      </c>
      <c r="B235" s="2">
        <f>DATE(Sintesi!$C$4-1,12,31)+A235</f>
        <v/>
      </c>
      <c r="C235" s="34">
        <f t="array" ref="C235">_xlfn.IFNA(MATCH(1,(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)*(_xlfn.ANCHORARRAY(Sintesi!$C$15)&gt;=0)+(_xlfn.ANCHORARRAY(Sintesi!$C$15)&lt;0),0),0)</f>
        <v/>
      </c>
      <c r="D235" s="1">
        <f t="array" ref="D235">IF(ISBLANK($E236),IF(ISNUMBER($E234),IF($C235&gt;0,IF(($E235=INDEX(_xlfn.ANCHORARRAY(Sintesi!$C$14),1,$C235))*(INDEX(_xlfn.ANCHORARRAY(Sintesi!$C$15),1,$C235)&gt;0),0,IF(($E235=INDEX(_xlfn.ANCHORARRAY(Sintesi!$C$14),1,$C235))*(INDEX(_xlfn.ANCHORARRAY(Sintesi!$C$15),1,$C235)&lt;0)+($E235&gt;=$E234)*($E235&lt;=INDEX($E:$E,MATCH(TRUE,INDEX((ISNUMBER($E:$E)),0),0)))*($E235&gt;INDEX(_xlfn.ANCHORARRAY(Sintesi!$C$14),1,$C235))*($E235&lt;=INDEX(_xlfn.ANCHORARRAY(Sintesi!$C$15),1,$C235))*(INDEX(_xlfn.ANCHORARRAY(Sintesi!$C$15),1,$C235)&gt;0),1,IF(($E235&gt;=$E234)*($E235&lt;=INDEX($E:$E,MATCH(TRUE,INDEX((ISNUMBER($E:$E)),0),0)))*($E235&gt;INDEX(_xlfn.ANCHORARRAY(Sintesi!$C$14),1,$C235))*($E235&lt;INDEX(_xlfn.ANCHORARRAY(Sintesi!$C$16),1,$C235))*(INDEX(_xlfn.ANCHORARRAY(Sintesi!$C$15),1,$C235)&lt;0)+($E235&gt;=$E234)*($E235&lt;=INDEX($E:$E,MATCH(TRUE,INDEX((ISNUMBER($E:$E)),0),0)))*($E235&gt;INDEX(_xlfn.ANCHORARRAY(Sintesi!$C$15),1,$C235))*($E235&lt;INDEX(_xlfn.ANCHORARRAY(Sintesi!$C$16),1,$C235))*(INDEX(_xlfn.ANCHORARRAY(Sintesi!$C$15),1,$C235)&gt;0),2,IF($E235=(INDEX(_xlfn.ANCHORARRAY(Sintesi!$C$16),1,$C235)),3,4)))),0),IF($C235&gt;0,IF(($E235=INDEX(_xlfn.ANCHORARRAY(Sintesi!$C$14),1,$C235))*(INDEX(_xlfn.ANCHORARRAY(Sintesi!$C$15),1,$C235)&gt;0),0,IF(($E235=INDEX(_xlfn.ANCHORARRAY(Sintesi!$C$14),1,$C235))*(INDEX(_xlfn.ANCHORARRAY(Sintesi!$C$15),1,$C235)&lt;0)+($E235&gt;=LOOKUP(2,1/($E:$E&lt;&gt;""),$E:$E))*($E235&lt;=INDEX($E:$E,MATCH(TRUE,INDEX((ISNUMBER($E:$E)),0),0)))*($E235&gt;INDEX(_xlfn.ANCHORARRAY(Sintesi!$C$14),1,$C235))*($E235&lt;=INDEX(_xlfn.ANCHORARRAY(Sintesi!$C$15),1,$C235))*(INDEX(_xlfn.ANCHORARRAY(Sintesi!$C$15),1,$C235)&gt;0),1,IF(($E235&gt;=LOOKUP(2,1/($E:$E&lt;&gt;""),$E:$E))*($E235&lt;=INDEX($E:$E,MATCH(TRUE,INDEX((ISNUMBER($E:$E)),0),0)))*($E235&gt;INDEX(_xlfn.ANCHORARRAY(Sintesi!$C$14),1,$C235))*($E235&lt;INDEX(_xlfn.ANCHORARRAY(Sintesi!$C$16),1,$C235))*(INDEX(_xlfn.ANCHORARRAY(Sintesi!$C$15),1,$C235)&lt;0)+($E235&gt;=LOOKUP(2,1/($E:$E&lt;&gt;""),$E:$E))*($E235&lt;=INDEX($E:$E,MATCH(TRUE,INDEX((ISNUMBER($E:$E)),0),0)))*($E235&gt;INDEX(_xlfn.ANCHORARRAY(Sintesi!$C$15),1,$C235))*($E235&lt;INDEX(_xlfn.ANCHORARRAY(Sintesi!$C$16),1,$C235))*(INDEX(_xlfn.ANCHORARRAY(Sintesi!$C$15),1,$C235)&gt;0),2,IF($E235=(INDEX(_xlfn.ANCHORARRAY(Sintesi!$C$16),1,$C235)),3,4)))),0)),IF(ISNUMBER($E234),IF($C235&gt;0,IF(($E235=INDEX(_xlfn.ANCHORARRAY(Sintesi!$C$14),1,$C235))*(INDEX(_xlfn.ANCHORARRAY(Sintesi!$C$15),1,$C235)&gt;0),0,IF(($E235=INDEX(_xlfn.ANCHORARRAY(Sintesi!$C$14),1,$C235))*(INDEX(_xlfn.ANCHORARRAY(Sintesi!$C$15),1,$C235)&lt;0)+($E235&gt;=$E234)*($E235&lt;=$E236)*($E235&gt;INDEX(_xlfn.ANCHORARRAY(Sintesi!$C$14),1,$C235))*($E235&lt;=INDEX(_xlfn.ANCHORARRAY(Sintesi!$C$15),1,$C235))*(INDEX(_xlfn.ANCHORARRAY(Sintesi!$C$15),1,$C235)&gt;0),1,IF(($E235&gt;=$E234)*($E235&lt;=$E236)*($E235&gt;INDEX(_xlfn.ANCHORARRAY(Sintesi!$C$14),1,$C235))*($E235&lt;INDEX(_xlfn.ANCHORARRAY(Sintesi!$C$16),1,$C235))*(INDEX(_xlfn.ANCHORARRAY(Sintesi!$C$15),1,$C235)&lt;0)+($E235&gt;=$E234)*($E235&lt;=$E236)*($E235&gt;INDEX(_xlfn.ANCHORARRAY(Sintesi!$C$15),1,$C235))*($E235&lt;INDEX(_xlfn.ANCHORARRAY(Sintesi!$C$16),1,$C235))*(INDEX(_xlfn.ANCHORARRAY(Sintesi!$C$15),1,$C235)&gt;0),2,IF($E235=(INDEX(_xlfn.ANCHORARRAY(Sintesi!$C$16),1,$C235)),3,4)))),0),IF($C235&gt;0,IF(($E235=INDEX(_xlfn.ANCHORARRAY(Sintesi!$C$14),1,$C235))*(INDEX(_xlfn.ANCHORARRAY(Sintesi!$C$15),1,$C235)&gt;0),0,IF(($E235=INDEX(_xlfn.ANCHORARRAY(Sintesi!$C$14),1,$C235))*(INDEX(_xlfn.ANCHORARRAY(Sintesi!$C$15),1,$C235)&lt;0)+($E235&gt;=LOOKUP(2,1/($E:$E&lt;&gt;""),$E:$E))*($E235&lt;=$E236)*($E235&gt;INDEX(_xlfn.ANCHORARRAY(Sintesi!$C$14),1,$C235))*($E235&lt;=INDEX(_xlfn.ANCHORARRAY(Sintesi!$C$15),1,$C235))*(INDEX(_xlfn.ANCHORARRAY(Sintesi!$C$15),1,$C235)&gt;0),1,IF(($E235&gt;=LOOKUP(2,1/($E:$E&lt;&gt;""),$E:$E))*($E235&lt;=$E236)*($E235&gt;INDEX(_xlfn.ANCHORARRAY(Sintesi!$C$14),1,$C235))*($E235&lt;INDEX(_xlfn.ANCHORARRAY(Sintesi!$C$16),1,$C235))*(INDEX(_xlfn.ANCHORARRAY(Sintesi!$C$15),1,$C235)&lt;0)+($E235&gt;=LOOKUP(2,1/($E:$E&lt;&gt;""),$E:$E))*($E235&lt;=$E236)*($E235&gt;INDEX(_xlfn.ANCHORARRAY(Sintesi!$C$15),1,$C235))*($E235&lt;INDEX(_xlfn.ANCHORARRAY(Sintesi!$C$16),1,$C235))*(INDEX(_xlfn.ANCHORARRAY(Sintesi!$C$15),1,$C235)&gt;0),2,IF($E235=(INDEX(_xlfn.ANCHORARRAY(Sintesi!$C$16),1,$C235)),3,4)))),0)))</f>
        <v/>
      </c>
      <c r="E235" s="1">
        <f>'Paste cell here'!F235</f>
        <v/>
      </c>
      <c r="F235" s="1">
        <f>'Paste cell here'!C235</f>
        <v/>
      </c>
      <c r="G235" s="1">
        <f>'Paste cell here'!D235</f>
        <v/>
      </c>
      <c r="H235" s="1">
        <f>'Paste cell here'!E235</f>
        <v/>
      </c>
      <c r="I235" s="1">
        <f>'Paste cell here'!X235</f>
        <v/>
      </c>
      <c r="J235" s="1">
        <f>'Paste cell here'!Y235+'Paste cell here'!S235</f>
        <v/>
      </c>
      <c r="K235" s="1">
        <f>I235/H235</f>
        <v/>
      </c>
      <c r="L235" s="1">
        <f>AVERAGE(($F235+$G235)/2-($F235-$G235)/2*COS(PI()*(8-VLOOKUP(MONTH(B235),$O$1:$Q$13,3))/(VLOOKUP(MONTH(B235),$O$1:$Q$13,2)-VLOOKUP(MONTH(B235),$O$1:$Q$13,3))),($F235+$G235)/2-($F235-$G235)/2*COS(PI()*(9-VLOOKUP(MONTH(B235),$O$1:$Q$13,3))/(VLOOKUP(MONTH(B235),$O$1:$Q$13,2)-VLOOKUP(MONTH(B235),$O$1:$Q$13,3))),($F235+$G235)/2-($F235-$G235)/2*COS(PI()*(10-VLOOKUP(MONTH(B235),$O$1:$Q$13,3))/(VLOOKUP(MONTH(B235),$O$1:$Q$13,2)-VLOOKUP(MONTH(B235),$O$1:$Q$13,3))),($F235+$G235)/2-($F235-$G235)/2*COS(PI()*(11-VLOOKUP(MONTH(B235),$O$1:$Q$13,3))/(VLOOKUP(MONTH(B235),$O$1:$Q$13,2)-VLOOKUP(MONTH(B235),$O$1:$Q$13,3))),($F235+$G235)/2-($F235-$G235)/2*COS(PI()*(12-VLOOKUP(MONTH(B235),$O$1:$Q$13,3))/(VLOOKUP(MONTH(B235),$O$1:$Q$13,2)-VLOOKUP(MONTH(B235),$O$1:$Q$13,3))),($F235+$G235)/2-($F235-$G235)/2*COS(PI()*(13-VLOOKUP(MONTH(B235),$O$1:$Q$13,3))/(VLOOKUP(MONTH(B235),$O$1:$Q$13,2)-VLOOKUP(MONTH(B235),$O$1:$Q$13,3))),($F235+$G235)/2-($F235-$G235)/2*COS(PI()*(14-VLOOKUP(MONTH(B235),$O$1:$Q$13,3))/(VLOOKUP(MONTH(B235),$O$1:$Q$13,2)-VLOOKUP(MONTH(B235),$O$1:$Q$13,3))))</f>
        <v/>
      </c>
      <c r="M235" s="1">
        <f t="array" ref="M235">IF(AND(A235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,A235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),IF(L235&lt;_xlfn.IFNA(INDEX(_xlfn.ANCHORARRAY(Sintesi!$C$17)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,1,IF(L235&gt;=_xlfn.IFNA(INDEX(_xlfn.ANCHORARRAY(Sintesi!$C$18)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,0,1-(L235-_xlfn.IFNA(INDEX(_xlfn.ANCHORARRAY(Sintesi!$C$17)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)/(_xlfn.IFNA(INDEX(_xlfn.ANCHORARRAY(Sintesi!$C$18)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-_xlfn.IFNA(INDEX(_xlfn.ANCHORARRAY(Sintesi!$C$17)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))),0)</f>
        <v/>
      </c>
    </row>
    <row r="236">
      <c r="A236" s="1">
        <f>'Paste cell here'!A236</f>
        <v/>
      </c>
      <c r="B236" s="2">
        <f>DATE(Sintesi!$C$4-1,12,31)+A236</f>
        <v/>
      </c>
      <c r="C236" s="34">
        <f t="array" ref="C236">_xlfn.IFNA(MATCH(1,(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)*(_xlfn.ANCHORARRAY(Sintesi!$C$15)&gt;=0)+(_xlfn.ANCHORARRAY(Sintesi!$C$15)&lt;0),0),0)</f>
        <v/>
      </c>
      <c r="D236" s="1">
        <f t="array" ref="D236">IF(ISBLANK($E237),IF(ISNUMBER($E235),IF($C236&gt;0,IF(($E236=INDEX(_xlfn.ANCHORARRAY(Sintesi!$C$14),1,$C236))*(INDEX(_xlfn.ANCHORARRAY(Sintesi!$C$15),1,$C236)&gt;0),0,IF(($E236=INDEX(_xlfn.ANCHORARRAY(Sintesi!$C$14),1,$C236))*(INDEX(_xlfn.ANCHORARRAY(Sintesi!$C$15),1,$C236)&lt;0)+($E236&gt;=$E235)*($E236&lt;=INDEX($E:$E,MATCH(TRUE,INDEX((ISNUMBER($E:$E)),0),0)))*($E236&gt;INDEX(_xlfn.ANCHORARRAY(Sintesi!$C$14),1,$C236))*($E236&lt;=INDEX(_xlfn.ANCHORARRAY(Sintesi!$C$15),1,$C236))*(INDEX(_xlfn.ANCHORARRAY(Sintesi!$C$15),1,$C236)&gt;0),1,IF(($E236&gt;=$E235)*($E236&lt;=INDEX($E:$E,MATCH(TRUE,INDEX((ISNUMBER($E:$E)),0),0)))*($E236&gt;INDEX(_xlfn.ANCHORARRAY(Sintesi!$C$14),1,$C236))*($E236&lt;INDEX(_xlfn.ANCHORARRAY(Sintesi!$C$16),1,$C236))*(INDEX(_xlfn.ANCHORARRAY(Sintesi!$C$15),1,$C236)&lt;0)+($E236&gt;=$E235)*($E236&lt;=INDEX($E:$E,MATCH(TRUE,INDEX((ISNUMBER($E:$E)),0),0)))*($E236&gt;INDEX(_xlfn.ANCHORARRAY(Sintesi!$C$15),1,$C236))*($E236&lt;INDEX(_xlfn.ANCHORARRAY(Sintesi!$C$16),1,$C236))*(INDEX(_xlfn.ANCHORARRAY(Sintesi!$C$15),1,$C236)&gt;0),2,IF($E236=(INDEX(_xlfn.ANCHORARRAY(Sintesi!$C$16),1,$C236)),3,4)))),0),IF($C236&gt;0,IF(($E236=INDEX(_xlfn.ANCHORARRAY(Sintesi!$C$14),1,$C236))*(INDEX(_xlfn.ANCHORARRAY(Sintesi!$C$15),1,$C236)&gt;0),0,IF(($E236=INDEX(_xlfn.ANCHORARRAY(Sintesi!$C$14),1,$C236))*(INDEX(_xlfn.ANCHORARRAY(Sintesi!$C$15),1,$C236)&lt;0)+($E236&gt;=LOOKUP(2,1/($E:$E&lt;&gt;""),$E:$E))*($E236&lt;=INDEX($E:$E,MATCH(TRUE,INDEX((ISNUMBER($E:$E)),0),0)))*($E236&gt;INDEX(_xlfn.ANCHORARRAY(Sintesi!$C$14),1,$C236))*($E236&lt;=INDEX(_xlfn.ANCHORARRAY(Sintesi!$C$15),1,$C236))*(INDEX(_xlfn.ANCHORARRAY(Sintesi!$C$15),1,$C236)&gt;0),1,IF(($E236&gt;=LOOKUP(2,1/($E:$E&lt;&gt;""),$E:$E))*($E236&lt;=INDEX($E:$E,MATCH(TRUE,INDEX((ISNUMBER($E:$E)),0),0)))*($E236&gt;INDEX(_xlfn.ANCHORARRAY(Sintesi!$C$14),1,$C236))*($E236&lt;INDEX(_xlfn.ANCHORARRAY(Sintesi!$C$16),1,$C236))*(INDEX(_xlfn.ANCHORARRAY(Sintesi!$C$15),1,$C236)&lt;0)+($E236&gt;=LOOKUP(2,1/($E:$E&lt;&gt;""),$E:$E))*($E236&lt;=INDEX($E:$E,MATCH(TRUE,INDEX((ISNUMBER($E:$E)),0),0)))*($E236&gt;INDEX(_xlfn.ANCHORARRAY(Sintesi!$C$15),1,$C236))*($E236&lt;INDEX(_xlfn.ANCHORARRAY(Sintesi!$C$16),1,$C236))*(INDEX(_xlfn.ANCHORARRAY(Sintesi!$C$15),1,$C236)&gt;0),2,IF($E236=(INDEX(_xlfn.ANCHORARRAY(Sintesi!$C$16),1,$C236)),3,4)))),0)),IF(ISNUMBER($E235),IF($C236&gt;0,IF(($E236=INDEX(_xlfn.ANCHORARRAY(Sintesi!$C$14),1,$C236))*(INDEX(_xlfn.ANCHORARRAY(Sintesi!$C$15),1,$C236)&gt;0),0,IF(($E236=INDEX(_xlfn.ANCHORARRAY(Sintesi!$C$14),1,$C236))*(INDEX(_xlfn.ANCHORARRAY(Sintesi!$C$15),1,$C236)&lt;0)+($E236&gt;=$E235)*($E236&lt;=$E237)*($E236&gt;INDEX(_xlfn.ANCHORARRAY(Sintesi!$C$14),1,$C236))*($E236&lt;=INDEX(_xlfn.ANCHORARRAY(Sintesi!$C$15),1,$C236))*(INDEX(_xlfn.ANCHORARRAY(Sintesi!$C$15),1,$C236)&gt;0),1,IF(($E236&gt;=$E235)*($E236&lt;=$E237)*($E236&gt;INDEX(_xlfn.ANCHORARRAY(Sintesi!$C$14),1,$C236))*($E236&lt;INDEX(_xlfn.ANCHORARRAY(Sintesi!$C$16),1,$C236))*(INDEX(_xlfn.ANCHORARRAY(Sintesi!$C$15),1,$C236)&lt;0)+($E236&gt;=$E235)*($E236&lt;=$E237)*($E236&gt;INDEX(_xlfn.ANCHORARRAY(Sintesi!$C$15),1,$C236))*($E236&lt;INDEX(_xlfn.ANCHORARRAY(Sintesi!$C$16),1,$C236))*(INDEX(_xlfn.ANCHORARRAY(Sintesi!$C$15),1,$C236)&gt;0),2,IF($E236=(INDEX(_xlfn.ANCHORARRAY(Sintesi!$C$16),1,$C236)),3,4)))),0),IF($C236&gt;0,IF(($E236=INDEX(_xlfn.ANCHORARRAY(Sintesi!$C$14),1,$C236))*(INDEX(_xlfn.ANCHORARRAY(Sintesi!$C$15),1,$C236)&gt;0),0,IF(($E236=INDEX(_xlfn.ANCHORARRAY(Sintesi!$C$14),1,$C236))*(INDEX(_xlfn.ANCHORARRAY(Sintesi!$C$15),1,$C236)&lt;0)+($E236&gt;=LOOKUP(2,1/($E:$E&lt;&gt;""),$E:$E))*($E236&lt;=$E237)*($E236&gt;INDEX(_xlfn.ANCHORARRAY(Sintesi!$C$14),1,$C236))*($E236&lt;=INDEX(_xlfn.ANCHORARRAY(Sintesi!$C$15),1,$C236))*(INDEX(_xlfn.ANCHORARRAY(Sintesi!$C$15),1,$C236)&gt;0),1,IF(($E236&gt;=LOOKUP(2,1/($E:$E&lt;&gt;""),$E:$E))*($E236&lt;=$E237)*($E236&gt;INDEX(_xlfn.ANCHORARRAY(Sintesi!$C$14),1,$C236))*($E236&lt;INDEX(_xlfn.ANCHORARRAY(Sintesi!$C$16),1,$C236))*(INDEX(_xlfn.ANCHORARRAY(Sintesi!$C$15),1,$C236)&lt;0)+($E236&gt;=LOOKUP(2,1/($E:$E&lt;&gt;""),$E:$E))*($E236&lt;=$E237)*($E236&gt;INDEX(_xlfn.ANCHORARRAY(Sintesi!$C$15),1,$C236))*($E236&lt;INDEX(_xlfn.ANCHORARRAY(Sintesi!$C$16),1,$C236))*(INDEX(_xlfn.ANCHORARRAY(Sintesi!$C$15),1,$C236)&gt;0),2,IF($E236=(INDEX(_xlfn.ANCHORARRAY(Sintesi!$C$16),1,$C236)),3,4)))),0)))</f>
        <v/>
      </c>
      <c r="E236" s="1">
        <f>'Paste cell here'!F236</f>
        <v/>
      </c>
      <c r="F236" s="1">
        <f>'Paste cell here'!C236</f>
        <v/>
      </c>
      <c r="G236" s="1">
        <f>'Paste cell here'!D236</f>
        <v/>
      </c>
      <c r="H236" s="1">
        <f>'Paste cell here'!E236</f>
        <v/>
      </c>
      <c r="I236" s="1">
        <f>'Paste cell here'!X236</f>
        <v/>
      </c>
      <c r="J236" s="1">
        <f>'Paste cell here'!Y236+'Paste cell here'!S236</f>
        <v/>
      </c>
      <c r="K236" s="1">
        <f>I236/H236</f>
        <v/>
      </c>
      <c r="L236" s="1">
        <f>AVERAGE(($F236+$G236)/2-($F236-$G236)/2*COS(PI()*(8-VLOOKUP(MONTH(B236),$O$1:$Q$13,3))/(VLOOKUP(MONTH(B236),$O$1:$Q$13,2)-VLOOKUP(MONTH(B236),$O$1:$Q$13,3))),($F236+$G236)/2-($F236-$G236)/2*COS(PI()*(9-VLOOKUP(MONTH(B236),$O$1:$Q$13,3))/(VLOOKUP(MONTH(B236),$O$1:$Q$13,2)-VLOOKUP(MONTH(B236),$O$1:$Q$13,3))),($F236+$G236)/2-($F236-$G236)/2*COS(PI()*(10-VLOOKUP(MONTH(B236),$O$1:$Q$13,3))/(VLOOKUP(MONTH(B236),$O$1:$Q$13,2)-VLOOKUP(MONTH(B236),$O$1:$Q$13,3))),($F236+$G236)/2-($F236-$G236)/2*COS(PI()*(11-VLOOKUP(MONTH(B236),$O$1:$Q$13,3))/(VLOOKUP(MONTH(B236),$O$1:$Q$13,2)-VLOOKUP(MONTH(B236),$O$1:$Q$13,3))),($F236+$G236)/2-($F236-$G236)/2*COS(PI()*(12-VLOOKUP(MONTH(B236),$O$1:$Q$13,3))/(VLOOKUP(MONTH(B236),$O$1:$Q$13,2)-VLOOKUP(MONTH(B236),$O$1:$Q$13,3))),($F236+$G236)/2-($F236-$G236)/2*COS(PI()*(13-VLOOKUP(MONTH(B236),$O$1:$Q$13,3))/(VLOOKUP(MONTH(B236),$O$1:$Q$13,2)-VLOOKUP(MONTH(B236),$O$1:$Q$13,3))),($F236+$G236)/2-($F236-$G236)/2*COS(PI()*(14-VLOOKUP(MONTH(B236),$O$1:$Q$13,3))/(VLOOKUP(MONTH(B236),$O$1:$Q$13,2)-VLOOKUP(MONTH(B236),$O$1:$Q$13,3))))</f>
        <v/>
      </c>
      <c r="M236" s="1">
        <f t="array" ref="M236">IF(AND(A236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,A236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),IF(L236&lt;_xlfn.IFNA(INDEX(_xlfn.ANCHORARRAY(Sintesi!$C$17)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,1,IF(L236&gt;=_xlfn.IFNA(INDEX(_xlfn.ANCHORARRAY(Sintesi!$C$18)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,0,1-(L236-_xlfn.IFNA(INDEX(_xlfn.ANCHORARRAY(Sintesi!$C$17)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)/(_xlfn.IFNA(INDEX(_xlfn.ANCHORARRAY(Sintesi!$C$18)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-_xlfn.IFNA(INDEX(_xlfn.ANCHORARRAY(Sintesi!$C$17)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))),0)</f>
        <v/>
      </c>
    </row>
    <row r="237">
      <c r="A237" s="1">
        <f>'Paste cell here'!A237</f>
        <v/>
      </c>
      <c r="B237" s="2">
        <f>DATE(Sintesi!$C$4-1,12,31)+A237</f>
        <v/>
      </c>
      <c r="C237" s="34">
        <f t="array" ref="C237">_xlfn.IFNA(MATCH(1,(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)*(_xlfn.ANCHORARRAY(Sintesi!$C$15)&gt;=0)+(_xlfn.ANCHORARRAY(Sintesi!$C$15)&lt;0),0),0)</f>
        <v/>
      </c>
      <c r="D237" s="1">
        <f t="array" ref="D237">IF(ISBLANK($E238),IF(ISNUMBER($E236),IF($C237&gt;0,IF(($E237=INDEX(_xlfn.ANCHORARRAY(Sintesi!$C$14),1,$C237))*(INDEX(_xlfn.ANCHORARRAY(Sintesi!$C$15),1,$C237)&gt;0),0,IF(($E237=INDEX(_xlfn.ANCHORARRAY(Sintesi!$C$14),1,$C237))*(INDEX(_xlfn.ANCHORARRAY(Sintesi!$C$15),1,$C237)&lt;0)+($E237&gt;=$E236)*($E237&lt;=INDEX($E:$E,MATCH(TRUE,INDEX((ISNUMBER($E:$E)),0),0)))*($E237&gt;INDEX(_xlfn.ANCHORARRAY(Sintesi!$C$14),1,$C237))*($E237&lt;=INDEX(_xlfn.ANCHORARRAY(Sintesi!$C$15),1,$C237))*(INDEX(_xlfn.ANCHORARRAY(Sintesi!$C$15),1,$C237)&gt;0),1,IF(($E237&gt;=$E236)*($E237&lt;=INDEX($E:$E,MATCH(TRUE,INDEX((ISNUMBER($E:$E)),0),0)))*($E237&gt;INDEX(_xlfn.ANCHORARRAY(Sintesi!$C$14),1,$C237))*($E237&lt;INDEX(_xlfn.ANCHORARRAY(Sintesi!$C$16),1,$C237))*(INDEX(_xlfn.ANCHORARRAY(Sintesi!$C$15),1,$C237)&lt;0)+($E237&gt;=$E236)*($E237&lt;=INDEX($E:$E,MATCH(TRUE,INDEX((ISNUMBER($E:$E)),0),0)))*($E237&gt;INDEX(_xlfn.ANCHORARRAY(Sintesi!$C$15),1,$C237))*($E237&lt;INDEX(_xlfn.ANCHORARRAY(Sintesi!$C$16),1,$C237))*(INDEX(_xlfn.ANCHORARRAY(Sintesi!$C$15),1,$C237)&gt;0),2,IF($E237=(INDEX(_xlfn.ANCHORARRAY(Sintesi!$C$16),1,$C237)),3,4)))),0),IF($C237&gt;0,IF(($E237=INDEX(_xlfn.ANCHORARRAY(Sintesi!$C$14),1,$C237))*(INDEX(_xlfn.ANCHORARRAY(Sintesi!$C$15),1,$C237)&gt;0),0,IF(($E237=INDEX(_xlfn.ANCHORARRAY(Sintesi!$C$14),1,$C237))*(INDEX(_xlfn.ANCHORARRAY(Sintesi!$C$15),1,$C237)&lt;0)+($E237&gt;=LOOKUP(2,1/($E:$E&lt;&gt;""),$E:$E))*($E237&lt;=INDEX($E:$E,MATCH(TRUE,INDEX((ISNUMBER($E:$E)),0),0)))*($E237&gt;INDEX(_xlfn.ANCHORARRAY(Sintesi!$C$14),1,$C237))*($E237&lt;=INDEX(_xlfn.ANCHORARRAY(Sintesi!$C$15),1,$C237))*(INDEX(_xlfn.ANCHORARRAY(Sintesi!$C$15),1,$C237)&gt;0),1,IF(($E237&gt;=LOOKUP(2,1/($E:$E&lt;&gt;""),$E:$E))*($E237&lt;=INDEX($E:$E,MATCH(TRUE,INDEX((ISNUMBER($E:$E)),0),0)))*($E237&gt;INDEX(_xlfn.ANCHORARRAY(Sintesi!$C$14),1,$C237))*($E237&lt;INDEX(_xlfn.ANCHORARRAY(Sintesi!$C$16),1,$C237))*(INDEX(_xlfn.ANCHORARRAY(Sintesi!$C$15),1,$C237)&lt;0)+($E237&gt;=LOOKUP(2,1/($E:$E&lt;&gt;""),$E:$E))*($E237&lt;=INDEX($E:$E,MATCH(TRUE,INDEX((ISNUMBER($E:$E)),0),0)))*($E237&gt;INDEX(_xlfn.ANCHORARRAY(Sintesi!$C$15),1,$C237))*($E237&lt;INDEX(_xlfn.ANCHORARRAY(Sintesi!$C$16),1,$C237))*(INDEX(_xlfn.ANCHORARRAY(Sintesi!$C$15),1,$C237)&gt;0),2,IF($E237=(INDEX(_xlfn.ANCHORARRAY(Sintesi!$C$16),1,$C237)),3,4)))),0)),IF(ISNUMBER($E236),IF($C237&gt;0,IF(($E237=INDEX(_xlfn.ANCHORARRAY(Sintesi!$C$14),1,$C237))*(INDEX(_xlfn.ANCHORARRAY(Sintesi!$C$15),1,$C237)&gt;0),0,IF(($E237=INDEX(_xlfn.ANCHORARRAY(Sintesi!$C$14),1,$C237))*(INDEX(_xlfn.ANCHORARRAY(Sintesi!$C$15),1,$C237)&lt;0)+($E237&gt;=$E236)*($E237&lt;=$E238)*($E237&gt;INDEX(_xlfn.ANCHORARRAY(Sintesi!$C$14),1,$C237))*($E237&lt;=INDEX(_xlfn.ANCHORARRAY(Sintesi!$C$15),1,$C237))*(INDEX(_xlfn.ANCHORARRAY(Sintesi!$C$15),1,$C237)&gt;0),1,IF(($E237&gt;=$E236)*($E237&lt;=$E238)*($E237&gt;INDEX(_xlfn.ANCHORARRAY(Sintesi!$C$14),1,$C237))*($E237&lt;INDEX(_xlfn.ANCHORARRAY(Sintesi!$C$16),1,$C237))*(INDEX(_xlfn.ANCHORARRAY(Sintesi!$C$15),1,$C237)&lt;0)+($E237&gt;=$E236)*($E237&lt;=$E238)*($E237&gt;INDEX(_xlfn.ANCHORARRAY(Sintesi!$C$15),1,$C237))*($E237&lt;INDEX(_xlfn.ANCHORARRAY(Sintesi!$C$16),1,$C237))*(INDEX(_xlfn.ANCHORARRAY(Sintesi!$C$15),1,$C237)&gt;0),2,IF($E237=(INDEX(_xlfn.ANCHORARRAY(Sintesi!$C$16),1,$C237)),3,4)))),0),IF($C237&gt;0,IF(($E237=INDEX(_xlfn.ANCHORARRAY(Sintesi!$C$14),1,$C237))*(INDEX(_xlfn.ANCHORARRAY(Sintesi!$C$15),1,$C237)&gt;0),0,IF(($E237=INDEX(_xlfn.ANCHORARRAY(Sintesi!$C$14),1,$C237))*(INDEX(_xlfn.ANCHORARRAY(Sintesi!$C$15),1,$C237)&lt;0)+($E237&gt;=LOOKUP(2,1/($E:$E&lt;&gt;""),$E:$E))*($E237&lt;=$E238)*($E237&gt;INDEX(_xlfn.ANCHORARRAY(Sintesi!$C$14),1,$C237))*($E237&lt;=INDEX(_xlfn.ANCHORARRAY(Sintesi!$C$15),1,$C237))*(INDEX(_xlfn.ANCHORARRAY(Sintesi!$C$15),1,$C237)&gt;0),1,IF(($E237&gt;=LOOKUP(2,1/($E:$E&lt;&gt;""),$E:$E))*($E237&lt;=$E238)*($E237&gt;INDEX(_xlfn.ANCHORARRAY(Sintesi!$C$14),1,$C237))*($E237&lt;INDEX(_xlfn.ANCHORARRAY(Sintesi!$C$16),1,$C237))*(INDEX(_xlfn.ANCHORARRAY(Sintesi!$C$15),1,$C237)&lt;0)+($E237&gt;=LOOKUP(2,1/($E:$E&lt;&gt;""),$E:$E))*($E237&lt;=$E238)*($E237&gt;INDEX(_xlfn.ANCHORARRAY(Sintesi!$C$15),1,$C237))*($E237&lt;INDEX(_xlfn.ANCHORARRAY(Sintesi!$C$16),1,$C237))*(INDEX(_xlfn.ANCHORARRAY(Sintesi!$C$15),1,$C237)&gt;0),2,IF($E237=(INDEX(_xlfn.ANCHORARRAY(Sintesi!$C$16),1,$C237)),3,4)))),0)))</f>
        <v/>
      </c>
      <c r="E237" s="1">
        <f>'Paste cell here'!F237</f>
        <v/>
      </c>
      <c r="F237" s="1">
        <f>'Paste cell here'!C237</f>
        <v/>
      </c>
      <c r="G237" s="1">
        <f>'Paste cell here'!D237</f>
        <v/>
      </c>
      <c r="H237" s="1">
        <f>'Paste cell here'!E237</f>
        <v/>
      </c>
      <c r="I237" s="1">
        <f>'Paste cell here'!X237</f>
        <v/>
      </c>
      <c r="J237" s="1">
        <f>'Paste cell here'!Y237+'Paste cell here'!S237</f>
        <v/>
      </c>
      <c r="K237" s="1">
        <f>I237/H237</f>
        <v/>
      </c>
      <c r="L237" s="1">
        <f>AVERAGE(($F237+$G237)/2-($F237-$G237)/2*COS(PI()*(8-VLOOKUP(MONTH(B237),$O$1:$Q$13,3))/(VLOOKUP(MONTH(B237),$O$1:$Q$13,2)-VLOOKUP(MONTH(B237),$O$1:$Q$13,3))),($F237+$G237)/2-($F237-$G237)/2*COS(PI()*(9-VLOOKUP(MONTH(B237),$O$1:$Q$13,3))/(VLOOKUP(MONTH(B237),$O$1:$Q$13,2)-VLOOKUP(MONTH(B237),$O$1:$Q$13,3))),($F237+$G237)/2-($F237-$G237)/2*COS(PI()*(10-VLOOKUP(MONTH(B237),$O$1:$Q$13,3))/(VLOOKUP(MONTH(B237),$O$1:$Q$13,2)-VLOOKUP(MONTH(B237),$O$1:$Q$13,3))),($F237+$G237)/2-($F237-$G237)/2*COS(PI()*(11-VLOOKUP(MONTH(B237),$O$1:$Q$13,3))/(VLOOKUP(MONTH(B237),$O$1:$Q$13,2)-VLOOKUP(MONTH(B237),$O$1:$Q$13,3))),($F237+$G237)/2-($F237-$G237)/2*COS(PI()*(12-VLOOKUP(MONTH(B237),$O$1:$Q$13,3))/(VLOOKUP(MONTH(B237),$O$1:$Q$13,2)-VLOOKUP(MONTH(B237),$O$1:$Q$13,3))),($F237+$G237)/2-($F237-$G237)/2*COS(PI()*(13-VLOOKUP(MONTH(B237),$O$1:$Q$13,3))/(VLOOKUP(MONTH(B237),$O$1:$Q$13,2)-VLOOKUP(MONTH(B237),$O$1:$Q$13,3))),($F237+$G237)/2-($F237-$G237)/2*COS(PI()*(14-VLOOKUP(MONTH(B237),$O$1:$Q$13,3))/(VLOOKUP(MONTH(B237),$O$1:$Q$13,2)-VLOOKUP(MONTH(B237),$O$1:$Q$13,3))))</f>
        <v/>
      </c>
      <c r="M237" s="1">
        <f t="array" ref="M237">IF(AND(A237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,A237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),IF(L237&lt;_xlfn.IFNA(INDEX(_xlfn.ANCHORARRAY(Sintesi!$C$17)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,1,IF(L237&gt;=_xlfn.IFNA(INDEX(_xlfn.ANCHORARRAY(Sintesi!$C$18)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,0,1-(L237-_xlfn.IFNA(INDEX(_xlfn.ANCHORARRAY(Sintesi!$C$17)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)/(_xlfn.IFNA(INDEX(_xlfn.ANCHORARRAY(Sintesi!$C$18)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-_xlfn.IFNA(INDEX(_xlfn.ANCHORARRAY(Sintesi!$C$17)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))),0)</f>
        <v/>
      </c>
    </row>
    <row r="238">
      <c r="A238" s="1">
        <f>'Paste cell here'!A238</f>
        <v/>
      </c>
      <c r="B238" s="2">
        <f>DATE(Sintesi!$C$4-1,12,31)+A238</f>
        <v/>
      </c>
      <c r="C238" s="34">
        <f t="array" ref="C238">_xlfn.IFNA(MATCH(1,(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)*(_xlfn.ANCHORARRAY(Sintesi!$C$15)&gt;=0)+(_xlfn.ANCHORARRAY(Sintesi!$C$15)&lt;0),0),0)</f>
        <v/>
      </c>
      <c r="D238" s="1">
        <f t="array" ref="D238">IF(ISBLANK($E239),IF(ISNUMBER($E237),IF($C238&gt;0,IF(($E238=INDEX(_xlfn.ANCHORARRAY(Sintesi!$C$14),1,$C238))*(INDEX(_xlfn.ANCHORARRAY(Sintesi!$C$15),1,$C238)&gt;0),0,IF(($E238=INDEX(_xlfn.ANCHORARRAY(Sintesi!$C$14),1,$C238))*(INDEX(_xlfn.ANCHORARRAY(Sintesi!$C$15),1,$C238)&lt;0)+($E238&gt;=$E237)*($E238&lt;=INDEX($E:$E,MATCH(TRUE,INDEX((ISNUMBER($E:$E)),0),0)))*($E238&gt;INDEX(_xlfn.ANCHORARRAY(Sintesi!$C$14),1,$C238))*($E238&lt;=INDEX(_xlfn.ANCHORARRAY(Sintesi!$C$15),1,$C238))*(INDEX(_xlfn.ANCHORARRAY(Sintesi!$C$15),1,$C238)&gt;0),1,IF(($E238&gt;=$E237)*($E238&lt;=INDEX($E:$E,MATCH(TRUE,INDEX((ISNUMBER($E:$E)),0),0)))*($E238&gt;INDEX(_xlfn.ANCHORARRAY(Sintesi!$C$14),1,$C238))*($E238&lt;INDEX(_xlfn.ANCHORARRAY(Sintesi!$C$16),1,$C238))*(INDEX(_xlfn.ANCHORARRAY(Sintesi!$C$15),1,$C238)&lt;0)+($E238&gt;=$E237)*($E238&lt;=INDEX($E:$E,MATCH(TRUE,INDEX((ISNUMBER($E:$E)),0),0)))*($E238&gt;INDEX(_xlfn.ANCHORARRAY(Sintesi!$C$15),1,$C238))*($E238&lt;INDEX(_xlfn.ANCHORARRAY(Sintesi!$C$16),1,$C238))*(INDEX(_xlfn.ANCHORARRAY(Sintesi!$C$15),1,$C238)&gt;0),2,IF($E238=(INDEX(_xlfn.ANCHORARRAY(Sintesi!$C$16),1,$C238)),3,4)))),0),IF($C238&gt;0,IF(($E238=INDEX(_xlfn.ANCHORARRAY(Sintesi!$C$14),1,$C238))*(INDEX(_xlfn.ANCHORARRAY(Sintesi!$C$15),1,$C238)&gt;0),0,IF(($E238=INDEX(_xlfn.ANCHORARRAY(Sintesi!$C$14),1,$C238))*(INDEX(_xlfn.ANCHORARRAY(Sintesi!$C$15),1,$C238)&lt;0)+($E238&gt;=LOOKUP(2,1/($E:$E&lt;&gt;""),$E:$E))*($E238&lt;=INDEX($E:$E,MATCH(TRUE,INDEX((ISNUMBER($E:$E)),0),0)))*($E238&gt;INDEX(_xlfn.ANCHORARRAY(Sintesi!$C$14),1,$C238))*($E238&lt;=INDEX(_xlfn.ANCHORARRAY(Sintesi!$C$15),1,$C238))*(INDEX(_xlfn.ANCHORARRAY(Sintesi!$C$15),1,$C238)&gt;0),1,IF(($E238&gt;=LOOKUP(2,1/($E:$E&lt;&gt;""),$E:$E))*($E238&lt;=INDEX($E:$E,MATCH(TRUE,INDEX((ISNUMBER($E:$E)),0),0)))*($E238&gt;INDEX(_xlfn.ANCHORARRAY(Sintesi!$C$14),1,$C238))*($E238&lt;INDEX(_xlfn.ANCHORARRAY(Sintesi!$C$16),1,$C238))*(INDEX(_xlfn.ANCHORARRAY(Sintesi!$C$15),1,$C238)&lt;0)+($E238&gt;=LOOKUP(2,1/($E:$E&lt;&gt;""),$E:$E))*($E238&lt;=INDEX($E:$E,MATCH(TRUE,INDEX((ISNUMBER($E:$E)),0),0)))*($E238&gt;INDEX(_xlfn.ANCHORARRAY(Sintesi!$C$15),1,$C238))*($E238&lt;INDEX(_xlfn.ANCHORARRAY(Sintesi!$C$16),1,$C238))*(INDEX(_xlfn.ANCHORARRAY(Sintesi!$C$15),1,$C238)&gt;0),2,IF($E238=(INDEX(_xlfn.ANCHORARRAY(Sintesi!$C$16),1,$C238)),3,4)))),0)),IF(ISNUMBER($E237),IF($C238&gt;0,IF(($E238=INDEX(_xlfn.ANCHORARRAY(Sintesi!$C$14),1,$C238))*(INDEX(_xlfn.ANCHORARRAY(Sintesi!$C$15),1,$C238)&gt;0),0,IF(($E238=INDEX(_xlfn.ANCHORARRAY(Sintesi!$C$14),1,$C238))*(INDEX(_xlfn.ANCHORARRAY(Sintesi!$C$15),1,$C238)&lt;0)+($E238&gt;=$E237)*($E238&lt;=$E239)*($E238&gt;INDEX(_xlfn.ANCHORARRAY(Sintesi!$C$14),1,$C238))*($E238&lt;=INDEX(_xlfn.ANCHORARRAY(Sintesi!$C$15),1,$C238))*(INDEX(_xlfn.ANCHORARRAY(Sintesi!$C$15),1,$C238)&gt;0),1,IF(($E238&gt;=$E237)*($E238&lt;=$E239)*($E238&gt;INDEX(_xlfn.ANCHORARRAY(Sintesi!$C$14),1,$C238))*($E238&lt;INDEX(_xlfn.ANCHORARRAY(Sintesi!$C$16),1,$C238))*(INDEX(_xlfn.ANCHORARRAY(Sintesi!$C$15),1,$C238)&lt;0)+($E238&gt;=$E237)*($E238&lt;=$E239)*($E238&gt;INDEX(_xlfn.ANCHORARRAY(Sintesi!$C$15),1,$C238))*($E238&lt;INDEX(_xlfn.ANCHORARRAY(Sintesi!$C$16),1,$C238))*(INDEX(_xlfn.ANCHORARRAY(Sintesi!$C$15),1,$C238)&gt;0),2,IF($E238=(INDEX(_xlfn.ANCHORARRAY(Sintesi!$C$16),1,$C238)),3,4)))),0),IF($C238&gt;0,IF(($E238=INDEX(_xlfn.ANCHORARRAY(Sintesi!$C$14),1,$C238))*(INDEX(_xlfn.ANCHORARRAY(Sintesi!$C$15),1,$C238)&gt;0),0,IF(($E238=INDEX(_xlfn.ANCHORARRAY(Sintesi!$C$14),1,$C238))*(INDEX(_xlfn.ANCHORARRAY(Sintesi!$C$15),1,$C238)&lt;0)+($E238&gt;=LOOKUP(2,1/($E:$E&lt;&gt;""),$E:$E))*($E238&lt;=$E239)*($E238&gt;INDEX(_xlfn.ANCHORARRAY(Sintesi!$C$14),1,$C238))*($E238&lt;=INDEX(_xlfn.ANCHORARRAY(Sintesi!$C$15),1,$C238))*(INDEX(_xlfn.ANCHORARRAY(Sintesi!$C$15),1,$C238)&gt;0),1,IF(($E238&gt;=LOOKUP(2,1/($E:$E&lt;&gt;""),$E:$E))*($E238&lt;=$E239)*($E238&gt;INDEX(_xlfn.ANCHORARRAY(Sintesi!$C$14),1,$C238))*($E238&lt;INDEX(_xlfn.ANCHORARRAY(Sintesi!$C$16),1,$C238))*(INDEX(_xlfn.ANCHORARRAY(Sintesi!$C$15),1,$C238)&lt;0)+($E238&gt;=LOOKUP(2,1/($E:$E&lt;&gt;""),$E:$E))*($E238&lt;=$E239)*($E238&gt;INDEX(_xlfn.ANCHORARRAY(Sintesi!$C$15),1,$C238))*($E238&lt;INDEX(_xlfn.ANCHORARRAY(Sintesi!$C$16),1,$C238))*(INDEX(_xlfn.ANCHORARRAY(Sintesi!$C$15),1,$C238)&gt;0),2,IF($E238=(INDEX(_xlfn.ANCHORARRAY(Sintesi!$C$16),1,$C238)),3,4)))),0)))</f>
        <v/>
      </c>
      <c r="E238" s="1">
        <f>'Paste cell here'!F238</f>
        <v/>
      </c>
      <c r="F238" s="1">
        <f>'Paste cell here'!C238</f>
        <v/>
      </c>
      <c r="G238" s="1">
        <f>'Paste cell here'!D238</f>
        <v/>
      </c>
      <c r="H238" s="1">
        <f>'Paste cell here'!E238</f>
        <v/>
      </c>
      <c r="I238" s="1">
        <f>'Paste cell here'!X238</f>
        <v/>
      </c>
      <c r="J238" s="1">
        <f>'Paste cell here'!Y238+'Paste cell here'!S238</f>
        <v/>
      </c>
      <c r="K238" s="1">
        <f>I238/H238</f>
        <v/>
      </c>
      <c r="L238" s="1">
        <f>AVERAGE(($F238+$G238)/2-($F238-$G238)/2*COS(PI()*(8-VLOOKUP(MONTH(B238),$O$1:$Q$13,3))/(VLOOKUP(MONTH(B238),$O$1:$Q$13,2)-VLOOKUP(MONTH(B238),$O$1:$Q$13,3))),($F238+$G238)/2-($F238-$G238)/2*COS(PI()*(9-VLOOKUP(MONTH(B238),$O$1:$Q$13,3))/(VLOOKUP(MONTH(B238),$O$1:$Q$13,2)-VLOOKUP(MONTH(B238),$O$1:$Q$13,3))),($F238+$G238)/2-($F238-$G238)/2*COS(PI()*(10-VLOOKUP(MONTH(B238),$O$1:$Q$13,3))/(VLOOKUP(MONTH(B238),$O$1:$Q$13,2)-VLOOKUP(MONTH(B238),$O$1:$Q$13,3))),($F238+$G238)/2-($F238-$G238)/2*COS(PI()*(11-VLOOKUP(MONTH(B238),$O$1:$Q$13,3))/(VLOOKUP(MONTH(B238),$O$1:$Q$13,2)-VLOOKUP(MONTH(B238),$O$1:$Q$13,3))),($F238+$G238)/2-($F238-$G238)/2*COS(PI()*(12-VLOOKUP(MONTH(B238),$O$1:$Q$13,3))/(VLOOKUP(MONTH(B238),$O$1:$Q$13,2)-VLOOKUP(MONTH(B238),$O$1:$Q$13,3))),($F238+$G238)/2-($F238-$G238)/2*COS(PI()*(13-VLOOKUP(MONTH(B238),$O$1:$Q$13,3))/(VLOOKUP(MONTH(B238),$O$1:$Q$13,2)-VLOOKUP(MONTH(B238),$O$1:$Q$13,3))),($F238+$G238)/2-($F238-$G238)/2*COS(PI()*(14-VLOOKUP(MONTH(B238),$O$1:$Q$13,3))/(VLOOKUP(MONTH(B238),$O$1:$Q$13,2)-VLOOKUP(MONTH(B238),$O$1:$Q$13,3))))</f>
        <v/>
      </c>
      <c r="M238" s="1">
        <f t="array" ref="M238">IF(AND(A238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,A238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),IF(L238&lt;_xlfn.IFNA(INDEX(_xlfn.ANCHORARRAY(Sintesi!$C$17)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,1,IF(L238&gt;=_xlfn.IFNA(INDEX(_xlfn.ANCHORARRAY(Sintesi!$C$18)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,0,1-(L238-_xlfn.IFNA(INDEX(_xlfn.ANCHORARRAY(Sintesi!$C$17)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)/(_xlfn.IFNA(INDEX(_xlfn.ANCHORARRAY(Sintesi!$C$18)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-_xlfn.IFNA(INDEX(_xlfn.ANCHORARRAY(Sintesi!$C$17)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))),0)</f>
        <v/>
      </c>
    </row>
    <row r="239">
      <c r="A239" s="1">
        <f>'Paste cell here'!A239</f>
        <v/>
      </c>
      <c r="B239" s="2">
        <f>DATE(Sintesi!$C$4-1,12,31)+A239</f>
        <v/>
      </c>
      <c r="C239" s="34">
        <f t="array" ref="C239">_xlfn.IFNA(MATCH(1,(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)*(_xlfn.ANCHORARRAY(Sintesi!$C$15)&gt;=0)+(_xlfn.ANCHORARRAY(Sintesi!$C$15)&lt;0),0),0)</f>
        <v/>
      </c>
      <c r="D239" s="1">
        <f t="array" ref="D239">IF(ISBLANK($E240),IF(ISNUMBER($E238),IF($C239&gt;0,IF(($E239=INDEX(_xlfn.ANCHORARRAY(Sintesi!$C$14),1,$C239))*(INDEX(_xlfn.ANCHORARRAY(Sintesi!$C$15),1,$C239)&gt;0),0,IF(($E239=INDEX(_xlfn.ANCHORARRAY(Sintesi!$C$14),1,$C239))*(INDEX(_xlfn.ANCHORARRAY(Sintesi!$C$15),1,$C239)&lt;0)+($E239&gt;=$E238)*($E239&lt;=INDEX($E:$E,MATCH(TRUE,INDEX((ISNUMBER($E:$E)),0),0)))*($E239&gt;INDEX(_xlfn.ANCHORARRAY(Sintesi!$C$14),1,$C239))*($E239&lt;=INDEX(_xlfn.ANCHORARRAY(Sintesi!$C$15),1,$C239))*(INDEX(_xlfn.ANCHORARRAY(Sintesi!$C$15),1,$C239)&gt;0),1,IF(($E239&gt;=$E238)*($E239&lt;=INDEX($E:$E,MATCH(TRUE,INDEX((ISNUMBER($E:$E)),0),0)))*($E239&gt;INDEX(_xlfn.ANCHORARRAY(Sintesi!$C$14),1,$C239))*($E239&lt;INDEX(_xlfn.ANCHORARRAY(Sintesi!$C$16),1,$C239))*(INDEX(_xlfn.ANCHORARRAY(Sintesi!$C$15),1,$C239)&lt;0)+($E239&gt;=$E238)*($E239&lt;=INDEX($E:$E,MATCH(TRUE,INDEX((ISNUMBER($E:$E)),0),0)))*($E239&gt;INDEX(_xlfn.ANCHORARRAY(Sintesi!$C$15),1,$C239))*($E239&lt;INDEX(_xlfn.ANCHORARRAY(Sintesi!$C$16),1,$C239))*(INDEX(_xlfn.ANCHORARRAY(Sintesi!$C$15),1,$C239)&gt;0),2,IF($E239=(INDEX(_xlfn.ANCHORARRAY(Sintesi!$C$16),1,$C239)),3,4)))),0),IF($C239&gt;0,IF(($E239=INDEX(_xlfn.ANCHORARRAY(Sintesi!$C$14),1,$C239))*(INDEX(_xlfn.ANCHORARRAY(Sintesi!$C$15),1,$C239)&gt;0),0,IF(($E239=INDEX(_xlfn.ANCHORARRAY(Sintesi!$C$14),1,$C239))*(INDEX(_xlfn.ANCHORARRAY(Sintesi!$C$15),1,$C239)&lt;0)+($E239&gt;=LOOKUP(2,1/($E:$E&lt;&gt;""),$E:$E))*($E239&lt;=INDEX($E:$E,MATCH(TRUE,INDEX((ISNUMBER($E:$E)),0),0)))*($E239&gt;INDEX(_xlfn.ANCHORARRAY(Sintesi!$C$14),1,$C239))*($E239&lt;=INDEX(_xlfn.ANCHORARRAY(Sintesi!$C$15),1,$C239))*(INDEX(_xlfn.ANCHORARRAY(Sintesi!$C$15),1,$C239)&gt;0),1,IF(($E239&gt;=LOOKUP(2,1/($E:$E&lt;&gt;""),$E:$E))*($E239&lt;=INDEX($E:$E,MATCH(TRUE,INDEX((ISNUMBER($E:$E)),0),0)))*($E239&gt;INDEX(_xlfn.ANCHORARRAY(Sintesi!$C$14),1,$C239))*($E239&lt;INDEX(_xlfn.ANCHORARRAY(Sintesi!$C$16),1,$C239))*(INDEX(_xlfn.ANCHORARRAY(Sintesi!$C$15),1,$C239)&lt;0)+($E239&gt;=LOOKUP(2,1/($E:$E&lt;&gt;""),$E:$E))*($E239&lt;=INDEX($E:$E,MATCH(TRUE,INDEX((ISNUMBER($E:$E)),0),0)))*($E239&gt;INDEX(_xlfn.ANCHORARRAY(Sintesi!$C$15),1,$C239))*($E239&lt;INDEX(_xlfn.ANCHORARRAY(Sintesi!$C$16),1,$C239))*(INDEX(_xlfn.ANCHORARRAY(Sintesi!$C$15),1,$C239)&gt;0),2,IF($E239=(INDEX(_xlfn.ANCHORARRAY(Sintesi!$C$16),1,$C239)),3,4)))),0)),IF(ISNUMBER($E238),IF($C239&gt;0,IF(($E239=INDEX(_xlfn.ANCHORARRAY(Sintesi!$C$14),1,$C239))*(INDEX(_xlfn.ANCHORARRAY(Sintesi!$C$15),1,$C239)&gt;0),0,IF(($E239=INDEX(_xlfn.ANCHORARRAY(Sintesi!$C$14),1,$C239))*(INDEX(_xlfn.ANCHORARRAY(Sintesi!$C$15),1,$C239)&lt;0)+($E239&gt;=$E238)*($E239&lt;=$E240)*($E239&gt;INDEX(_xlfn.ANCHORARRAY(Sintesi!$C$14),1,$C239))*($E239&lt;=INDEX(_xlfn.ANCHORARRAY(Sintesi!$C$15),1,$C239))*(INDEX(_xlfn.ANCHORARRAY(Sintesi!$C$15),1,$C239)&gt;0),1,IF(($E239&gt;=$E238)*($E239&lt;=$E240)*($E239&gt;INDEX(_xlfn.ANCHORARRAY(Sintesi!$C$14),1,$C239))*($E239&lt;INDEX(_xlfn.ANCHORARRAY(Sintesi!$C$16),1,$C239))*(INDEX(_xlfn.ANCHORARRAY(Sintesi!$C$15),1,$C239)&lt;0)+($E239&gt;=$E238)*($E239&lt;=$E240)*($E239&gt;INDEX(_xlfn.ANCHORARRAY(Sintesi!$C$15),1,$C239))*($E239&lt;INDEX(_xlfn.ANCHORARRAY(Sintesi!$C$16),1,$C239))*(INDEX(_xlfn.ANCHORARRAY(Sintesi!$C$15),1,$C239)&gt;0),2,IF($E239=(INDEX(_xlfn.ANCHORARRAY(Sintesi!$C$16),1,$C239)),3,4)))),0),IF($C239&gt;0,IF(($E239=INDEX(_xlfn.ANCHORARRAY(Sintesi!$C$14),1,$C239))*(INDEX(_xlfn.ANCHORARRAY(Sintesi!$C$15),1,$C239)&gt;0),0,IF(($E239=INDEX(_xlfn.ANCHORARRAY(Sintesi!$C$14),1,$C239))*(INDEX(_xlfn.ANCHORARRAY(Sintesi!$C$15),1,$C239)&lt;0)+($E239&gt;=LOOKUP(2,1/($E:$E&lt;&gt;""),$E:$E))*($E239&lt;=$E240)*($E239&gt;INDEX(_xlfn.ANCHORARRAY(Sintesi!$C$14),1,$C239))*($E239&lt;=INDEX(_xlfn.ANCHORARRAY(Sintesi!$C$15),1,$C239))*(INDEX(_xlfn.ANCHORARRAY(Sintesi!$C$15),1,$C239)&gt;0),1,IF(($E239&gt;=LOOKUP(2,1/($E:$E&lt;&gt;""),$E:$E))*($E239&lt;=$E240)*($E239&gt;INDEX(_xlfn.ANCHORARRAY(Sintesi!$C$14),1,$C239))*($E239&lt;INDEX(_xlfn.ANCHORARRAY(Sintesi!$C$16),1,$C239))*(INDEX(_xlfn.ANCHORARRAY(Sintesi!$C$15),1,$C239)&lt;0)+($E239&gt;=LOOKUP(2,1/($E:$E&lt;&gt;""),$E:$E))*($E239&lt;=$E240)*($E239&gt;INDEX(_xlfn.ANCHORARRAY(Sintesi!$C$15),1,$C239))*($E239&lt;INDEX(_xlfn.ANCHORARRAY(Sintesi!$C$16),1,$C239))*(INDEX(_xlfn.ANCHORARRAY(Sintesi!$C$15),1,$C239)&gt;0),2,IF($E239=(INDEX(_xlfn.ANCHORARRAY(Sintesi!$C$16),1,$C239)),3,4)))),0)))</f>
        <v/>
      </c>
      <c r="E239" s="1">
        <f>'Paste cell here'!F239</f>
        <v/>
      </c>
      <c r="F239" s="1">
        <f>'Paste cell here'!C239</f>
        <v/>
      </c>
      <c r="G239" s="1">
        <f>'Paste cell here'!D239</f>
        <v/>
      </c>
      <c r="H239" s="1">
        <f>'Paste cell here'!E239</f>
        <v/>
      </c>
      <c r="I239" s="1">
        <f>'Paste cell here'!X239</f>
        <v/>
      </c>
      <c r="J239" s="1">
        <f>'Paste cell here'!Y239+'Paste cell here'!S239</f>
        <v/>
      </c>
      <c r="K239" s="1">
        <f>I239/H239</f>
        <v/>
      </c>
      <c r="L239" s="1">
        <f>AVERAGE(($F239+$G239)/2-($F239-$G239)/2*COS(PI()*(8-VLOOKUP(MONTH(B239),$O$1:$Q$13,3))/(VLOOKUP(MONTH(B239),$O$1:$Q$13,2)-VLOOKUP(MONTH(B239),$O$1:$Q$13,3))),($F239+$G239)/2-($F239-$G239)/2*COS(PI()*(9-VLOOKUP(MONTH(B239),$O$1:$Q$13,3))/(VLOOKUP(MONTH(B239),$O$1:$Q$13,2)-VLOOKUP(MONTH(B239),$O$1:$Q$13,3))),($F239+$G239)/2-($F239-$G239)/2*COS(PI()*(10-VLOOKUP(MONTH(B239),$O$1:$Q$13,3))/(VLOOKUP(MONTH(B239),$O$1:$Q$13,2)-VLOOKUP(MONTH(B239),$O$1:$Q$13,3))),($F239+$G239)/2-($F239-$G239)/2*COS(PI()*(11-VLOOKUP(MONTH(B239),$O$1:$Q$13,3))/(VLOOKUP(MONTH(B239),$O$1:$Q$13,2)-VLOOKUP(MONTH(B239),$O$1:$Q$13,3))),($F239+$G239)/2-($F239-$G239)/2*COS(PI()*(12-VLOOKUP(MONTH(B239),$O$1:$Q$13,3))/(VLOOKUP(MONTH(B239),$O$1:$Q$13,2)-VLOOKUP(MONTH(B239),$O$1:$Q$13,3))),($F239+$G239)/2-($F239-$G239)/2*COS(PI()*(13-VLOOKUP(MONTH(B239),$O$1:$Q$13,3))/(VLOOKUP(MONTH(B239),$O$1:$Q$13,2)-VLOOKUP(MONTH(B239),$O$1:$Q$13,3))),($F239+$G239)/2-($F239-$G239)/2*COS(PI()*(14-VLOOKUP(MONTH(B239),$O$1:$Q$13,3))/(VLOOKUP(MONTH(B239),$O$1:$Q$13,2)-VLOOKUP(MONTH(B239),$O$1:$Q$13,3))))</f>
        <v/>
      </c>
      <c r="M239" s="1">
        <f t="array" ref="M239">IF(AND(A239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,A239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),IF(L239&lt;_xlfn.IFNA(INDEX(_xlfn.ANCHORARRAY(Sintesi!$C$17)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,1,IF(L239&gt;=_xlfn.IFNA(INDEX(_xlfn.ANCHORARRAY(Sintesi!$C$18)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,0,1-(L239-_xlfn.IFNA(INDEX(_xlfn.ANCHORARRAY(Sintesi!$C$17)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)/(_xlfn.IFNA(INDEX(_xlfn.ANCHORARRAY(Sintesi!$C$18)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-_xlfn.IFNA(INDEX(_xlfn.ANCHORARRAY(Sintesi!$C$17)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))),0)</f>
        <v/>
      </c>
    </row>
    <row r="240">
      <c r="A240" s="1">
        <f>'Paste cell here'!A240</f>
        <v/>
      </c>
      <c r="B240" s="2">
        <f>DATE(Sintesi!$C$4-1,12,31)+A240</f>
        <v/>
      </c>
      <c r="C240" s="34">
        <f t="array" ref="C240">_xlfn.IFNA(MATCH(1,(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)*(_xlfn.ANCHORARRAY(Sintesi!$C$15)&gt;=0)+(_xlfn.ANCHORARRAY(Sintesi!$C$15)&lt;0),0),0)</f>
        <v/>
      </c>
      <c r="D240" s="1">
        <f t="array" ref="D240">IF(ISBLANK($E241),IF(ISNUMBER($E239),IF($C240&gt;0,IF(($E240=INDEX(_xlfn.ANCHORARRAY(Sintesi!$C$14),1,$C240))*(INDEX(_xlfn.ANCHORARRAY(Sintesi!$C$15),1,$C240)&gt;0),0,IF(($E240=INDEX(_xlfn.ANCHORARRAY(Sintesi!$C$14),1,$C240))*(INDEX(_xlfn.ANCHORARRAY(Sintesi!$C$15),1,$C240)&lt;0)+($E240&gt;=$E239)*($E240&lt;=INDEX($E:$E,MATCH(TRUE,INDEX((ISNUMBER($E:$E)),0),0)))*($E240&gt;INDEX(_xlfn.ANCHORARRAY(Sintesi!$C$14),1,$C240))*($E240&lt;=INDEX(_xlfn.ANCHORARRAY(Sintesi!$C$15),1,$C240))*(INDEX(_xlfn.ANCHORARRAY(Sintesi!$C$15),1,$C240)&gt;0),1,IF(($E240&gt;=$E239)*($E240&lt;=INDEX($E:$E,MATCH(TRUE,INDEX((ISNUMBER($E:$E)),0),0)))*($E240&gt;INDEX(_xlfn.ANCHORARRAY(Sintesi!$C$14),1,$C240))*($E240&lt;INDEX(_xlfn.ANCHORARRAY(Sintesi!$C$16),1,$C240))*(INDEX(_xlfn.ANCHORARRAY(Sintesi!$C$15),1,$C240)&lt;0)+($E240&gt;=$E239)*($E240&lt;=INDEX($E:$E,MATCH(TRUE,INDEX((ISNUMBER($E:$E)),0),0)))*($E240&gt;INDEX(_xlfn.ANCHORARRAY(Sintesi!$C$15),1,$C240))*($E240&lt;INDEX(_xlfn.ANCHORARRAY(Sintesi!$C$16),1,$C240))*(INDEX(_xlfn.ANCHORARRAY(Sintesi!$C$15),1,$C240)&gt;0),2,IF($E240=(INDEX(_xlfn.ANCHORARRAY(Sintesi!$C$16),1,$C240)),3,4)))),0),IF($C240&gt;0,IF(($E240=INDEX(_xlfn.ANCHORARRAY(Sintesi!$C$14),1,$C240))*(INDEX(_xlfn.ANCHORARRAY(Sintesi!$C$15),1,$C240)&gt;0),0,IF(($E240=INDEX(_xlfn.ANCHORARRAY(Sintesi!$C$14),1,$C240))*(INDEX(_xlfn.ANCHORARRAY(Sintesi!$C$15),1,$C240)&lt;0)+($E240&gt;=LOOKUP(2,1/($E:$E&lt;&gt;""),$E:$E))*($E240&lt;=INDEX($E:$E,MATCH(TRUE,INDEX((ISNUMBER($E:$E)),0),0)))*($E240&gt;INDEX(_xlfn.ANCHORARRAY(Sintesi!$C$14),1,$C240))*($E240&lt;=INDEX(_xlfn.ANCHORARRAY(Sintesi!$C$15),1,$C240))*(INDEX(_xlfn.ANCHORARRAY(Sintesi!$C$15),1,$C240)&gt;0),1,IF(($E240&gt;=LOOKUP(2,1/($E:$E&lt;&gt;""),$E:$E))*($E240&lt;=INDEX($E:$E,MATCH(TRUE,INDEX((ISNUMBER($E:$E)),0),0)))*($E240&gt;INDEX(_xlfn.ANCHORARRAY(Sintesi!$C$14),1,$C240))*($E240&lt;INDEX(_xlfn.ANCHORARRAY(Sintesi!$C$16),1,$C240))*(INDEX(_xlfn.ANCHORARRAY(Sintesi!$C$15),1,$C240)&lt;0)+($E240&gt;=LOOKUP(2,1/($E:$E&lt;&gt;""),$E:$E))*($E240&lt;=INDEX($E:$E,MATCH(TRUE,INDEX((ISNUMBER($E:$E)),0),0)))*($E240&gt;INDEX(_xlfn.ANCHORARRAY(Sintesi!$C$15),1,$C240))*($E240&lt;INDEX(_xlfn.ANCHORARRAY(Sintesi!$C$16),1,$C240))*(INDEX(_xlfn.ANCHORARRAY(Sintesi!$C$15),1,$C240)&gt;0),2,IF($E240=(INDEX(_xlfn.ANCHORARRAY(Sintesi!$C$16),1,$C240)),3,4)))),0)),IF(ISNUMBER($E239),IF($C240&gt;0,IF(($E240=INDEX(_xlfn.ANCHORARRAY(Sintesi!$C$14),1,$C240))*(INDEX(_xlfn.ANCHORARRAY(Sintesi!$C$15),1,$C240)&gt;0),0,IF(($E240=INDEX(_xlfn.ANCHORARRAY(Sintesi!$C$14),1,$C240))*(INDEX(_xlfn.ANCHORARRAY(Sintesi!$C$15),1,$C240)&lt;0)+($E240&gt;=$E239)*($E240&lt;=$E241)*($E240&gt;INDEX(_xlfn.ANCHORARRAY(Sintesi!$C$14),1,$C240))*($E240&lt;=INDEX(_xlfn.ANCHORARRAY(Sintesi!$C$15),1,$C240))*(INDEX(_xlfn.ANCHORARRAY(Sintesi!$C$15),1,$C240)&gt;0),1,IF(($E240&gt;=$E239)*($E240&lt;=$E241)*($E240&gt;INDEX(_xlfn.ANCHORARRAY(Sintesi!$C$14),1,$C240))*($E240&lt;INDEX(_xlfn.ANCHORARRAY(Sintesi!$C$16),1,$C240))*(INDEX(_xlfn.ANCHORARRAY(Sintesi!$C$15),1,$C240)&lt;0)+($E240&gt;=$E239)*($E240&lt;=$E241)*($E240&gt;INDEX(_xlfn.ANCHORARRAY(Sintesi!$C$15),1,$C240))*($E240&lt;INDEX(_xlfn.ANCHORARRAY(Sintesi!$C$16),1,$C240))*(INDEX(_xlfn.ANCHORARRAY(Sintesi!$C$15),1,$C240)&gt;0),2,IF($E240=(INDEX(_xlfn.ANCHORARRAY(Sintesi!$C$16),1,$C240)),3,4)))),0),IF($C240&gt;0,IF(($E240=INDEX(_xlfn.ANCHORARRAY(Sintesi!$C$14),1,$C240))*(INDEX(_xlfn.ANCHORARRAY(Sintesi!$C$15),1,$C240)&gt;0),0,IF(($E240=INDEX(_xlfn.ANCHORARRAY(Sintesi!$C$14),1,$C240))*(INDEX(_xlfn.ANCHORARRAY(Sintesi!$C$15),1,$C240)&lt;0)+($E240&gt;=LOOKUP(2,1/($E:$E&lt;&gt;""),$E:$E))*($E240&lt;=$E241)*($E240&gt;INDEX(_xlfn.ANCHORARRAY(Sintesi!$C$14),1,$C240))*($E240&lt;=INDEX(_xlfn.ANCHORARRAY(Sintesi!$C$15),1,$C240))*(INDEX(_xlfn.ANCHORARRAY(Sintesi!$C$15),1,$C240)&gt;0),1,IF(($E240&gt;=LOOKUP(2,1/($E:$E&lt;&gt;""),$E:$E))*($E240&lt;=$E241)*($E240&gt;INDEX(_xlfn.ANCHORARRAY(Sintesi!$C$14),1,$C240))*($E240&lt;INDEX(_xlfn.ANCHORARRAY(Sintesi!$C$16),1,$C240))*(INDEX(_xlfn.ANCHORARRAY(Sintesi!$C$15),1,$C240)&lt;0)+($E240&gt;=LOOKUP(2,1/($E:$E&lt;&gt;""),$E:$E))*($E240&lt;=$E241)*($E240&gt;INDEX(_xlfn.ANCHORARRAY(Sintesi!$C$15),1,$C240))*($E240&lt;INDEX(_xlfn.ANCHORARRAY(Sintesi!$C$16),1,$C240))*(INDEX(_xlfn.ANCHORARRAY(Sintesi!$C$15),1,$C240)&gt;0),2,IF($E240=(INDEX(_xlfn.ANCHORARRAY(Sintesi!$C$16),1,$C240)),3,4)))),0)))</f>
        <v/>
      </c>
      <c r="E240" s="1">
        <f>'Paste cell here'!F240</f>
        <v/>
      </c>
      <c r="F240" s="1">
        <f>'Paste cell here'!C240</f>
        <v/>
      </c>
      <c r="G240" s="1">
        <f>'Paste cell here'!D240</f>
        <v/>
      </c>
      <c r="H240" s="1">
        <f>'Paste cell here'!E240</f>
        <v/>
      </c>
      <c r="I240" s="1">
        <f>'Paste cell here'!X240</f>
        <v/>
      </c>
      <c r="J240" s="1">
        <f>'Paste cell here'!Y240+'Paste cell here'!S240</f>
        <v/>
      </c>
      <c r="K240" s="1">
        <f>I240/H240</f>
        <v/>
      </c>
      <c r="L240" s="1">
        <f>AVERAGE(($F240+$G240)/2-($F240-$G240)/2*COS(PI()*(8-VLOOKUP(MONTH(B240),$O$1:$Q$13,3))/(VLOOKUP(MONTH(B240),$O$1:$Q$13,2)-VLOOKUP(MONTH(B240),$O$1:$Q$13,3))),($F240+$G240)/2-($F240-$G240)/2*COS(PI()*(9-VLOOKUP(MONTH(B240),$O$1:$Q$13,3))/(VLOOKUP(MONTH(B240),$O$1:$Q$13,2)-VLOOKUP(MONTH(B240),$O$1:$Q$13,3))),($F240+$G240)/2-($F240-$G240)/2*COS(PI()*(10-VLOOKUP(MONTH(B240),$O$1:$Q$13,3))/(VLOOKUP(MONTH(B240),$O$1:$Q$13,2)-VLOOKUP(MONTH(B240),$O$1:$Q$13,3))),($F240+$G240)/2-($F240-$G240)/2*COS(PI()*(11-VLOOKUP(MONTH(B240),$O$1:$Q$13,3))/(VLOOKUP(MONTH(B240),$O$1:$Q$13,2)-VLOOKUP(MONTH(B240),$O$1:$Q$13,3))),($F240+$G240)/2-($F240-$G240)/2*COS(PI()*(12-VLOOKUP(MONTH(B240),$O$1:$Q$13,3))/(VLOOKUP(MONTH(B240),$O$1:$Q$13,2)-VLOOKUP(MONTH(B240),$O$1:$Q$13,3))),($F240+$G240)/2-($F240-$G240)/2*COS(PI()*(13-VLOOKUP(MONTH(B240),$O$1:$Q$13,3))/(VLOOKUP(MONTH(B240),$O$1:$Q$13,2)-VLOOKUP(MONTH(B240),$O$1:$Q$13,3))),($F240+$G240)/2-($F240-$G240)/2*COS(PI()*(14-VLOOKUP(MONTH(B240),$O$1:$Q$13,3))/(VLOOKUP(MONTH(B240),$O$1:$Q$13,2)-VLOOKUP(MONTH(B240),$O$1:$Q$13,3))))</f>
        <v/>
      </c>
      <c r="M240" s="1">
        <f t="array" ref="M240">IF(AND(A240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,A240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),IF(L240&lt;_xlfn.IFNA(INDEX(_xlfn.ANCHORARRAY(Sintesi!$C$17)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,1,IF(L240&gt;=_xlfn.IFNA(INDEX(_xlfn.ANCHORARRAY(Sintesi!$C$18)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,0,1-(L240-_xlfn.IFNA(INDEX(_xlfn.ANCHORARRAY(Sintesi!$C$17)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)/(_xlfn.IFNA(INDEX(_xlfn.ANCHORARRAY(Sintesi!$C$18)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-_xlfn.IFNA(INDEX(_xlfn.ANCHORARRAY(Sintesi!$C$17)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))),0)</f>
        <v/>
      </c>
    </row>
    <row r="241">
      <c r="A241" s="1">
        <f>'Paste cell here'!A241</f>
        <v/>
      </c>
      <c r="B241" s="2">
        <f>DATE(Sintesi!$C$4-1,12,31)+A241</f>
        <v/>
      </c>
      <c r="C241" s="34">
        <f t="array" ref="C241">_xlfn.IFNA(MATCH(1,(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)*(_xlfn.ANCHORARRAY(Sintesi!$C$15)&gt;=0)+(_xlfn.ANCHORARRAY(Sintesi!$C$15)&lt;0),0),0)</f>
        <v/>
      </c>
      <c r="D241" s="1">
        <f t="array" ref="D241">IF(ISBLANK($E242),IF(ISNUMBER($E240),IF($C241&gt;0,IF(($E241=INDEX(_xlfn.ANCHORARRAY(Sintesi!$C$14),1,$C241))*(INDEX(_xlfn.ANCHORARRAY(Sintesi!$C$15),1,$C241)&gt;0),0,IF(($E241=INDEX(_xlfn.ANCHORARRAY(Sintesi!$C$14),1,$C241))*(INDEX(_xlfn.ANCHORARRAY(Sintesi!$C$15),1,$C241)&lt;0)+($E241&gt;=$E240)*($E241&lt;=INDEX($E:$E,MATCH(TRUE,INDEX((ISNUMBER($E:$E)),0),0)))*($E241&gt;INDEX(_xlfn.ANCHORARRAY(Sintesi!$C$14),1,$C241))*($E241&lt;=INDEX(_xlfn.ANCHORARRAY(Sintesi!$C$15),1,$C241))*(INDEX(_xlfn.ANCHORARRAY(Sintesi!$C$15),1,$C241)&gt;0),1,IF(($E241&gt;=$E240)*($E241&lt;=INDEX($E:$E,MATCH(TRUE,INDEX((ISNUMBER($E:$E)),0),0)))*($E241&gt;INDEX(_xlfn.ANCHORARRAY(Sintesi!$C$14),1,$C241))*($E241&lt;INDEX(_xlfn.ANCHORARRAY(Sintesi!$C$16),1,$C241))*(INDEX(_xlfn.ANCHORARRAY(Sintesi!$C$15),1,$C241)&lt;0)+($E241&gt;=$E240)*($E241&lt;=INDEX($E:$E,MATCH(TRUE,INDEX((ISNUMBER($E:$E)),0),0)))*($E241&gt;INDEX(_xlfn.ANCHORARRAY(Sintesi!$C$15),1,$C241))*($E241&lt;INDEX(_xlfn.ANCHORARRAY(Sintesi!$C$16),1,$C241))*(INDEX(_xlfn.ANCHORARRAY(Sintesi!$C$15),1,$C241)&gt;0),2,IF($E241=(INDEX(_xlfn.ANCHORARRAY(Sintesi!$C$16),1,$C241)),3,4)))),0),IF($C241&gt;0,IF(($E241=INDEX(_xlfn.ANCHORARRAY(Sintesi!$C$14),1,$C241))*(INDEX(_xlfn.ANCHORARRAY(Sintesi!$C$15),1,$C241)&gt;0),0,IF(($E241=INDEX(_xlfn.ANCHORARRAY(Sintesi!$C$14),1,$C241))*(INDEX(_xlfn.ANCHORARRAY(Sintesi!$C$15),1,$C241)&lt;0)+($E241&gt;=LOOKUP(2,1/($E:$E&lt;&gt;""),$E:$E))*($E241&lt;=INDEX($E:$E,MATCH(TRUE,INDEX((ISNUMBER($E:$E)),0),0)))*($E241&gt;INDEX(_xlfn.ANCHORARRAY(Sintesi!$C$14),1,$C241))*($E241&lt;=INDEX(_xlfn.ANCHORARRAY(Sintesi!$C$15),1,$C241))*(INDEX(_xlfn.ANCHORARRAY(Sintesi!$C$15),1,$C241)&gt;0),1,IF(($E241&gt;=LOOKUP(2,1/($E:$E&lt;&gt;""),$E:$E))*($E241&lt;=INDEX($E:$E,MATCH(TRUE,INDEX((ISNUMBER($E:$E)),0),0)))*($E241&gt;INDEX(_xlfn.ANCHORARRAY(Sintesi!$C$14),1,$C241))*($E241&lt;INDEX(_xlfn.ANCHORARRAY(Sintesi!$C$16),1,$C241))*(INDEX(_xlfn.ANCHORARRAY(Sintesi!$C$15),1,$C241)&lt;0)+($E241&gt;=LOOKUP(2,1/($E:$E&lt;&gt;""),$E:$E))*($E241&lt;=INDEX($E:$E,MATCH(TRUE,INDEX((ISNUMBER($E:$E)),0),0)))*($E241&gt;INDEX(_xlfn.ANCHORARRAY(Sintesi!$C$15),1,$C241))*($E241&lt;INDEX(_xlfn.ANCHORARRAY(Sintesi!$C$16),1,$C241))*(INDEX(_xlfn.ANCHORARRAY(Sintesi!$C$15),1,$C241)&gt;0),2,IF($E241=(INDEX(_xlfn.ANCHORARRAY(Sintesi!$C$16),1,$C241)),3,4)))),0)),IF(ISNUMBER($E240),IF($C241&gt;0,IF(($E241=INDEX(_xlfn.ANCHORARRAY(Sintesi!$C$14),1,$C241))*(INDEX(_xlfn.ANCHORARRAY(Sintesi!$C$15),1,$C241)&gt;0),0,IF(($E241=INDEX(_xlfn.ANCHORARRAY(Sintesi!$C$14),1,$C241))*(INDEX(_xlfn.ANCHORARRAY(Sintesi!$C$15),1,$C241)&lt;0)+($E241&gt;=$E240)*($E241&lt;=$E242)*($E241&gt;INDEX(_xlfn.ANCHORARRAY(Sintesi!$C$14),1,$C241))*($E241&lt;=INDEX(_xlfn.ANCHORARRAY(Sintesi!$C$15),1,$C241))*(INDEX(_xlfn.ANCHORARRAY(Sintesi!$C$15),1,$C241)&gt;0),1,IF(($E241&gt;=$E240)*($E241&lt;=$E242)*($E241&gt;INDEX(_xlfn.ANCHORARRAY(Sintesi!$C$14),1,$C241))*($E241&lt;INDEX(_xlfn.ANCHORARRAY(Sintesi!$C$16),1,$C241))*(INDEX(_xlfn.ANCHORARRAY(Sintesi!$C$15),1,$C241)&lt;0)+($E241&gt;=$E240)*($E241&lt;=$E242)*($E241&gt;INDEX(_xlfn.ANCHORARRAY(Sintesi!$C$15),1,$C241))*($E241&lt;INDEX(_xlfn.ANCHORARRAY(Sintesi!$C$16),1,$C241))*(INDEX(_xlfn.ANCHORARRAY(Sintesi!$C$15),1,$C241)&gt;0),2,IF($E241=(INDEX(_xlfn.ANCHORARRAY(Sintesi!$C$16),1,$C241)),3,4)))),0),IF($C241&gt;0,IF(($E241=INDEX(_xlfn.ANCHORARRAY(Sintesi!$C$14),1,$C241))*(INDEX(_xlfn.ANCHORARRAY(Sintesi!$C$15),1,$C241)&gt;0),0,IF(($E241=INDEX(_xlfn.ANCHORARRAY(Sintesi!$C$14),1,$C241))*(INDEX(_xlfn.ANCHORARRAY(Sintesi!$C$15),1,$C241)&lt;0)+($E241&gt;=LOOKUP(2,1/($E:$E&lt;&gt;""),$E:$E))*($E241&lt;=$E242)*($E241&gt;INDEX(_xlfn.ANCHORARRAY(Sintesi!$C$14),1,$C241))*($E241&lt;=INDEX(_xlfn.ANCHORARRAY(Sintesi!$C$15),1,$C241))*(INDEX(_xlfn.ANCHORARRAY(Sintesi!$C$15),1,$C241)&gt;0),1,IF(($E241&gt;=LOOKUP(2,1/($E:$E&lt;&gt;""),$E:$E))*($E241&lt;=$E242)*($E241&gt;INDEX(_xlfn.ANCHORARRAY(Sintesi!$C$14),1,$C241))*($E241&lt;INDEX(_xlfn.ANCHORARRAY(Sintesi!$C$16),1,$C241))*(INDEX(_xlfn.ANCHORARRAY(Sintesi!$C$15),1,$C241)&lt;0)+($E241&gt;=LOOKUP(2,1/($E:$E&lt;&gt;""),$E:$E))*($E241&lt;=$E242)*($E241&gt;INDEX(_xlfn.ANCHORARRAY(Sintesi!$C$15),1,$C241))*($E241&lt;INDEX(_xlfn.ANCHORARRAY(Sintesi!$C$16),1,$C241))*(INDEX(_xlfn.ANCHORARRAY(Sintesi!$C$15),1,$C241)&gt;0),2,IF($E241=(INDEX(_xlfn.ANCHORARRAY(Sintesi!$C$16),1,$C241)),3,4)))),0)))</f>
        <v/>
      </c>
      <c r="E241" s="1">
        <f>'Paste cell here'!F241</f>
        <v/>
      </c>
      <c r="F241" s="1">
        <f>'Paste cell here'!C241</f>
        <v/>
      </c>
      <c r="G241" s="1">
        <f>'Paste cell here'!D241</f>
        <v/>
      </c>
      <c r="H241" s="1">
        <f>'Paste cell here'!E241</f>
        <v/>
      </c>
      <c r="I241" s="1">
        <f>'Paste cell here'!X241</f>
        <v/>
      </c>
      <c r="J241" s="1">
        <f>'Paste cell here'!Y241+'Paste cell here'!S241</f>
        <v/>
      </c>
      <c r="K241" s="1">
        <f>I241/H241</f>
        <v/>
      </c>
      <c r="L241" s="1">
        <f>AVERAGE(($F241+$G241)/2-($F241-$G241)/2*COS(PI()*(8-VLOOKUP(MONTH(B241),$O$1:$Q$13,3))/(VLOOKUP(MONTH(B241),$O$1:$Q$13,2)-VLOOKUP(MONTH(B241),$O$1:$Q$13,3))),($F241+$G241)/2-($F241-$G241)/2*COS(PI()*(9-VLOOKUP(MONTH(B241),$O$1:$Q$13,3))/(VLOOKUP(MONTH(B241),$O$1:$Q$13,2)-VLOOKUP(MONTH(B241),$O$1:$Q$13,3))),($F241+$G241)/2-($F241-$G241)/2*COS(PI()*(10-VLOOKUP(MONTH(B241),$O$1:$Q$13,3))/(VLOOKUP(MONTH(B241),$O$1:$Q$13,2)-VLOOKUP(MONTH(B241),$O$1:$Q$13,3))),($F241+$G241)/2-($F241-$G241)/2*COS(PI()*(11-VLOOKUP(MONTH(B241),$O$1:$Q$13,3))/(VLOOKUP(MONTH(B241),$O$1:$Q$13,2)-VLOOKUP(MONTH(B241),$O$1:$Q$13,3))),($F241+$G241)/2-($F241-$G241)/2*COS(PI()*(12-VLOOKUP(MONTH(B241),$O$1:$Q$13,3))/(VLOOKUP(MONTH(B241),$O$1:$Q$13,2)-VLOOKUP(MONTH(B241),$O$1:$Q$13,3))),($F241+$G241)/2-($F241-$G241)/2*COS(PI()*(13-VLOOKUP(MONTH(B241),$O$1:$Q$13,3))/(VLOOKUP(MONTH(B241),$O$1:$Q$13,2)-VLOOKUP(MONTH(B241),$O$1:$Q$13,3))),($F241+$G241)/2-($F241-$G241)/2*COS(PI()*(14-VLOOKUP(MONTH(B241),$O$1:$Q$13,3))/(VLOOKUP(MONTH(B241),$O$1:$Q$13,2)-VLOOKUP(MONTH(B241),$O$1:$Q$13,3))))</f>
        <v/>
      </c>
      <c r="M241" s="1">
        <f t="array" ref="M241">IF(AND(A241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,A241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),IF(L241&lt;_xlfn.IFNA(INDEX(_xlfn.ANCHORARRAY(Sintesi!$C$17)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,1,IF(L241&gt;=_xlfn.IFNA(INDEX(_xlfn.ANCHORARRAY(Sintesi!$C$18)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,0,1-(L241-_xlfn.IFNA(INDEX(_xlfn.ANCHORARRAY(Sintesi!$C$17)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)/(_xlfn.IFNA(INDEX(_xlfn.ANCHORARRAY(Sintesi!$C$18)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-_xlfn.IFNA(INDEX(_xlfn.ANCHORARRAY(Sintesi!$C$17)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))),0)</f>
        <v/>
      </c>
    </row>
    <row r="242">
      <c r="A242" s="1">
        <f>'Paste cell here'!A242</f>
        <v/>
      </c>
      <c r="B242" s="2">
        <f>DATE(Sintesi!$C$4-1,12,31)+A242</f>
        <v/>
      </c>
      <c r="C242" s="34">
        <f t="array" ref="C242">_xlfn.IFNA(MATCH(1,(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)*(_xlfn.ANCHORARRAY(Sintesi!$C$15)&gt;=0)+(_xlfn.ANCHORARRAY(Sintesi!$C$15)&lt;0),0),0)</f>
        <v/>
      </c>
      <c r="D242" s="1">
        <f t="array" ref="D242">IF(ISBLANK($E243),IF(ISNUMBER($E241),IF($C242&gt;0,IF(($E242=INDEX(_xlfn.ANCHORARRAY(Sintesi!$C$14),1,$C242))*(INDEX(_xlfn.ANCHORARRAY(Sintesi!$C$15),1,$C242)&gt;0),0,IF(($E242=INDEX(_xlfn.ANCHORARRAY(Sintesi!$C$14),1,$C242))*(INDEX(_xlfn.ANCHORARRAY(Sintesi!$C$15),1,$C242)&lt;0)+($E242&gt;=$E241)*($E242&lt;=INDEX($E:$E,MATCH(TRUE,INDEX((ISNUMBER($E:$E)),0),0)))*($E242&gt;INDEX(_xlfn.ANCHORARRAY(Sintesi!$C$14),1,$C242))*($E242&lt;=INDEX(_xlfn.ANCHORARRAY(Sintesi!$C$15),1,$C242))*(INDEX(_xlfn.ANCHORARRAY(Sintesi!$C$15),1,$C242)&gt;0),1,IF(($E242&gt;=$E241)*($E242&lt;=INDEX($E:$E,MATCH(TRUE,INDEX((ISNUMBER($E:$E)),0),0)))*($E242&gt;INDEX(_xlfn.ANCHORARRAY(Sintesi!$C$14),1,$C242))*($E242&lt;INDEX(_xlfn.ANCHORARRAY(Sintesi!$C$16),1,$C242))*(INDEX(_xlfn.ANCHORARRAY(Sintesi!$C$15),1,$C242)&lt;0)+($E242&gt;=$E241)*($E242&lt;=INDEX($E:$E,MATCH(TRUE,INDEX((ISNUMBER($E:$E)),0),0)))*($E242&gt;INDEX(_xlfn.ANCHORARRAY(Sintesi!$C$15),1,$C242))*($E242&lt;INDEX(_xlfn.ANCHORARRAY(Sintesi!$C$16),1,$C242))*(INDEX(_xlfn.ANCHORARRAY(Sintesi!$C$15),1,$C242)&gt;0),2,IF($E242=(INDEX(_xlfn.ANCHORARRAY(Sintesi!$C$16),1,$C242)),3,4)))),0),IF($C242&gt;0,IF(($E242=INDEX(_xlfn.ANCHORARRAY(Sintesi!$C$14),1,$C242))*(INDEX(_xlfn.ANCHORARRAY(Sintesi!$C$15),1,$C242)&gt;0),0,IF(($E242=INDEX(_xlfn.ANCHORARRAY(Sintesi!$C$14),1,$C242))*(INDEX(_xlfn.ANCHORARRAY(Sintesi!$C$15),1,$C242)&lt;0)+($E242&gt;=LOOKUP(2,1/($E:$E&lt;&gt;""),$E:$E))*($E242&lt;=INDEX($E:$E,MATCH(TRUE,INDEX((ISNUMBER($E:$E)),0),0)))*($E242&gt;INDEX(_xlfn.ANCHORARRAY(Sintesi!$C$14),1,$C242))*($E242&lt;=INDEX(_xlfn.ANCHORARRAY(Sintesi!$C$15),1,$C242))*(INDEX(_xlfn.ANCHORARRAY(Sintesi!$C$15),1,$C242)&gt;0),1,IF(($E242&gt;=LOOKUP(2,1/($E:$E&lt;&gt;""),$E:$E))*($E242&lt;=INDEX($E:$E,MATCH(TRUE,INDEX((ISNUMBER($E:$E)),0),0)))*($E242&gt;INDEX(_xlfn.ANCHORARRAY(Sintesi!$C$14),1,$C242))*($E242&lt;INDEX(_xlfn.ANCHORARRAY(Sintesi!$C$16),1,$C242))*(INDEX(_xlfn.ANCHORARRAY(Sintesi!$C$15),1,$C242)&lt;0)+($E242&gt;=LOOKUP(2,1/($E:$E&lt;&gt;""),$E:$E))*($E242&lt;=INDEX($E:$E,MATCH(TRUE,INDEX((ISNUMBER($E:$E)),0),0)))*($E242&gt;INDEX(_xlfn.ANCHORARRAY(Sintesi!$C$15),1,$C242))*($E242&lt;INDEX(_xlfn.ANCHORARRAY(Sintesi!$C$16),1,$C242))*(INDEX(_xlfn.ANCHORARRAY(Sintesi!$C$15),1,$C242)&gt;0),2,IF($E242=(INDEX(_xlfn.ANCHORARRAY(Sintesi!$C$16),1,$C242)),3,4)))),0)),IF(ISNUMBER($E241),IF($C242&gt;0,IF(($E242=INDEX(_xlfn.ANCHORARRAY(Sintesi!$C$14),1,$C242))*(INDEX(_xlfn.ANCHORARRAY(Sintesi!$C$15),1,$C242)&gt;0),0,IF(($E242=INDEX(_xlfn.ANCHORARRAY(Sintesi!$C$14),1,$C242))*(INDEX(_xlfn.ANCHORARRAY(Sintesi!$C$15),1,$C242)&lt;0)+($E242&gt;=$E241)*($E242&lt;=$E243)*($E242&gt;INDEX(_xlfn.ANCHORARRAY(Sintesi!$C$14),1,$C242))*($E242&lt;=INDEX(_xlfn.ANCHORARRAY(Sintesi!$C$15),1,$C242))*(INDEX(_xlfn.ANCHORARRAY(Sintesi!$C$15),1,$C242)&gt;0),1,IF(($E242&gt;=$E241)*($E242&lt;=$E243)*($E242&gt;INDEX(_xlfn.ANCHORARRAY(Sintesi!$C$14),1,$C242))*($E242&lt;INDEX(_xlfn.ANCHORARRAY(Sintesi!$C$16),1,$C242))*(INDEX(_xlfn.ANCHORARRAY(Sintesi!$C$15),1,$C242)&lt;0)+($E242&gt;=$E241)*($E242&lt;=$E243)*($E242&gt;INDEX(_xlfn.ANCHORARRAY(Sintesi!$C$15),1,$C242))*($E242&lt;INDEX(_xlfn.ANCHORARRAY(Sintesi!$C$16),1,$C242))*(INDEX(_xlfn.ANCHORARRAY(Sintesi!$C$15),1,$C242)&gt;0),2,IF($E242=(INDEX(_xlfn.ANCHORARRAY(Sintesi!$C$16),1,$C242)),3,4)))),0),IF($C242&gt;0,IF(($E242=INDEX(_xlfn.ANCHORARRAY(Sintesi!$C$14),1,$C242))*(INDEX(_xlfn.ANCHORARRAY(Sintesi!$C$15),1,$C242)&gt;0),0,IF(($E242=INDEX(_xlfn.ANCHORARRAY(Sintesi!$C$14),1,$C242))*(INDEX(_xlfn.ANCHORARRAY(Sintesi!$C$15),1,$C242)&lt;0)+($E242&gt;=LOOKUP(2,1/($E:$E&lt;&gt;""),$E:$E))*($E242&lt;=$E243)*($E242&gt;INDEX(_xlfn.ANCHORARRAY(Sintesi!$C$14),1,$C242))*($E242&lt;=INDEX(_xlfn.ANCHORARRAY(Sintesi!$C$15),1,$C242))*(INDEX(_xlfn.ANCHORARRAY(Sintesi!$C$15),1,$C242)&gt;0),1,IF(($E242&gt;=LOOKUP(2,1/($E:$E&lt;&gt;""),$E:$E))*($E242&lt;=$E243)*($E242&gt;INDEX(_xlfn.ANCHORARRAY(Sintesi!$C$14),1,$C242))*($E242&lt;INDEX(_xlfn.ANCHORARRAY(Sintesi!$C$16),1,$C242))*(INDEX(_xlfn.ANCHORARRAY(Sintesi!$C$15),1,$C242)&lt;0)+($E242&gt;=LOOKUP(2,1/($E:$E&lt;&gt;""),$E:$E))*($E242&lt;=$E243)*($E242&gt;INDEX(_xlfn.ANCHORARRAY(Sintesi!$C$15),1,$C242))*($E242&lt;INDEX(_xlfn.ANCHORARRAY(Sintesi!$C$16),1,$C242))*(INDEX(_xlfn.ANCHORARRAY(Sintesi!$C$15),1,$C242)&gt;0),2,IF($E242=(INDEX(_xlfn.ANCHORARRAY(Sintesi!$C$16),1,$C242)),3,4)))),0)))</f>
        <v/>
      </c>
      <c r="E242" s="1">
        <f>'Paste cell here'!F242</f>
        <v/>
      </c>
      <c r="F242" s="1">
        <f>'Paste cell here'!C242</f>
        <v/>
      </c>
      <c r="G242" s="1">
        <f>'Paste cell here'!D242</f>
        <v/>
      </c>
      <c r="H242" s="1">
        <f>'Paste cell here'!E242</f>
        <v/>
      </c>
      <c r="I242" s="1">
        <f>'Paste cell here'!X242</f>
        <v/>
      </c>
      <c r="J242" s="1">
        <f>'Paste cell here'!Y242+'Paste cell here'!S242</f>
        <v/>
      </c>
      <c r="K242" s="1">
        <f>I242/H242</f>
        <v/>
      </c>
      <c r="L242" s="1">
        <f>AVERAGE(($F242+$G242)/2-($F242-$G242)/2*COS(PI()*(8-VLOOKUP(MONTH(B242),$O$1:$Q$13,3))/(VLOOKUP(MONTH(B242),$O$1:$Q$13,2)-VLOOKUP(MONTH(B242),$O$1:$Q$13,3))),($F242+$G242)/2-($F242-$G242)/2*COS(PI()*(9-VLOOKUP(MONTH(B242),$O$1:$Q$13,3))/(VLOOKUP(MONTH(B242),$O$1:$Q$13,2)-VLOOKUP(MONTH(B242),$O$1:$Q$13,3))),($F242+$G242)/2-($F242-$G242)/2*COS(PI()*(10-VLOOKUP(MONTH(B242),$O$1:$Q$13,3))/(VLOOKUP(MONTH(B242),$O$1:$Q$13,2)-VLOOKUP(MONTH(B242),$O$1:$Q$13,3))),($F242+$G242)/2-($F242-$G242)/2*COS(PI()*(11-VLOOKUP(MONTH(B242),$O$1:$Q$13,3))/(VLOOKUP(MONTH(B242),$O$1:$Q$13,2)-VLOOKUP(MONTH(B242),$O$1:$Q$13,3))),($F242+$G242)/2-($F242-$G242)/2*COS(PI()*(12-VLOOKUP(MONTH(B242),$O$1:$Q$13,3))/(VLOOKUP(MONTH(B242),$O$1:$Q$13,2)-VLOOKUP(MONTH(B242),$O$1:$Q$13,3))),($F242+$G242)/2-($F242-$G242)/2*COS(PI()*(13-VLOOKUP(MONTH(B242),$O$1:$Q$13,3))/(VLOOKUP(MONTH(B242),$O$1:$Q$13,2)-VLOOKUP(MONTH(B242),$O$1:$Q$13,3))),($F242+$G242)/2-($F242-$G242)/2*COS(PI()*(14-VLOOKUP(MONTH(B242),$O$1:$Q$13,3))/(VLOOKUP(MONTH(B242),$O$1:$Q$13,2)-VLOOKUP(MONTH(B242),$O$1:$Q$13,3))))</f>
        <v/>
      </c>
      <c r="M242" s="1">
        <f t="array" ref="M242">IF(AND(A242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,A242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),IF(L242&lt;_xlfn.IFNA(INDEX(_xlfn.ANCHORARRAY(Sintesi!$C$17)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,1,IF(L242&gt;=_xlfn.IFNA(INDEX(_xlfn.ANCHORARRAY(Sintesi!$C$18)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,0,1-(L242-_xlfn.IFNA(INDEX(_xlfn.ANCHORARRAY(Sintesi!$C$17)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)/(_xlfn.IFNA(INDEX(_xlfn.ANCHORARRAY(Sintesi!$C$18)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-_xlfn.IFNA(INDEX(_xlfn.ANCHORARRAY(Sintesi!$C$17)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))),0)</f>
        <v/>
      </c>
    </row>
    <row r="243">
      <c r="A243" s="1">
        <f>'Paste cell here'!A243</f>
        <v/>
      </c>
      <c r="B243" s="2">
        <f>DATE(Sintesi!$C$4-1,12,31)+A243</f>
        <v/>
      </c>
      <c r="C243" s="34">
        <f t="array" ref="C243">_xlfn.IFNA(MATCH(1,(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)*(_xlfn.ANCHORARRAY(Sintesi!$C$15)&gt;=0)+(_xlfn.ANCHORARRAY(Sintesi!$C$15)&lt;0),0),0)</f>
        <v/>
      </c>
      <c r="D243" s="1">
        <f t="array" ref="D243">IF(ISBLANK($E244),IF(ISNUMBER($E242),IF($C243&gt;0,IF(($E243=INDEX(_xlfn.ANCHORARRAY(Sintesi!$C$14),1,$C243))*(INDEX(_xlfn.ANCHORARRAY(Sintesi!$C$15),1,$C243)&gt;0),0,IF(($E243=INDEX(_xlfn.ANCHORARRAY(Sintesi!$C$14),1,$C243))*(INDEX(_xlfn.ANCHORARRAY(Sintesi!$C$15),1,$C243)&lt;0)+($E243&gt;=$E242)*($E243&lt;=INDEX($E:$E,MATCH(TRUE,INDEX((ISNUMBER($E:$E)),0),0)))*($E243&gt;INDEX(_xlfn.ANCHORARRAY(Sintesi!$C$14),1,$C243))*($E243&lt;=INDEX(_xlfn.ANCHORARRAY(Sintesi!$C$15),1,$C243))*(INDEX(_xlfn.ANCHORARRAY(Sintesi!$C$15),1,$C243)&gt;0),1,IF(($E243&gt;=$E242)*($E243&lt;=INDEX($E:$E,MATCH(TRUE,INDEX((ISNUMBER($E:$E)),0),0)))*($E243&gt;INDEX(_xlfn.ANCHORARRAY(Sintesi!$C$14),1,$C243))*($E243&lt;INDEX(_xlfn.ANCHORARRAY(Sintesi!$C$16),1,$C243))*(INDEX(_xlfn.ANCHORARRAY(Sintesi!$C$15),1,$C243)&lt;0)+($E243&gt;=$E242)*($E243&lt;=INDEX($E:$E,MATCH(TRUE,INDEX((ISNUMBER($E:$E)),0),0)))*($E243&gt;INDEX(_xlfn.ANCHORARRAY(Sintesi!$C$15),1,$C243))*($E243&lt;INDEX(_xlfn.ANCHORARRAY(Sintesi!$C$16),1,$C243))*(INDEX(_xlfn.ANCHORARRAY(Sintesi!$C$15),1,$C243)&gt;0),2,IF($E243=(INDEX(_xlfn.ANCHORARRAY(Sintesi!$C$16),1,$C243)),3,4)))),0),IF($C243&gt;0,IF(($E243=INDEX(_xlfn.ANCHORARRAY(Sintesi!$C$14),1,$C243))*(INDEX(_xlfn.ANCHORARRAY(Sintesi!$C$15),1,$C243)&gt;0),0,IF(($E243=INDEX(_xlfn.ANCHORARRAY(Sintesi!$C$14),1,$C243))*(INDEX(_xlfn.ANCHORARRAY(Sintesi!$C$15),1,$C243)&lt;0)+($E243&gt;=LOOKUP(2,1/($E:$E&lt;&gt;""),$E:$E))*($E243&lt;=INDEX($E:$E,MATCH(TRUE,INDEX((ISNUMBER($E:$E)),0),0)))*($E243&gt;INDEX(_xlfn.ANCHORARRAY(Sintesi!$C$14),1,$C243))*($E243&lt;=INDEX(_xlfn.ANCHORARRAY(Sintesi!$C$15),1,$C243))*(INDEX(_xlfn.ANCHORARRAY(Sintesi!$C$15),1,$C243)&gt;0),1,IF(($E243&gt;=LOOKUP(2,1/($E:$E&lt;&gt;""),$E:$E))*($E243&lt;=INDEX($E:$E,MATCH(TRUE,INDEX((ISNUMBER($E:$E)),0),0)))*($E243&gt;INDEX(_xlfn.ANCHORARRAY(Sintesi!$C$14),1,$C243))*($E243&lt;INDEX(_xlfn.ANCHORARRAY(Sintesi!$C$16),1,$C243))*(INDEX(_xlfn.ANCHORARRAY(Sintesi!$C$15),1,$C243)&lt;0)+($E243&gt;=LOOKUP(2,1/($E:$E&lt;&gt;""),$E:$E))*($E243&lt;=INDEX($E:$E,MATCH(TRUE,INDEX((ISNUMBER($E:$E)),0),0)))*($E243&gt;INDEX(_xlfn.ANCHORARRAY(Sintesi!$C$15),1,$C243))*($E243&lt;INDEX(_xlfn.ANCHORARRAY(Sintesi!$C$16),1,$C243))*(INDEX(_xlfn.ANCHORARRAY(Sintesi!$C$15),1,$C243)&gt;0),2,IF($E243=(INDEX(_xlfn.ANCHORARRAY(Sintesi!$C$16),1,$C243)),3,4)))),0)),IF(ISNUMBER($E242),IF($C243&gt;0,IF(($E243=INDEX(_xlfn.ANCHORARRAY(Sintesi!$C$14),1,$C243))*(INDEX(_xlfn.ANCHORARRAY(Sintesi!$C$15),1,$C243)&gt;0),0,IF(($E243=INDEX(_xlfn.ANCHORARRAY(Sintesi!$C$14),1,$C243))*(INDEX(_xlfn.ANCHORARRAY(Sintesi!$C$15),1,$C243)&lt;0)+($E243&gt;=$E242)*($E243&lt;=$E244)*($E243&gt;INDEX(_xlfn.ANCHORARRAY(Sintesi!$C$14),1,$C243))*($E243&lt;=INDEX(_xlfn.ANCHORARRAY(Sintesi!$C$15),1,$C243))*(INDEX(_xlfn.ANCHORARRAY(Sintesi!$C$15),1,$C243)&gt;0),1,IF(($E243&gt;=$E242)*($E243&lt;=$E244)*($E243&gt;INDEX(_xlfn.ANCHORARRAY(Sintesi!$C$14),1,$C243))*($E243&lt;INDEX(_xlfn.ANCHORARRAY(Sintesi!$C$16),1,$C243))*(INDEX(_xlfn.ANCHORARRAY(Sintesi!$C$15),1,$C243)&lt;0)+($E243&gt;=$E242)*($E243&lt;=$E244)*($E243&gt;INDEX(_xlfn.ANCHORARRAY(Sintesi!$C$15),1,$C243))*($E243&lt;INDEX(_xlfn.ANCHORARRAY(Sintesi!$C$16),1,$C243))*(INDEX(_xlfn.ANCHORARRAY(Sintesi!$C$15),1,$C243)&gt;0),2,IF($E243=(INDEX(_xlfn.ANCHORARRAY(Sintesi!$C$16),1,$C243)),3,4)))),0),IF($C243&gt;0,IF(($E243=INDEX(_xlfn.ANCHORARRAY(Sintesi!$C$14),1,$C243))*(INDEX(_xlfn.ANCHORARRAY(Sintesi!$C$15),1,$C243)&gt;0),0,IF(($E243=INDEX(_xlfn.ANCHORARRAY(Sintesi!$C$14),1,$C243))*(INDEX(_xlfn.ANCHORARRAY(Sintesi!$C$15),1,$C243)&lt;0)+($E243&gt;=LOOKUP(2,1/($E:$E&lt;&gt;""),$E:$E))*($E243&lt;=$E244)*($E243&gt;INDEX(_xlfn.ANCHORARRAY(Sintesi!$C$14),1,$C243))*($E243&lt;=INDEX(_xlfn.ANCHORARRAY(Sintesi!$C$15),1,$C243))*(INDEX(_xlfn.ANCHORARRAY(Sintesi!$C$15),1,$C243)&gt;0),1,IF(($E243&gt;=LOOKUP(2,1/($E:$E&lt;&gt;""),$E:$E))*($E243&lt;=$E244)*($E243&gt;INDEX(_xlfn.ANCHORARRAY(Sintesi!$C$14),1,$C243))*($E243&lt;INDEX(_xlfn.ANCHORARRAY(Sintesi!$C$16),1,$C243))*(INDEX(_xlfn.ANCHORARRAY(Sintesi!$C$15),1,$C243)&lt;0)+($E243&gt;=LOOKUP(2,1/($E:$E&lt;&gt;""),$E:$E))*($E243&lt;=$E244)*($E243&gt;INDEX(_xlfn.ANCHORARRAY(Sintesi!$C$15),1,$C243))*($E243&lt;INDEX(_xlfn.ANCHORARRAY(Sintesi!$C$16),1,$C243))*(INDEX(_xlfn.ANCHORARRAY(Sintesi!$C$15),1,$C243)&gt;0),2,IF($E243=(INDEX(_xlfn.ANCHORARRAY(Sintesi!$C$16),1,$C243)),3,4)))),0)))</f>
        <v/>
      </c>
      <c r="E243" s="1">
        <f>'Paste cell here'!F243</f>
        <v/>
      </c>
      <c r="F243" s="1">
        <f>'Paste cell here'!C243</f>
        <v/>
      </c>
      <c r="G243" s="1">
        <f>'Paste cell here'!D243</f>
        <v/>
      </c>
      <c r="H243" s="1">
        <f>'Paste cell here'!E243</f>
        <v/>
      </c>
      <c r="I243" s="1">
        <f>'Paste cell here'!X243</f>
        <v/>
      </c>
      <c r="J243" s="1">
        <f>'Paste cell here'!Y243+'Paste cell here'!S243</f>
        <v/>
      </c>
      <c r="K243" s="1">
        <f>I243/H243</f>
        <v/>
      </c>
      <c r="L243" s="1">
        <f>AVERAGE(($F243+$G243)/2-($F243-$G243)/2*COS(PI()*(8-VLOOKUP(MONTH(B243),$O$1:$Q$13,3))/(VLOOKUP(MONTH(B243),$O$1:$Q$13,2)-VLOOKUP(MONTH(B243),$O$1:$Q$13,3))),($F243+$G243)/2-($F243-$G243)/2*COS(PI()*(9-VLOOKUP(MONTH(B243),$O$1:$Q$13,3))/(VLOOKUP(MONTH(B243),$O$1:$Q$13,2)-VLOOKUP(MONTH(B243),$O$1:$Q$13,3))),($F243+$G243)/2-($F243-$G243)/2*COS(PI()*(10-VLOOKUP(MONTH(B243),$O$1:$Q$13,3))/(VLOOKUP(MONTH(B243),$O$1:$Q$13,2)-VLOOKUP(MONTH(B243),$O$1:$Q$13,3))),($F243+$G243)/2-($F243-$G243)/2*COS(PI()*(11-VLOOKUP(MONTH(B243),$O$1:$Q$13,3))/(VLOOKUP(MONTH(B243),$O$1:$Q$13,2)-VLOOKUP(MONTH(B243),$O$1:$Q$13,3))),($F243+$G243)/2-($F243-$G243)/2*COS(PI()*(12-VLOOKUP(MONTH(B243),$O$1:$Q$13,3))/(VLOOKUP(MONTH(B243),$O$1:$Q$13,2)-VLOOKUP(MONTH(B243),$O$1:$Q$13,3))),($F243+$G243)/2-($F243-$G243)/2*COS(PI()*(13-VLOOKUP(MONTH(B243),$O$1:$Q$13,3))/(VLOOKUP(MONTH(B243),$O$1:$Q$13,2)-VLOOKUP(MONTH(B243),$O$1:$Q$13,3))),($F243+$G243)/2-($F243-$G243)/2*COS(PI()*(14-VLOOKUP(MONTH(B243),$O$1:$Q$13,3))/(VLOOKUP(MONTH(B243),$O$1:$Q$13,2)-VLOOKUP(MONTH(B243),$O$1:$Q$13,3))))</f>
        <v/>
      </c>
      <c r="M243" s="1">
        <f t="array" ref="M243">IF(AND(A243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,A243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),IF(L243&lt;_xlfn.IFNA(INDEX(_xlfn.ANCHORARRAY(Sintesi!$C$17)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,1,IF(L243&gt;=_xlfn.IFNA(INDEX(_xlfn.ANCHORARRAY(Sintesi!$C$18)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,0,1-(L243-_xlfn.IFNA(INDEX(_xlfn.ANCHORARRAY(Sintesi!$C$17)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)/(_xlfn.IFNA(INDEX(_xlfn.ANCHORARRAY(Sintesi!$C$18)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-_xlfn.IFNA(INDEX(_xlfn.ANCHORARRAY(Sintesi!$C$17)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))),0)</f>
        <v/>
      </c>
    </row>
    <row r="244">
      <c r="A244" s="1">
        <f>'Paste cell here'!A244</f>
        <v/>
      </c>
      <c r="B244" s="2">
        <f>DATE(Sintesi!$C$4-1,12,31)+A244</f>
        <v/>
      </c>
      <c r="C244" s="34">
        <f t="array" ref="C244">_xlfn.IFNA(MATCH(1,(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)*(_xlfn.ANCHORARRAY(Sintesi!$C$15)&gt;=0)+(_xlfn.ANCHORARRAY(Sintesi!$C$15)&lt;0),0),0)</f>
        <v/>
      </c>
      <c r="D244" s="1">
        <f t="array" ref="D244">IF(ISBLANK($E245),IF(ISNUMBER($E243),IF($C244&gt;0,IF(($E244=INDEX(_xlfn.ANCHORARRAY(Sintesi!$C$14),1,$C244))*(INDEX(_xlfn.ANCHORARRAY(Sintesi!$C$15),1,$C244)&gt;0),0,IF(($E244=INDEX(_xlfn.ANCHORARRAY(Sintesi!$C$14),1,$C244))*(INDEX(_xlfn.ANCHORARRAY(Sintesi!$C$15),1,$C244)&lt;0)+($E244&gt;=$E243)*($E244&lt;=INDEX($E:$E,MATCH(TRUE,INDEX((ISNUMBER($E:$E)),0),0)))*($E244&gt;INDEX(_xlfn.ANCHORARRAY(Sintesi!$C$14),1,$C244))*($E244&lt;=INDEX(_xlfn.ANCHORARRAY(Sintesi!$C$15),1,$C244))*(INDEX(_xlfn.ANCHORARRAY(Sintesi!$C$15),1,$C244)&gt;0),1,IF(($E244&gt;=$E243)*($E244&lt;=INDEX($E:$E,MATCH(TRUE,INDEX((ISNUMBER($E:$E)),0),0)))*($E244&gt;INDEX(_xlfn.ANCHORARRAY(Sintesi!$C$14),1,$C244))*($E244&lt;INDEX(_xlfn.ANCHORARRAY(Sintesi!$C$16),1,$C244))*(INDEX(_xlfn.ANCHORARRAY(Sintesi!$C$15),1,$C244)&lt;0)+($E244&gt;=$E243)*($E244&lt;=INDEX($E:$E,MATCH(TRUE,INDEX((ISNUMBER($E:$E)),0),0)))*($E244&gt;INDEX(_xlfn.ANCHORARRAY(Sintesi!$C$15),1,$C244))*($E244&lt;INDEX(_xlfn.ANCHORARRAY(Sintesi!$C$16),1,$C244))*(INDEX(_xlfn.ANCHORARRAY(Sintesi!$C$15),1,$C244)&gt;0),2,IF($E244=(INDEX(_xlfn.ANCHORARRAY(Sintesi!$C$16),1,$C244)),3,4)))),0),IF($C244&gt;0,IF(($E244=INDEX(_xlfn.ANCHORARRAY(Sintesi!$C$14),1,$C244))*(INDEX(_xlfn.ANCHORARRAY(Sintesi!$C$15),1,$C244)&gt;0),0,IF(($E244=INDEX(_xlfn.ANCHORARRAY(Sintesi!$C$14),1,$C244))*(INDEX(_xlfn.ANCHORARRAY(Sintesi!$C$15),1,$C244)&lt;0)+($E244&gt;=LOOKUP(2,1/($E:$E&lt;&gt;""),$E:$E))*($E244&lt;=INDEX($E:$E,MATCH(TRUE,INDEX((ISNUMBER($E:$E)),0),0)))*($E244&gt;INDEX(_xlfn.ANCHORARRAY(Sintesi!$C$14),1,$C244))*($E244&lt;=INDEX(_xlfn.ANCHORARRAY(Sintesi!$C$15),1,$C244))*(INDEX(_xlfn.ANCHORARRAY(Sintesi!$C$15),1,$C244)&gt;0),1,IF(($E244&gt;=LOOKUP(2,1/($E:$E&lt;&gt;""),$E:$E))*($E244&lt;=INDEX($E:$E,MATCH(TRUE,INDEX((ISNUMBER($E:$E)),0),0)))*($E244&gt;INDEX(_xlfn.ANCHORARRAY(Sintesi!$C$14),1,$C244))*($E244&lt;INDEX(_xlfn.ANCHORARRAY(Sintesi!$C$16),1,$C244))*(INDEX(_xlfn.ANCHORARRAY(Sintesi!$C$15),1,$C244)&lt;0)+($E244&gt;=LOOKUP(2,1/($E:$E&lt;&gt;""),$E:$E))*($E244&lt;=INDEX($E:$E,MATCH(TRUE,INDEX((ISNUMBER($E:$E)),0),0)))*($E244&gt;INDEX(_xlfn.ANCHORARRAY(Sintesi!$C$15),1,$C244))*($E244&lt;INDEX(_xlfn.ANCHORARRAY(Sintesi!$C$16),1,$C244))*(INDEX(_xlfn.ANCHORARRAY(Sintesi!$C$15),1,$C244)&gt;0),2,IF($E244=(INDEX(_xlfn.ANCHORARRAY(Sintesi!$C$16),1,$C244)),3,4)))),0)),IF(ISNUMBER($E243),IF($C244&gt;0,IF(($E244=INDEX(_xlfn.ANCHORARRAY(Sintesi!$C$14),1,$C244))*(INDEX(_xlfn.ANCHORARRAY(Sintesi!$C$15),1,$C244)&gt;0),0,IF(($E244=INDEX(_xlfn.ANCHORARRAY(Sintesi!$C$14),1,$C244))*(INDEX(_xlfn.ANCHORARRAY(Sintesi!$C$15),1,$C244)&lt;0)+($E244&gt;=$E243)*($E244&lt;=$E245)*($E244&gt;INDEX(_xlfn.ANCHORARRAY(Sintesi!$C$14),1,$C244))*($E244&lt;=INDEX(_xlfn.ANCHORARRAY(Sintesi!$C$15),1,$C244))*(INDEX(_xlfn.ANCHORARRAY(Sintesi!$C$15),1,$C244)&gt;0),1,IF(($E244&gt;=$E243)*($E244&lt;=$E245)*($E244&gt;INDEX(_xlfn.ANCHORARRAY(Sintesi!$C$14),1,$C244))*($E244&lt;INDEX(_xlfn.ANCHORARRAY(Sintesi!$C$16),1,$C244))*(INDEX(_xlfn.ANCHORARRAY(Sintesi!$C$15),1,$C244)&lt;0)+($E244&gt;=$E243)*($E244&lt;=$E245)*($E244&gt;INDEX(_xlfn.ANCHORARRAY(Sintesi!$C$15),1,$C244))*($E244&lt;INDEX(_xlfn.ANCHORARRAY(Sintesi!$C$16),1,$C244))*(INDEX(_xlfn.ANCHORARRAY(Sintesi!$C$15),1,$C244)&gt;0),2,IF($E244=(INDEX(_xlfn.ANCHORARRAY(Sintesi!$C$16),1,$C244)),3,4)))),0),IF($C244&gt;0,IF(($E244=INDEX(_xlfn.ANCHORARRAY(Sintesi!$C$14),1,$C244))*(INDEX(_xlfn.ANCHORARRAY(Sintesi!$C$15),1,$C244)&gt;0),0,IF(($E244=INDEX(_xlfn.ANCHORARRAY(Sintesi!$C$14),1,$C244))*(INDEX(_xlfn.ANCHORARRAY(Sintesi!$C$15),1,$C244)&lt;0)+($E244&gt;=LOOKUP(2,1/($E:$E&lt;&gt;""),$E:$E))*($E244&lt;=$E245)*($E244&gt;INDEX(_xlfn.ANCHORARRAY(Sintesi!$C$14),1,$C244))*($E244&lt;=INDEX(_xlfn.ANCHORARRAY(Sintesi!$C$15),1,$C244))*(INDEX(_xlfn.ANCHORARRAY(Sintesi!$C$15),1,$C244)&gt;0),1,IF(($E244&gt;=LOOKUP(2,1/($E:$E&lt;&gt;""),$E:$E))*($E244&lt;=$E245)*($E244&gt;INDEX(_xlfn.ANCHORARRAY(Sintesi!$C$14),1,$C244))*($E244&lt;INDEX(_xlfn.ANCHORARRAY(Sintesi!$C$16),1,$C244))*(INDEX(_xlfn.ANCHORARRAY(Sintesi!$C$15),1,$C244)&lt;0)+($E244&gt;=LOOKUP(2,1/($E:$E&lt;&gt;""),$E:$E))*($E244&lt;=$E245)*($E244&gt;INDEX(_xlfn.ANCHORARRAY(Sintesi!$C$15),1,$C244))*($E244&lt;INDEX(_xlfn.ANCHORARRAY(Sintesi!$C$16),1,$C244))*(INDEX(_xlfn.ANCHORARRAY(Sintesi!$C$15),1,$C244)&gt;0),2,IF($E244=(INDEX(_xlfn.ANCHORARRAY(Sintesi!$C$16),1,$C244)),3,4)))),0)))</f>
        <v/>
      </c>
      <c r="E244" s="1">
        <f>'Paste cell here'!F244</f>
        <v/>
      </c>
      <c r="F244" s="1">
        <f>'Paste cell here'!C244</f>
        <v/>
      </c>
      <c r="G244" s="1">
        <f>'Paste cell here'!D244</f>
        <v/>
      </c>
      <c r="H244" s="1">
        <f>'Paste cell here'!E244</f>
        <v/>
      </c>
      <c r="I244" s="1">
        <f>'Paste cell here'!X244</f>
        <v/>
      </c>
      <c r="J244" s="1">
        <f>'Paste cell here'!Y244+'Paste cell here'!S244</f>
        <v/>
      </c>
      <c r="K244" s="1">
        <f>I244/H244</f>
        <v/>
      </c>
      <c r="L244" s="1">
        <f>AVERAGE(($F244+$G244)/2-($F244-$G244)/2*COS(PI()*(8-VLOOKUP(MONTH(B244),$O$1:$Q$13,3))/(VLOOKUP(MONTH(B244),$O$1:$Q$13,2)-VLOOKUP(MONTH(B244),$O$1:$Q$13,3))),($F244+$G244)/2-($F244-$G244)/2*COS(PI()*(9-VLOOKUP(MONTH(B244),$O$1:$Q$13,3))/(VLOOKUP(MONTH(B244),$O$1:$Q$13,2)-VLOOKUP(MONTH(B244),$O$1:$Q$13,3))),($F244+$G244)/2-($F244-$G244)/2*COS(PI()*(10-VLOOKUP(MONTH(B244),$O$1:$Q$13,3))/(VLOOKUP(MONTH(B244),$O$1:$Q$13,2)-VLOOKUP(MONTH(B244),$O$1:$Q$13,3))),($F244+$G244)/2-($F244-$G244)/2*COS(PI()*(11-VLOOKUP(MONTH(B244),$O$1:$Q$13,3))/(VLOOKUP(MONTH(B244),$O$1:$Q$13,2)-VLOOKUP(MONTH(B244),$O$1:$Q$13,3))),($F244+$G244)/2-($F244-$G244)/2*COS(PI()*(12-VLOOKUP(MONTH(B244),$O$1:$Q$13,3))/(VLOOKUP(MONTH(B244),$O$1:$Q$13,2)-VLOOKUP(MONTH(B244),$O$1:$Q$13,3))),($F244+$G244)/2-($F244-$G244)/2*COS(PI()*(13-VLOOKUP(MONTH(B244),$O$1:$Q$13,3))/(VLOOKUP(MONTH(B244),$O$1:$Q$13,2)-VLOOKUP(MONTH(B244),$O$1:$Q$13,3))),($F244+$G244)/2-($F244-$G244)/2*COS(PI()*(14-VLOOKUP(MONTH(B244),$O$1:$Q$13,3))/(VLOOKUP(MONTH(B244),$O$1:$Q$13,2)-VLOOKUP(MONTH(B244),$O$1:$Q$13,3))))</f>
        <v/>
      </c>
      <c r="M244" s="1">
        <f t="array" ref="M244">IF(AND(A244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,A244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),IF(L244&lt;_xlfn.IFNA(INDEX(_xlfn.ANCHORARRAY(Sintesi!$C$17)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,1,IF(L244&gt;=_xlfn.IFNA(INDEX(_xlfn.ANCHORARRAY(Sintesi!$C$18)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,0,1-(L244-_xlfn.IFNA(INDEX(_xlfn.ANCHORARRAY(Sintesi!$C$17)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)/(_xlfn.IFNA(INDEX(_xlfn.ANCHORARRAY(Sintesi!$C$18)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-_xlfn.IFNA(INDEX(_xlfn.ANCHORARRAY(Sintesi!$C$17)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))),0)</f>
        <v/>
      </c>
    </row>
    <row r="245">
      <c r="A245" s="1">
        <f>'Paste cell here'!A245</f>
        <v/>
      </c>
      <c r="B245" s="2">
        <f>DATE(Sintesi!$C$4-1,12,31)+A245</f>
        <v/>
      </c>
      <c r="C245" s="34">
        <f t="array" ref="C245">_xlfn.IFNA(MATCH(1,(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)*(_xlfn.ANCHORARRAY(Sintesi!$C$15)&gt;=0)+(_xlfn.ANCHORARRAY(Sintesi!$C$15)&lt;0),0),0)</f>
        <v/>
      </c>
      <c r="D245" s="1">
        <f t="array" ref="D245">IF(ISBLANK($E246),IF(ISNUMBER($E244),IF($C245&gt;0,IF(($E245=INDEX(_xlfn.ANCHORARRAY(Sintesi!$C$14),1,$C245))*(INDEX(_xlfn.ANCHORARRAY(Sintesi!$C$15),1,$C245)&gt;0),0,IF(($E245=INDEX(_xlfn.ANCHORARRAY(Sintesi!$C$14),1,$C245))*(INDEX(_xlfn.ANCHORARRAY(Sintesi!$C$15),1,$C245)&lt;0)+($E245&gt;=$E244)*($E245&lt;=INDEX($E:$E,MATCH(TRUE,INDEX((ISNUMBER($E:$E)),0),0)))*($E245&gt;INDEX(_xlfn.ANCHORARRAY(Sintesi!$C$14),1,$C245))*($E245&lt;=INDEX(_xlfn.ANCHORARRAY(Sintesi!$C$15),1,$C245))*(INDEX(_xlfn.ANCHORARRAY(Sintesi!$C$15),1,$C245)&gt;0),1,IF(($E245&gt;=$E244)*($E245&lt;=INDEX($E:$E,MATCH(TRUE,INDEX((ISNUMBER($E:$E)),0),0)))*($E245&gt;INDEX(_xlfn.ANCHORARRAY(Sintesi!$C$14),1,$C245))*($E245&lt;INDEX(_xlfn.ANCHORARRAY(Sintesi!$C$16),1,$C245))*(INDEX(_xlfn.ANCHORARRAY(Sintesi!$C$15),1,$C245)&lt;0)+($E245&gt;=$E244)*($E245&lt;=INDEX($E:$E,MATCH(TRUE,INDEX((ISNUMBER($E:$E)),0),0)))*($E245&gt;INDEX(_xlfn.ANCHORARRAY(Sintesi!$C$15),1,$C245))*($E245&lt;INDEX(_xlfn.ANCHORARRAY(Sintesi!$C$16),1,$C245))*(INDEX(_xlfn.ANCHORARRAY(Sintesi!$C$15),1,$C245)&gt;0),2,IF($E245=(INDEX(_xlfn.ANCHORARRAY(Sintesi!$C$16),1,$C245)),3,4)))),0),IF($C245&gt;0,IF(($E245=INDEX(_xlfn.ANCHORARRAY(Sintesi!$C$14),1,$C245))*(INDEX(_xlfn.ANCHORARRAY(Sintesi!$C$15),1,$C245)&gt;0),0,IF(($E245=INDEX(_xlfn.ANCHORARRAY(Sintesi!$C$14),1,$C245))*(INDEX(_xlfn.ANCHORARRAY(Sintesi!$C$15),1,$C245)&lt;0)+($E245&gt;=LOOKUP(2,1/($E:$E&lt;&gt;""),$E:$E))*($E245&lt;=INDEX($E:$E,MATCH(TRUE,INDEX((ISNUMBER($E:$E)),0),0)))*($E245&gt;INDEX(_xlfn.ANCHORARRAY(Sintesi!$C$14),1,$C245))*($E245&lt;=INDEX(_xlfn.ANCHORARRAY(Sintesi!$C$15),1,$C245))*(INDEX(_xlfn.ANCHORARRAY(Sintesi!$C$15),1,$C245)&gt;0),1,IF(($E245&gt;=LOOKUP(2,1/($E:$E&lt;&gt;""),$E:$E))*($E245&lt;=INDEX($E:$E,MATCH(TRUE,INDEX((ISNUMBER($E:$E)),0),0)))*($E245&gt;INDEX(_xlfn.ANCHORARRAY(Sintesi!$C$14),1,$C245))*($E245&lt;INDEX(_xlfn.ANCHORARRAY(Sintesi!$C$16),1,$C245))*(INDEX(_xlfn.ANCHORARRAY(Sintesi!$C$15),1,$C245)&lt;0)+($E245&gt;=LOOKUP(2,1/($E:$E&lt;&gt;""),$E:$E))*($E245&lt;=INDEX($E:$E,MATCH(TRUE,INDEX((ISNUMBER($E:$E)),0),0)))*($E245&gt;INDEX(_xlfn.ANCHORARRAY(Sintesi!$C$15),1,$C245))*($E245&lt;INDEX(_xlfn.ANCHORARRAY(Sintesi!$C$16),1,$C245))*(INDEX(_xlfn.ANCHORARRAY(Sintesi!$C$15),1,$C245)&gt;0),2,IF($E245=(INDEX(_xlfn.ANCHORARRAY(Sintesi!$C$16),1,$C245)),3,4)))),0)),IF(ISNUMBER($E244),IF($C245&gt;0,IF(($E245=INDEX(_xlfn.ANCHORARRAY(Sintesi!$C$14),1,$C245))*(INDEX(_xlfn.ANCHORARRAY(Sintesi!$C$15),1,$C245)&gt;0),0,IF(($E245=INDEX(_xlfn.ANCHORARRAY(Sintesi!$C$14),1,$C245))*(INDEX(_xlfn.ANCHORARRAY(Sintesi!$C$15),1,$C245)&lt;0)+($E245&gt;=$E244)*($E245&lt;=$E246)*($E245&gt;INDEX(_xlfn.ANCHORARRAY(Sintesi!$C$14),1,$C245))*($E245&lt;=INDEX(_xlfn.ANCHORARRAY(Sintesi!$C$15),1,$C245))*(INDEX(_xlfn.ANCHORARRAY(Sintesi!$C$15),1,$C245)&gt;0),1,IF(($E245&gt;=$E244)*($E245&lt;=$E246)*($E245&gt;INDEX(_xlfn.ANCHORARRAY(Sintesi!$C$14),1,$C245))*($E245&lt;INDEX(_xlfn.ANCHORARRAY(Sintesi!$C$16),1,$C245))*(INDEX(_xlfn.ANCHORARRAY(Sintesi!$C$15),1,$C245)&lt;0)+($E245&gt;=$E244)*($E245&lt;=$E246)*($E245&gt;INDEX(_xlfn.ANCHORARRAY(Sintesi!$C$15),1,$C245))*($E245&lt;INDEX(_xlfn.ANCHORARRAY(Sintesi!$C$16),1,$C245))*(INDEX(_xlfn.ANCHORARRAY(Sintesi!$C$15),1,$C245)&gt;0),2,IF($E245=(INDEX(_xlfn.ANCHORARRAY(Sintesi!$C$16),1,$C245)),3,4)))),0),IF($C245&gt;0,IF(($E245=INDEX(_xlfn.ANCHORARRAY(Sintesi!$C$14),1,$C245))*(INDEX(_xlfn.ANCHORARRAY(Sintesi!$C$15),1,$C245)&gt;0),0,IF(($E245=INDEX(_xlfn.ANCHORARRAY(Sintesi!$C$14),1,$C245))*(INDEX(_xlfn.ANCHORARRAY(Sintesi!$C$15),1,$C245)&lt;0)+($E245&gt;=LOOKUP(2,1/($E:$E&lt;&gt;""),$E:$E))*($E245&lt;=$E246)*($E245&gt;INDEX(_xlfn.ANCHORARRAY(Sintesi!$C$14),1,$C245))*($E245&lt;=INDEX(_xlfn.ANCHORARRAY(Sintesi!$C$15),1,$C245))*(INDEX(_xlfn.ANCHORARRAY(Sintesi!$C$15),1,$C245)&gt;0),1,IF(($E245&gt;=LOOKUP(2,1/($E:$E&lt;&gt;""),$E:$E))*($E245&lt;=$E246)*($E245&gt;INDEX(_xlfn.ANCHORARRAY(Sintesi!$C$14),1,$C245))*($E245&lt;INDEX(_xlfn.ANCHORARRAY(Sintesi!$C$16),1,$C245))*(INDEX(_xlfn.ANCHORARRAY(Sintesi!$C$15),1,$C245)&lt;0)+($E245&gt;=LOOKUP(2,1/($E:$E&lt;&gt;""),$E:$E))*($E245&lt;=$E246)*($E245&gt;INDEX(_xlfn.ANCHORARRAY(Sintesi!$C$15),1,$C245))*($E245&lt;INDEX(_xlfn.ANCHORARRAY(Sintesi!$C$16),1,$C245))*(INDEX(_xlfn.ANCHORARRAY(Sintesi!$C$15),1,$C245)&gt;0),2,IF($E245=(INDEX(_xlfn.ANCHORARRAY(Sintesi!$C$16),1,$C245)),3,4)))),0)))</f>
        <v/>
      </c>
      <c r="E245" s="1">
        <f>'Paste cell here'!F245</f>
        <v/>
      </c>
      <c r="F245" s="1">
        <f>'Paste cell here'!C245</f>
        <v/>
      </c>
      <c r="G245" s="1">
        <f>'Paste cell here'!D245</f>
        <v/>
      </c>
      <c r="H245" s="1">
        <f>'Paste cell here'!E245</f>
        <v/>
      </c>
      <c r="I245" s="1">
        <f>'Paste cell here'!X245</f>
        <v/>
      </c>
      <c r="J245" s="1">
        <f>'Paste cell here'!Y245+'Paste cell here'!S245</f>
        <v/>
      </c>
      <c r="K245" s="1">
        <f>I245/H245</f>
        <v/>
      </c>
      <c r="L245" s="1">
        <f>AVERAGE(($F245+$G245)/2-($F245-$G245)/2*COS(PI()*(8-VLOOKUP(MONTH(B245),$O$1:$Q$13,3))/(VLOOKUP(MONTH(B245),$O$1:$Q$13,2)-VLOOKUP(MONTH(B245),$O$1:$Q$13,3))),($F245+$G245)/2-($F245-$G245)/2*COS(PI()*(9-VLOOKUP(MONTH(B245),$O$1:$Q$13,3))/(VLOOKUP(MONTH(B245),$O$1:$Q$13,2)-VLOOKUP(MONTH(B245),$O$1:$Q$13,3))),($F245+$G245)/2-($F245-$G245)/2*COS(PI()*(10-VLOOKUP(MONTH(B245),$O$1:$Q$13,3))/(VLOOKUP(MONTH(B245),$O$1:$Q$13,2)-VLOOKUP(MONTH(B245),$O$1:$Q$13,3))),($F245+$G245)/2-($F245-$G245)/2*COS(PI()*(11-VLOOKUP(MONTH(B245),$O$1:$Q$13,3))/(VLOOKUP(MONTH(B245),$O$1:$Q$13,2)-VLOOKUP(MONTH(B245),$O$1:$Q$13,3))),($F245+$G245)/2-($F245-$G245)/2*COS(PI()*(12-VLOOKUP(MONTH(B245),$O$1:$Q$13,3))/(VLOOKUP(MONTH(B245),$O$1:$Q$13,2)-VLOOKUP(MONTH(B245),$O$1:$Q$13,3))),($F245+$G245)/2-($F245-$G245)/2*COS(PI()*(13-VLOOKUP(MONTH(B245),$O$1:$Q$13,3))/(VLOOKUP(MONTH(B245),$O$1:$Q$13,2)-VLOOKUP(MONTH(B245),$O$1:$Q$13,3))),($F245+$G245)/2-($F245-$G245)/2*COS(PI()*(14-VLOOKUP(MONTH(B245),$O$1:$Q$13,3))/(VLOOKUP(MONTH(B245),$O$1:$Q$13,2)-VLOOKUP(MONTH(B245),$O$1:$Q$13,3))))</f>
        <v/>
      </c>
      <c r="M245" s="1">
        <f t="array" ref="M245">IF(AND(A245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,A245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),IF(L245&lt;_xlfn.IFNA(INDEX(_xlfn.ANCHORARRAY(Sintesi!$C$17)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,1,IF(L245&gt;=_xlfn.IFNA(INDEX(_xlfn.ANCHORARRAY(Sintesi!$C$18)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,0,1-(L245-_xlfn.IFNA(INDEX(_xlfn.ANCHORARRAY(Sintesi!$C$17)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)/(_xlfn.IFNA(INDEX(_xlfn.ANCHORARRAY(Sintesi!$C$18)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-_xlfn.IFNA(INDEX(_xlfn.ANCHORARRAY(Sintesi!$C$17)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))),0)</f>
        <v/>
      </c>
    </row>
    <row r="246">
      <c r="A246" s="1">
        <f>'Paste cell here'!A246</f>
        <v/>
      </c>
      <c r="B246" s="2">
        <f>DATE(Sintesi!$C$4-1,12,31)+A246</f>
        <v/>
      </c>
      <c r="C246" s="34">
        <f t="array" ref="C246">_xlfn.IFNA(MATCH(1,(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)*(_xlfn.ANCHORARRAY(Sintesi!$C$15)&gt;=0)+(_xlfn.ANCHORARRAY(Sintesi!$C$15)&lt;0),0),0)</f>
        <v/>
      </c>
      <c r="D246" s="1">
        <f t="array" ref="D246">IF(ISBLANK($E247),IF(ISNUMBER($E245),IF($C246&gt;0,IF(($E246=INDEX(_xlfn.ANCHORARRAY(Sintesi!$C$14),1,$C246))*(INDEX(_xlfn.ANCHORARRAY(Sintesi!$C$15),1,$C246)&gt;0),0,IF(($E246=INDEX(_xlfn.ANCHORARRAY(Sintesi!$C$14),1,$C246))*(INDEX(_xlfn.ANCHORARRAY(Sintesi!$C$15),1,$C246)&lt;0)+($E246&gt;=$E245)*($E246&lt;=INDEX($E:$E,MATCH(TRUE,INDEX((ISNUMBER($E:$E)),0),0)))*($E246&gt;INDEX(_xlfn.ANCHORARRAY(Sintesi!$C$14),1,$C246))*($E246&lt;=INDEX(_xlfn.ANCHORARRAY(Sintesi!$C$15),1,$C246))*(INDEX(_xlfn.ANCHORARRAY(Sintesi!$C$15),1,$C246)&gt;0),1,IF(($E246&gt;=$E245)*($E246&lt;=INDEX($E:$E,MATCH(TRUE,INDEX((ISNUMBER($E:$E)),0),0)))*($E246&gt;INDEX(_xlfn.ANCHORARRAY(Sintesi!$C$14),1,$C246))*($E246&lt;INDEX(_xlfn.ANCHORARRAY(Sintesi!$C$16),1,$C246))*(INDEX(_xlfn.ANCHORARRAY(Sintesi!$C$15),1,$C246)&lt;0)+($E246&gt;=$E245)*($E246&lt;=INDEX($E:$E,MATCH(TRUE,INDEX((ISNUMBER($E:$E)),0),0)))*($E246&gt;INDEX(_xlfn.ANCHORARRAY(Sintesi!$C$15),1,$C246))*($E246&lt;INDEX(_xlfn.ANCHORARRAY(Sintesi!$C$16),1,$C246))*(INDEX(_xlfn.ANCHORARRAY(Sintesi!$C$15),1,$C246)&gt;0),2,IF($E246=(INDEX(_xlfn.ANCHORARRAY(Sintesi!$C$16),1,$C246)),3,4)))),0),IF($C246&gt;0,IF(($E246=INDEX(_xlfn.ANCHORARRAY(Sintesi!$C$14),1,$C246))*(INDEX(_xlfn.ANCHORARRAY(Sintesi!$C$15),1,$C246)&gt;0),0,IF(($E246=INDEX(_xlfn.ANCHORARRAY(Sintesi!$C$14),1,$C246))*(INDEX(_xlfn.ANCHORARRAY(Sintesi!$C$15),1,$C246)&lt;0)+($E246&gt;=LOOKUP(2,1/($E:$E&lt;&gt;""),$E:$E))*($E246&lt;=INDEX($E:$E,MATCH(TRUE,INDEX((ISNUMBER($E:$E)),0),0)))*($E246&gt;INDEX(_xlfn.ANCHORARRAY(Sintesi!$C$14),1,$C246))*($E246&lt;=INDEX(_xlfn.ANCHORARRAY(Sintesi!$C$15),1,$C246))*(INDEX(_xlfn.ANCHORARRAY(Sintesi!$C$15),1,$C246)&gt;0),1,IF(($E246&gt;=LOOKUP(2,1/($E:$E&lt;&gt;""),$E:$E))*($E246&lt;=INDEX($E:$E,MATCH(TRUE,INDEX((ISNUMBER($E:$E)),0),0)))*($E246&gt;INDEX(_xlfn.ANCHORARRAY(Sintesi!$C$14),1,$C246))*($E246&lt;INDEX(_xlfn.ANCHORARRAY(Sintesi!$C$16),1,$C246))*(INDEX(_xlfn.ANCHORARRAY(Sintesi!$C$15),1,$C246)&lt;0)+($E246&gt;=LOOKUP(2,1/($E:$E&lt;&gt;""),$E:$E))*($E246&lt;=INDEX($E:$E,MATCH(TRUE,INDEX((ISNUMBER($E:$E)),0),0)))*($E246&gt;INDEX(_xlfn.ANCHORARRAY(Sintesi!$C$15),1,$C246))*($E246&lt;INDEX(_xlfn.ANCHORARRAY(Sintesi!$C$16),1,$C246))*(INDEX(_xlfn.ANCHORARRAY(Sintesi!$C$15),1,$C246)&gt;0),2,IF($E246=(INDEX(_xlfn.ANCHORARRAY(Sintesi!$C$16),1,$C246)),3,4)))),0)),IF(ISNUMBER($E245),IF($C246&gt;0,IF(($E246=INDEX(_xlfn.ANCHORARRAY(Sintesi!$C$14),1,$C246))*(INDEX(_xlfn.ANCHORARRAY(Sintesi!$C$15),1,$C246)&gt;0),0,IF(($E246=INDEX(_xlfn.ANCHORARRAY(Sintesi!$C$14),1,$C246))*(INDEX(_xlfn.ANCHORARRAY(Sintesi!$C$15),1,$C246)&lt;0)+($E246&gt;=$E245)*($E246&lt;=$E247)*($E246&gt;INDEX(_xlfn.ANCHORARRAY(Sintesi!$C$14),1,$C246))*($E246&lt;=INDEX(_xlfn.ANCHORARRAY(Sintesi!$C$15),1,$C246))*(INDEX(_xlfn.ANCHORARRAY(Sintesi!$C$15),1,$C246)&gt;0),1,IF(($E246&gt;=$E245)*($E246&lt;=$E247)*($E246&gt;INDEX(_xlfn.ANCHORARRAY(Sintesi!$C$14),1,$C246))*($E246&lt;INDEX(_xlfn.ANCHORARRAY(Sintesi!$C$16),1,$C246))*(INDEX(_xlfn.ANCHORARRAY(Sintesi!$C$15),1,$C246)&lt;0)+($E246&gt;=$E245)*($E246&lt;=$E247)*($E246&gt;INDEX(_xlfn.ANCHORARRAY(Sintesi!$C$15),1,$C246))*($E246&lt;INDEX(_xlfn.ANCHORARRAY(Sintesi!$C$16),1,$C246))*(INDEX(_xlfn.ANCHORARRAY(Sintesi!$C$15),1,$C246)&gt;0),2,IF($E246=(INDEX(_xlfn.ANCHORARRAY(Sintesi!$C$16),1,$C246)),3,4)))),0),IF($C246&gt;0,IF(($E246=INDEX(_xlfn.ANCHORARRAY(Sintesi!$C$14),1,$C246))*(INDEX(_xlfn.ANCHORARRAY(Sintesi!$C$15),1,$C246)&gt;0),0,IF(($E246=INDEX(_xlfn.ANCHORARRAY(Sintesi!$C$14),1,$C246))*(INDEX(_xlfn.ANCHORARRAY(Sintesi!$C$15),1,$C246)&lt;0)+($E246&gt;=LOOKUP(2,1/($E:$E&lt;&gt;""),$E:$E))*($E246&lt;=$E247)*($E246&gt;INDEX(_xlfn.ANCHORARRAY(Sintesi!$C$14),1,$C246))*($E246&lt;=INDEX(_xlfn.ANCHORARRAY(Sintesi!$C$15),1,$C246))*(INDEX(_xlfn.ANCHORARRAY(Sintesi!$C$15),1,$C246)&gt;0),1,IF(($E246&gt;=LOOKUP(2,1/($E:$E&lt;&gt;""),$E:$E))*($E246&lt;=$E247)*($E246&gt;INDEX(_xlfn.ANCHORARRAY(Sintesi!$C$14),1,$C246))*($E246&lt;INDEX(_xlfn.ANCHORARRAY(Sintesi!$C$16),1,$C246))*(INDEX(_xlfn.ANCHORARRAY(Sintesi!$C$15),1,$C246)&lt;0)+($E246&gt;=LOOKUP(2,1/($E:$E&lt;&gt;""),$E:$E))*($E246&lt;=$E247)*($E246&gt;INDEX(_xlfn.ANCHORARRAY(Sintesi!$C$15),1,$C246))*($E246&lt;INDEX(_xlfn.ANCHORARRAY(Sintesi!$C$16),1,$C246))*(INDEX(_xlfn.ANCHORARRAY(Sintesi!$C$15),1,$C246)&gt;0),2,IF($E246=(INDEX(_xlfn.ANCHORARRAY(Sintesi!$C$16),1,$C246)),3,4)))),0)))</f>
        <v/>
      </c>
      <c r="E246" s="1">
        <f>'Paste cell here'!F246</f>
        <v/>
      </c>
      <c r="F246" s="1">
        <f>'Paste cell here'!C246</f>
        <v/>
      </c>
      <c r="G246" s="1">
        <f>'Paste cell here'!D246</f>
        <v/>
      </c>
      <c r="H246" s="1">
        <f>'Paste cell here'!E246</f>
        <v/>
      </c>
      <c r="I246" s="1">
        <f>'Paste cell here'!X246</f>
        <v/>
      </c>
      <c r="J246" s="1">
        <f>'Paste cell here'!Y246+'Paste cell here'!S246</f>
        <v/>
      </c>
      <c r="K246" s="1">
        <f>I246/H246</f>
        <v/>
      </c>
      <c r="L246" s="1">
        <f>AVERAGE(($F246+$G246)/2-($F246-$G246)/2*COS(PI()*(8-VLOOKUP(MONTH(B246),$O$1:$Q$13,3))/(VLOOKUP(MONTH(B246),$O$1:$Q$13,2)-VLOOKUP(MONTH(B246),$O$1:$Q$13,3))),($F246+$G246)/2-($F246-$G246)/2*COS(PI()*(9-VLOOKUP(MONTH(B246),$O$1:$Q$13,3))/(VLOOKUP(MONTH(B246),$O$1:$Q$13,2)-VLOOKUP(MONTH(B246),$O$1:$Q$13,3))),($F246+$G246)/2-($F246-$G246)/2*COS(PI()*(10-VLOOKUP(MONTH(B246),$O$1:$Q$13,3))/(VLOOKUP(MONTH(B246),$O$1:$Q$13,2)-VLOOKUP(MONTH(B246),$O$1:$Q$13,3))),($F246+$G246)/2-($F246-$G246)/2*COS(PI()*(11-VLOOKUP(MONTH(B246),$O$1:$Q$13,3))/(VLOOKUP(MONTH(B246),$O$1:$Q$13,2)-VLOOKUP(MONTH(B246),$O$1:$Q$13,3))),($F246+$G246)/2-($F246-$G246)/2*COS(PI()*(12-VLOOKUP(MONTH(B246),$O$1:$Q$13,3))/(VLOOKUP(MONTH(B246),$O$1:$Q$13,2)-VLOOKUP(MONTH(B246),$O$1:$Q$13,3))),($F246+$G246)/2-($F246-$G246)/2*COS(PI()*(13-VLOOKUP(MONTH(B246),$O$1:$Q$13,3))/(VLOOKUP(MONTH(B246),$O$1:$Q$13,2)-VLOOKUP(MONTH(B246),$O$1:$Q$13,3))),($F246+$G246)/2-($F246-$G246)/2*COS(PI()*(14-VLOOKUP(MONTH(B246),$O$1:$Q$13,3))/(VLOOKUP(MONTH(B246),$O$1:$Q$13,2)-VLOOKUP(MONTH(B246),$O$1:$Q$13,3))))</f>
        <v/>
      </c>
      <c r="M246" s="1">
        <f t="array" ref="M246">IF(AND(A246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,A246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),IF(L246&lt;_xlfn.IFNA(INDEX(_xlfn.ANCHORARRAY(Sintesi!$C$17)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,1,IF(L246&gt;=_xlfn.IFNA(INDEX(_xlfn.ANCHORARRAY(Sintesi!$C$18)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,0,1-(L246-_xlfn.IFNA(INDEX(_xlfn.ANCHORARRAY(Sintesi!$C$17)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)/(_xlfn.IFNA(INDEX(_xlfn.ANCHORARRAY(Sintesi!$C$18)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-_xlfn.IFNA(INDEX(_xlfn.ANCHORARRAY(Sintesi!$C$17)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))),0)</f>
        <v/>
      </c>
    </row>
    <row r="247">
      <c r="A247" s="1">
        <f>'Paste cell here'!A247</f>
        <v/>
      </c>
      <c r="B247" s="2">
        <f>DATE(Sintesi!$C$4-1,12,31)+A247</f>
        <v/>
      </c>
      <c r="C247" s="34">
        <f t="array" ref="C247">_xlfn.IFNA(MATCH(1,(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)*(_xlfn.ANCHORARRAY(Sintesi!$C$15)&gt;=0)+(_xlfn.ANCHORARRAY(Sintesi!$C$15)&lt;0),0),0)</f>
        <v/>
      </c>
      <c r="D247" s="1">
        <f t="array" ref="D247">IF(ISBLANK($E248),IF(ISNUMBER($E246),IF($C247&gt;0,IF(($E247=INDEX(_xlfn.ANCHORARRAY(Sintesi!$C$14),1,$C247))*(INDEX(_xlfn.ANCHORARRAY(Sintesi!$C$15),1,$C247)&gt;0),0,IF(($E247=INDEX(_xlfn.ANCHORARRAY(Sintesi!$C$14),1,$C247))*(INDEX(_xlfn.ANCHORARRAY(Sintesi!$C$15),1,$C247)&lt;0)+($E247&gt;=$E246)*($E247&lt;=INDEX($E:$E,MATCH(TRUE,INDEX((ISNUMBER($E:$E)),0),0)))*($E247&gt;INDEX(_xlfn.ANCHORARRAY(Sintesi!$C$14),1,$C247))*($E247&lt;=INDEX(_xlfn.ANCHORARRAY(Sintesi!$C$15),1,$C247))*(INDEX(_xlfn.ANCHORARRAY(Sintesi!$C$15),1,$C247)&gt;0),1,IF(($E247&gt;=$E246)*($E247&lt;=INDEX($E:$E,MATCH(TRUE,INDEX((ISNUMBER($E:$E)),0),0)))*($E247&gt;INDEX(_xlfn.ANCHORARRAY(Sintesi!$C$14),1,$C247))*($E247&lt;INDEX(_xlfn.ANCHORARRAY(Sintesi!$C$16),1,$C247))*(INDEX(_xlfn.ANCHORARRAY(Sintesi!$C$15),1,$C247)&lt;0)+($E247&gt;=$E246)*($E247&lt;=INDEX($E:$E,MATCH(TRUE,INDEX((ISNUMBER($E:$E)),0),0)))*($E247&gt;INDEX(_xlfn.ANCHORARRAY(Sintesi!$C$15),1,$C247))*($E247&lt;INDEX(_xlfn.ANCHORARRAY(Sintesi!$C$16),1,$C247))*(INDEX(_xlfn.ANCHORARRAY(Sintesi!$C$15),1,$C247)&gt;0),2,IF($E247=(INDEX(_xlfn.ANCHORARRAY(Sintesi!$C$16),1,$C247)),3,4)))),0),IF($C247&gt;0,IF(($E247=INDEX(_xlfn.ANCHORARRAY(Sintesi!$C$14),1,$C247))*(INDEX(_xlfn.ANCHORARRAY(Sintesi!$C$15),1,$C247)&gt;0),0,IF(($E247=INDEX(_xlfn.ANCHORARRAY(Sintesi!$C$14),1,$C247))*(INDEX(_xlfn.ANCHORARRAY(Sintesi!$C$15),1,$C247)&lt;0)+($E247&gt;=LOOKUP(2,1/($E:$E&lt;&gt;""),$E:$E))*($E247&lt;=INDEX($E:$E,MATCH(TRUE,INDEX((ISNUMBER($E:$E)),0),0)))*($E247&gt;INDEX(_xlfn.ANCHORARRAY(Sintesi!$C$14),1,$C247))*($E247&lt;=INDEX(_xlfn.ANCHORARRAY(Sintesi!$C$15),1,$C247))*(INDEX(_xlfn.ANCHORARRAY(Sintesi!$C$15),1,$C247)&gt;0),1,IF(($E247&gt;=LOOKUP(2,1/($E:$E&lt;&gt;""),$E:$E))*($E247&lt;=INDEX($E:$E,MATCH(TRUE,INDEX((ISNUMBER($E:$E)),0),0)))*($E247&gt;INDEX(_xlfn.ANCHORARRAY(Sintesi!$C$14),1,$C247))*($E247&lt;INDEX(_xlfn.ANCHORARRAY(Sintesi!$C$16),1,$C247))*(INDEX(_xlfn.ANCHORARRAY(Sintesi!$C$15),1,$C247)&lt;0)+($E247&gt;=LOOKUP(2,1/($E:$E&lt;&gt;""),$E:$E))*($E247&lt;=INDEX($E:$E,MATCH(TRUE,INDEX((ISNUMBER($E:$E)),0),0)))*($E247&gt;INDEX(_xlfn.ANCHORARRAY(Sintesi!$C$15),1,$C247))*($E247&lt;INDEX(_xlfn.ANCHORARRAY(Sintesi!$C$16),1,$C247))*(INDEX(_xlfn.ANCHORARRAY(Sintesi!$C$15),1,$C247)&gt;0),2,IF($E247=(INDEX(_xlfn.ANCHORARRAY(Sintesi!$C$16),1,$C247)),3,4)))),0)),IF(ISNUMBER($E246),IF($C247&gt;0,IF(($E247=INDEX(_xlfn.ANCHORARRAY(Sintesi!$C$14),1,$C247))*(INDEX(_xlfn.ANCHORARRAY(Sintesi!$C$15),1,$C247)&gt;0),0,IF(($E247=INDEX(_xlfn.ANCHORARRAY(Sintesi!$C$14),1,$C247))*(INDEX(_xlfn.ANCHORARRAY(Sintesi!$C$15),1,$C247)&lt;0)+($E247&gt;=$E246)*($E247&lt;=$E248)*($E247&gt;INDEX(_xlfn.ANCHORARRAY(Sintesi!$C$14),1,$C247))*($E247&lt;=INDEX(_xlfn.ANCHORARRAY(Sintesi!$C$15),1,$C247))*(INDEX(_xlfn.ANCHORARRAY(Sintesi!$C$15),1,$C247)&gt;0),1,IF(($E247&gt;=$E246)*($E247&lt;=$E248)*($E247&gt;INDEX(_xlfn.ANCHORARRAY(Sintesi!$C$14),1,$C247))*($E247&lt;INDEX(_xlfn.ANCHORARRAY(Sintesi!$C$16),1,$C247))*(INDEX(_xlfn.ANCHORARRAY(Sintesi!$C$15),1,$C247)&lt;0)+($E247&gt;=$E246)*($E247&lt;=$E248)*($E247&gt;INDEX(_xlfn.ANCHORARRAY(Sintesi!$C$15),1,$C247))*($E247&lt;INDEX(_xlfn.ANCHORARRAY(Sintesi!$C$16),1,$C247))*(INDEX(_xlfn.ANCHORARRAY(Sintesi!$C$15),1,$C247)&gt;0),2,IF($E247=(INDEX(_xlfn.ANCHORARRAY(Sintesi!$C$16),1,$C247)),3,4)))),0),IF($C247&gt;0,IF(($E247=INDEX(_xlfn.ANCHORARRAY(Sintesi!$C$14),1,$C247))*(INDEX(_xlfn.ANCHORARRAY(Sintesi!$C$15),1,$C247)&gt;0),0,IF(($E247=INDEX(_xlfn.ANCHORARRAY(Sintesi!$C$14),1,$C247))*(INDEX(_xlfn.ANCHORARRAY(Sintesi!$C$15),1,$C247)&lt;0)+($E247&gt;=LOOKUP(2,1/($E:$E&lt;&gt;""),$E:$E))*($E247&lt;=$E248)*($E247&gt;INDEX(_xlfn.ANCHORARRAY(Sintesi!$C$14),1,$C247))*($E247&lt;=INDEX(_xlfn.ANCHORARRAY(Sintesi!$C$15),1,$C247))*(INDEX(_xlfn.ANCHORARRAY(Sintesi!$C$15),1,$C247)&gt;0),1,IF(($E247&gt;=LOOKUP(2,1/($E:$E&lt;&gt;""),$E:$E))*($E247&lt;=$E248)*($E247&gt;INDEX(_xlfn.ANCHORARRAY(Sintesi!$C$14),1,$C247))*($E247&lt;INDEX(_xlfn.ANCHORARRAY(Sintesi!$C$16),1,$C247))*(INDEX(_xlfn.ANCHORARRAY(Sintesi!$C$15),1,$C247)&lt;0)+($E247&gt;=LOOKUP(2,1/($E:$E&lt;&gt;""),$E:$E))*($E247&lt;=$E248)*($E247&gt;INDEX(_xlfn.ANCHORARRAY(Sintesi!$C$15),1,$C247))*($E247&lt;INDEX(_xlfn.ANCHORARRAY(Sintesi!$C$16),1,$C247))*(INDEX(_xlfn.ANCHORARRAY(Sintesi!$C$15),1,$C247)&gt;0),2,IF($E247=(INDEX(_xlfn.ANCHORARRAY(Sintesi!$C$16),1,$C247)),3,4)))),0)))</f>
        <v/>
      </c>
      <c r="E247" s="1">
        <f>'Paste cell here'!F247</f>
        <v/>
      </c>
      <c r="F247" s="1">
        <f>'Paste cell here'!C247</f>
        <v/>
      </c>
      <c r="G247" s="1">
        <f>'Paste cell here'!D247</f>
        <v/>
      </c>
      <c r="H247" s="1">
        <f>'Paste cell here'!E247</f>
        <v/>
      </c>
      <c r="I247" s="1">
        <f>'Paste cell here'!X247</f>
        <v/>
      </c>
      <c r="J247" s="1">
        <f>'Paste cell here'!Y247+'Paste cell here'!S247</f>
        <v/>
      </c>
      <c r="K247" s="1">
        <f>I247/H247</f>
        <v/>
      </c>
      <c r="L247" s="1">
        <f>AVERAGE(($F247+$G247)/2-($F247-$G247)/2*COS(PI()*(8-VLOOKUP(MONTH(B247),$O$1:$Q$13,3))/(VLOOKUP(MONTH(B247),$O$1:$Q$13,2)-VLOOKUP(MONTH(B247),$O$1:$Q$13,3))),($F247+$G247)/2-($F247-$G247)/2*COS(PI()*(9-VLOOKUP(MONTH(B247),$O$1:$Q$13,3))/(VLOOKUP(MONTH(B247),$O$1:$Q$13,2)-VLOOKUP(MONTH(B247),$O$1:$Q$13,3))),($F247+$G247)/2-($F247-$G247)/2*COS(PI()*(10-VLOOKUP(MONTH(B247),$O$1:$Q$13,3))/(VLOOKUP(MONTH(B247),$O$1:$Q$13,2)-VLOOKUP(MONTH(B247),$O$1:$Q$13,3))),($F247+$G247)/2-($F247-$G247)/2*COS(PI()*(11-VLOOKUP(MONTH(B247),$O$1:$Q$13,3))/(VLOOKUP(MONTH(B247),$O$1:$Q$13,2)-VLOOKUP(MONTH(B247),$O$1:$Q$13,3))),($F247+$G247)/2-($F247-$G247)/2*COS(PI()*(12-VLOOKUP(MONTH(B247),$O$1:$Q$13,3))/(VLOOKUP(MONTH(B247),$O$1:$Q$13,2)-VLOOKUP(MONTH(B247),$O$1:$Q$13,3))),($F247+$G247)/2-($F247-$G247)/2*COS(PI()*(13-VLOOKUP(MONTH(B247),$O$1:$Q$13,3))/(VLOOKUP(MONTH(B247),$O$1:$Q$13,2)-VLOOKUP(MONTH(B247),$O$1:$Q$13,3))),($F247+$G247)/2-($F247-$G247)/2*COS(PI()*(14-VLOOKUP(MONTH(B247),$O$1:$Q$13,3))/(VLOOKUP(MONTH(B247),$O$1:$Q$13,2)-VLOOKUP(MONTH(B247),$O$1:$Q$13,3))))</f>
        <v/>
      </c>
      <c r="M247" s="1">
        <f t="array" ref="M247">IF(AND(A247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,A247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),IF(L247&lt;_xlfn.IFNA(INDEX(_xlfn.ANCHORARRAY(Sintesi!$C$17)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,1,IF(L247&gt;=_xlfn.IFNA(INDEX(_xlfn.ANCHORARRAY(Sintesi!$C$18)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,0,1-(L247-_xlfn.IFNA(INDEX(_xlfn.ANCHORARRAY(Sintesi!$C$17)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)/(_xlfn.IFNA(INDEX(_xlfn.ANCHORARRAY(Sintesi!$C$18)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-_xlfn.IFNA(INDEX(_xlfn.ANCHORARRAY(Sintesi!$C$17)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))),0)</f>
        <v/>
      </c>
    </row>
    <row r="248">
      <c r="A248" s="1">
        <f>'Paste cell here'!A248</f>
        <v/>
      </c>
      <c r="B248" s="2">
        <f>DATE(Sintesi!$C$4-1,12,31)+A248</f>
        <v/>
      </c>
      <c r="C248" s="34">
        <f t="array" ref="C248">_xlfn.IFNA(MATCH(1,(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)*(_xlfn.ANCHORARRAY(Sintesi!$C$15)&gt;=0)+(_xlfn.ANCHORARRAY(Sintesi!$C$15)&lt;0),0),0)</f>
        <v/>
      </c>
      <c r="D248" s="1">
        <f t="array" ref="D248">IF(ISBLANK($E249),IF(ISNUMBER($E247),IF($C248&gt;0,IF(($E248=INDEX(_xlfn.ANCHORARRAY(Sintesi!$C$14),1,$C248))*(INDEX(_xlfn.ANCHORARRAY(Sintesi!$C$15),1,$C248)&gt;0),0,IF(($E248=INDEX(_xlfn.ANCHORARRAY(Sintesi!$C$14),1,$C248))*(INDEX(_xlfn.ANCHORARRAY(Sintesi!$C$15),1,$C248)&lt;0)+($E248&gt;=$E247)*($E248&lt;=INDEX($E:$E,MATCH(TRUE,INDEX((ISNUMBER($E:$E)),0),0)))*($E248&gt;INDEX(_xlfn.ANCHORARRAY(Sintesi!$C$14),1,$C248))*($E248&lt;=INDEX(_xlfn.ANCHORARRAY(Sintesi!$C$15),1,$C248))*(INDEX(_xlfn.ANCHORARRAY(Sintesi!$C$15),1,$C248)&gt;0),1,IF(($E248&gt;=$E247)*($E248&lt;=INDEX($E:$E,MATCH(TRUE,INDEX((ISNUMBER($E:$E)),0),0)))*($E248&gt;INDEX(_xlfn.ANCHORARRAY(Sintesi!$C$14),1,$C248))*($E248&lt;INDEX(_xlfn.ANCHORARRAY(Sintesi!$C$16),1,$C248))*(INDEX(_xlfn.ANCHORARRAY(Sintesi!$C$15),1,$C248)&lt;0)+($E248&gt;=$E247)*($E248&lt;=INDEX($E:$E,MATCH(TRUE,INDEX((ISNUMBER($E:$E)),0),0)))*($E248&gt;INDEX(_xlfn.ANCHORARRAY(Sintesi!$C$15),1,$C248))*($E248&lt;INDEX(_xlfn.ANCHORARRAY(Sintesi!$C$16),1,$C248))*(INDEX(_xlfn.ANCHORARRAY(Sintesi!$C$15),1,$C248)&gt;0),2,IF($E248=(INDEX(_xlfn.ANCHORARRAY(Sintesi!$C$16),1,$C248)),3,4)))),0),IF($C248&gt;0,IF(($E248=INDEX(_xlfn.ANCHORARRAY(Sintesi!$C$14),1,$C248))*(INDEX(_xlfn.ANCHORARRAY(Sintesi!$C$15),1,$C248)&gt;0),0,IF(($E248=INDEX(_xlfn.ANCHORARRAY(Sintesi!$C$14),1,$C248))*(INDEX(_xlfn.ANCHORARRAY(Sintesi!$C$15),1,$C248)&lt;0)+($E248&gt;=LOOKUP(2,1/($E:$E&lt;&gt;""),$E:$E))*($E248&lt;=INDEX($E:$E,MATCH(TRUE,INDEX((ISNUMBER($E:$E)),0),0)))*($E248&gt;INDEX(_xlfn.ANCHORARRAY(Sintesi!$C$14),1,$C248))*($E248&lt;=INDEX(_xlfn.ANCHORARRAY(Sintesi!$C$15),1,$C248))*(INDEX(_xlfn.ANCHORARRAY(Sintesi!$C$15),1,$C248)&gt;0),1,IF(($E248&gt;=LOOKUP(2,1/($E:$E&lt;&gt;""),$E:$E))*($E248&lt;=INDEX($E:$E,MATCH(TRUE,INDEX((ISNUMBER($E:$E)),0),0)))*($E248&gt;INDEX(_xlfn.ANCHORARRAY(Sintesi!$C$14),1,$C248))*($E248&lt;INDEX(_xlfn.ANCHORARRAY(Sintesi!$C$16),1,$C248))*(INDEX(_xlfn.ANCHORARRAY(Sintesi!$C$15),1,$C248)&lt;0)+($E248&gt;=LOOKUP(2,1/($E:$E&lt;&gt;""),$E:$E))*($E248&lt;=INDEX($E:$E,MATCH(TRUE,INDEX((ISNUMBER($E:$E)),0),0)))*($E248&gt;INDEX(_xlfn.ANCHORARRAY(Sintesi!$C$15),1,$C248))*($E248&lt;INDEX(_xlfn.ANCHORARRAY(Sintesi!$C$16),1,$C248))*(INDEX(_xlfn.ANCHORARRAY(Sintesi!$C$15),1,$C248)&gt;0),2,IF($E248=(INDEX(_xlfn.ANCHORARRAY(Sintesi!$C$16),1,$C248)),3,4)))),0)),IF(ISNUMBER($E247),IF($C248&gt;0,IF(($E248=INDEX(_xlfn.ANCHORARRAY(Sintesi!$C$14),1,$C248))*(INDEX(_xlfn.ANCHORARRAY(Sintesi!$C$15),1,$C248)&gt;0),0,IF(($E248=INDEX(_xlfn.ANCHORARRAY(Sintesi!$C$14),1,$C248))*(INDEX(_xlfn.ANCHORARRAY(Sintesi!$C$15),1,$C248)&lt;0)+($E248&gt;=$E247)*($E248&lt;=$E249)*($E248&gt;INDEX(_xlfn.ANCHORARRAY(Sintesi!$C$14),1,$C248))*($E248&lt;=INDEX(_xlfn.ANCHORARRAY(Sintesi!$C$15),1,$C248))*(INDEX(_xlfn.ANCHORARRAY(Sintesi!$C$15),1,$C248)&gt;0),1,IF(($E248&gt;=$E247)*($E248&lt;=$E249)*($E248&gt;INDEX(_xlfn.ANCHORARRAY(Sintesi!$C$14),1,$C248))*($E248&lt;INDEX(_xlfn.ANCHORARRAY(Sintesi!$C$16),1,$C248))*(INDEX(_xlfn.ANCHORARRAY(Sintesi!$C$15),1,$C248)&lt;0)+($E248&gt;=$E247)*($E248&lt;=$E249)*($E248&gt;INDEX(_xlfn.ANCHORARRAY(Sintesi!$C$15),1,$C248))*($E248&lt;INDEX(_xlfn.ANCHORARRAY(Sintesi!$C$16),1,$C248))*(INDEX(_xlfn.ANCHORARRAY(Sintesi!$C$15),1,$C248)&gt;0),2,IF($E248=(INDEX(_xlfn.ANCHORARRAY(Sintesi!$C$16),1,$C248)),3,4)))),0),IF($C248&gt;0,IF(($E248=INDEX(_xlfn.ANCHORARRAY(Sintesi!$C$14),1,$C248))*(INDEX(_xlfn.ANCHORARRAY(Sintesi!$C$15),1,$C248)&gt;0),0,IF(($E248=INDEX(_xlfn.ANCHORARRAY(Sintesi!$C$14),1,$C248))*(INDEX(_xlfn.ANCHORARRAY(Sintesi!$C$15),1,$C248)&lt;0)+($E248&gt;=LOOKUP(2,1/($E:$E&lt;&gt;""),$E:$E))*($E248&lt;=$E249)*($E248&gt;INDEX(_xlfn.ANCHORARRAY(Sintesi!$C$14),1,$C248))*($E248&lt;=INDEX(_xlfn.ANCHORARRAY(Sintesi!$C$15),1,$C248))*(INDEX(_xlfn.ANCHORARRAY(Sintesi!$C$15),1,$C248)&gt;0),1,IF(($E248&gt;=LOOKUP(2,1/($E:$E&lt;&gt;""),$E:$E))*($E248&lt;=$E249)*($E248&gt;INDEX(_xlfn.ANCHORARRAY(Sintesi!$C$14),1,$C248))*($E248&lt;INDEX(_xlfn.ANCHORARRAY(Sintesi!$C$16),1,$C248))*(INDEX(_xlfn.ANCHORARRAY(Sintesi!$C$15),1,$C248)&lt;0)+($E248&gt;=LOOKUP(2,1/($E:$E&lt;&gt;""),$E:$E))*($E248&lt;=$E249)*($E248&gt;INDEX(_xlfn.ANCHORARRAY(Sintesi!$C$15),1,$C248))*($E248&lt;INDEX(_xlfn.ANCHORARRAY(Sintesi!$C$16),1,$C248))*(INDEX(_xlfn.ANCHORARRAY(Sintesi!$C$15),1,$C248)&gt;0),2,IF($E248=(INDEX(_xlfn.ANCHORARRAY(Sintesi!$C$16),1,$C248)),3,4)))),0)))</f>
        <v/>
      </c>
      <c r="E248" s="1">
        <f>'Paste cell here'!F248</f>
        <v/>
      </c>
      <c r="F248" s="1">
        <f>'Paste cell here'!C248</f>
        <v/>
      </c>
      <c r="G248" s="1">
        <f>'Paste cell here'!D248</f>
        <v/>
      </c>
      <c r="H248" s="1">
        <f>'Paste cell here'!E248</f>
        <v/>
      </c>
      <c r="I248" s="1">
        <f>'Paste cell here'!X248</f>
        <v/>
      </c>
      <c r="J248" s="1">
        <f>'Paste cell here'!Y248+'Paste cell here'!S248</f>
        <v/>
      </c>
      <c r="K248" s="1">
        <f>I248/H248</f>
        <v/>
      </c>
      <c r="L248" s="1">
        <f>AVERAGE(($F248+$G248)/2-($F248-$G248)/2*COS(PI()*(8-VLOOKUP(MONTH(B248),$O$1:$Q$13,3))/(VLOOKUP(MONTH(B248),$O$1:$Q$13,2)-VLOOKUP(MONTH(B248),$O$1:$Q$13,3))),($F248+$G248)/2-($F248-$G248)/2*COS(PI()*(9-VLOOKUP(MONTH(B248),$O$1:$Q$13,3))/(VLOOKUP(MONTH(B248),$O$1:$Q$13,2)-VLOOKUP(MONTH(B248),$O$1:$Q$13,3))),($F248+$G248)/2-($F248-$G248)/2*COS(PI()*(10-VLOOKUP(MONTH(B248),$O$1:$Q$13,3))/(VLOOKUP(MONTH(B248),$O$1:$Q$13,2)-VLOOKUP(MONTH(B248),$O$1:$Q$13,3))),($F248+$G248)/2-($F248-$G248)/2*COS(PI()*(11-VLOOKUP(MONTH(B248),$O$1:$Q$13,3))/(VLOOKUP(MONTH(B248),$O$1:$Q$13,2)-VLOOKUP(MONTH(B248),$O$1:$Q$13,3))),($F248+$G248)/2-($F248-$G248)/2*COS(PI()*(12-VLOOKUP(MONTH(B248),$O$1:$Q$13,3))/(VLOOKUP(MONTH(B248),$O$1:$Q$13,2)-VLOOKUP(MONTH(B248),$O$1:$Q$13,3))),($F248+$G248)/2-($F248-$G248)/2*COS(PI()*(13-VLOOKUP(MONTH(B248),$O$1:$Q$13,3))/(VLOOKUP(MONTH(B248),$O$1:$Q$13,2)-VLOOKUP(MONTH(B248),$O$1:$Q$13,3))),($F248+$G248)/2-($F248-$G248)/2*COS(PI()*(14-VLOOKUP(MONTH(B248),$O$1:$Q$13,3))/(VLOOKUP(MONTH(B248),$O$1:$Q$13,2)-VLOOKUP(MONTH(B248),$O$1:$Q$13,3))))</f>
        <v/>
      </c>
      <c r="M248" s="1">
        <f t="array" ref="M248">IF(AND(A248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,A248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),IF(L248&lt;_xlfn.IFNA(INDEX(_xlfn.ANCHORARRAY(Sintesi!$C$17)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,1,IF(L248&gt;=_xlfn.IFNA(INDEX(_xlfn.ANCHORARRAY(Sintesi!$C$18)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,0,1-(L248-_xlfn.IFNA(INDEX(_xlfn.ANCHORARRAY(Sintesi!$C$17)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)/(_xlfn.IFNA(INDEX(_xlfn.ANCHORARRAY(Sintesi!$C$18)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-_xlfn.IFNA(INDEX(_xlfn.ANCHORARRAY(Sintesi!$C$17)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))),0)</f>
        <v/>
      </c>
    </row>
    <row r="249">
      <c r="A249" s="1">
        <f>'Paste cell here'!A249</f>
        <v/>
      </c>
      <c r="B249" s="2">
        <f>DATE(Sintesi!$C$4-1,12,31)+A249</f>
        <v/>
      </c>
      <c r="C249" s="34">
        <f t="array" ref="C249">_xlfn.IFNA(MATCH(1,(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)*(_xlfn.ANCHORARRAY(Sintesi!$C$15)&gt;=0)+(_xlfn.ANCHORARRAY(Sintesi!$C$15)&lt;0),0),0)</f>
        <v/>
      </c>
      <c r="D249" s="1">
        <f t="array" ref="D249">IF(ISBLANK($E250),IF(ISNUMBER($E248),IF($C249&gt;0,IF(($E249=INDEX(_xlfn.ANCHORARRAY(Sintesi!$C$14),1,$C249))*(INDEX(_xlfn.ANCHORARRAY(Sintesi!$C$15),1,$C249)&gt;0),0,IF(($E249=INDEX(_xlfn.ANCHORARRAY(Sintesi!$C$14),1,$C249))*(INDEX(_xlfn.ANCHORARRAY(Sintesi!$C$15),1,$C249)&lt;0)+($E249&gt;=$E248)*($E249&lt;=INDEX($E:$E,MATCH(TRUE,INDEX((ISNUMBER($E:$E)),0),0)))*($E249&gt;INDEX(_xlfn.ANCHORARRAY(Sintesi!$C$14),1,$C249))*($E249&lt;=INDEX(_xlfn.ANCHORARRAY(Sintesi!$C$15),1,$C249))*(INDEX(_xlfn.ANCHORARRAY(Sintesi!$C$15),1,$C249)&gt;0),1,IF(($E249&gt;=$E248)*($E249&lt;=INDEX($E:$E,MATCH(TRUE,INDEX((ISNUMBER($E:$E)),0),0)))*($E249&gt;INDEX(_xlfn.ANCHORARRAY(Sintesi!$C$14),1,$C249))*($E249&lt;INDEX(_xlfn.ANCHORARRAY(Sintesi!$C$16),1,$C249))*(INDEX(_xlfn.ANCHORARRAY(Sintesi!$C$15),1,$C249)&lt;0)+($E249&gt;=$E248)*($E249&lt;=INDEX($E:$E,MATCH(TRUE,INDEX((ISNUMBER($E:$E)),0),0)))*($E249&gt;INDEX(_xlfn.ANCHORARRAY(Sintesi!$C$15),1,$C249))*($E249&lt;INDEX(_xlfn.ANCHORARRAY(Sintesi!$C$16),1,$C249))*(INDEX(_xlfn.ANCHORARRAY(Sintesi!$C$15),1,$C249)&gt;0),2,IF($E249=(INDEX(_xlfn.ANCHORARRAY(Sintesi!$C$16),1,$C249)),3,4)))),0),IF($C249&gt;0,IF(($E249=INDEX(_xlfn.ANCHORARRAY(Sintesi!$C$14),1,$C249))*(INDEX(_xlfn.ANCHORARRAY(Sintesi!$C$15),1,$C249)&gt;0),0,IF(($E249=INDEX(_xlfn.ANCHORARRAY(Sintesi!$C$14),1,$C249))*(INDEX(_xlfn.ANCHORARRAY(Sintesi!$C$15),1,$C249)&lt;0)+($E249&gt;=LOOKUP(2,1/($E:$E&lt;&gt;""),$E:$E))*($E249&lt;=INDEX($E:$E,MATCH(TRUE,INDEX((ISNUMBER($E:$E)),0),0)))*($E249&gt;INDEX(_xlfn.ANCHORARRAY(Sintesi!$C$14),1,$C249))*($E249&lt;=INDEX(_xlfn.ANCHORARRAY(Sintesi!$C$15),1,$C249))*(INDEX(_xlfn.ANCHORARRAY(Sintesi!$C$15),1,$C249)&gt;0),1,IF(($E249&gt;=LOOKUP(2,1/($E:$E&lt;&gt;""),$E:$E))*($E249&lt;=INDEX($E:$E,MATCH(TRUE,INDEX((ISNUMBER($E:$E)),0),0)))*($E249&gt;INDEX(_xlfn.ANCHORARRAY(Sintesi!$C$14),1,$C249))*($E249&lt;INDEX(_xlfn.ANCHORARRAY(Sintesi!$C$16),1,$C249))*(INDEX(_xlfn.ANCHORARRAY(Sintesi!$C$15),1,$C249)&lt;0)+($E249&gt;=LOOKUP(2,1/($E:$E&lt;&gt;""),$E:$E))*($E249&lt;=INDEX($E:$E,MATCH(TRUE,INDEX((ISNUMBER($E:$E)),0),0)))*($E249&gt;INDEX(_xlfn.ANCHORARRAY(Sintesi!$C$15),1,$C249))*($E249&lt;INDEX(_xlfn.ANCHORARRAY(Sintesi!$C$16),1,$C249))*(INDEX(_xlfn.ANCHORARRAY(Sintesi!$C$15),1,$C249)&gt;0),2,IF($E249=(INDEX(_xlfn.ANCHORARRAY(Sintesi!$C$16),1,$C249)),3,4)))),0)),IF(ISNUMBER($E248),IF($C249&gt;0,IF(($E249=INDEX(_xlfn.ANCHORARRAY(Sintesi!$C$14),1,$C249))*(INDEX(_xlfn.ANCHORARRAY(Sintesi!$C$15),1,$C249)&gt;0),0,IF(($E249=INDEX(_xlfn.ANCHORARRAY(Sintesi!$C$14),1,$C249))*(INDEX(_xlfn.ANCHORARRAY(Sintesi!$C$15),1,$C249)&lt;0)+($E249&gt;=$E248)*($E249&lt;=$E250)*($E249&gt;INDEX(_xlfn.ANCHORARRAY(Sintesi!$C$14),1,$C249))*($E249&lt;=INDEX(_xlfn.ANCHORARRAY(Sintesi!$C$15),1,$C249))*(INDEX(_xlfn.ANCHORARRAY(Sintesi!$C$15),1,$C249)&gt;0),1,IF(($E249&gt;=$E248)*($E249&lt;=$E250)*($E249&gt;INDEX(_xlfn.ANCHORARRAY(Sintesi!$C$14),1,$C249))*($E249&lt;INDEX(_xlfn.ANCHORARRAY(Sintesi!$C$16),1,$C249))*(INDEX(_xlfn.ANCHORARRAY(Sintesi!$C$15),1,$C249)&lt;0)+($E249&gt;=$E248)*($E249&lt;=$E250)*($E249&gt;INDEX(_xlfn.ANCHORARRAY(Sintesi!$C$15),1,$C249))*($E249&lt;INDEX(_xlfn.ANCHORARRAY(Sintesi!$C$16),1,$C249))*(INDEX(_xlfn.ANCHORARRAY(Sintesi!$C$15),1,$C249)&gt;0),2,IF($E249=(INDEX(_xlfn.ANCHORARRAY(Sintesi!$C$16),1,$C249)),3,4)))),0),IF($C249&gt;0,IF(($E249=INDEX(_xlfn.ANCHORARRAY(Sintesi!$C$14),1,$C249))*(INDEX(_xlfn.ANCHORARRAY(Sintesi!$C$15),1,$C249)&gt;0),0,IF(($E249=INDEX(_xlfn.ANCHORARRAY(Sintesi!$C$14),1,$C249))*(INDEX(_xlfn.ANCHORARRAY(Sintesi!$C$15),1,$C249)&lt;0)+($E249&gt;=LOOKUP(2,1/($E:$E&lt;&gt;""),$E:$E))*($E249&lt;=$E250)*($E249&gt;INDEX(_xlfn.ANCHORARRAY(Sintesi!$C$14),1,$C249))*($E249&lt;=INDEX(_xlfn.ANCHORARRAY(Sintesi!$C$15),1,$C249))*(INDEX(_xlfn.ANCHORARRAY(Sintesi!$C$15),1,$C249)&gt;0),1,IF(($E249&gt;=LOOKUP(2,1/($E:$E&lt;&gt;""),$E:$E))*($E249&lt;=$E250)*($E249&gt;INDEX(_xlfn.ANCHORARRAY(Sintesi!$C$14),1,$C249))*($E249&lt;INDEX(_xlfn.ANCHORARRAY(Sintesi!$C$16),1,$C249))*(INDEX(_xlfn.ANCHORARRAY(Sintesi!$C$15),1,$C249)&lt;0)+($E249&gt;=LOOKUP(2,1/($E:$E&lt;&gt;""),$E:$E))*($E249&lt;=$E250)*($E249&gt;INDEX(_xlfn.ANCHORARRAY(Sintesi!$C$15),1,$C249))*($E249&lt;INDEX(_xlfn.ANCHORARRAY(Sintesi!$C$16),1,$C249))*(INDEX(_xlfn.ANCHORARRAY(Sintesi!$C$15),1,$C249)&gt;0),2,IF($E249=(INDEX(_xlfn.ANCHORARRAY(Sintesi!$C$16),1,$C249)),3,4)))),0)))</f>
        <v/>
      </c>
      <c r="E249" s="1">
        <f>'Paste cell here'!F249</f>
        <v/>
      </c>
      <c r="F249" s="1">
        <f>'Paste cell here'!C249</f>
        <v/>
      </c>
      <c r="G249" s="1">
        <f>'Paste cell here'!D249</f>
        <v/>
      </c>
      <c r="H249" s="1">
        <f>'Paste cell here'!E249</f>
        <v/>
      </c>
      <c r="I249" s="1">
        <f>'Paste cell here'!X249</f>
        <v/>
      </c>
      <c r="J249" s="1">
        <f>'Paste cell here'!Y249+'Paste cell here'!S249</f>
        <v/>
      </c>
      <c r="K249" s="1">
        <f>I249/H249</f>
        <v/>
      </c>
      <c r="L249" s="1">
        <f>AVERAGE(($F249+$G249)/2-($F249-$G249)/2*COS(PI()*(8-VLOOKUP(MONTH(B249),$O$1:$Q$13,3))/(VLOOKUP(MONTH(B249),$O$1:$Q$13,2)-VLOOKUP(MONTH(B249),$O$1:$Q$13,3))),($F249+$G249)/2-($F249-$G249)/2*COS(PI()*(9-VLOOKUP(MONTH(B249),$O$1:$Q$13,3))/(VLOOKUP(MONTH(B249),$O$1:$Q$13,2)-VLOOKUP(MONTH(B249),$O$1:$Q$13,3))),($F249+$G249)/2-($F249-$G249)/2*COS(PI()*(10-VLOOKUP(MONTH(B249),$O$1:$Q$13,3))/(VLOOKUP(MONTH(B249),$O$1:$Q$13,2)-VLOOKUP(MONTH(B249),$O$1:$Q$13,3))),($F249+$G249)/2-($F249-$G249)/2*COS(PI()*(11-VLOOKUP(MONTH(B249),$O$1:$Q$13,3))/(VLOOKUP(MONTH(B249),$O$1:$Q$13,2)-VLOOKUP(MONTH(B249),$O$1:$Q$13,3))),($F249+$G249)/2-($F249-$G249)/2*COS(PI()*(12-VLOOKUP(MONTH(B249),$O$1:$Q$13,3))/(VLOOKUP(MONTH(B249),$O$1:$Q$13,2)-VLOOKUP(MONTH(B249),$O$1:$Q$13,3))),($F249+$G249)/2-($F249-$G249)/2*COS(PI()*(13-VLOOKUP(MONTH(B249),$O$1:$Q$13,3))/(VLOOKUP(MONTH(B249),$O$1:$Q$13,2)-VLOOKUP(MONTH(B249),$O$1:$Q$13,3))),($F249+$G249)/2-($F249-$G249)/2*COS(PI()*(14-VLOOKUP(MONTH(B249),$O$1:$Q$13,3))/(VLOOKUP(MONTH(B249),$O$1:$Q$13,2)-VLOOKUP(MONTH(B249),$O$1:$Q$13,3))))</f>
        <v/>
      </c>
      <c r="M249" s="1">
        <f t="array" ref="M249">IF(AND(A249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,A249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),IF(L249&lt;_xlfn.IFNA(INDEX(_xlfn.ANCHORARRAY(Sintesi!$C$17)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,1,IF(L249&gt;=_xlfn.IFNA(INDEX(_xlfn.ANCHORARRAY(Sintesi!$C$18)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,0,1-(L249-_xlfn.IFNA(INDEX(_xlfn.ANCHORARRAY(Sintesi!$C$17)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)/(_xlfn.IFNA(INDEX(_xlfn.ANCHORARRAY(Sintesi!$C$18)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-_xlfn.IFNA(INDEX(_xlfn.ANCHORARRAY(Sintesi!$C$17)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))),0)</f>
        <v/>
      </c>
    </row>
    <row r="250">
      <c r="A250" s="1">
        <f>'Paste cell here'!A250</f>
        <v/>
      </c>
      <c r="B250" s="2">
        <f>DATE(Sintesi!$C$4-1,12,31)+A250</f>
        <v/>
      </c>
      <c r="C250" s="34">
        <f t="array" ref="C250">_xlfn.IFNA(MATCH(1,(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)*(_xlfn.ANCHORARRAY(Sintesi!$C$15)&gt;=0)+(_xlfn.ANCHORARRAY(Sintesi!$C$15)&lt;0),0),0)</f>
        <v/>
      </c>
      <c r="D250" s="1">
        <f t="array" ref="D250">IF(ISBLANK($E251),IF(ISNUMBER($E249),IF($C250&gt;0,IF(($E250=INDEX(_xlfn.ANCHORARRAY(Sintesi!$C$14),1,$C250))*(INDEX(_xlfn.ANCHORARRAY(Sintesi!$C$15),1,$C250)&gt;0),0,IF(($E250=INDEX(_xlfn.ANCHORARRAY(Sintesi!$C$14),1,$C250))*(INDEX(_xlfn.ANCHORARRAY(Sintesi!$C$15),1,$C250)&lt;0)+($E250&gt;=$E249)*($E250&lt;=INDEX($E:$E,MATCH(TRUE,INDEX((ISNUMBER($E:$E)),0),0)))*($E250&gt;INDEX(_xlfn.ANCHORARRAY(Sintesi!$C$14),1,$C250))*($E250&lt;=INDEX(_xlfn.ANCHORARRAY(Sintesi!$C$15),1,$C250))*(INDEX(_xlfn.ANCHORARRAY(Sintesi!$C$15),1,$C250)&gt;0),1,IF(($E250&gt;=$E249)*($E250&lt;=INDEX($E:$E,MATCH(TRUE,INDEX((ISNUMBER($E:$E)),0),0)))*($E250&gt;INDEX(_xlfn.ANCHORARRAY(Sintesi!$C$14),1,$C250))*($E250&lt;INDEX(_xlfn.ANCHORARRAY(Sintesi!$C$16),1,$C250))*(INDEX(_xlfn.ANCHORARRAY(Sintesi!$C$15),1,$C250)&lt;0)+($E250&gt;=$E249)*($E250&lt;=INDEX($E:$E,MATCH(TRUE,INDEX((ISNUMBER($E:$E)),0),0)))*($E250&gt;INDEX(_xlfn.ANCHORARRAY(Sintesi!$C$15),1,$C250))*($E250&lt;INDEX(_xlfn.ANCHORARRAY(Sintesi!$C$16),1,$C250))*(INDEX(_xlfn.ANCHORARRAY(Sintesi!$C$15),1,$C250)&gt;0),2,IF($E250=(INDEX(_xlfn.ANCHORARRAY(Sintesi!$C$16),1,$C250)),3,4)))),0),IF($C250&gt;0,IF(($E250=INDEX(_xlfn.ANCHORARRAY(Sintesi!$C$14),1,$C250))*(INDEX(_xlfn.ANCHORARRAY(Sintesi!$C$15),1,$C250)&gt;0),0,IF(($E250=INDEX(_xlfn.ANCHORARRAY(Sintesi!$C$14),1,$C250))*(INDEX(_xlfn.ANCHORARRAY(Sintesi!$C$15),1,$C250)&lt;0)+($E250&gt;=LOOKUP(2,1/($E:$E&lt;&gt;""),$E:$E))*($E250&lt;=INDEX($E:$E,MATCH(TRUE,INDEX((ISNUMBER($E:$E)),0),0)))*($E250&gt;INDEX(_xlfn.ANCHORARRAY(Sintesi!$C$14),1,$C250))*($E250&lt;=INDEX(_xlfn.ANCHORARRAY(Sintesi!$C$15),1,$C250))*(INDEX(_xlfn.ANCHORARRAY(Sintesi!$C$15),1,$C250)&gt;0),1,IF(($E250&gt;=LOOKUP(2,1/($E:$E&lt;&gt;""),$E:$E))*($E250&lt;=INDEX($E:$E,MATCH(TRUE,INDEX((ISNUMBER($E:$E)),0),0)))*($E250&gt;INDEX(_xlfn.ANCHORARRAY(Sintesi!$C$14),1,$C250))*($E250&lt;INDEX(_xlfn.ANCHORARRAY(Sintesi!$C$16),1,$C250))*(INDEX(_xlfn.ANCHORARRAY(Sintesi!$C$15),1,$C250)&lt;0)+($E250&gt;=LOOKUP(2,1/($E:$E&lt;&gt;""),$E:$E))*($E250&lt;=INDEX($E:$E,MATCH(TRUE,INDEX((ISNUMBER($E:$E)),0),0)))*($E250&gt;INDEX(_xlfn.ANCHORARRAY(Sintesi!$C$15),1,$C250))*($E250&lt;INDEX(_xlfn.ANCHORARRAY(Sintesi!$C$16),1,$C250))*(INDEX(_xlfn.ANCHORARRAY(Sintesi!$C$15),1,$C250)&gt;0),2,IF($E250=(INDEX(_xlfn.ANCHORARRAY(Sintesi!$C$16),1,$C250)),3,4)))),0)),IF(ISNUMBER($E249),IF($C250&gt;0,IF(($E250=INDEX(_xlfn.ANCHORARRAY(Sintesi!$C$14),1,$C250))*(INDEX(_xlfn.ANCHORARRAY(Sintesi!$C$15),1,$C250)&gt;0),0,IF(($E250=INDEX(_xlfn.ANCHORARRAY(Sintesi!$C$14),1,$C250))*(INDEX(_xlfn.ANCHORARRAY(Sintesi!$C$15),1,$C250)&lt;0)+($E250&gt;=$E249)*($E250&lt;=$E251)*($E250&gt;INDEX(_xlfn.ANCHORARRAY(Sintesi!$C$14),1,$C250))*($E250&lt;=INDEX(_xlfn.ANCHORARRAY(Sintesi!$C$15),1,$C250))*(INDEX(_xlfn.ANCHORARRAY(Sintesi!$C$15),1,$C250)&gt;0),1,IF(($E250&gt;=$E249)*($E250&lt;=$E251)*($E250&gt;INDEX(_xlfn.ANCHORARRAY(Sintesi!$C$14),1,$C250))*($E250&lt;INDEX(_xlfn.ANCHORARRAY(Sintesi!$C$16),1,$C250))*(INDEX(_xlfn.ANCHORARRAY(Sintesi!$C$15),1,$C250)&lt;0)+($E250&gt;=$E249)*($E250&lt;=$E251)*($E250&gt;INDEX(_xlfn.ANCHORARRAY(Sintesi!$C$15),1,$C250))*($E250&lt;INDEX(_xlfn.ANCHORARRAY(Sintesi!$C$16),1,$C250))*(INDEX(_xlfn.ANCHORARRAY(Sintesi!$C$15),1,$C250)&gt;0),2,IF($E250=(INDEX(_xlfn.ANCHORARRAY(Sintesi!$C$16),1,$C250)),3,4)))),0),IF($C250&gt;0,IF(($E250=INDEX(_xlfn.ANCHORARRAY(Sintesi!$C$14),1,$C250))*(INDEX(_xlfn.ANCHORARRAY(Sintesi!$C$15),1,$C250)&gt;0),0,IF(($E250=INDEX(_xlfn.ANCHORARRAY(Sintesi!$C$14),1,$C250))*(INDEX(_xlfn.ANCHORARRAY(Sintesi!$C$15),1,$C250)&lt;0)+($E250&gt;=LOOKUP(2,1/($E:$E&lt;&gt;""),$E:$E))*($E250&lt;=$E251)*($E250&gt;INDEX(_xlfn.ANCHORARRAY(Sintesi!$C$14),1,$C250))*($E250&lt;=INDEX(_xlfn.ANCHORARRAY(Sintesi!$C$15),1,$C250))*(INDEX(_xlfn.ANCHORARRAY(Sintesi!$C$15),1,$C250)&gt;0),1,IF(($E250&gt;=LOOKUP(2,1/($E:$E&lt;&gt;""),$E:$E))*($E250&lt;=$E251)*($E250&gt;INDEX(_xlfn.ANCHORARRAY(Sintesi!$C$14),1,$C250))*($E250&lt;INDEX(_xlfn.ANCHORARRAY(Sintesi!$C$16),1,$C250))*(INDEX(_xlfn.ANCHORARRAY(Sintesi!$C$15),1,$C250)&lt;0)+($E250&gt;=LOOKUP(2,1/($E:$E&lt;&gt;""),$E:$E))*($E250&lt;=$E251)*($E250&gt;INDEX(_xlfn.ANCHORARRAY(Sintesi!$C$15),1,$C250))*($E250&lt;INDEX(_xlfn.ANCHORARRAY(Sintesi!$C$16),1,$C250))*(INDEX(_xlfn.ANCHORARRAY(Sintesi!$C$15),1,$C250)&gt;0),2,IF($E250=(INDEX(_xlfn.ANCHORARRAY(Sintesi!$C$16),1,$C250)),3,4)))),0)))</f>
        <v/>
      </c>
      <c r="E250" s="1">
        <f>'Paste cell here'!F250</f>
        <v/>
      </c>
      <c r="F250" s="1">
        <f>'Paste cell here'!C250</f>
        <v/>
      </c>
      <c r="G250" s="1">
        <f>'Paste cell here'!D250</f>
        <v/>
      </c>
      <c r="H250" s="1">
        <f>'Paste cell here'!E250</f>
        <v/>
      </c>
      <c r="I250" s="1">
        <f>'Paste cell here'!X250</f>
        <v/>
      </c>
      <c r="J250" s="1">
        <f>'Paste cell here'!Y250+'Paste cell here'!S250</f>
        <v/>
      </c>
      <c r="K250" s="1">
        <f>I250/H250</f>
        <v/>
      </c>
      <c r="L250" s="1">
        <f>AVERAGE(($F250+$G250)/2-($F250-$G250)/2*COS(PI()*(8-VLOOKUP(MONTH(B250),$O$1:$Q$13,3))/(VLOOKUP(MONTH(B250),$O$1:$Q$13,2)-VLOOKUP(MONTH(B250),$O$1:$Q$13,3))),($F250+$G250)/2-($F250-$G250)/2*COS(PI()*(9-VLOOKUP(MONTH(B250),$O$1:$Q$13,3))/(VLOOKUP(MONTH(B250),$O$1:$Q$13,2)-VLOOKUP(MONTH(B250),$O$1:$Q$13,3))),($F250+$G250)/2-($F250-$G250)/2*COS(PI()*(10-VLOOKUP(MONTH(B250),$O$1:$Q$13,3))/(VLOOKUP(MONTH(B250),$O$1:$Q$13,2)-VLOOKUP(MONTH(B250),$O$1:$Q$13,3))),($F250+$G250)/2-($F250-$G250)/2*COS(PI()*(11-VLOOKUP(MONTH(B250),$O$1:$Q$13,3))/(VLOOKUP(MONTH(B250),$O$1:$Q$13,2)-VLOOKUP(MONTH(B250),$O$1:$Q$13,3))),($F250+$G250)/2-($F250-$G250)/2*COS(PI()*(12-VLOOKUP(MONTH(B250),$O$1:$Q$13,3))/(VLOOKUP(MONTH(B250),$O$1:$Q$13,2)-VLOOKUP(MONTH(B250),$O$1:$Q$13,3))),($F250+$G250)/2-($F250-$G250)/2*COS(PI()*(13-VLOOKUP(MONTH(B250),$O$1:$Q$13,3))/(VLOOKUP(MONTH(B250),$O$1:$Q$13,2)-VLOOKUP(MONTH(B250),$O$1:$Q$13,3))),($F250+$G250)/2-($F250-$G250)/2*COS(PI()*(14-VLOOKUP(MONTH(B250),$O$1:$Q$13,3))/(VLOOKUP(MONTH(B250),$O$1:$Q$13,2)-VLOOKUP(MONTH(B250),$O$1:$Q$13,3))))</f>
        <v/>
      </c>
      <c r="M250" s="1">
        <f t="array" ref="M250">IF(AND(A250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,A250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),IF(L250&lt;_xlfn.IFNA(INDEX(_xlfn.ANCHORARRAY(Sintesi!$C$17)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,1,IF(L250&gt;=_xlfn.IFNA(INDEX(_xlfn.ANCHORARRAY(Sintesi!$C$18)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,0,1-(L250-_xlfn.IFNA(INDEX(_xlfn.ANCHORARRAY(Sintesi!$C$17)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)/(_xlfn.IFNA(INDEX(_xlfn.ANCHORARRAY(Sintesi!$C$18)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-_xlfn.IFNA(INDEX(_xlfn.ANCHORARRAY(Sintesi!$C$17)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))),0)</f>
        <v/>
      </c>
    </row>
    <row r="251">
      <c r="A251" s="1">
        <f>'Paste cell here'!A251</f>
        <v/>
      </c>
      <c r="B251" s="2">
        <f>DATE(Sintesi!$C$4-1,12,31)+A251</f>
        <v/>
      </c>
      <c r="C251" s="34">
        <f t="array" ref="C251">_xlfn.IFNA(MATCH(1,(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)*(_xlfn.ANCHORARRAY(Sintesi!$C$15)&gt;=0)+(_xlfn.ANCHORARRAY(Sintesi!$C$15)&lt;0),0),0)</f>
        <v/>
      </c>
      <c r="D251" s="1">
        <f t="array" ref="D251">IF(ISBLANK($E252),IF(ISNUMBER($E250),IF($C251&gt;0,IF(($E251=INDEX(_xlfn.ANCHORARRAY(Sintesi!$C$14),1,$C251))*(INDEX(_xlfn.ANCHORARRAY(Sintesi!$C$15),1,$C251)&gt;0),0,IF(($E251=INDEX(_xlfn.ANCHORARRAY(Sintesi!$C$14),1,$C251))*(INDEX(_xlfn.ANCHORARRAY(Sintesi!$C$15),1,$C251)&lt;0)+($E251&gt;=$E250)*($E251&lt;=INDEX($E:$E,MATCH(TRUE,INDEX((ISNUMBER($E:$E)),0),0)))*($E251&gt;INDEX(_xlfn.ANCHORARRAY(Sintesi!$C$14),1,$C251))*($E251&lt;=INDEX(_xlfn.ANCHORARRAY(Sintesi!$C$15),1,$C251))*(INDEX(_xlfn.ANCHORARRAY(Sintesi!$C$15),1,$C251)&gt;0),1,IF(($E251&gt;=$E250)*($E251&lt;=INDEX($E:$E,MATCH(TRUE,INDEX((ISNUMBER($E:$E)),0),0)))*($E251&gt;INDEX(_xlfn.ANCHORARRAY(Sintesi!$C$14),1,$C251))*($E251&lt;INDEX(_xlfn.ANCHORARRAY(Sintesi!$C$16),1,$C251))*(INDEX(_xlfn.ANCHORARRAY(Sintesi!$C$15),1,$C251)&lt;0)+($E251&gt;=$E250)*($E251&lt;=INDEX($E:$E,MATCH(TRUE,INDEX((ISNUMBER($E:$E)),0),0)))*($E251&gt;INDEX(_xlfn.ANCHORARRAY(Sintesi!$C$15),1,$C251))*($E251&lt;INDEX(_xlfn.ANCHORARRAY(Sintesi!$C$16),1,$C251))*(INDEX(_xlfn.ANCHORARRAY(Sintesi!$C$15),1,$C251)&gt;0),2,IF($E251=(INDEX(_xlfn.ANCHORARRAY(Sintesi!$C$16),1,$C251)),3,4)))),0),IF($C251&gt;0,IF(($E251=INDEX(_xlfn.ANCHORARRAY(Sintesi!$C$14),1,$C251))*(INDEX(_xlfn.ANCHORARRAY(Sintesi!$C$15),1,$C251)&gt;0),0,IF(($E251=INDEX(_xlfn.ANCHORARRAY(Sintesi!$C$14),1,$C251))*(INDEX(_xlfn.ANCHORARRAY(Sintesi!$C$15),1,$C251)&lt;0)+($E251&gt;=LOOKUP(2,1/($E:$E&lt;&gt;""),$E:$E))*($E251&lt;=INDEX($E:$E,MATCH(TRUE,INDEX((ISNUMBER($E:$E)),0),0)))*($E251&gt;INDEX(_xlfn.ANCHORARRAY(Sintesi!$C$14),1,$C251))*($E251&lt;=INDEX(_xlfn.ANCHORARRAY(Sintesi!$C$15),1,$C251))*(INDEX(_xlfn.ANCHORARRAY(Sintesi!$C$15),1,$C251)&gt;0),1,IF(($E251&gt;=LOOKUP(2,1/($E:$E&lt;&gt;""),$E:$E))*($E251&lt;=INDEX($E:$E,MATCH(TRUE,INDEX((ISNUMBER($E:$E)),0),0)))*($E251&gt;INDEX(_xlfn.ANCHORARRAY(Sintesi!$C$14),1,$C251))*($E251&lt;INDEX(_xlfn.ANCHORARRAY(Sintesi!$C$16),1,$C251))*(INDEX(_xlfn.ANCHORARRAY(Sintesi!$C$15),1,$C251)&lt;0)+($E251&gt;=LOOKUP(2,1/($E:$E&lt;&gt;""),$E:$E))*($E251&lt;=INDEX($E:$E,MATCH(TRUE,INDEX((ISNUMBER($E:$E)),0),0)))*($E251&gt;INDEX(_xlfn.ANCHORARRAY(Sintesi!$C$15),1,$C251))*($E251&lt;INDEX(_xlfn.ANCHORARRAY(Sintesi!$C$16),1,$C251))*(INDEX(_xlfn.ANCHORARRAY(Sintesi!$C$15),1,$C251)&gt;0),2,IF($E251=(INDEX(_xlfn.ANCHORARRAY(Sintesi!$C$16),1,$C251)),3,4)))),0)),IF(ISNUMBER($E250),IF($C251&gt;0,IF(($E251=INDEX(_xlfn.ANCHORARRAY(Sintesi!$C$14),1,$C251))*(INDEX(_xlfn.ANCHORARRAY(Sintesi!$C$15),1,$C251)&gt;0),0,IF(($E251=INDEX(_xlfn.ANCHORARRAY(Sintesi!$C$14),1,$C251))*(INDEX(_xlfn.ANCHORARRAY(Sintesi!$C$15),1,$C251)&lt;0)+($E251&gt;=$E250)*($E251&lt;=$E252)*($E251&gt;INDEX(_xlfn.ANCHORARRAY(Sintesi!$C$14),1,$C251))*($E251&lt;=INDEX(_xlfn.ANCHORARRAY(Sintesi!$C$15),1,$C251))*(INDEX(_xlfn.ANCHORARRAY(Sintesi!$C$15),1,$C251)&gt;0),1,IF(($E251&gt;=$E250)*($E251&lt;=$E252)*($E251&gt;INDEX(_xlfn.ANCHORARRAY(Sintesi!$C$14),1,$C251))*($E251&lt;INDEX(_xlfn.ANCHORARRAY(Sintesi!$C$16),1,$C251))*(INDEX(_xlfn.ANCHORARRAY(Sintesi!$C$15),1,$C251)&lt;0)+($E251&gt;=$E250)*($E251&lt;=$E252)*($E251&gt;INDEX(_xlfn.ANCHORARRAY(Sintesi!$C$15),1,$C251))*($E251&lt;INDEX(_xlfn.ANCHORARRAY(Sintesi!$C$16),1,$C251))*(INDEX(_xlfn.ANCHORARRAY(Sintesi!$C$15),1,$C251)&gt;0),2,IF($E251=(INDEX(_xlfn.ANCHORARRAY(Sintesi!$C$16),1,$C251)),3,4)))),0),IF($C251&gt;0,IF(($E251=INDEX(_xlfn.ANCHORARRAY(Sintesi!$C$14),1,$C251))*(INDEX(_xlfn.ANCHORARRAY(Sintesi!$C$15),1,$C251)&gt;0),0,IF(($E251=INDEX(_xlfn.ANCHORARRAY(Sintesi!$C$14),1,$C251))*(INDEX(_xlfn.ANCHORARRAY(Sintesi!$C$15),1,$C251)&lt;0)+($E251&gt;=LOOKUP(2,1/($E:$E&lt;&gt;""),$E:$E))*($E251&lt;=$E252)*($E251&gt;INDEX(_xlfn.ANCHORARRAY(Sintesi!$C$14),1,$C251))*($E251&lt;=INDEX(_xlfn.ANCHORARRAY(Sintesi!$C$15),1,$C251))*(INDEX(_xlfn.ANCHORARRAY(Sintesi!$C$15),1,$C251)&gt;0),1,IF(($E251&gt;=LOOKUP(2,1/($E:$E&lt;&gt;""),$E:$E))*($E251&lt;=$E252)*($E251&gt;INDEX(_xlfn.ANCHORARRAY(Sintesi!$C$14),1,$C251))*($E251&lt;INDEX(_xlfn.ANCHORARRAY(Sintesi!$C$16),1,$C251))*(INDEX(_xlfn.ANCHORARRAY(Sintesi!$C$15),1,$C251)&lt;0)+($E251&gt;=LOOKUP(2,1/($E:$E&lt;&gt;""),$E:$E))*($E251&lt;=$E252)*($E251&gt;INDEX(_xlfn.ANCHORARRAY(Sintesi!$C$15),1,$C251))*($E251&lt;INDEX(_xlfn.ANCHORARRAY(Sintesi!$C$16),1,$C251))*(INDEX(_xlfn.ANCHORARRAY(Sintesi!$C$15),1,$C251)&gt;0),2,IF($E251=(INDEX(_xlfn.ANCHORARRAY(Sintesi!$C$16),1,$C251)),3,4)))),0)))</f>
        <v/>
      </c>
      <c r="E251" s="1">
        <f>'Paste cell here'!F251</f>
        <v/>
      </c>
      <c r="F251" s="1">
        <f>'Paste cell here'!C251</f>
        <v/>
      </c>
      <c r="G251" s="1">
        <f>'Paste cell here'!D251</f>
        <v/>
      </c>
      <c r="H251" s="1">
        <f>'Paste cell here'!E251</f>
        <v/>
      </c>
      <c r="I251" s="1">
        <f>'Paste cell here'!X251</f>
        <v/>
      </c>
      <c r="J251" s="1">
        <f>'Paste cell here'!Y251+'Paste cell here'!S251</f>
        <v/>
      </c>
      <c r="K251" s="1">
        <f>I251/H251</f>
        <v/>
      </c>
      <c r="L251" s="1">
        <f>AVERAGE(($F251+$G251)/2-($F251-$G251)/2*COS(PI()*(8-VLOOKUP(MONTH(B251),$O$1:$Q$13,3))/(VLOOKUP(MONTH(B251),$O$1:$Q$13,2)-VLOOKUP(MONTH(B251),$O$1:$Q$13,3))),($F251+$G251)/2-($F251-$G251)/2*COS(PI()*(9-VLOOKUP(MONTH(B251),$O$1:$Q$13,3))/(VLOOKUP(MONTH(B251),$O$1:$Q$13,2)-VLOOKUP(MONTH(B251),$O$1:$Q$13,3))),($F251+$G251)/2-($F251-$G251)/2*COS(PI()*(10-VLOOKUP(MONTH(B251),$O$1:$Q$13,3))/(VLOOKUP(MONTH(B251),$O$1:$Q$13,2)-VLOOKUP(MONTH(B251),$O$1:$Q$13,3))),($F251+$G251)/2-($F251-$G251)/2*COS(PI()*(11-VLOOKUP(MONTH(B251),$O$1:$Q$13,3))/(VLOOKUP(MONTH(B251),$O$1:$Q$13,2)-VLOOKUP(MONTH(B251),$O$1:$Q$13,3))),($F251+$G251)/2-($F251-$G251)/2*COS(PI()*(12-VLOOKUP(MONTH(B251),$O$1:$Q$13,3))/(VLOOKUP(MONTH(B251),$O$1:$Q$13,2)-VLOOKUP(MONTH(B251),$O$1:$Q$13,3))),($F251+$G251)/2-($F251-$G251)/2*COS(PI()*(13-VLOOKUP(MONTH(B251),$O$1:$Q$13,3))/(VLOOKUP(MONTH(B251),$O$1:$Q$13,2)-VLOOKUP(MONTH(B251),$O$1:$Q$13,3))),($F251+$G251)/2-($F251-$G251)/2*COS(PI()*(14-VLOOKUP(MONTH(B251),$O$1:$Q$13,3))/(VLOOKUP(MONTH(B251),$O$1:$Q$13,2)-VLOOKUP(MONTH(B251),$O$1:$Q$13,3))))</f>
        <v/>
      </c>
      <c r="M251" s="1">
        <f t="array" ref="M251">IF(AND(A251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,A251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),IF(L251&lt;_xlfn.IFNA(INDEX(_xlfn.ANCHORARRAY(Sintesi!$C$17)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,1,IF(L251&gt;=_xlfn.IFNA(INDEX(_xlfn.ANCHORARRAY(Sintesi!$C$18)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,0,1-(L251-_xlfn.IFNA(INDEX(_xlfn.ANCHORARRAY(Sintesi!$C$17)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)/(_xlfn.IFNA(INDEX(_xlfn.ANCHORARRAY(Sintesi!$C$18)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-_xlfn.IFNA(INDEX(_xlfn.ANCHORARRAY(Sintesi!$C$17)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))),0)</f>
        <v/>
      </c>
    </row>
    <row r="252">
      <c r="A252" s="1">
        <f>'Paste cell here'!A252</f>
        <v/>
      </c>
      <c r="B252" s="2">
        <f>DATE(Sintesi!$C$4-1,12,31)+A252</f>
        <v/>
      </c>
      <c r="C252" s="34">
        <f t="array" ref="C252">_xlfn.IFNA(MATCH(1,(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)*(_xlfn.ANCHORARRAY(Sintesi!$C$15)&gt;=0)+(_xlfn.ANCHORARRAY(Sintesi!$C$15)&lt;0),0),0)</f>
        <v/>
      </c>
      <c r="D252" s="1">
        <f t="array" ref="D252">IF(ISBLANK($E253),IF(ISNUMBER($E251),IF($C252&gt;0,IF(($E252=INDEX(_xlfn.ANCHORARRAY(Sintesi!$C$14),1,$C252))*(INDEX(_xlfn.ANCHORARRAY(Sintesi!$C$15),1,$C252)&gt;0),0,IF(($E252=INDEX(_xlfn.ANCHORARRAY(Sintesi!$C$14),1,$C252))*(INDEX(_xlfn.ANCHORARRAY(Sintesi!$C$15),1,$C252)&lt;0)+($E252&gt;=$E251)*($E252&lt;=INDEX($E:$E,MATCH(TRUE,INDEX((ISNUMBER($E:$E)),0),0)))*($E252&gt;INDEX(_xlfn.ANCHORARRAY(Sintesi!$C$14),1,$C252))*($E252&lt;=INDEX(_xlfn.ANCHORARRAY(Sintesi!$C$15),1,$C252))*(INDEX(_xlfn.ANCHORARRAY(Sintesi!$C$15),1,$C252)&gt;0),1,IF(($E252&gt;=$E251)*($E252&lt;=INDEX($E:$E,MATCH(TRUE,INDEX((ISNUMBER($E:$E)),0),0)))*($E252&gt;INDEX(_xlfn.ANCHORARRAY(Sintesi!$C$14),1,$C252))*($E252&lt;INDEX(_xlfn.ANCHORARRAY(Sintesi!$C$16),1,$C252))*(INDEX(_xlfn.ANCHORARRAY(Sintesi!$C$15),1,$C252)&lt;0)+($E252&gt;=$E251)*($E252&lt;=INDEX($E:$E,MATCH(TRUE,INDEX((ISNUMBER($E:$E)),0),0)))*($E252&gt;INDEX(_xlfn.ANCHORARRAY(Sintesi!$C$15),1,$C252))*($E252&lt;INDEX(_xlfn.ANCHORARRAY(Sintesi!$C$16),1,$C252))*(INDEX(_xlfn.ANCHORARRAY(Sintesi!$C$15),1,$C252)&gt;0),2,IF($E252=(INDEX(_xlfn.ANCHORARRAY(Sintesi!$C$16),1,$C252)),3,4)))),0),IF($C252&gt;0,IF(($E252=INDEX(_xlfn.ANCHORARRAY(Sintesi!$C$14),1,$C252))*(INDEX(_xlfn.ANCHORARRAY(Sintesi!$C$15),1,$C252)&gt;0),0,IF(($E252=INDEX(_xlfn.ANCHORARRAY(Sintesi!$C$14),1,$C252))*(INDEX(_xlfn.ANCHORARRAY(Sintesi!$C$15),1,$C252)&lt;0)+($E252&gt;=LOOKUP(2,1/($E:$E&lt;&gt;""),$E:$E))*($E252&lt;=INDEX($E:$E,MATCH(TRUE,INDEX((ISNUMBER($E:$E)),0),0)))*($E252&gt;INDEX(_xlfn.ANCHORARRAY(Sintesi!$C$14),1,$C252))*($E252&lt;=INDEX(_xlfn.ANCHORARRAY(Sintesi!$C$15),1,$C252))*(INDEX(_xlfn.ANCHORARRAY(Sintesi!$C$15),1,$C252)&gt;0),1,IF(($E252&gt;=LOOKUP(2,1/($E:$E&lt;&gt;""),$E:$E))*($E252&lt;=INDEX($E:$E,MATCH(TRUE,INDEX((ISNUMBER($E:$E)),0),0)))*($E252&gt;INDEX(_xlfn.ANCHORARRAY(Sintesi!$C$14),1,$C252))*($E252&lt;INDEX(_xlfn.ANCHORARRAY(Sintesi!$C$16),1,$C252))*(INDEX(_xlfn.ANCHORARRAY(Sintesi!$C$15),1,$C252)&lt;0)+($E252&gt;=LOOKUP(2,1/($E:$E&lt;&gt;""),$E:$E))*($E252&lt;=INDEX($E:$E,MATCH(TRUE,INDEX((ISNUMBER($E:$E)),0),0)))*($E252&gt;INDEX(_xlfn.ANCHORARRAY(Sintesi!$C$15),1,$C252))*($E252&lt;INDEX(_xlfn.ANCHORARRAY(Sintesi!$C$16),1,$C252))*(INDEX(_xlfn.ANCHORARRAY(Sintesi!$C$15),1,$C252)&gt;0),2,IF($E252=(INDEX(_xlfn.ANCHORARRAY(Sintesi!$C$16),1,$C252)),3,4)))),0)),IF(ISNUMBER($E251),IF($C252&gt;0,IF(($E252=INDEX(_xlfn.ANCHORARRAY(Sintesi!$C$14),1,$C252))*(INDEX(_xlfn.ANCHORARRAY(Sintesi!$C$15),1,$C252)&gt;0),0,IF(($E252=INDEX(_xlfn.ANCHORARRAY(Sintesi!$C$14),1,$C252))*(INDEX(_xlfn.ANCHORARRAY(Sintesi!$C$15),1,$C252)&lt;0)+($E252&gt;=$E251)*($E252&lt;=$E253)*($E252&gt;INDEX(_xlfn.ANCHORARRAY(Sintesi!$C$14),1,$C252))*($E252&lt;=INDEX(_xlfn.ANCHORARRAY(Sintesi!$C$15),1,$C252))*(INDEX(_xlfn.ANCHORARRAY(Sintesi!$C$15),1,$C252)&gt;0),1,IF(($E252&gt;=$E251)*($E252&lt;=$E253)*($E252&gt;INDEX(_xlfn.ANCHORARRAY(Sintesi!$C$14),1,$C252))*($E252&lt;INDEX(_xlfn.ANCHORARRAY(Sintesi!$C$16),1,$C252))*(INDEX(_xlfn.ANCHORARRAY(Sintesi!$C$15),1,$C252)&lt;0)+($E252&gt;=$E251)*($E252&lt;=$E253)*($E252&gt;INDEX(_xlfn.ANCHORARRAY(Sintesi!$C$15),1,$C252))*($E252&lt;INDEX(_xlfn.ANCHORARRAY(Sintesi!$C$16),1,$C252))*(INDEX(_xlfn.ANCHORARRAY(Sintesi!$C$15),1,$C252)&gt;0),2,IF($E252=(INDEX(_xlfn.ANCHORARRAY(Sintesi!$C$16),1,$C252)),3,4)))),0),IF($C252&gt;0,IF(($E252=INDEX(_xlfn.ANCHORARRAY(Sintesi!$C$14),1,$C252))*(INDEX(_xlfn.ANCHORARRAY(Sintesi!$C$15),1,$C252)&gt;0),0,IF(($E252=INDEX(_xlfn.ANCHORARRAY(Sintesi!$C$14),1,$C252))*(INDEX(_xlfn.ANCHORARRAY(Sintesi!$C$15),1,$C252)&lt;0)+($E252&gt;=LOOKUP(2,1/($E:$E&lt;&gt;""),$E:$E))*($E252&lt;=$E253)*($E252&gt;INDEX(_xlfn.ANCHORARRAY(Sintesi!$C$14),1,$C252))*($E252&lt;=INDEX(_xlfn.ANCHORARRAY(Sintesi!$C$15),1,$C252))*(INDEX(_xlfn.ANCHORARRAY(Sintesi!$C$15),1,$C252)&gt;0),1,IF(($E252&gt;=LOOKUP(2,1/($E:$E&lt;&gt;""),$E:$E))*($E252&lt;=$E253)*($E252&gt;INDEX(_xlfn.ANCHORARRAY(Sintesi!$C$14),1,$C252))*($E252&lt;INDEX(_xlfn.ANCHORARRAY(Sintesi!$C$16),1,$C252))*(INDEX(_xlfn.ANCHORARRAY(Sintesi!$C$15),1,$C252)&lt;0)+($E252&gt;=LOOKUP(2,1/($E:$E&lt;&gt;""),$E:$E))*($E252&lt;=$E253)*($E252&gt;INDEX(_xlfn.ANCHORARRAY(Sintesi!$C$15),1,$C252))*($E252&lt;INDEX(_xlfn.ANCHORARRAY(Sintesi!$C$16),1,$C252))*(INDEX(_xlfn.ANCHORARRAY(Sintesi!$C$15),1,$C252)&gt;0),2,IF($E252=(INDEX(_xlfn.ANCHORARRAY(Sintesi!$C$16),1,$C252)),3,4)))),0)))</f>
        <v/>
      </c>
      <c r="E252" s="1">
        <f>'Paste cell here'!F252</f>
        <v/>
      </c>
      <c r="F252" s="1">
        <f>'Paste cell here'!C252</f>
        <v/>
      </c>
      <c r="G252" s="1">
        <f>'Paste cell here'!D252</f>
        <v/>
      </c>
      <c r="H252" s="1">
        <f>'Paste cell here'!E252</f>
        <v/>
      </c>
      <c r="I252" s="1">
        <f>'Paste cell here'!X252</f>
        <v/>
      </c>
      <c r="J252" s="1">
        <f>'Paste cell here'!Y252+'Paste cell here'!S252</f>
        <v/>
      </c>
      <c r="K252" s="1">
        <f>I252/H252</f>
        <v/>
      </c>
      <c r="L252" s="1">
        <f>AVERAGE(($F252+$G252)/2-($F252-$G252)/2*COS(PI()*(8-VLOOKUP(MONTH(B252),$O$1:$Q$13,3))/(VLOOKUP(MONTH(B252),$O$1:$Q$13,2)-VLOOKUP(MONTH(B252),$O$1:$Q$13,3))),($F252+$G252)/2-($F252-$G252)/2*COS(PI()*(9-VLOOKUP(MONTH(B252),$O$1:$Q$13,3))/(VLOOKUP(MONTH(B252),$O$1:$Q$13,2)-VLOOKUP(MONTH(B252),$O$1:$Q$13,3))),($F252+$G252)/2-($F252-$G252)/2*COS(PI()*(10-VLOOKUP(MONTH(B252),$O$1:$Q$13,3))/(VLOOKUP(MONTH(B252),$O$1:$Q$13,2)-VLOOKUP(MONTH(B252),$O$1:$Q$13,3))),($F252+$G252)/2-($F252-$G252)/2*COS(PI()*(11-VLOOKUP(MONTH(B252),$O$1:$Q$13,3))/(VLOOKUP(MONTH(B252),$O$1:$Q$13,2)-VLOOKUP(MONTH(B252),$O$1:$Q$13,3))),($F252+$G252)/2-($F252-$G252)/2*COS(PI()*(12-VLOOKUP(MONTH(B252),$O$1:$Q$13,3))/(VLOOKUP(MONTH(B252),$O$1:$Q$13,2)-VLOOKUP(MONTH(B252),$O$1:$Q$13,3))),($F252+$G252)/2-($F252-$G252)/2*COS(PI()*(13-VLOOKUP(MONTH(B252),$O$1:$Q$13,3))/(VLOOKUP(MONTH(B252),$O$1:$Q$13,2)-VLOOKUP(MONTH(B252),$O$1:$Q$13,3))),($F252+$G252)/2-($F252-$G252)/2*COS(PI()*(14-VLOOKUP(MONTH(B252),$O$1:$Q$13,3))/(VLOOKUP(MONTH(B252),$O$1:$Q$13,2)-VLOOKUP(MONTH(B252),$O$1:$Q$13,3))))</f>
        <v/>
      </c>
      <c r="M252" s="1">
        <f t="array" ref="M252">IF(AND(A252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,A252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),IF(L252&lt;_xlfn.IFNA(INDEX(_xlfn.ANCHORARRAY(Sintesi!$C$17)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,1,IF(L252&gt;=_xlfn.IFNA(INDEX(_xlfn.ANCHORARRAY(Sintesi!$C$18)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,0,1-(L252-_xlfn.IFNA(INDEX(_xlfn.ANCHORARRAY(Sintesi!$C$17)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)/(_xlfn.IFNA(INDEX(_xlfn.ANCHORARRAY(Sintesi!$C$18)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-_xlfn.IFNA(INDEX(_xlfn.ANCHORARRAY(Sintesi!$C$17)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))),0)</f>
        <v/>
      </c>
    </row>
    <row r="253">
      <c r="A253" s="1">
        <f>'Paste cell here'!A253</f>
        <v/>
      </c>
      <c r="B253" s="2">
        <f>DATE(Sintesi!$C$4-1,12,31)+A253</f>
        <v/>
      </c>
      <c r="C253" s="34">
        <f t="array" ref="C253">_xlfn.IFNA(MATCH(1,(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)*(_xlfn.ANCHORARRAY(Sintesi!$C$15)&gt;=0)+(_xlfn.ANCHORARRAY(Sintesi!$C$15)&lt;0),0),0)</f>
        <v/>
      </c>
      <c r="D253" s="1">
        <f t="array" ref="D253">IF(ISBLANK($E254),IF(ISNUMBER($E252),IF($C253&gt;0,IF(($E253=INDEX(_xlfn.ANCHORARRAY(Sintesi!$C$14),1,$C253))*(INDEX(_xlfn.ANCHORARRAY(Sintesi!$C$15),1,$C253)&gt;0),0,IF(($E253=INDEX(_xlfn.ANCHORARRAY(Sintesi!$C$14),1,$C253))*(INDEX(_xlfn.ANCHORARRAY(Sintesi!$C$15),1,$C253)&lt;0)+($E253&gt;=$E252)*($E253&lt;=INDEX($E:$E,MATCH(TRUE,INDEX((ISNUMBER($E:$E)),0),0)))*($E253&gt;INDEX(_xlfn.ANCHORARRAY(Sintesi!$C$14),1,$C253))*($E253&lt;=INDEX(_xlfn.ANCHORARRAY(Sintesi!$C$15),1,$C253))*(INDEX(_xlfn.ANCHORARRAY(Sintesi!$C$15),1,$C253)&gt;0),1,IF(($E253&gt;=$E252)*($E253&lt;=INDEX($E:$E,MATCH(TRUE,INDEX((ISNUMBER($E:$E)),0),0)))*($E253&gt;INDEX(_xlfn.ANCHORARRAY(Sintesi!$C$14),1,$C253))*($E253&lt;INDEX(_xlfn.ANCHORARRAY(Sintesi!$C$16),1,$C253))*(INDEX(_xlfn.ANCHORARRAY(Sintesi!$C$15),1,$C253)&lt;0)+($E253&gt;=$E252)*($E253&lt;=INDEX($E:$E,MATCH(TRUE,INDEX((ISNUMBER($E:$E)),0),0)))*($E253&gt;INDEX(_xlfn.ANCHORARRAY(Sintesi!$C$15),1,$C253))*($E253&lt;INDEX(_xlfn.ANCHORARRAY(Sintesi!$C$16),1,$C253))*(INDEX(_xlfn.ANCHORARRAY(Sintesi!$C$15),1,$C253)&gt;0),2,IF($E253=(INDEX(_xlfn.ANCHORARRAY(Sintesi!$C$16),1,$C253)),3,4)))),0),IF($C253&gt;0,IF(($E253=INDEX(_xlfn.ANCHORARRAY(Sintesi!$C$14),1,$C253))*(INDEX(_xlfn.ANCHORARRAY(Sintesi!$C$15),1,$C253)&gt;0),0,IF(($E253=INDEX(_xlfn.ANCHORARRAY(Sintesi!$C$14),1,$C253))*(INDEX(_xlfn.ANCHORARRAY(Sintesi!$C$15),1,$C253)&lt;0)+($E253&gt;=LOOKUP(2,1/($E:$E&lt;&gt;""),$E:$E))*($E253&lt;=INDEX($E:$E,MATCH(TRUE,INDEX((ISNUMBER($E:$E)),0),0)))*($E253&gt;INDEX(_xlfn.ANCHORARRAY(Sintesi!$C$14),1,$C253))*($E253&lt;=INDEX(_xlfn.ANCHORARRAY(Sintesi!$C$15),1,$C253))*(INDEX(_xlfn.ANCHORARRAY(Sintesi!$C$15),1,$C253)&gt;0),1,IF(($E253&gt;=LOOKUP(2,1/($E:$E&lt;&gt;""),$E:$E))*($E253&lt;=INDEX($E:$E,MATCH(TRUE,INDEX((ISNUMBER($E:$E)),0),0)))*($E253&gt;INDEX(_xlfn.ANCHORARRAY(Sintesi!$C$14),1,$C253))*($E253&lt;INDEX(_xlfn.ANCHORARRAY(Sintesi!$C$16),1,$C253))*(INDEX(_xlfn.ANCHORARRAY(Sintesi!$C$15),1,$C253)&lt;0)+($E253&gt;=LOOKUP(2,1/($E:$E&lt;&gt;""),$E:$E))*($E253&lt;=INDEX($E:$E,MATCH(TRUE,INDEX((ISNUMBER($E:$E)),0),0)))*($E253&gt;INDEX(_xlfn.ANCHORARRAY(Sintesi!$C$15),1,$C253))*($E253&lt;INDEX(_xlfn.ANCHORARRAY(Sintesi!$C$16),1,$C253))*(INDEX(_xlfn.ANCHORARRAY(Sintesi!$C$15),1,$C253)&gt;0),2,IF($E253=(INDEX(_xlfn.ANCHORARRAY(Sintesi!$C$16),1,$C253)),3,4)))),0)),IF(ISNUMBER($E252),IF($C253&gt;0,IF(($E253=INDEX(_xlfn.ANCHORARRAY(Sintesi!$C$14),1,$C253))*(INDEX(_xlfn.ANCHORARRAY(Sintesi!$C$15),1,$C253)&gt;0),0,IF(($E253=INDEX(_xlfn.ANCHORARRAY(Sintesi!$C$14),1,$C253))*(INDEX(_xlfn.ANCHORARRAY(Sintesi!$C$15),1,$C253)&lt;0)+($E253&gt;=$E252)*($E253&lt;=$E254)*($E253&gt;INDEX(_xlfn.ANCHORARRAY(Sintesi!$C$14),1,$C253))*($E253&lt;=INDEX(_xlfn.ANCHORARRAY(Sintesi!$C$15),1,$C253))*(INDEX(_xlfn.ANCHORARRAY(Sintesi!$C$15),1,$C253)&gt;0),1,IF(($E253&gt;=$E252)*($E253&lt;=$E254)*($E253&gt;INDEX(_xlfn.ANCHORARRAY(Sintesi!$C$14),1,$C253))*($E253&lt;INDEX(_xlfn.ANCHORARRAY(Sintesi!$C$16),1,$C253))*(INDEX(_xlfn.ANCHORARRAY(Sintesi!$C$15),1,$C253)&lt;0)+($E253&gt;=$E252)*($E253&lt;=$E254)*($E253&gt;INDEX(_xlfn.ANCHORARRAY(Sintesi!$C$15),1,$C253))*($E253&lt;INDEX(_xlfn.ANCHORARRAY(Sintesi!$C$16),1,$C253))*(INDEX(_xlfn.ANCHORARRAY(Sintesi!$C$15),1,$C253)&gt;0),2,IF($E253=(INDEX(_xlfn.ANCHORARRAY(Sintesi!$C$16),1,$C253)),3,4)))),0),IF($C253&gt;0,IF(($E253=INDEX(_xlfn.ANCHORARRAY(Sintesi!$C$14),1,$C253))*(INDEX(_xlfn.ANCHORARRAY(Sintesi!$C$15),1,$C253)&gt;0),0,IF(($E253=INDEX(_xlfn.ANCHORARRAY(Sintesi!$C$14),1,$C253))*(INDEX(_xlfn.ANCHORARRAY(Sintesi!$C$15),1,$C253)&lt;0)+($E253&gt;=LOOKUP(2,1/($E:$E&lt;&gt;""),$E:$E))*($E253&lt;=$E254)*($E253&gt;INDEX(_xlfn.ANCHORARRAY(Sintesi!$C$14),1,$C253))*($E253&lt;=INDEX(_xlfn.ANCHORARRAY(Sintesi!$C$15),1,$C253))*(INDEX(_xlfn.ANCHORARRAY(Sintesi!$C$15),1,$C253)&gt;0),1,IF(($E253&gt;=LOOKUP(2,1/($E:$E&lt;&gt;""),$E:$E))*($E253&lt;=$E254)*($E253&gt;INDEX(_xlfn.ANCHORARRAY(Sintesi!$C$14),1,$C253))*($E253&lt;INDEX(_xlfn.ANCHORARRAY(Sintesi!$C$16),1,$C253))*(INDEX(_xlfn.ANCHORARRAY(Sintesi!$C$15),1,$C253)&lt;0)+($E253&gt;=LOOKUP(2,1/($E:$E&lt;&gt;""),$E:$E))*($E253&lt;=$E254)*($E253&gt;INDEX(_xlfn.ANCHORARRAY(Sintesi!$C$15),1,$C253))*($E253&lt;INDEX(_xlfn.ANCHORARRAY(Sintesi!$C$16),1,$C253))*(INDEX(_xlfn.ANCHORARRAY(Sintesi!$C$15),1,$C253)&gt;0),2,IF($E253=(INDEX(_xlfn.ANCHORARRAY(Sintesi!$C$16),1,$C253)),3,4)))),0)))</f>
        <v/>
      </c>
      <c r="E253" s="1">
        <f>'Paste cell here'!F253</f>
        <v/>
      </c>
      <c r="F253" s="1">
        <f>'Paste cell here'!C253</f>
        <v/>
      </c>
      <c r="G253" s="1">
        <f>'Paste cell here'!D253</f>
        <v/>
      </c>
      <c r="H253" s="1">
        <f>'Paste cell here'!E253</f>
        <v/>
      </c>
      <c r="I253" s="1">
        <f>'Paste cell here'!X253</f>
        <v/>
      </c>
      <c r="J253" s="1">
        <f>'Paste cell here'!Y253+'Paste cell here'!S253</f>
        <v/>
      </c>
      <c r="K253" s="1">
        <f>I253/H253</f>
        <v/>
      </c>
      <c r="L253" s="1">
        <f>AVERAGE(($F253+$G253)/2-($F253-$G253)/2*COS(PI()*(8-VLOOKUP(MONTH(B253),$O$1:$Q$13,3))/(VLOOKUP(MONTH(B253),$O$1:$Q$13,2)-VLOOKUP(MONTH(B253),$O$1:$Q$13,3))),($F253+$G253)/2-($F253-$G253)/2*COS(PI()*(9-VLOOKUP(MONTH(B253),$O$1:$Q$13,3))/(VLOOKUP(MONTH(B253),$O$1:$Q$13,2)-VLOOKUP(MONTH(B253),$O$1:$Q$13,3))),($F253+$G253)/2-($F253-$G253)/2*COS(PI()*(10-VLOOKUP(MONTH(B253),$O$1:$Q$13,3))/(VLOOKUP(MONTH(B253),$O$1:$Q$13,2)-VLOOKUP(MONTH(B253),$O$1:$Q$13,3))),($F253+$G253)/2-($F253-$G253)/2*COS(PI()*(11-VLOOKUP(MONTH(B253),$O$1:$Q$13,3))/(VLOOKUP(MONTH(B253),$O$1:$Q$13,2)-VLOOKUP(MONTH(B253),$O$1:$Q$13,3))),($F253+$G253)/2-($F253-$G253)/2*COS(PI()*(12-VLOOKUP(MONTH(B253),$O$1:$Q$13,3))/(VLOOKUP(MONTH(B253),$O$1:$Q$13,2)-VLOOKUP(MONTH(B253),$O$1:$Q$13,3))),($F253+$G253)/2-($F253-$G253)/2*COS(PI()*(13-VLOOKUP(MONTH(B253),$O$1:$Q$13,3))/(VLOOKUP(MONTH(B253),$O$1:$Q$13,2)-VLOOKUP(MONTH(B253),$O$1:$Q$13,3))),($F253+$G253)/2-($F253-$G253)/2*COS(PI()*(14-VLOOKUP(MONTH(B253),$O$1:$Q$13,3))/(VLOOKUP(MONTH(B253),$O$1:$Q$13,2)-VLOOKUP(MONTH(B253),$O$1:$Q$13,3))))</f>
        <v/>
      </c>
      <c r="M253" s="1">
        <f t="array" ref="M253">IF(AND(A253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,A253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),IF(L253&lt;_xlfn.IFNA(INDEX(_xlfn.ANCHORARRAY(Sintesi!$C$17)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,1,IF(L253&gt;=_xlfn.IFNA(INDEX(_xlfn.ANCHORARRAY(Sintesi!$C$18)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,0,1-(L253-_xlfn.IFNA(INDEX(_xlfn.ANCHORARRAY(Sintesi!$C$17)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)/(_xlfn.IFNA(INDEX(_xlfn.ANCHORARRAY(Sintesi!$C$18)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-_xlfn.IFNA(INDEX(_xlfn.ANCHORARRAY(Sintesi!$C$17)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))),0)</f>
        <v/>
      </c>
    </row>
    <row r="254">
      <c r="A254" s="1">
        <f>'Paste cell here'!A254</f>
        <v/>
      </c>
      <c r="B254" s="2">
        <f>DATE(Sintesi!$C$4-1,12,31)+A254</f>
        <v/>
      </c>
      <c r="C254" s="34">
        <f t="array" ref="C254">_xlfn.IFNA(MATCH(1,(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)*(_xlfn.ANCHORARRAY(Sintesi!$C$15)&gt;=0)+(_xlfn.ANCHORARRAY(Sintesi!$C$15)&lt;0),0),0)</f>
        <v/>
      </c>
      <c r="D254" s="1">
        <f t="array" ref="D254">IF(ISBLANK($E255),IF(ISNUMBER($E253),IF($C254&gt;0,IF(($E254=INDEX(_xlfn.ANCHORARRAY(Sintesi!$C$14),1,$C254))*(INDEX(_xlfn.ANCHORARRAY(Sintesi!$C$15),1,$C254)&gt;0),0,IF(($E254=INDEX(_xlfn.ANCHORARRAY(Sintesi!$C$14),1,$C254))*(INDEX(_xlfn.ANCHORARRAY(Sintesi!$C$15),1,$C254)&lt;0)+($E254&gt;=$E253)*($E254&lt;=INDEX($E:$E,MATCH(TRUE,INDEX((ISNUMBER($E:$E)),0),0)))*($E254&gt;INDEX(_xlfn.ANCHORARRAY(Sintesi!$C$14),1,$C254))*($E254&lt;=INDEX(_xlfn.ANCHORARRAY(Sintesi!$C$15),1,$C254))*(INDEX(_xlfn.ANCHORARRAY(Sintesi!$C$15),1,$C254)&gt;0),1,IF(($E254&gt;=$E253)*($E254&lt;=INDEX($E:$E,MATCH(TRUE,INDEX((ISNUMBER($E:$E)),0),0)))*($E254&gt;INDEX(_xlfn.ANCHORARRAY(Sintesi!$C$14),1,$C254))*($E254&lt;INDEX(_xlfn.ANCHORARRAY(Sintesi!$C$16),1,$C254))*(INDEX(_xlfn.ANCHORARRAY(Sintesi!$C$15),1,$C254)&lt;0)+($E254&gt;=$E253)*($E254&lt;=INDEX($E:$E,MATCH(TRUE,INDEX((ISNUMBER($E:$E)),0),0)))*($E254&gt;INDEX(_xlfn.ANCHORARRAY(Sintesi!$C$15),1,$C254))*($E254&lt;INDEX(_xlfn.ANCHORARRAY(Sintesi!$C$16),1,$C254))*(INDEX(_xlfn.ANCHORARRAY(Sintesi!$C$15),1,$C254)&gt;0),2,IF($E254=(INDEX(_xlfn.ANCHORARRAY(Sintesi!$C$16),1,$C254)),3,4)))),0),IF($C254&gt;0,IF(($E254=INDEX(_xlfn.ANCHORARRAY(Sintesi!$C$14),1,$C254))*(INDEX(_xlfn.ANCHORARRAY(Sintesi!$C$15),1,$C254)&gt;0),0,IF(($E254=INDEX(_xlfn.ANCHORARRAY(Sintesi!$C$14),1,$C254))*(INDEX(_xlfn.ANCHORARRAY(Sintesi!$C$15),1,$C254)&lt;0)+($E254&gt;=LOOKUP(2,1/($E:$E&lt;&gt;""),$E:$E))*($E254&lt;=INDEX($E:$E,MATCH(TRUE,INDEX((ISNUMBER($E:$E)),0),0)))*($E254&gt;INDEX(_xlfn.ANCHORARRAY(Sintesi!$C$14),1,$C254))*($E254&lt;=INDEX(_xlfn.ANCHORARRAY(Sintesi!$C$15),1,$C254))*(INDEX(_xlfn.ANCHORARRAY(Sintesi!$C$15),1,$C254)&gt;0),1,IF(($E254&gt;=LOOKUP(2,1/($E:$E&lt;&gt;""),$E:$E))*($E254&lt;=INDEX($E:$E,MATCH(TRUE,INDEX((ISNUMBER($E:$E)),0),0)))*($E254&gt;INDEX(_xlfn.ANCHORARRAY(Sintesi!$C$14),1,$C254))*($E254&lt;INDEX(_xlfn.ANCHORARRAY(Sintesi!$C$16),1,$C254))*(INDEX(_xlfn.ANCHORARRAY(Sintesi!$C$15),1,$C254)&lt;0)+($E254&gt;=LOOKUP(2,1/($E:$E&lt;&gt;""),$E:$E))*($E254&lt;=INDEX($E:$E,MATCH(TRUE,INDEX((ISNUMBER($E:$E)),0),0)))*($E254&gt;INDEX(_xlfn.ANCHORARRAY(Sintesi!$C$15),1,$C254))*($E254&lt;INDEX(_xlfn.ANCHORARRAY(Sintesi!$C$16),1,$C254))*(INDEX(_xlfn.ANCHORARRAY(Sintesi!$C$15),1,$C254)&gt;0),2,IF($E254=(INDEX(_xlfn.ANCHORARRAY(Sintesi!$C$16),1,$C254)),3,4)))),0)),IF(ISNUMBER($E253),IF($C254&gt;0,IF(($E254=INDEX(_xlfn.ANCHORARRAY(Sintesi!$C$14),1,$C254))*(INDEX(_xlfn.ANCHORARRAY(Sintesi!$C$15),1,$C254)&gt;0),0,IF(($E254=INDEX(_xlfn.ANCHORARRAY(Sintesi!$C$14),1,$C254))*(INDEX(_xlfn.ANCHORARRAY(Sintesi!$C$15),1,$C254)&lt;0)+($E254&gt;=$E253)*($E254&lt;=$E255)*($E254&gt;INDEX(_xlfn.ANCHORARRAY(Sintesi!$C$14),1,$C254))*($E254&lt;=INDEX(_xlfn.ANCHORARRAY(Sintesi!$C$15),1,$C254))*(INDEX(_xlfn.ANCHORARRAY(Sintesi!$C$15),1,$C254)&gt;0),1,IF(($E254&gt;=$E253)*($E254&lt;=$E255)*($E254&gt;INDEX(_xlfn.ANCHORARRAY(Sintesi!$C$14),1,$C254))*($E254&lt;INDEX(_xlfn.ANCHORARRAY(Sintesi!$C$16),1,$C254))*(INDEX(_xlfn.ANCHORARRAY(Sintesi!$C$15),1,$C254)&lt;0)+($E254&gt;=$E253)*($E254&lt;=$E255)*($E254&gt;INDEX(_xlfn.ANCHORARRAY(Sintesi!$C$15),1,$C254))*($E254&lt;INDEX(_xlfn.ANCHORARRAY(Sintesi!$C$16),1,$C254))*(INDEX(_xlfn.ANCHORARRAY(Sintesi!$C$15),1,$C254)&gt;0),2,IF($E254=(INDEX(_xlfn.ANCHORARRAY(Sintesi!$C$16),1,$C254)),3,4)))),0),IF($C254&gt;0,IF(($E254=INDEX(_xlfn.ANCHORARRAY(Sintesi!$C$14),1,$C254))*(INDEX(_xlfn.ANCHORARRAY(Sintesi!$C$15),1,$C254)&gt;0),0,IF(($E254=INDEX(_xlfn.ANCHORARRAY(Sintesi!$C$14),1,$C254))*(INDEX(_xlfn.ANCHORARRAY(Sintesi!$C$15),1,$C254)&lt;0)+($E254&gt;=LOOKUP(2,1/($E:$E&lt;&gt;""),$E:$E))*($E254&lt;=$E255)*($E254&gt;INDEX(_xlfn.ANCHORARRAY(Sintesi!$C$14),1,$C254))*($E254&lt;=INDEX(_xlfn.ANCHORARRAY(Sintesi!$C$15),1,$C254))*(INDEX(_xlfn.ANCHORARRAY(Sintesi!$C$15),1,$C254)&gt;0),1,IF(($E254&gt;=LOOKUP(2,1/($E:$E&lt;&gt;""),$E:$E))*($E254&lt;=$E255)*($E254&gt;INDEX(_xlfn.ANCHORARRAY(Sintesi!$C$14),1,$C254))*($E254&lt;INDEX(_xlfn.ANCHORARRAY(Sintesi!$C$16),1,$C254))*(INDEX(_xlfn.ANCHORARRAY(Sintesi!$C$15),1,$C254)&lt;0)+($E254&gt;=LOOKUP(2,1/($E:$E&lt;&gt;""),$E:$E))*($E254&lt;=$E255)*($E254&gt;INDEX(_xlfn.ANCHORARRAY(Sintesi!$C$15),1,$C254))*($E254&lt;INDEX(_xlfn.ANCHORARRAY(Sintesi!$C$16),1,$C254))*(INDEX(_xlfn.ANCHORARRAY(Sintesi!$C$15),1,$C254)&gt;0),2,IF($E254=(INDEX(_xlfn.ANCHORARRAY(Sintesi!$C$16),1,$C254)),3,4)))),0)))</f>
        <v/>
      </c>
      <c r="E254" s="1">
        <f>'Paste cell here'!F254</f>
        <v/>
      </c>
      <c r="F254" s="1">
        <f>'Paste cell here'!C254</f>
        <v/>
      </c>
      <c r="G254" s="1">
        <f>'Paste cell here'!D254</f>
        <v/>
      </c>
      <c r="H254" s="1">
        <f>'Paste cell here'!E254</f>
        <v/>
      </c>
      <c r="I254" s="1">
        <f>'Paste cell here'!X254</f>
        <v/>
      </c>
      <c r="J254" s="1">
        <f>'Paste cell here'!Y254+'Paste cell here'!S254</f>
        <v/>
      </c>
      <c r="K254" s="1">
        <f>I254/H254</f>
        <v/>
      </c>
      <c r="L254" s="1">
        <f>AVERAGE(($F254+$G254)/2-($F254-$G254)/2*COS(PI()*(8-VLOOKUP(MONTH(B254),$O$1:$Q$13,3))/(VLOOKUP(MONTH(B254),$O$1:$Q$13,2)-VLOOKUP(MONTH(B254),$O$1:$Q$13,3))),($F254+$G254)/2-($F254-$G254)/2*COS(PI()*(9-VLOOKUP(MONTH(B254),$O$1:$Q$13,3))/(VLOOKUP(MONTH(B254),$O$1:$Q$13,2)-VLOOKUP(MONTH(B254),$O$1:$Q$13,3))),($F254+$G254)/2-($F254-$G254)/2*COS(PI()*(10-VLOOKUP(MONTH(B254),$O$1:$Q$13,3))/(VLOOKUP(MONTH(B254),$O$1:$Q$13,2)-VLOOKUP(MONTH(B254),$O$1:$Q$13,3))),($F254+$G254)/2-($F254-$G254)/2*COS(PI()*(11-VLOOKUP(MONTH(B254),$O$1:$Q$13,3))/(VLOOKUP(MONTH(B254),$O$1:$Q$13,2)-VLOOKUP(MONTH(B254),$O$1:$Q$13,3))),($F254+$G254)/2-($F254-$G254)/2*COS(PI()*(12-VLOOKUP(MONTH(B254),$O$1:$Q$13,3))/(VLOOKUP(MONTH(B254),$O$1:$Q$13,2)-VLOOKUP(MONTH(B254),$O$1:$Q$13,3))),($F254+$G254)/2-($F254-$G254)/2*COS(PI()*(13-VLOOKUP(MONTH(B254),$O$1:$Q$13,3))/(VLOOKUP(MONTH(B254),$O$1:$Q$13,2)-VLOOKUP(MONTH(B254),$O$1:$Q$13,3))),($F254+$G254)/2-($F254-$G254)/2*COS(PI()*(14-VLOOKUP(MONTH(B254),$O$1:$Q$13,3))/(VLOOKUP(MONTH(B254),$O$1:$Q$13,2)-VLOOKUP(MONTH(B254),$O$1:$Q$13,3))))</f>
        <v/>
      </c>
      <c r="M254" s="1">
        <f t="array" ref="M254">IF(AND(A254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,A254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),IF(L254&lt;_xlfn.IFNA(INDEX(_xlfn.ANCHORARRAY(Sintesi!$C$17)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,1,IF(L254&gt;=_xlfn.IFNA(INDEX(_xlfn.ANCHORARRAY(Sintesi!$C$18)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,0,1-(L254-_xlfn.IFNA(INDEX(_xlfn.ANCHORARRAY(Sintesi!$C$17)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)/(_xlfn.IFNA(INDEX(_xlfn.ANCHORARRAY(Sintesi!$C$18)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-_xlfn.IFNA(INDEX(_xlfn.ANCHORARRAY(Sintesi!$C$17)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))),0)</f>
        <v/>
      </c>
    </row>
    <row r="255">
      <c r="A255" s="1">
        <f>'Paste cell here'!A255</f>
        <v/>
      </c>
      <c r="B255" s="2">
        <f>DATE(Sintesi!$C$4-1,12,31)+A255</f>
        <v/>
      </c>
      <c r="C255" s="34">
        <f t="array" ref="C255">_xlfn.IFNA(MATCH(1,(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)*(_xlfn.ANCHORARRAY(Sintesi!$C$15)&gt;=0)+(_xlfn.ANCHORARRAY(Sintesi!$C$15)&lt;0),0),0)</f>
        <v/>
      </c>
      <c r="D255" s="1">
        <f t="array" ref="D255">IF(ISBLANK($E256),IF(ISNUMBER($E254),IF($C255&gt;0,IF(($E255=INDEX(_xlfn.ANCHORARRAY(Sintesi!$C$14),1,$C255))*(INDEX(_xlfn.ANCHORARRAY(Sintesi!$C$15),1,$C255)&gt;0),0,IF(($E255=INDEX(_xlfn.ANCHORARRAY(Sintesi!$C$14),1,$C255))*(INDEX(_xlfn.ANCHORARRAY(Sintesi!$C$15),1,$C255)&lt;0)+($E255&gt;=$E254)*($E255&lt;=INDEX($E:$E,MATCH(TRUE,INDEX((ISNUMBER($E:$E)),0),0)))*($E255&gt;INDEX(_xlfn.ANCHORARRAY(Sintesi!$C$14),1,$C255))*($E255&lt;=INDEX(_xlfn.ANCHORARRAY(Sintesi!$C$15),1,$C255))*(INDEX(_xlfn.ANCHORARRAY(Sintesi!$C$15),1,$C255)&gt;0),1,IF(($E255&gt;=$E254)*($E255&lt;=INDEX($E:$E,MATCH(TRUE,INDEX((ISNUMBER($E:$E)),0),0)))*($E255&gt;INDEX(_xlfn.ANCHORARRAY(Sintesi!$C$14),1,$C255))*($E255&lt;INDEX(_xlfn.ANCHORARRAY(Sintesi!$C$16),1,$C255))*(INDEX(_xlfn.ANCHORARRAY(Sintesi!$C$15),1,$C255)&lt;0)+($E255&gt;=$E254)*($E255&lt;=INDEX($E:$E,MATCH(TRUE,INDEX((ISNUMBER($E:$E)),0),0)))*($E255&gt;INDEX(_xlfn.ANCHORARRAY(Sintesi!$C$15),1,$C255))*($E255&lt;INDEX(_xlfn.ANCHORARRAY(Sintesi!$C$16),1,$C255))*(INDEX(_xlfn.ANCHORARRAY(Sintesi!$C$15),1,$C255)&gt;0),2,IF($E255=(INDEX(_xlfn.ANCHORARRAY(Sintesi!$C$16),1,$C255)),3,4)))),0),IF($C255&gt;0,IF(($E255=INDEX(_xlfn.ANCHORARRAY(Sintesi!$C$14),1,$C255))*(INDEX(_xlfn.ANCHORARRAY(Sintesi!$C$15),1,$C255)&gt;0),0,IF(($E255=INDEX(_xlfn.ANCHORARRAY(Sintesi!$C$14),1,$C255))*(INDEX(_xlfn.ANCHORARRAY(Sintesi!$C$15),1,$C255)&lt;0)+($E255&gt;=LOOKUP(2,1/($E:$E&lt;&gt;""),$E:$E))*($E255&lt;=INDEX($E:$E,MATCH(TRUE,INDEX((ISNUMBER($E:$E)),0),0)))*($E255&gt;INDEX(_xlfn.ANCHORARRAY(Sintesi!$C$14),1,$C255))*($E255&lt;=INDEX(_xlfn.ANCHORARRAY(Sintesi!$C$15),1,$C255))*(INDEX(_xlfn.ANCHORARRAY(Sintesi!$C$15),1,$C255)&gt;0),1,IF(($E255&gt;=LOOKUP(2,1/($E:$E&lt;&gt;""),$E:$E))*($E255&lt;=INDEX($E:$E,MATCH(TRUE,INDEX((ISNUMBER($E:$E)),0),0)))*($E255&gt;INDEX(_xlfn.ANCHORARRAY(Sintesi!$C$14),1,$C255))*($E255&lt;INDEX(_xlfn.ANCHORARRAY(Sintesi!$C$16),1,$C255))*(INDEX(_xlfn.ANCHORARRAY(Sintesi!$C$15),1,$C255)&lt;0)+($E255&gt;=LOOKUP(2,1/($E:$E&lt;&gt;""),$E:$E))*($E255&lt;=INDEX($E:$E,MATCH(TRUE,INDEX((ISNUMBER($E:$E)),0),0)))*($E255&gt;INDEX(_xlfn.ANCHORARRAY(Sintesi!$C$15),1,$C255))*($E255&lt;INDEX(_xlfn.ANCHORARRAY(Sintesi!$C$16),1,$C255))*(INDEX(_xlfn.ANCHORARRAY(Sintesi!$C$15),1,$C255)&gt;0),2,IF($E255=(INDEX(_xlfn.ANCHORARRAY(Sintesi!$C$16),1,$C255)),3,4)))),0)),IF(ISNUMBER($E254),IF($C255&gt;0,IF(($E255=INDEX(_xlfn.ANCHORARRAY(Sintesi!$C$14),1,$C255))*(INDEX(_xlfn.ANCHORARRAY(Sintesi!$C$15),1,$C255)&gt;0),0,IF(($E255=INDEX(_xlfn.ANCHORARRAY(Sintesi!$C$14),1,$C255))*(INDEX(_xlfn.ANCHORARRAY(Sintesi!$C$15),1,$C255)&lt;0)+($E255&gt;=$E254)*($E255&lt;=$E256)*($E255&gt;INDEX(_xlfn.ANCHORARRAY(Sintesi!$C$14),1,$C255))*($E255&lt;=INDEX(_xlfn.ANCHORARRAY(Sintesi!$C$15),1,$C255))*(INDEX(_xlfn.ANCHORARRAY(Sintesi!$C$15),1,$C255)&gt;0),1,IF(($E255&gt;=$E254)*($E255&lt;=$E256)*($E255&gt;INDEX(_xlfn.ANCHORARRAY(Sintesi!$C$14),1,$C255))*($E255&lt;INDEX(_xlfn.ANCHORARRAY(Sintesi!$C$16),1,$C255))*(INDEX(_xlfn.ANCHORARRAY(Sintesi!$C$15),1,$C255)&lt;0)+($E255&gt;=$E254)*($E255&lt;=$E256)*($E255&gt;INDEX(_xlfn.ANCHORARRAY(Sintesi!$C$15),1,$C255))*($E255&lt;INDEX(_xlfn.ANCHORARRAY(Sintesi!$C$16),1,$C255))*(INDEX(_xlfn.ANCHORARRAY(Sintesi!$C$15),1,$C255)&gt;0),2,IF($E255=(INDEX(_xlfn.ANCHORARRAY(Sintesi!$C$16),1,$C255)),3,4)))),0),IF($C255&gt;0,IF(($E255=INDEX(_xlfn.ANCHORARRAY(Sintesi!$C$14),1,$C255))*(INDEX(_xlfn.ANCHORARRAY(Sintesi!$C$15),1,$C255)&gt;0),0,IF(($E255=INDEX(_xlfn.ANCHORARRAY(Sintesi!$C$14),1,$C255))*(INDEX(_xlfn.ANCHORARRAY(Sintesi!$C$15),1,$C255)&lt;0)+($E255&gt;=LOOKUP(2,1/($E:$E&lt;&gt;""),$E:$E))*($E255&lt;=$E256)*($E255&gt;INDEX(_xlfn.ANCHORARRAY(Sintesi!$C$14),1,$C255))*($E255&lt;=INDEX(_xlfn.ANCHORARRAY(Sintesi!$C$15),1,$C255))*(INDEX(_xlfn.ANCHORARRAY(Sintesi!$C$15),1,$C255)&gt;0),1,IF(($E255&gt;=LOOKUP(2,1/($E:$E&lt;&gt;""),$E:$E))*($E255&lt;=$E256)*($E255&gt;INDEX(_xlfn.ANCHORARRAY(Sintesi!$C$14),1,$C255))*($E255&lt;INDEX(_xlfn.ANCHORARRAY(Sintesi!$C$16),1,$C255))*(INDEX(_xlfn.ANCHORARRAY(Sintesi!$C$15),1,$C255)&lt;0)+($E255&gt;=LOOKUP(2,1/($E:$E&lt;&gt;""),$E:$E))*($E255&lt;=$E256)*($E255&gt;INDEX(_xlfn.ANCHORARRAY(Sintesi!$C$15),1,$C255))*($E255&lt;INDEX(_xlfn.ANCHORARRAY(Sintesi!$C$16),1,$C255))*(INDEX(_xlfn.ANCHORARRAY(Sintesi!$C$15),1,$C255)&gt;0),2,IF($E255=(INDEX(_xlfn.ANCHORARRAY(Sintesi!$C$16),1,$C255)),3,4)))),0)))</f>
        <v/>
      </c>
      <c r="E255" s="1">
        <f>'Paste cell here'!F255</f>
        <v/>
      </c>
      <c r="F255" s="1">
        <f>'Paste cell here'!C255</f>
        <v/>
      </c>
      <c r="G255" s="1">
        <f>'Paste cell here'!D255</f>
        <v/>
      </c>
      <c r="H255" s="1">
        <f>'Paste cell here'!E255</f>
        <v/>
      </c>
      <c r="I255" s="1">
        <f>'Paste cell here'!X255</f>
        <v/>
      </c>
      <c r="J255" s="1">
        <f>'Paste cell here'!Y255+'Paste cell here'!S255</f>
        <v/>
      </c>
      <c r="K255" s="1">
        <f>I255/H255</f>
        <v/>
      </c>
      <c r="L255" s="1">
        <f>AVERAGE(($F255+$G255)/2-($F255-$G255)/2*COS(PI()*(8-VLOOKUP(MONTH(B255),$O$1:$Q$13,3))/(VLOOKUP(MONTH(B255),$O$1:$Q$13,2)-VLOOKUP(MONTH(B255),$O$1:$Q$13,3))),($F255+$G255)/2-($F255-$G255)/2*COS(PI()*(9-VLOOKUP(MONTH(B255),$O$1:$Q$13,3))/(VLOOKUP(MONTH(B255),$O$1:$Q$13,2)-VLOOKUP(MONTH(B255),$O$1:$Q$13,3))),($F255+$G255)/2-($F255-$G255)/2*COS(PI()*(10-VLOOKUP(MONTH(B255),$O$1:$Q$13,3))/(VLOOKUP(MONTH(B255),$O$1:$Q$13,2)-VLOOKUP(MONTH(B255),$O$1:$Q$13,3))),($F255+$G255)/2-($F255-$G255)/2*COS(PI()*(11-VLOOKUP(MONTH(B255),$O$1:$Q$13,3))/(VLOOKUP(MONTH(B255),$O$1:$Q$13,2)-VLOOKUP(MONTH(B255),$O$1:$Q$13,3))),($F255+$G255)/2-($F255-$G255)/2*COS(PI()*(12-VLOOKUP(MONTH(B255),$O$1:$Q$13,3))/(VLOOKUP(MONTH(B255),$O$1:$Q$13,2)-VLOOKUP(MONTH(B255),$O$1:$Q$13,3))),($F255+$G255)/2-($F255-$G255)/2*COS(PI()*(13-VLOOKUP(MONTH(B255),$O$1:$Q$13,3))/(VLOOKUP(MONTH(B255),$O$1:$Q$13,2)-VLOOKUP(MONTH(B255),$O$1:$Q$13,3))),($F255+$G255)/2-($F255-$G255)/2*COS(PI()*(14-VLOOKUP(MONTH(B255),$O$1:$Q$13,3))/(VLOOKUP(MONTH(B255),$O$1:$Q$13,2)-VLOOKUP(MONTH(B255),$O$1:$Q$13,3))))</f>
        <v/>
      </c>
      <c r="M255" s="1">
        <f t="array" ref="M255">IF(AND(A255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,A255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),IF(L255&lt;_xlfn.IFNA(INDEX(_xlfn.ANCHORARRAY(Sintesi!$C$17)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,1,IF(L255&gt;=_xlfn.IFNA(INDEX(_xlfn.ANCHORARRAY(Sintesi!$C$18)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,0,1-(L255-_xlfn.IFNA(INDEX(_xlfn.ANCHORARRAY(Sintesi!$C$17)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)/(_xlfn.IFNA(INDEX(_xlfn.ANCHORARRAY(Sintesi!$C$18)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-_xlfn.IFNA(INDEX(_xlfn.ANCHORARRAY(Sintesi!$C$17)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))),0)</f>
        <v/>
      </c>
    </row>
    <row r="256">
      <c r="A256" s="1">
        <f>'Paste cell here'!A256</f>
        <v/>
      </c>
      <c r="B256" s="2">
        <f>DATE(Sintesi!$C$4-1,12,31)+A256</f>
        <v/>
      </c>
      <c r="C256" s="34">
        <f t="array" ref="C256">_xlfn.IFNA(MATCH(1,(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)*(_xlfn.ANCHORARRAY(Sintesi!$C$15)&gt;=0)+(_xlfn.ANCHORARRAY(Sintesi!$C$15)&lt;0),0),0)</f>
        <v/>
      </c>
      <c r="D256" s="1">
        <f t="array" ref="D256">IF(ISBLANK($E257),IF(ISNUMBER($E255),IF($C256&gt;0,IF(($E256=INDEX(_xlfn.ANCHORARRAY(Sintesi!$C$14),1,$C256))*(INDEX(_xlfn.ANCHORARRAY(Sintesi!$C$15),1,$C256)&gt;0),0,IF(($E256=INDEX(_xlfn.ANCHORARRAY(Sintesi!$C$14),1,$C256))*(INDEX(_xlfn.ANCHORARRAY(Sintesi!$C$15),1,$C256)&lt;0)+($E256&gt;=$E255)*($E256&lt;=INDEX($E:$E,MATCH(TRUE,INDEX((ISNUMBER($E:$E)),0),0)))*($E256&gt;INDEX(_xlfn.ANCHORARRAY(Sintesi!$C$14),1,$C256))*($E256&lt;=INDEX(_xlfn.ANCHORARRAY(Sintesi!$C$15),1,$C256))*(INDEX(_xlfn.ANCHORARRAY(Sintesi!$C$15),1,$C256)&gt;0),1,IF(($E256&gt;=$E255)*($E256&lt;=INDEX($E:$E,MATCH(TRUE,INDEX((ISNUMBER($E:$E)),0),0)))*($E256&gt;INDEX(_xlfn.ANCHORARRAY(Sintesi!$C$14),1,$C256))*($E256&lt;INDEX(_xlfn.ANCHORARRAY(Sintesi!$C$16),1,$C256))*(INDEX(_xlfn.ANCHORARRAY(Sintesi!$C$15),1,$C256)&lt;0)+($E256&gt;=$E255)*($E256&lt;=INDEX($E:$E,MATCH(TRUE,INDEX((ISNUMBER($E:$E)),0),0)))*($E256&gt;INDEX(_xlfn.ANCHORARRAY(Sintesi!$C$15),1,$C256))*($E256&lt;INDEX(_xlfn.ANCHORARRAY(Sintesi!$C$16),1,$C256))*(INDEX(_xlfn.ANCHORARRAY(Sintesi!$C$15),1,$C256)&gt;0),2,IF($E256=(INDEX(_xlfn.ANCHORARRAY(Sintesi!$C$16),1,$C256)),3,4)))),0),IF($C256&gt;0,IF(($E256=INDEX(_xlfn.ANCHORARRAY(Sintesi!$C$14),1,$C256))*(INDEX(_xlfn.ANCHORARRAY(Sintesi!$C$15),1,$C256)&gt;0),0,IF(($E256=INDEX(_xlfn.ANCHORARRAY(Sintesi!$C$14),1,$C256))*(INDEX(_xlfn.ANCHORARRAY(Sintesi!$C$15),1,$C256)&lt;0)+($E256&gt;=LOOKUP(2,1/($E:$E&lt;&gt;""),$E:$E))*($E256&lt;=INDEX($E:$E,MATCH(TRUE,INDEX((ISNUMBER($E:$E)),0),0)))*($E256&gt;INDEX(_xlfn.ANCHORARRAY(Sintesi!$C$14),1,$C256))*($E256&lt;=INDEX(_xlfn.ANCHORARRAY(Sintesi!$C$15),1,$C256))*(INDEX(_xlfn.ANCHORARRAY(Sintesi!$C$15),1,$C256)&gt;0),1,IF(($E256&gt;=LOOKUP(2,1/($E:$E&lt;&gt;""),$E:$E))*($E256&lt;=INDEX($E:$E,MATCH(TRUE,INDEX((ISNUMBER($E:$E)),0),0)))*($E256&gt;INDEX(_xlfn.ANCHORARRAY(Sintesi!$C$14),1,$C256))*($E256&lt;INDEX(_xlfn.ANCHORARRAY(Sintesi!$C$16),1,$C256))*(INDEX(_xlfn.ANCHORARRAY(Sintesi!$C$15),1,$C256)&lt;0)+($E256&gt;=LOOKUP(2,1/($E:$E&lt;&gt;""),$E:$E))*($E256&lt;=INDEX($E:$E,MATCH(TRUE,INDEX((ISNUMBER($E:$E)),0),0)))*($E256&gt;INDEX(_xlfn.ANCHORARRAY(Sintesi!$C$15),1,$C256))*($E256&lt;INDEX(_xlfn.ANCHORARRAY(Sintesi!$C$16),1,$C256))*(INDEX(_xlfn.ANCHORARRAY(Sintesi!$C$15),1,$C256)&gt;0),2,IF($E256=(INDEX(_xlfn.ANCHORARRAY(Sintesi!$C$16),1,$C256)),3,4)))),0)),IF(ISNUMBER($E255),IF($C256&gt;0,IF(($E256=INDEX(_xlfn.ANCHORARRAY(Sintesi!$C$14),1,$C256))*(INDEX(_xlfn.ANCHORARRAY(Sintesi!$C$15),1,$C256)&gt;0),0,IF(($E256=INDEX(_xlfn.ANCHORARRAY(Sintesi!$C$14),1,$C256))*(INDEX(_xlfn.ANCHORARRAY(Sintesi!$C$15),1,$C256)&lt;0)+($E256&gt;=$E255)*($E256&lt;=$E257)*($E256&gt;INDEX(_xlfn.ANCHORARRAY(Sintesi!$C$14),1,$C256))*($E256&lt;=INDEX(_xlfn.ANCHORARRAY(Sintesi!$C$15),1,$C256))*(INDEX(_xlfn.ANCHORARRAY(Sintesi!$C$15),1,$C256)&gt;0),1,IF(($E256&gt;=$E255)*($E256&lt;=$E257)*($E256&gt;INDEX(_xlfn.ANCHORARRAY(Sintesi!$C$14),1,$C256))*($E256&lt;INDEX(_xlfn.ANCHORARRAY(Sintesi!$C$16),1,$C256))*(INDEX(_xlfn.ANCHORARRAY(Sintesi!$C$15),1,$C256)&lt;0)+($E256&gt;=$E255)*($E256&lt;=$E257)*($E256&gt;INDEX(_xlfn.ANCHORARRAY(Sintesi!$C$15),1,$C256))*($E256&lt;INDEX(_xlfn.ANCHORARRAY(Sintesi!$C$16),1,$C256))*(INDEX(_xlfn.ANCHORARRAY(Sintesi!$C$15),1,$C256)&gt;0),2,IF($E256=(INDEX(_xlfn.ANCHORARRAY(Sintesi!$C$16),1,$C256)),3,4)))),0),IF($C256&gt;0,IF(($E256=INDEX(_xlfn.ANCHORARRAY(Sintesi!$C$14),1,$C256))*(INDEX(_xlfn.ANCHORARRAY(Sintesi!$C$15),1,$C256)&gt;0),0,IF(($E256=INDEX(_xlfn.ANCHORARRAY(Sintesi!$C$14),1,$C256))*(INDEX(_xlfn.ANCHORARRAY(Sintesi!$C$15),1,$C256)&lt;0)+($E256&gt;=LOOKUP(2,1/($E:$E&lt;&gt;""),$E:$E))*($E256&lt;=$E257)*($E256&gt;INDEX(_xlfn.ANCHORARRAY(Sintesi!$C$14),1,$C256))*($E256&lt;=INDEX(_xlfn.ANCHORARRAY(Sintesi!$C$15),1,$C256))*(INDEX(_xlfn.ANCHORARRAY(Sintesi!$C$15),1,$C256)&gt;0),1,IF(($E256&gt;=LOOKUP(2,1/($E:$E&lt;&gt;""),$E:$E))*($E256&lt;=$E257)*($E256&gt;INDEX(_xlfn.ANCHORARRAY(Sintesi!$C$14),1,$C256))*($E256&lt;INDEX(_xlfn.ANCHORARRAY(Sintesi!$C$16),1,$C256))*(INDEX(_xlfn.ANCHORARRAY(Sintesi!$C$15),1,$C256)&lt;0)+($E256&gt;=LOOKUP(2,1/($E:$E&lt;&gt;""),$E:$E))*($E256&lt;=$E257)*($E256&gt;INDEX(_xlfn.ANCHORARRAY(Sintesi!$C$15),1,$C256))*($E256&lt;INDEX(_xlfn.ANCHORARRAY(Sintesi!$C$16),1,$C256))*(INDEX(_xlfn.ANCHORARRAY(Sintesi!$C$15),1,$C256)&gt;0),2,IF($E256=(INDEX(_xlfn.ANCHORARRAY(Sintesi!$C$16),1,$C256)),3,4)))),0)))</f>
        <v/>
      </c>
      <c r="E256" s="1">
        <f>'Paste cell here'!F256</f>
        <v/>
      </c>
      <c r="F256" s="1">
        <f>'Paste cell here'!C256</f>
        <v/>
      </c>
      <c r="G256" s="1">
        <f>'Paste cell here'!D256</f>
        <v/>
      </c>
      <c r="H256" s="1">
        <f>'Paste cell here'!E256</f>
        <v/>
      </c>
      <c r="I256" s="1">
        <f>'Paste cell here'!X256</f>
        <v/>
      </c>
      <c r="J256" s="1">
        <f>'Paste cell here'!Y256+'Paste cell here'!S256</f>
        <v/>
      </c>
      <c r="K256" s="1">
        <f>I256/H256</f>
        <v/>
      </c>
      <c r="L256" s="1">
        <f>AVERAGE(($F256+$G256)/2-($F256-$G256)/2*COS(PI()*(8-VLOOKUP(MONTH(B256),$O$1:$Q$13,3))/(VLOOKUP(MONTH(B256),$O$1:$Q$13,2)-VLOOKUP(MONTH(B256),$O$1:$Q$13,3))),($F256+$G256)/2-($F256-$G256)/2*COS(PI()*(9-VLOOKUP(MONTH(B256),$O$1:$Q$13,3))/(VLOOKUP(MONTH(B256),$O$1:$Q$13,2)-VLOOKUP(MONTH(B256),$O$1:$Q$13,3))),($F256+$G256)/2-($F256-$G256)/2*COS(PI()*(10-VLOOKUP(MONTH(B256),$O$1:$Q$13,3))/(VLOOKUP(MONTH(B256),$O$1:$Q$13,2)-VLOOKUP(MONTH(B256),$O$1:$Q$13,3))),($F256+$G256)/2-($F256-$G256)/2*COS(PI()*(11-VLOOKUP(MONTH(B256),$O$1:$Q$13,3))/(VLOOKUP(MONTH(B256),$O$1:$Q$13,2)-VLOOKUP(MONTH(B256),$O$1:$Q$13,3))),($F256+$G256)/2-($F256-$G256)/2*COS(PI()*(12-VLOOKUP(MONTH(B256),$O$1:$Q$13,3))/(VLOOKUP(MONTH(B256),$O$1:$Q$13,2)-VLOOKUP(MONTH(B256),$O$1:$Q$13,3))),($F256+$G256)/2-($F256-$G256)/2*COS(PI()*(13-VLOOKUP(MONTH(B256),$O$1:$Q$13,3))/(VLOOKUP(MONTH(B256),$O$1:$Q$13,2)-VLOOKUP(MONTH(B256),$O$1:$Q$13,3))),($F256+$G256)/2-($F256-$G256)/2*COS(PI()*(14-VLOOKUP(MONTH(B256),$O$1:$Q$13,3))/(VLOOKUP(MONTH(B256),$O$1:$Q$13,2)-VLOOKUP(MONTH(B256),$O$1:$Q$13,3))))</f>
        <v/>
      </c>
      <c r="M256" s="1">
        <f t="array" ref="M256">IF(AND(A256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,A256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),IF(L256&lt;_xlfn.IFNA(INDEX(_xlfn.ANCHORARRAY(Sintesi!$C$17)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,1,IF(L256&gt;=_xlfn.IFNA(INDEX(_xlfn.ANCHORARRAY(Sintesi!$C$18)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,0,1-(L256-_xlfn.IFNA(INDEX(_xlfn.ANCHORARRAY(Sintesi!$C$17)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)/(_xlfn.IFNA(INDEX(_xlfn.ANCHORARRAY(Sintesi!$C$18)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-_xlfn.IFNA(INDEX(_xlfn.ANCHORARRAY(Sintesi!$C$17)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))),0)</f>
        <v/>
      </c>
    </row>
    <row r="257">
      <c r="A257" s="1">
        <f>'Paste cell here'!A257</f>
        <v/>
      </c>
      <c r="B257" s="2">
        <f>DATE(Sintesi!$C$4-1,12,31)+A257</f>
        <v/>
      </c>
      <c r="C257" s="34">
        <f t="array" ref="C257">_xlfn.IFNA(MATCH(1,(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)*(_xlfn.ANCHORARRAY(Sintesi!$C$15)&gt;=0)+(_xlfn.ANCHORARRAY(Sintesi!$C$15)&lt;0),0),0)</f>
        <v/>
      </c>
      <c r="D257" s="1">
        <f t="array" ref="D257">IF(ISBLANK($E258),IF(ISNUMBER($E256),IF($C257&gt;0,IF(($E257=INDEX(_xlfn.ANCHORARRAY(Sintesi!$C$14),1,$C257))*(INDEX(_xlfn.ANCHORARRAY(Sintesi!$C$15),1,$C257)&gt;0),0,IF(($E257=INDEX(_xlfn.ANCHORARRAY(Sintesi!$C$14),1,$C257))*(INDEX(_xlfn.ANCHORARRAY(Sintesi!$C$15),1,$C257)&lt;0)+($E257&gt;=$E256)*($E257&lt;=INDEX($E:$E,MATCH(TRUE,INDEX((ISNUMBER($E:$E)),0),0)))*($E257&gt;INDEX(_xlfn.ANCHORARRAY(Sintesi!$C$14),1,$C257))*($E257&lt;=INDEX(_xlfn.ANCHORARRAY(Sintesi!$C$15),1,$C257))*(INDEX(_xlfn.ANCHORARRAY(Sintesi!$C$15),1,$C257)&gt;0),1,IF(($E257&gt;=$E256)*($E257&lt;=INDEX($E:$E,MATCH(TRUE,INDEX((ISNUMBER($E:$E)),0),0)))*($E257&gt;INDEX(_xlfn.ANCHORARRAY(Sintesi!$C$14),1,$C257))*($E257&lt;INDEX(_xlfn.ANCHORARRAY(Sintesi!$C$16),1,$C257))*(INDEX(_xlfn.ANCHORARRAY(Sintesi!$C$15),1,$C257)&lt;0)+($E257&gt;=$E256)*($E257&lt;=INDEX($E:$E,MATCH(TRUE,INDEX((ISNUMBER($E:$E)),0),0)))*($E257&gt;INDEX(_xlfn.ANCHORARRAY(Sintesi!$C$15),1,$C257))*($E257&lt;INDEX(_xlfn.ANCHORARRAY(Sintesi!$C$16),1,$C257))*(INDEX(_xlfn.ANCHORARRAY(Sintesi!$C$15),1,$C257)&gt;0),2,IF($E257=(INDEX(_xlfn.ANCHORARRAY(Sintesi!$C$16),1,$C257)),3,4)))),0),IF($C257&gt;0,IF(($E257=INDEX(_xlfn.ANCHORARRAY(Sintesi!$C$14),1,$C257))*(INDEX(_xlfn.ANCHORARRAY(Sintesi!$C$15),1,$C257)&gt;0),0,IF(($E257=INDEX(_xlfn.ANCHORARRAY(Sintesi!$C$14),1,$C257))*(INDEX(_xlfn.ANCHORARRAY(Sintesi!$C$15),1,$C257)&lt;0)+($E257&gt;=LOOKUP(2,1/($E:$E&lt;&gt;""),$E:$E))*($E257&lt;=INDEX($E:$E,MATCH(TRUE,INDEX((ISNUMBER($E:$E)),0),0)))*($E257&gt;INDEX(_xlfn.ANCHORARRAY(Sintesi!$C$14),1,$C257))*($E257&lt;=INDEX(_xlfn.ANCHORARRAY(Sintesi!$C$15),1,$C257))*(INDEX(_xlfn.ANCHORARRAY(Sintesi!$C$15),1,$C257)&gt;0),1,IF(($E257&gt;=LOOKUP(2,1/($E:$E&lt;&gt;""),$E:$E))*($E257&lt;=INDEX($E:$E,MATCH(TRUE,INDEX((ISNUMBER($E:$E)),0),0)))*($E257&gt;INDEX(_xlfn.ANCHORARRAY(Sintesi!$C$14),1,$C257))*($E257&lt;INDEX(_xlfn.ANCHORARRAY(Sintesi!$C$16),1,$C257))*(INDEX(_xlfn.ANCHORARRAY(Sintesi!$C$15),1,$C257)&lt;0)+($E257&gt;=LOOKUP(2,1/($E:$E&lt;&gt;""),$E:$E))*($E257&lt;=INDEX($E:$E,MATCH(TRUE,INDEX((ISNUMBER($E:$E)),0),0)))*($E257&gt;INDEX(_xlfn.ANCHORARRAY(Sintesi!$C$15),1,$C257))*($E257&lt;INDEX(_xlfn.ANCHORARRAY(Sintesi!$C$16),1,$C257))*(INDEX(_xlfn.ANCHORARRAY(Sintesi!$C$15),1,$C257)&gt;0),2,IF($E257=(INDEX(_xlfn.ANCHORARRAY(Sintesi!$C$16),1,$C257)),3,4)))),0)),IF(ISNUMBER($E256),IF($C257&gt;0,IF(($E257=INDEX(_xlfn.ANCHORARRAY(Sintesi!$C$14),1,$C257))*(INDEX(_xlfn.ANCHORARRAY(Sintesi!$C$15),1,$C257)&gt;0),0,IF(($E257=INDEX(_xlfn.ANCHORARRAY(Sintesi!$C$14),1,$C257))*(INDEX(_xlfn.ANCHORARRAY(Sintesi!$C$15),1,$C257)&lt;0)+($E257&gt;=$E256)*($E257&lt;=$E258)*($E257&gt;INDEX(_xlfn.ANCHORARRAY(Sintesi!$C$14),1,$C257))*($E257&lt;=INDEX(_xlfn.ANCHORARRAY(Sintesi!$C$15),1,$C257))*(INDEX(_xlfn.ANCHORARRAY(Sintesi!$C$15),1,$C257)&gt;0),1,IF(($E257&gt;=$E256)*($E257&lt;=$E258)*($E257&gt;INDEX(_xlfn.ANCHORARRAY(Sintesi!$C$14),1,$C257))*($E257&lt;INDEX(_xlfn.ANCHORARRAY(Sintesi!$C$16),1,$C257))*(INDEX(_xlfn.ANCHORARRAY(Sintesi!$C$15),1,$C257)&lt;0)+($E257&gt;=$E256)*($E257&lt;=$E258)*($E257&gt;INDEX(_xlfn.ANCHORARRAY(Sintesi!$C$15),1,$C257))*($E257&lt;INDEX(_xlfn.ANCHORARRAY(Sintesi!$C$16),1,$C257))*(INDEX(_xlfn.ANCHORARRAY(Sintesi!$C$15),1,$C257)&gt;0),2,IF($E257=(INDEX(_xlfn.ANCHORARRAY(Sintesi!$C$16),1,$C257)),3,4)))),0),IF($C257&gt;0,IF(($E257=INDEX(_xlfn.ANCHORARRAY(Sintesi!$C$14),1,$C257))*(INDEX(_xlfn.ANCHORARRAY(Sintesi!$C$15),1,$C257)&gt;0),0,IF(($E257=INDEX(_xlfn.ANCHORARRAY(Sintesi!$C$14),1,$C257))*(INDEX(_xlfn.ANCHORARRAY(Sintesi!$C$15),1,$C257)&lt;0)+($E257&gt;=LOOKUP(2,1/($E:$E&lt;&gt;""),$E:$E))*($E257&lt;=$E258)*($E257&gt;INDEX(_xlfn.ANCHORARRAY(Sintesi!$C$14),1,$C257))*($E257&lt;=INDEX(_xlfn.ANCHORARRAY(Sintesi!$C$15),1,$C257))*(INDEX(_xlfn.ANCHORARRAY(Sintesi!$C$15),1,$C257)&gt;0),1,IF(($E257&gt;=LOOKUP(2,1/($E:$E&lt;&gt;""),$E:$E))*($E257&lt;=$E258)*($E257&gt;INDEX(_xlfn.ANCHORARRAY(Sintesi!$C$14),1,$C257))*($E257&lt;INDEX(_xlfn.ANCHORARRAY(Sintesi!$C$16),1,$C257))*(INDEX(_xlfn.ANCHORARRAY(Sintesi!$C$15),1,$C257)&lt;0)+($E257&gt;=LOOKUP(2,1/($E:$E&lt;&gt;""),$E:$E))*($E257&lt;=$E258)*($E257&gt;INDEX(_xlfn.ANCHORARRAY(Sintesi!$C$15),1,$C257))*($E257&lt;INDEX(_xlfn.ANCHORARRAY(Sintesi!$C$16),1,$C257))*(INDEX(_xlfn.ANCHORARRAY(Sintesi!$C$15),1,$C257)&gt;0),2,IF($E257=(INDEX(_xlfn.ANCHORARRAY(Sintesi!$C$16),1,$C257)),3,4)))),0)))</f>
        <v/>
      </c>
      <c r="E257" s="1">
        <f>'Paste cell here'!F257</f>
        <v/>
      </c>
      <c r="F257" s="1">
        <f>'Paste cell here'!C257</f>
        <v/>
      </c>
      <c r="G257" s="1">
        <f>'Paste cell here'!D257</f>
        <v/>
      </c>
      <c r="H257" s="1">
        <f>'Paste cell here'!E257</f>
        <v/>
      </c>
      <c r="I257" s="1">
        <f>'Paste cell here'!X257</f>
        <v/>
      </c>
      <c r="J257" s="1">
        <f>'Paste cell here'!Y257+'Paste cell here'!S257</f>
        <v/>
      </c>
      <c r="K257" s="1">
        <f>I257/H257</f>
        <v/>
      </c>
      <c r="L257" s="1">
        <f>AVERAGE(($F257+$G257)/2-($F257-$G257)/2*COS(PI()*(8-VLOOKUP(MONTH(B257),$O$1:$Q$13,3))/(VLOOKUP(MONTH(B257),$O$1:$Q$13,2)-VLOOKUP(MONTH(B257),$O$1:$Q$13,3))),($F257+$G257)/2-($F257-$G257)/2*COS(PI()*(9-VLOOKUP(MONTH(B257),$O$1:$Q$13,3))/(VLOOKUP(MONTH(B257),$O$1:$Q$13,2)-VLOOKUP(MONTH(B257),$O$1:$Q$13,3))),($F257+$G257)/2-($F257-$G257)/2*COS(PI()*(10-VLOOKUP(MONTH(B257),$O$1:$Q$13,3))/(VLOOKUP(MONTH(B257),$O$1:$Q$13,2)-VLOOKUP(MONTH(B257),$O$1:$Q$13,3))),($F257+$G257)/2-($F257-$G257)/2*COS(PI()*(11-VLOOKUP(MONTH(B257),$O$1:$Q$13,3))/(VLOOKUP(MONTH(B257),$O$1:$Q$13,2)-VLOOKUP(MONTH(B257),$O$1:$Q$13,3))),($F257+$G257)/2-($F257-$G257)/2*COS(PI()*(12-VLOOKUP(MONTH(B257),$O$1:$Q$13,3))/(VLOOKUP(MONTH(B257),$O$1:$Q$13,2)-VLOOKUP(MONTH(B257),$O$1:$Q$13,3))),($F257+$G257)/2-($F257-$G257)/2*COS(PI()*(13-VLOOKUP(MONTH(B257),$O$1:$Q$13,3))/(VLOOKUP(MONTH(B257),$O$1:$Q$13,2)-VLOOKUP(MONTH(B257),$O$1:$Q$13,3))),($F257+$G257)/2-($F257-$G257)/2*COS(PI()*(14-VLOOKUP(MONTH(B257),$O$1:$Q$13,3))/(VLOOKUP(MONTH(B257),$O$1:$Q$13,2)-VLOOKUP(MONTH(B257),$O$1:$Q$13,3))))</f>
        <v/>
      </c>
      <c r="M257" s="1">
        <f t="array" ref="M257">IF(AND(A257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,A257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),IF(L257&lt;_xlfn.IFNA(INDEX(_xlfn.ANCHORARRAY(Sintesi!$C$17)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,1,IF(L257&gt;=_xlfn.IFNA(INDEX(_xlfn.ANCHORARRAY(Sintesi!$C$18)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,0,1-(L257-_xlfn.IFNA(INDEX(_xlfn.ANCHORARRAY(Sintesi!$C$17)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)/(_xlfn.IFNA(INDEX(_xlfn.ANCHORARRAY(Sintesi!$C$18)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-_xlfn.IFNA(INDEX(_xlfn.ANCHORARRAY(Sintesi!$C$17)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))),0)</f>
        <v/>
      </c>
    </row>
    <row r="258">
      <c r="A258" s="1">
        <f>'Paste cell here'!A258</f>
        <v/>
      </c>
      <c r="B258" s="2">
        <f>DATE(Sintesi!$C$4-1,12,31)+A258</f>
        <v/>
      </c>
      <c r="C258" s="34">
        <f t="array" ref="C258">_xlfn.IFNA(MATCH(1,(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)*(_xlfn.ANCHORARRAY(Sintesi!$C$15)&gt;=0)+(_xlfn.ANCHORARRAY(Sintesi!$C$15)&lt;0),0),0)</f>
        <v/>
      </c>
      <c r="D258" s="1">
        <f t="array" ref="D258">IF(ISBLANK($E259),IF(ISNUMBER($E257),IF($C258&gt;0,IF(($E258=INDEX(_xlfn.ANCHORARRAY(Sintesi!$C$14),1,$C258))*(INDEX(_xlfn.ANCHORARRAY(Sintesi!$C$15),1,$C258)&gt;0),0,IF(($E258=INDEX(_xlfn.ANCHORARRAY(Sintesi!$C$14),1,$C258))*(INDEX(_xlfn.ANCHORARRAY(Sintesi!$C$15),1,$C258)&lt;0)+($E258&gt;=$E257)*($E258&lt;=INDEX($E:$E,MATCH(TRUE,INDEX((ISNUMBER($E:$E)),0),0)))*($E258&gt;INDEX(_xlfn.ANCHORARRAY(Sintesi!$C$14),1,$C258))*($E258&lt;=INDEX(_xlfn.ANCHORARRAY(Sintesi!$C$15),1,$C258))*(INDEX(_xlfn.ANCHORARRAY(Sintesi!$C$15),1,$C258)&gt;0),1,IF(($E258&gt;=$E257)*($E258&lt;=INDEX($E:$E,MATCH(TRUE,INDEX((ISNUMBER($E:$E)),0),0)))*($E258&gt;INDEX(_xlfn.ANCHORARRAY(Sintesi!$C$14),1,$C258))*($E258&lt;INDEX(_xlfn.ANCHORARRAY(Sintesi!$C$16),1,$C258))*(INDEX(_xlfn.ANCHORARRAY(Sintesi!$C$15),1,$C258)&lt;0)+($E258&gt;=$E257)*($E258&lt;=INDEX($E:$E,MATCH(TRUE,INDEX((ISNUMBER($E:$E)),0),0)))*($E258&gt;INDEX(_xlfn.ANCHORARRAY(Sintesi!$C$15),1,$C258))*($E258&lt;INDEX(_xlfn.ANCHORARRAY(Sintesi!$C$16),1,$C258))*(INDEX(_xlfn.ANCHORARRAY(Sintesi!$C$15),1,$C258)&gt;0),2,IF($E258=(INDEX(_xlfn.ANCHORARRAY(Sintesi!$C$16),1,$C258)),3,4)))),0),IF($C258&gt;0,IF(($E258=INDEX(_xlfn.ANCHORARRAY(Sintesi!$C$14),1,$C258))*(INDEX(_xlfn.ANCHORARRAY(Sintesi!$C$15),1,$C258)&gt;0),0,IF(($E258=INDEX(_xlfn.ANCHORARRAY(Sintesi!$C$14),1,$C258))*(INDEX(_xlfn.ANCHORARRAY(Sintesi!$C$15),1,$C258)&lt;0)+($E258&gt;=LOOKUP(2,1/($E:$E&lt;&gt;""),$E:$E))*($E258&lt;=INDEX($E:$E,MATCH(TRUE,INDEX((ISNUMBER($E:$E)),0),0)))*($E258&gt;INDEX(_xlfn.ANCHORARRAY(Sintesi!$C$14),1,$C258))*($E258&lt;=INDEX(_xlfn.ANCHORARRAY(Sintesi!$C$15),1,$C258))*(INDEX(_xlfn.ANCHORARRAY(Sintesi!$C$15),1,$C258)&gt;0),1,IF(($E258&gt;=LOOKUP(2,1/($E:$E&lt;&gt;""),$E:$E))*($E258&lt;=INDEX($E:$E,MATCH(TRUE,INDEX((ISNUMBER($E:$E)),0),0)))*($E258&gt;INDEX(_xlfn.ANCHORARRAY(Sintesi!$C$14),1,$C258))*($E258&lt;INDEX(_xlfn.ANCHORARRAY(Sintesi!$C$16),1,$C258))*(INDEX(_xlfn.ANCHORARRAY(Sintesi!$C$15),1,$C258)&lt;0)+($E258&gt;=LOOKUP(2,1/($E:$E&lt;&gt;""),$E:$E))*($E258&lt;=INDEX($E:$E,MATCH(TRUE,INDEX((ISNUMBER($E:$E)),0),0)))*($E258&gt;INDEX(_xlfn.ANCHORARRAY(Sintesi!$C$15),1,$C258))*($E258&lt;INDEX(_xlfn.ANCHORARRAY(Sintesi!$C$16),1,$C258))*(INDEX(_xlfn.ANCHORARRAY(Sintesi!$C$15),1,$C258)&gt;0),2,IF($E258=(INDEX(_xlfn.ANCHORARRAY(Sintesi!$C$16),1,$C258)),3,4)))),0)),IF(ISNUMBER($E257),IF($C258&gt;0,IF(($E258=INDEX(_xlfn.ANCHORARRAY(Sintesi!$C$14),1,$C258))*(INDEX(_xlfn.ANCHORARRAY(Sintesi!$C$15),1,$C258)&gt;0),0,IF(($E258=INDEX(_xlfn.ANCHORARRAY(Sintesi!$C$14),1,$C258))*(INDEX(_xlfn.ANCHORARRAY(Sintesi!$C$15),1,$C258)&lt;0)+($E258&gt;=$E257)*($E258&lt;=$E259)*($E258&gt;INDEX(_xlfn.ANCHORARRAY(Sintesi!$C$14),1,$C258))*($E258&lt;=INDEX(_xlfn.ANCHORARRAY(Sintesi!$C$15),1,$C258))*(INDEX(_xlfn.ANCHORARRAY(Sintesi!$C$15),1,$C258)&gt;0),1,IF(($E258&gt;=$E257)*($E258&lt;=$E259)*($E258&gt;INDEX(_xlfn.ANCHORARRAY(Sintesi!$C$14),1,$C258))*($E258&lt;INDEX(_xlfn.ANCHORARRAY(Sintesi!$C$16),1,$C258))*(INDEX(_xlfn.ANCHORARRAY(Sintesi!$C$15),1,$C258)&lt;0)+($E258&gt;=$E257)*($E258&lt;=$E259)*($E258&gt;INDEX(_xlfn.ANCHORARRAY(Sintesi!$C$15),1,$C258))*($E258&lt;INDEX(_xlfn.ANCHORARRAY(Sintesi!$C$16),1,$C258))*(INDEX(_xlfn.ANCHORARRAY(Sintesi!$C$15),1,$C258)&gt;0),2,IF($E258=(INDEX(_xlfn.ANCHORARRAY(Sintesi!$C$16),1,$C258)),3,4)))),0),IF($C258&gt;0,IF(($E258=INDEX(_xlfn.ANCHORARRAY(Sintesi!$C$14),1,$C258))*(INDEX(_xlfn.ANCHORARRAY(Sintesi!$C$15),1,$C258)&gt;0),0,IF(($E258=INDEX(_xlfn.ANCHORARRAY(Sintesi!$C$14),1,$C258))*(INDEX(_xlfn.ANCHORARRAY(Sintesi!$C$15),1,$C258)&lt;0)+($E258&gt;=LOOKUP(2,1/($E:$E&lt;&gt;""),$E:$E))*($E258&lt;=$E259)*($E258&gt;INDEX(_xlfn.ANCHORARRAY(Sintesi!$C$14),1,$C258))*($E258&lt;=INDEX(_xlfn.ANCHORARRAY(Sintesi!$C$15),1,$C258))*(INDEX(_xlfn.ANCHORARRAY(Sintesi!$C$15),1,$C258)&gt;0),1,IF(($E258&gt;=LOOKUP(2,1/($E:$E&lt;&gt;""),$E:$E))*($E258&lt;=$E259)*($E258&gt;INDEX(_xlfn.ANCHORARRAY(Sintesi!$C$14),1,$C258))*($E258&lt;INDEX(_xlfn.ANCHORARRAY(Sintesi!$C$16),1,$C258))*(INDEX(_xlfn.ANCHORARRAY(Sintesi!$C$15),1,$C258)&lt;0)+($E258&gt;=LOOKUP(2,1/($E:$E&lt;&gt;""),$E:$E))*($E258&lt;=$E259)*($E258&gt;INDEX(_xlfn.ANCHORARRAY(Sintesi!$C$15),1,$C258))*($E258&lt;INDEX(_xlfn.ANCHORARRAY(Sintesi!$C$16),1,$C258))*(INDEX(_xlfn.ANCHORARRAY(Sintesi!$C$15),1,$C258)&gt;0),2,IF($E258=(INDEX(_xlfn.ANCHORARRAY(Sintesi!$C$16),1,$C258)),3,4)))),0)))</f>
        <v/>
      </c>
      <c r="E258" s="1">
        <f>'Paste cell here'!F258</f>
        <v/>
      </c>
      <c r="F258" s="1">
        <f>'Paste cell here'!C258</f>
        <v/>
      </c>
      <c r="G258" s="1">
        <f>'Paste cell here'!D258</f>
        <v/>
      </c>
      <c r="H258" s="1">
        <f>'Paste cell here'!E258</f>
        <v/>
      </c>
      <c r="I258" s="1">
        <f>'Paste cell here'!X258</f>
        <v/>
      </c>
      <c r="J258" s="1">
        <f>'Paste cell here'!Y258+'Paste cell here'!S258</f>
        <v/>
      </c>
      <c r="K258" s="1">
        <f>I258/H258</f>
        <v/>
      </c>
      <c r="L258" s="1">
        <f>AVERAGE(($F258+$G258)/2-($F258-$G258)/2*COS(PI()*(8-VLOOKUP(MONTH(B258),$O$1:$Q$13,3))/(VLOOKUP(MONTH(B258),$O$1:$Q$13,2)-VLOOKUP(MONTH(B258),$O$1:$Q$13,3))),($F258+$G258)/2-($F258-$G258)/2*COS(PI()*(9-VLOOKUP(MONTH(B258),$O$1:$Q$13,3))/(VLOOKUP(MONTH(B258),$O$1:$Q$13,2)-VLOOKUP(MONTH(B258),$O$1:$Q$13,3))),($F258+$G258)/2-($F258-$G258)/2*COS(PI()*(10-VLOOKUP(MONTH(B258),$O$1:$Q$13,3))/(VLOOKUP(MONTH(B258),$O$1:$Q$13,2)-VLOOKUP(MONTH(B258),$O$1:$Q$13,3))),($F258+$G258)/2-($F258-$G258)/2*COS(PI()*(11-VLOOKUP(MONTH(B258),$O$1:$Q$13,3))/(VLOOKUP(MONTH(B258),$O$1:$Q$13,2)-VLOOKUP(MONTH(B258),$O$1:$Q$13,3))),($F258+$G258)/2-($F258-$G258)/2*COS(PI()*(12-VLOOKUP(MONTH(B258),$O$1:$Q$13,3))/(VLOOKUP(MONTH(B258),$O$1:$Q$13,2)-VLOOKUP(MONTH(B258),$O$1:$Q$13,3))),($F258+$G258)/2-($F258-$G258)/2*COS(PI()*(13-VLOOKUP(MONTH(B258),$O$1:$Q$13,3))/(VLOOKUP(MONTH(B258),$O$1:$Q$13,2)-VLOOKUP(MONTH(B258),$O$1:$Q$13,3))),($F258+$G258)/2-($F258-$G258)/2*COS(PI()*(14-VLOOKUP(MONTH(B258),$O$1:$Q$13,3))/(VLOOKUP(MONTH(B258),$O$1:$Q$13,2)-VLOOKUP(MONTH(B258),$O$1:$Q$13,3))))</f>
        <v/>
      </c>
      <c r="M258" s="1">
        <f t="array" ref="M258">IF(AND(A258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,A258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),IF(L258&lt;_xlfn.IFNA(INDEX(_xlfn.ANCHORARRAY(Sintesi!$C$17)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,1,IF(L258&gt;=_xlfn.IFNA(INDEX(_xlfn.ANCHORARRAY(Sintesi!$C$18)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,0,1-(L258-_xlfn.IFNA(INDEX(_xlfn.ANCHORARRAY(Sintesi!$C$17)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)/(_xlfn.IFNA(INDEX(_xlfn.ANCHORARRAY(Sintesi!$C$18)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-_xlfn.IFNA(INDEX(_xlfn.ANCHORARRAY(Sintesi!$C$17)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))),0)</f>
        <v/>
      </c>
    </row>
    <row r="259">
      <c r="A259" s="1">
        <f>'Paste cell here'!A259</f>
        <v/>
      </c>
      <c r="B259" s="2">
        <f>DATE(Sintesi!$C$4-1,12,31)+A259</f>
        <v/>
      </c>
      <c r="C259" s="34">
        <f t="array" ref="C259">_xlfn.IFNA(MATCH(1,(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)*(_xlfn.ANCHORARRAY(Sintesi!$C$15)&gt;=0)+(_xlfn.ANCHORARRAY(Sintesi!$C$15)&lt;0),0),0)</f>
        <v/>
      </c>
      <c r="D259" s="1">
        <f t="array" ref="D259">IF(ISBLANK($E260),IF(ISNUMBER($E258),IF($C259&gt;0,IF(($E259=INDEX(_xlfn.ANCHORARRAY(Sintesi!$C$14),1,$C259))*(INDEX(_xlfn.ANCHORARRAY(Sintesi!$C$15),1,$C259)&gt;0),0,IF(($E259=INDEX(_xlfn.ANCHORARRAY(Sintesi!$C$14),1,$C259))*(INDEX(_xlfn.ANCHORARRAY(Sintesi!$C$15),1,$C259)&lt;0)+($E259&gt;=$E258)*($E259&lt;=INDEX($E:$E,MATCH(TRUE,INDEX((ISNUMBER($E:$E)),0),0)))*($E259&gt;INDEX(_xlfn.ANCHORARRAY(Sintesi!$C$14),1,$C259))*($E259&lt;=INDEX(_xlfn.ANCHORARRAY(Sintesi!$C$15),1,$C259))*(INDEX(_xlfn.ANCHORARRAY(Sintesi!$C$15),1,$C259)&gt;0),1,IF(($E259&gt;=$E258)*($E259&lt;=INDEX($E:$E,MATCH(TRUE,INDEX((ISNUMBER($E:$E)),0),0)))*($E259&gt;INDEX(_xlfn.ANCHORARRAY(Sintesi!$C$14),1,$C259))*($E259&lt;INDEX(_xlfn.ANCHORARRAY(Sintesi!$C$16),1,$C259))*(INDEX(_xlfn.ANCHORARRAY(Sintesi!$C$15),1,$C259)&lt;0)+($E259&gt;=$E258)*($E259&lt;=INDEX($E:$E,MATCH(TRUE,INDEX((ISNUMBER($E:$E)),0),0)))*($E259&gt;INDEX(_xlfn.ANCHORARRAY(Sintesi!$C$15),1,$C259))*($E259&lt;INDEX(_xlfn.ANCHORARRAY(Sintesi!$C$16),1,$C259))*(INDEX(_xlfn.ANCHORARRAY(Sintesi!$C$15),1,$C259)&gt;0),2,IF($E259=(INDEX(_xlfn.ANCHORARRAY(Sintesi!$C$16),1,$C259)),3,4)))),0),IF($C259&gt;0,IF(($E259=INDEX(_xlfn.ANCHORARRAY(Sintesi!$C$14),1,$C259))*(INDEX(_xlfn.ANCHORARRAY(Sintesi!$C$15),1,$C259)&gt;0),0,IF(($E259=INDEX(_xlfn.ANCHORARRAY(Sintesi!$C$14),1,$C259))*(INDEX(_xlfn.ANCHORARRAY(Sintesi!$C$15),1,$C259)&lt;0)+($E259&gt;=LOOKUP(2,1/($E:$E&lt;&gt;""),$E:$E))*($E259&lt;=INDEX($E:$E,MATCH(TRUE,INDEX((ISNUMBER($E:$E)),0),0)))*($E259&gt;INDEX(_xlfn.ANCHORARRAY(Sintesi!$C$14),1,$C259))*($E259&lt;=INDEX(_xlfn.ANCHORARRAY(Sintesi!$C$15),1,$C259))*(INDEX(_xlfn.ANCHORARRAY(Sintesi!$C$15),1,$C259)&gt;0),1,IF(($E259&gt;=LOOKUP(2,1/($E:$E&lt;&gt;""),$E:$E))*($E259&lt;=INDEX($E:$E,MATCH(TRUE,INDEX((ISNUMBER($E:$E)),0),0)))*($E259&gt;INDEX(_xlfn.ANCHORARRAY(Sintesi!$C$14),1,$C259))*($E259&lt;INDEX(_xlfn.ANCHORARRAY(Sintesi!$C$16),1,$C259))*(INDEX(_xlfn.ANCHORARRAY(Sintesi!$C$15),1,$C259)&lt;0)+($E259&gt;=LOOKUP(2,1/($E:$E&lt;&gt;""),$E:$E))*($E259&lt;=INDEX($E:$E,MATCH(TRUE,INDEX((ISNUMBER($E:$E)),0),0)))*($E259&gt;INDEX(_xlfn.ANCHORARRAY(Sintesi!$C$15),1,$C259))*($E259&lt;INDEX(_xlfn.ANCHORARRAY(Sintesi!$C$16),1,$C259))*(INDEX(_xlfn.ANCHORARRAY(Sintesi!$C$15),1,$C259)&gt;0),2,IF($E259=(INDEX(_xlfn.ANCHORARRAY(Sintesi!$C$16),1,$C259)),3,4)))),0)),IF(ISNUMBER($E258),IF($C259&gt;0,IF(($E259=INDEX(_xlfn.ANCHORARRAY(Sintesi!$C$14),1,$C259))*(INDEX(_xlfn.ANCHORARRAY(Sintesi!$C$15),1,$C259)&gt;0),0,IF(($E259=INDEX(_xlfn.ANCHORARRAY(Sintesi!$C$14),1,$C259))*(INDEX(_xlfn.ANCHORARRAY(Sintesi!$C$15),1,$C259)&lt;0)+($E259&gt;=$E258)*($E259&lt;=$E260)*($E259&gt;INDEX(_xlfn.ANCHORARRAY(Sintesi!$C$14),1,$C259))*($E259&lt;=INDEX(_xlfn.ANCHORARRAY(Sintesi!$C$15),1,$C259))*(INDEX(_xlfn.ANCHORARRAY(Sintesi!$C$15),1,$C259)&gt;0),1,IF(($E259&gt;=$E258)*($E259&lt;=$E260)*($E259&gt;INDEX(_xlfn.ANCHORARRAY(Sintesi!$C$14),1,$C259))*($E259&lt;INDEX(_xlfn.ANCHORARRAY(Sintesi!$C$16),1,$C259))*(INDEX(_xlfn.ANCHORARRAY(Sintesi!$C$15),1,$C259)&lt;0)+($E259&gt;=$E258)*($E259&lt;=$E260)*($E259&gt;INDEX(_xlfn.ANCHORARRAY(Sintesi!$C$15),1,$C259))*($E259&lt;INDEX(_xlfn.ANCHORARRAY(Sintesi!$C$16),1,$C259))*(INDEX(_xlfn.ANCHORARRAY(Sintesi!$C$15),1,$C259)&gt;0),2,IF($E259=(INDEX(_xlfn.ANCHORARRAY(Sintesi!$C$16),1,$C259)),3,4)))),0),IF($C259&gt;0,IF(($E259=INDEX(_xlfn.ANCHORARRAY(Sintesi!$C$14),1,$C259))*(INDEX(_xlfn.ANCHORARRAY(Sintesi!$C$15),1,$C259)&gt;0),0,IF(($E259=INDEX(_xlfn.ANCHORARRAY(Sintesi!$C$14),1,$C259))*(INDEX(_xlfn.ANCHORARRAY(Sintesi!$C$15),1,$C259)&lt;0)+($E259&gt;=LOOKUP(2,1/($E:$E&lt;&gt;""),$E:$E))*($E259&lt;=$E260)*($E259&gt;INDEX(_xlfn.ANCHORARRAY(Sintesi!$C$14),1,$C259))*($E259&lt;=INDEX(_xlfn.ANCHORARRAY(Sintesi!$C$15),1,$C259))*(INDEX(_xlfn.ANCHORARRAY(Sintesi!$C$15),1,$C259)&gt;0),1,IF(($E259&gt;=LOOKUP(2,1/($E:$E&lt;&gt;""),$E:$E))*($E259&lt;=$E260)*($E259&gt;INDEX(_xlfn.ANCHORARRAY(Sintesi!$C$14),1,$C259))*($E259&lt;INDEX(_xlfn.ANCHORARRAY(Sintesi!$C$16),1,$C259))*(INDEX(_xlfn.ANCHORARRAY(Sintesi!$C$15),1,$C259)&lt;0)+($E259&gt;=LOOKUP(2,1/($E:$E&lt;&gt;""),$E:$E))*($E259&lt;=$E260)*($E259&gt;INDEX(_xlfn.ANCHORARRAY(Sintesi!$C$15),1,$C259))*($E259&lt;INDEX(_xlfn.ANCHORARRAY(Sintesi!$C$16),1,$C259))*(INDEX(_xlfn.ANCHORARRAY(Sintesi!$C$15),1,$C259)&gt;0),2,IF($E259=(INDEX(_xlfn.ANCHORARRAY(Sintesi!$C$16),1,$C259)),3,4)))),0)))</f>
        <v/>
      </c>
      <c r="E259" s="1">
        <f>'Paste cell here'!F259</f>
        <v/>
      </c>
      <c r="F259" s="1">
        <f>'Paste cell here'!C259</f>
        <v/>
      </c>
      <c r="G259" s="1">
        <f>'Paste cell here'!D259</f>
        <v/>
      </c>
      <c r="H259" s="1">
        <f>'Paste cell here'!E259</f>
        <v/>
      </c>
      <c r="I259" s="1">
        <f>'Paste cell here'!X259</f>
        <v/>
      </c>
      <c r="J259" s="1">
        <f>'Paste cell here'!Y259+'Paste cell here'!S259</f>
        <v/>
      </c>
      <c r="K259" s="1">
        <f>I259/H259</f>
        <v/>
      </c>
      <c r="L259" s="1">
        <f>AVERAGE(($F259+$G259)/2-($F259-$G259)/2*COS(PI()*(8-VLOOKUP(MONTH(B259),$O$1:$Q$13,3))/(VLOOKUP(MONTH(B259),$O$1:$Q$13,2)-VLOOKUP(MONTH(B259),$O$1:$Q$13,3))),($F259+$G259)/2-($F259-$G259)/2*COS(PI()*(9-VLOOKUP(MONTH(B259),$O$1:$Q$13,3))/(VLOOKUP(MONTH(B259),$O$1:$Q$13,2)-VLOOKUP(MONTH(B259),$O$1:$Q$13,3))),($F259+$G259)/2-($F259-$G259)/2*COS(PI()*(10-VLOOKUP(MONTH(B259),$O$1:$Q$13,3))/(VLOOKUP(MONTH(B259),$O$1:$Q$13,2)-VLOOKUP(MONTH(B259),$O$1:$Q$13,3))),($F259+$G259)/2-($F259-$G259)/2*COS(PI()*(11-VLOOKUP(MONTH(B259),$O$1:$Q$13,3))/(VLOOKUP(MONTH(B259),$O$1:$Q$13,2)-VLOOKUP(MONTH(B259),$O$1:$Q$13,3))),($F259+$G259)/2-($F259-$G259)/2*COS(PI()*(12-VLOOKUP(MONTH(B259),$O$1:$Q$13,3))/(VLOOKUP(MONTH(B259),$O$1:$Q$13,2)-VLOOKUP(MONTH(B259),$O$1:$Q$13,3))),($F259+$G259)/2-($F259-$G259)/2*COS(PI()*(13-VLOOKUP(MONTH(B259),$O$1:$Q$13,3))/(VLOOKUP(MONTH(B259),$O$1:$Q$13,2)-VLOOKUP(MONTH(B259),$O$1:$Q$13,3))),($F259+$G259)/2-($F259-$G259)/2*COS(PI()*(14-VLOOKUP(MONTH(B259),$O$1:$Q$13,3))/(VLOOKUP(MONTH(B259),$O$1:$Q$13,2)-VLOOKUP(MONTH(B259),$O$1:$Q$13,3))))</f>
        <v/>
      </c>
      <c r="M259" s="1">
        <f t="array" ref="M259">IF(AND(A259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,A259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),IF(L259&lt;_xlfn.IFNA(INDEX(_xlfn.ANCHORARRAY(Sintesi!$C$17)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,1,IF(L259&gt;=_xlfn.IFNA(INDEX(_xlfn.ANCHORARRAY(Sintesi!$C$18)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,0,1-(L259-_xlfn.IFNA(INDEX(_xlfn.ANCHORARRAY(Sintesi!$C$17)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)/(_xlfn.IFNA(INDEX(_xlfn.ANCHORARRAY(Sintesi!$C$18)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-_xlfn.IFNA(INDEX(_xlfn.ANCHORARRAY(Sintesi!$C$17)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))),0)</f>
        <v/>
      </c>
    </row>
    <row r="260">
      <c r="A260" s="1">
        <f>'Paste cell here'!A260</f>
        <v/>
      </c>
      <c r="B260" s="2">
        <f>DATE(Sintesi!$C$4-1,12,31)+A260</f>
        <v/>
      </c>
      <c r="C260" s="34">
        <f t="array" ref="C260">_xlfn.IFNA(MATCH(1,(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)*(_xlfn.ANCHORARRAY(Sintesi!$C$15)&gt;=0)+(_xlfn.ANCHORARRAY(Sintesi!$C$15)&lt;0),0),0)</f>
        <v/>
      </c>
      <c r="D260" s="1">
        <f t="array" ref="D260">IF(ISBLANK($E261),IF(ISNUMBER($E259),IF($C260&gt;0,IF(($E260=INDEX(_xlfn.ANCHORARRAY(Sintesi!$C$14),1,$C260))*(INDEX(_xlfn.ANCHORARRAY(Sintesi!$C$15),1,$C260)&gt;0),0,IF(($E260=INDEX(_xlfn.ANCHORARRAY(Sintesi!$C$14),1,$C260))*(INDEX(_xlfn.ANCHORARRAY(Sintesi!$C$15),1,$C260)&lt;0)+($E260&gt;=$E259)*($E260&lt;=INDEX($E:$E,MATCH(TRUE,INDEX((ISNUMBER($E:$E)),0),0)))*($E260&gt;INDEX(_xlfn.ANCHORARRAY(Sintesi!$C$14),1,$C260))*($E260&lt;=INDEX(_xlfn.ANCHORARRAY(Sintesi!$C$15),1,$C260))*(INDEX(_xlfn.ANCHORARRAY(Sintesi!$C$15),1,$C260)&gt;0),1,IF(($E260&gt;=$E259)*($E260&lt;=INDEX($E:$E,MATCH(TRUE,INDEX((ISNUMBER($E:$E)),0),0)))*($E260&gt;INDEX(_xlfn.ANCHORARRAY(Sintesi!$C$14),1,$C260))*($E260&lt;INDEX(_xlfn.ANCHORARRAY(Sintesi!$C$16),1,$C260))*(INDEX(_xlfn.ANCHORARRAY(Sintesi!$C$15),1,$C260)&lt;0)+($E260&gt;=$E259)*($E260&lt;=INDEX($E:$E,MATCH(TRUE,INDEX((ISNUMBER($E:$E)),0),0)))*($E260&gt;INDEX(_xlfn.ANCHORARRAY(Sintesi!$C$15),1,$C260))*($E260&lt;INDEX(_xlfn.ANCHORARRAY(Sintesi!$C$16),1,$C260))*(INDEX(_xlfn.ANCHORARRAY(Sintesi!$C$15),1,$C260)&gt;0),2,IF($E260=(INDEX(_xlfn.ANCHORARRAY(Sintesi!$C$16),1,$C260)),3,4)))),0),IF($C260&gt;0,IF(($E260=INDEX(_xlfn.ANCHORARRAY(Sintesi!$C$14),1,$C260))*(INDEX(_xlfn.ANCHORARRAY(Sintesi!$C$15),1,$C260)&gt;0),0,IF(($E260=INDEX(_xlfn.ANCHORARRAY(Sintesi!$C$14),1,$C260))*(INDEX(_xlfn.ANCHORARRAY(Sintesi!$C$15),1,$C260)&lt;0)+($E260&gt;=LOOKUP(2,1/($E:$E&lt;&gt;""),$E:$E))*($E260&lt;=INDEX($E:$E,MATCH(TRUE,INDEX((ISNUMBER($E:$E)),0),0)))*($E260&gt;INDEX(_xlfn.ANCHORARRAY(Sintesi!$C$14),1,$C260))*($E260&lt;=INDEX(_xlfn.ANCHORARRAY(Sintesi!$C$15),1,$C260))*(INDEX(_xlfn.ANCHORARRAY(Sintesi!$C$15),1,$C260)&gt;0),1,IF(($E260&gt;=LOOKUP(2,1/($E:$E&lt;&gt;""),$E:$E))*($E260&lt;=INDEX($E:$E,MATCH(TRUE,INDEX((ISNUMBER($E:$E)),0),0)))*($E260&gt;INDEX(_xlfn.ANCHORARRAY(Sintesi!$C$14),1,$C260))*($E260&lt;INDEX(_xlfn.ANCHORARRAY(Sintesi!$C$16),1,$C260))*(INDEX(_xlfn.ANCHORARRAY(Sintesi!$C$15),1,$C260)&lt;0)+($E260&gt;=LOOKUP(2,1/($E:$E&lt;&gt;""),$E:$E))*($E260&lt;=INDEX($E:$E,MATCH(TRUE,INDEX((ISNUMBER($E:$E)),0),0)))*($E260&gt;INDEX(_xlfn.ANCHORARRAY(Sintesi!$C$15),1,$C260))*($E260&lt;INDEX(_xlfn.ANCHORARRAY(Sintesi!$C$16),1,$C260))*(INDEX(_xlfn.ANCHORARRAY(Sintesi!$C$15),1,$C260)&gt;0),2,IF($E260=(INDEX(_xlfn.ANCHORARRAY(Sintesi!$C$16),1,$C260)),3,4)))),0)),IF(ISNUMBER($E259),IF($C260&gt;0,IF(($E260=INDEX(_xlfn.ANCHORARRAY(Sintesi!$C$14),1,$C260))*(INDEX(_xlfn.ANCHORARRAY(Sintesi!$C$15),1,$C260)&gt;0),0,IF(($E260=INDEX(_xlfn.ANCHORARRAY(Sintesi!$C$14),1,$C260))*(INDEX(_xlfn.ANCHORARRAY(Sintesi!$C$15),1,$C260)&lt;0)+($E260&gt;=$E259)*($E260&lt;=$E261)*($E260&gt;INDEX(_xlfn.ANCHORARRAY(Sintesi!$C$14),1,$C260))*($E260&lt;=INDEX(_xlfn.ANCHORARRAY(Sintesi!$C$15),1,$C260))*(INDEX(_xlfn.ANCHORARRAY(Sintesi!$C$15),1,$C260)&gt;0),1,IF(($E260&gt;=$E259)*($E260&lt;=$E261)*($E260&gt;INDEX(_xlfn.ANCHORARRAY(Sintesi!$C$14),1,$C260))*($E260&lt;INDEX(_xlfn.ANCHORARRAY(Sintesi!$C$16),1,$C260))*(INDEX(_xlfn.ANCHORARRAY(Sintesi!$C$15),1,$C260)&lt;0)+($E260&gt;=$E259)*($E260&lt;=$E261)*($E260&gt;INDEX(_xlfn.ANCHORARRAY(Sintesi!$C$15),1,$C260))*($E260&lt;INDEX(_xlfn.ANCHORARRAY(Sintesi!$C$16),1,$C260))*(INDEX(_xlfn.ANCHORARRAY(Sintesi!$C$15),1,$C260)&gt;0),2,IF($E260=(INDEX(_xlfn.ANCHORARRAY(Sintesi!$C$16),1,$C260)),3,4)))),0),IF($C260&gt;0,IF(($E260=INDEX(_xlfn.ANCHORARRAY(Sintesi!$C$14),1,$C260))*(INDEX(_xlfn.ANCHORARRAY(Sintesi!$C$15),1,$C260)&gt;0),0,IF(($E260=INDEX(_xlfn.ANCHORARRAY(Sintesi!$C$14),1,$C260))*(INDEX(_xlfn.ANCHORARRAY(Sintesi!$C$15),1,$C260)&lt;0)+($E260&gt;=LOOKUP(2,1/($E:$E&lt;&gt;""),$E:$E))*($E260&lt;=$E261)*($E260&gt;INDEX(_xlfn.ANCHORARRAY(Sintesi!$C$14),1,$C260))*($E260&lt;=INDEX(_xlfn.ANCHORARRAY(Sintesi!$C$15),1,$C260))*(INDEX(_xlfn.ANCHORARRAY(Sintesi!$C$15),1,$C260)&gt;0),1,IF(($E260&gt;=LOOKUP(2,1/($E:$E&lt;&gt;""),$E:$E))*($E260&lt;=$E261)*($E260&gt;INDEX(_xlfn.ANCHORARRAY(Sintesi!$C$14),1,$C260))*($E260&lt;INDEX(_xlfn.ANCHORARRAY(Sintesi!$C$16),1,$C260))*(INDEX(_xlfn.ANCHORARRAY(Sintesi!$C$15),1,$C260)&lt;0)+($E260&gt;=LOOKUP(2,1/($E:$E&lt;&gt;""),$E:$E))*($E260&lt;=$E261)*($E260&gt;INDEX(_xlfn.ANCHORARRAY(Sintesi!$C$15),1,$C260))*($E260&lt;INDEX(_xlfn.ANCHORARRAY(Sintesi!$C$16),1,$C260))*(INDEX(_xlfn.ANCHORARRAY(Sintesi!$C$15),1,$C260)&gt;0),2,IF($E260=(INDEX(_xlfn.ANCHORARRAY(Sintesi!$C$16),1,$C260)),3,4)))),0)))</f>
        <v/>
      </c>
      <c r="E260" s="1">
        <f>'Paste cell here'!F260</f>
        <v/>
      </c>
      <c r="F260" s="1">
        <f>'Paste cell here'!C260</f>
        <v/>
      </c>
      <c r="G260" s="1">
        <f>'Paste cell here'!D260</f>
        <v/>
      </c>
      <c r="H260" s="1">
        <f>'Paste cell here'!E260</f>
        <v/>
      </c>
      <c r="I260" s="1">
        <f>'Paste cell here'!X260</f>
        <v/>
      </c>
      <c r="J260" s="1">
        <f>'Paste cell here'!Y260+'Paste cell here'!S260</f>
        <v/>
      </c>
      <c r="K260" s="1">
        <f>I260/H260</f>
        <v/>
      </c>
      <c r="L260" s="1">
        <f>AVERAGE(($F260+$G260)/2-($F260-$G260)/2*COS(PI()*(8-VLOOKUP(MONTH(B260),$O$1:$Q$13,3))/(VLOOKUP(MONTH(B260),$O$1:$Q$13,2)-VLOOKUP(MONTH(B260),$O$1:$Q$13,3))),($F260+$G260)/2-($F260-$G260)/2*COS(PI()*(9-VLOOKUP(MONTH(B260),$O$1:$Q$13,3))/(VLOOKUP(MONTH(B260),$O$1:$Q$13,2)-VLOOKUP(MONTH(B260),$O$1:$Q$13,3))),($F260+$G260)/2-($F260-$G260)/2*COS(PI()*(10-VLOOKUP(MONTH(B260),$O$1:$Q$13,3))/(VLOOKUP(MONTH(B260),$O$1:$Q$13,2)-VLOOKUP(MONTH(B260),$O$1:$Q$13,3))),($F260+$G260)/2-($F260-$G260)/2*COS(PI()*(11-VLOOKUP(MONTH(B260),$O$1:$Q$13,3))/(VLOOKUP(MONTH(B260),$O$1:$Q$13,2)-VLOOKUP(MONTH(B260),$O$1:$Q$13,3))),($F260+$G260)/2-($F260-$G260)/2*COS(PI()*(12-VLOOKUP(MONTH(B260),$O$1:$Q$13,3))/(VLOOKUP(MONTH(B260),$O$1:$Q$13,2)-VLOOKUP(MONTH(B260),$O$1:$Q$13,3))),($F260+$G260)/2-($F260-$G260)/2*COS(PI()*(13-VLOOKUP(MONTH(B260),$O$1:$Q$13,3))/(VLOOKUP(MONTH(B260),$O$1:$Q$13,2)-VLOOKUP(MONTH(B260),$O$1:$Q$13,3))),($F260+$G260)/2-($F260-$G260)/2*COS(PI()*(14-VLOOKUP(MONTH(B260),$O$1:$Q$13,3))/(VLOOKUP(MONTH(B260),$O$1:$Q$13,2)-VLOOKUP(MONTH(B260),$O$1:$Q$13,3))))</f>
        <v/>
      </c>
      <c r="M260" s="1">
        <f t="array" ref="M260">IF(AND(A260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,A260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),IF(L260&lt;_xlfn.IFNA(INDEX(_xlfn.ANCHORARRAY(Sintesi!$C$17)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,1,IF(L260&gt;=_xlfn.IFNA(INDEX(_xlfn.ANCHORARRAY(Sintesi!$C$18)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,0,1-(L260-_xlfn.IFNA(INDEX(_xlfn.ANCHORARRAY(Sintesi!$C$17)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)/(_xlfn.IFNA(INDEX(_xlfn.ANCHORARRAY(Sintesi!$C$18)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-_xlfn.IFNA(INDEX(_xlfn.ANCHORARRAY(Sintesi!$C$17)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))),0)</f>
        <v/>
      </c>
    </row>
    <row r="261">
      <c r="A261" s="1">
        <f>'Paste cell here'!A261</f>
        <v/>
      </c>
      <c r="B261" s="2">
        <f>DATE(Sintesi!$C$4-1,12,31)+A261</f>
        <v/>
      </c>
      <c r="C261" s="34">
        <f t="array" ref="C261">_xlfn.IFNA(MATCH(1,(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)*(_xlfn.ANCHORARRAY(Sintesi!$C$15)&gt;=0)+(_xlfn.ANCHORARRAY(Sintesi!$C$15)&lt;0),0),0)</f>
        <v/>
      </c>
      <c r="D261" s="1">
        <f t="array" ref="D261">IF(ISBLANK($E262),IF(ISNUMBER($E260),IF($C261&gt;0,IF(($E261=INDEX(_xlfn.ANCHORARRAY(Sintesi!$C$14),1,$C261))*(INDEX(_xlfn.ANCHORARRAY(Sintesi!$C$15),1,$C261)&gt;0),0,IF(($E261=INDEX(_xlfn.ANCHORARRAY(Sintesi!$C$14),1,$C261))*(INDEX(_xlfn.ANCHORARRAY(Sintesi!$C$15),1,$C261)&lt;0)+($E261&gt;=$E260)*($E261&lt;=INDEX($E:$E,MATCH(TRUE,INDEX((ISNUMBER($E:$E)),0),0)))*($E261&gt;INDEX(_xlfn.ANCHORARRAY(Sintesi!$C$14),1,$C261))*($E261&lt;=INDEX(_xlfn.ANCHORARRAY(Sintesi!$C$15),1,$C261))*(INDEX(_xlfn.ANCHORARRAY(Sintesi!$C$15),1,$C261)&gt;0),1,IF(($E261&gt;=$E260)*($E261&lt;=INDEX($E:$E,MATCH(TRUE,INDEX((ISNUMBER($E:$E)),0),0)))*($E261&gt;INDEX(_xlfn.ANCHORARRAY(Sintesi!$C$14),1,$C261))*($E261&lt;INDEX(_xlfn.ANCHORARRAY(Sintesi!$C$16),1,$C261))*(INDEX(_xlfn.ANCHORARRAY(Sintesi!$C$15),1,$C261)&lt;0)+($E261&gt;=$E260)*($E261&lt;=INDEX($E:$E,MATCH(TRUE,INDEX((ISNUMBER($E:$E)),0),0)))*($E261&gt;INDEX(_xlfn.ANCHORARRAY(Sintesi!$C$15),1,$C261))*($E261&lt;INDEX(_xlfn.ANCHORARRAY(Sintesi!$C$16),1,$C261))*(INDEX(_xlfn.ANCHORARRAY(Sintesi!$C$15),1,$C261)&gt;0),2,IF($E261=(INDEX(_xlfn.ANCHORARRAY(Sintesi!$C$16),1,$C261)),3,4)))),0),IF($C261&gt;0,IF(($E261=INDEX(_xlfn.ANCHORARRAY(Sintesi!$C$14),1,$C261))*(INDEX(_xlfn.ANCHORARRAY(Sintesi!$C$15),1,$C261)&gt;0),0,IF(($E261=INDEX(_xlfn.ANCHORARRAY(Sintesi!$C$14),1,$C261))*(INDEX(_xlfn.ANCHORARRAY(Sintesi!$C$15),1,$C261)&lt;0)+($E261&gt;=LOOKUP(2,1/($E:$E&lt;&gt;""),$E:$E))*($E261&lt;=INDEX($E:$E,MATCH(TRUE,INDEX((ISNUMBER($E:$E)),0),0)))*($E261&gt;INDEX(_xlfn.ANCHORARRAY(Sintesi!$C$14),1,$C261))*($E261&lt;=INDEX(_xlfn.ANCHORARRAY(Sintesi!$C$15),1,$C261))*(INDEX(_xlfn.ANCHORARRAY(Sintesi!$C$15),1,$C261)&gt;0),1,IF(($E261&gt;=LOOKUP(2,1/($E:$E&lt;&gt;""),$E:$E))*($E261&lt;=INDEX($E:$E,MATCH(TRUE,INDEX((ISNUMBER($E:$E)),0),0)))*($E261&gt;INDEX(_xlfn.ANCHORARRAY(Sintesi!$C$14),1,$C261))*($E261&lt;INDEX(_xlfn.ANCHORARRAY(Sintesi!$C$16),1,$C261))*(INDEX(_xlfn.ANCHORARRAY(Sintesi!$C$15),1,$C261)&lt;0)+($E261&gt;=LOOKUP(2,1/($E:$E&lt;&gt;""),$E:$E))*($E261&lt;=INDEX($E:$E,MATCH(TRUE,INDEX((ISNUMBER($E:$E)),0),0)))*($E261&gt;INDEX(_xlfn.ANCHORARRAY(Sintesi!$C$15),1,$C261))*($E261&lt;INDEX(_xlfn.ANCHORARRAY(Sintesi!$C$16),1,$C261))*(INDEX(_xlfn.ANCHORARRAY(Sintesi!$C$15),1,$C261)&gt;0),2,IF($E261=(INDEX(_xlfn.ANCHORARRAY(Sintesi!$C$16),1,$C261)),3,4)))),0)),IF(ISNUMBER($E260),IF($C261&gt;0,IF(($E261=INDEX(_xlfn.ANCHORARRAY(Sintesi!$C$14),1,$C261))*(INDEX(_xlfn.ANCHORARRAY(Sintesi!$C$15),1,$C261)&gt;0),0,IF(($E261=INDEX(_xlfn.ANCHORARRAY(Sintesi!$C$14),1,$C261))*(INDEX(_xlfn.ANCHORARRAY(Sintesi!$C$15),1,$C261)&lt;0)+($E261&gt;=$E260)*($E261&lt;=$E262)*($E261&gt;INDEX(_xlfn.ANCHORARRAY(Sintesi!$C$14),1,$C261))*($E261&lt;=INDEX(_xlfn.ANCHORARRAY(Sintesi!$C$15),1,$C261))*(INDEX(_xlfn.ANCHORARRAY(Sintesi!$C$15),1,$C261)&gt;0),1,IF(($E261&gt;=$E260)*($E261&lt;=$E262)*($E261&gt;INDEX(_xlfn.ANCHORARRAY(Sintesi!$C$14),1,$C261))*($E261&lt;INDEX(_xlfn.ANCHORARRAY(Sintesi!$C$16),1,$C261))*(INDEX(_xlfn.ANCHORARRAY(Sintesi!$C$15),1,$C261)&lt;0)+($E261&gt;=$E260)*($E261&lt;=$E262)*($E261&gt;INDEX(_xlfn.ANCHORARRAY(Sintesi!$C$15),1,$C261))*($E261&lt;INDEX(_xlfn.ANCHORARRAY(Sintesi!$C$16),1,$C261))*(INDEX(_xlfn.ANCHORARRAY(Sintesi!$C$15),1,$C261)&gt;0),2,IF($E261=(INDEX(_xlfn.ANCHORARRAY(Sintesi!$C$16),1,$C261)),3,4)))),0),IF($C261&gt;0,IF(($E261=INDEX(_xlfn.ANCHORARRAY(Sintesi!$C$14),1,$C261))*(INDEX(_xlfn.ANCHORARRAY(Sintesi!$C$15),1,$C261)&gt;0),0,IF(($E261=INDEX(_xlfn.ANCHORARRAY(Sintesi!$C$14),1,$C261))*(INDEX(_xlfn.ANCHORARRAY(Sintesi!$C$15),1,$C261)&lt;0)+($E261&gt;=LOOKUP(2,1/($E:$E&lt;&gt;""),$E:$E))*($E261&lt;=$E262)*($E261&gt;INDEX(_xlfn.ANCHORARRAY(Sintesi!$C$14),1,$C261))*($E261&lt;=INDEX(_xlfn.ANCHORARRAY(Sintesi!$C$15),1,$C261))*(INDEX(_xlfn.ANCHORARRAY(Sintesi!$C$15),1,$C261)&gt;0),1,IF(($E261&gt;=LOOKUP(2,1/($E:$E&lt;&gt;""),$E:$E))*($E261&lt;=$E262)*($E261&gt;INDEX(_xlfn.ANCHORARRAY(Sintesi!$C$14),1,$C261))*($E261&lt;INDEX(_xlfn.ANCHORARRAY(Sintesi!$C$16),1,$C261))*(INDEX(_xlfn.ANCHORARRAY(Sintesi!$C$15),1,$C261)&lt;0)+($E261&gt;=LOOKUP(2,1/($E:$E&lt;&gt;""),$E:$E))*($E261&lt;=$E262)*($E261&gt;INDEX(_xlfn.ANCHORARRAY(Sintesi!$C$15),1,$C261))*($E261&lt;INDEX(_xlfn.ANCHORARRAY(Sintesi!$C$16),1,$C261))*(INDEX(_xlfn.ANCHORARRAY(Sintesi!$C$15),1,$C261)&gt;0),2,IF($E261=(INDEX(_xlfn.ANCHORARRAY(Sintesi!$C$16),1,$C261)),3,4)))),0)))</f>
        <v/>
      </c>
      <c r="E261" s="1">
        <f>'Paste cell here'!F261</f>
        <v/>
      </c>
      <c r="F261" s="1">
        <f>'Paste cell here'!C261</f>
        <v/>
      </c>
      <c r="G261" s="1">
        <f>'Paste cell here'!D261</f>
        <v/>
      </c>
      <c r="H261" s="1">
        <f>'Paste cell here'!E261</f>
        <v/>
      </c>
      <c r="I261" s="1">
        <f>'Paste cell here'!X261</f>
        <v/>
      </c>
      <c r="J261" s="1">
        <f>'Paste cell here'!Y261+'Paste cell here'!S261</f>
        <v/>
      </c>
      <c r="K261" s="1">
        <f>I261/H261</f>
        <v/>
      </c>
      <c r="L261" s="1">
        <f>AVERAGE(($F261+$G261)/2-($F261-$G261)/2*COS(PI()*(8-VLOOKUP(MONTH(B261),$O$1:$Q$13,3))/(VLOOKUP(MONTH(B261),$O$1:$Q$13,2)-VLOOKUP(MONTH(B261),$O$1:$Q$13,3))),($F261+$G261)/2-($F261-$G261)/2*COS(PI()*(9-VLOOKUP(MONTH(B261),$O$1:$Q$13,3))/(VLOOKUP(MONTH(B261),$O$1:$Q$13,2)-VLOOKUP(MONTH(B261),$O$1:$Q$13,3))),($F261+$G261)/2-($F261-$G261)/2*COS(PI()*(10-VLOOKUP(MONTH(B261),$O$1:$Q$13,3))/(VLOOKUP(MONTH(B261),$O$1:$Q$13,2)-VLOOKUP(MONTH(B261),$O$1:$Q$13,3))),($F261+$G261)/2-($F261-$G261)/2*COS(PI()*(11-VLOOKUP(MONTH(B261),$O$1:$Q$13,3))/(VLOOKUP(MONTH(B261),$O$1:$Q$13,2)-VLOOKUP(MONTH(B261),$O$1:$Q$13,3))),($F261+$G261)/2-($F261-$G261)/2*COS(PI()*(12-VLOOKUP(MONTH(B261),$O$1:$Q$13,3))/(VLOOKUP(MONTH(B261),$O$1:$Q$13,2)-VLOOKUP(MONTH(B261),$O$1:$Q$13,3))),($F261+$G261)/2-($F261-$G261)/2*COS(PI()*(13-VLOOKUP(MONTH(B261),$O$1:$Q$13,3))/(VLOOKUP(MONTH(B261),$O$1:$Q$13,2)-VLOOKUP(MONTH(B261),$O$1:$Q$13,3))),($F261+$G261)/2-($F261-$G261)/2*COS(PI()*(14-VLOOKUP(MONTH(B261),$O$1:$Q$13,3))/(VLOOKUP(MONTH(B261),$O$1:$Q$13,2)-VLOOKUP(MONTH(B261),$O$1:$Q$13,3))))</f>
        <v/>
      </c>
      <c r="M261" s="1">
        <f t="array" ref="M261">IF(AND(A261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,A261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),IF(L261&lt;_xlfn.IFNA(INDEX(_xlfn.ANCHORARRAY(Sintesi!$C$17)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,1,IF(L261&gt;=_xlfn.IFNA(INDEX(_xlfn.ANCHORARRAY(Sintesi!$C$18)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,0,1-(L261-_xlfn.IFNA(INDEX(_xlfn.ANCHORARRAY(Sintesi!$C$17)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)/(_xlfn.IFNA(INDEX(_xlfn.ANCHORARRAY(Sintesi!$C$18)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-_xlfn.IFNA(INDEX(_xlfn.ANCHORARRAY(Sintesi!$C$17)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))),0)</f>
        <v/>
      </c>
    </row>
    <row r="262">
      <c r="A262" s="1">
        <f>'Paste cell here'!A262</f>
        <v/>
      </c>
      <c r="B262" s="2">
        <f>DATE(Sintesi!$C$4-1,12,31)+A262</f>
        <v/>
      </c>
      <c r="C262" s="34">
        <f t="array" ref="C262">_xlfn.IFNA(MATCH(1,(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)*(_xlfn.ANCHORARRAY(Sintesi!$C$15)&gt;=0)+(_xlfn.ANCHORARRAY(Sintesi!$C$15)&lt;0),0),0)</f>
        <v/>
      </c>
      <c r="D262" s="1">
        <f t="array" ref="D262">IF(ISBLANK($E263),IF(ISNUMBER($E261),IF($C262&gt;0,IF(($E262=INDEX(_xlfn.ANCHORARRAY(Sintesi!$C$14),1,$C262))*(INDEX(_xlfn.ANCHORARRAY(Sintesi!$C$15),1,$C262)&gt;0),0,IF(($E262=INDEX(_xlfn.ANCHORARRAY(Sintesi!$C$14),1,$C262))*(INDEX(_xlfn.ANCHORARRAY(Sintesi!$C$15),1,$C262)&lt;0)+($E262&gt;=$E261)*($E262&lt;=INDEX($E:$E,MATCH(TRUE,INDEX((ISNUMBER($E:$E)),0),0)))*($E262&gt;INDEX(_xlfn.ANCHORARRAY(Sintesi!$C$14),1,$C262))*($E262&lt;=INDEX(_xlfn.ANCHORARRAY(Sintesi!$C$15),1,$C262))*(INDEX(_xlfn.ANCHORARRAY(Sintesi!$C$15),1,$C262)&gt;0),1,IF(($E262&gt;=$E261)*($E262&lt;=INDEX($E:$E,MATCH(TRUE,INDEX((ISNUMBER($E:$E)),0),0)))*($E262&gt;INDEX(_xlfn.ANCHORARRAY(Sintesi!$C$14),1,$C262))*($E262&lt;INDEX(_xlfn.ANCHORARRAY(Sintesi!$C$16),1,$C262))*(INDEX(_xlfn.ANCHORARRAY(Sintesi!$C$15),1,$C262)&lt;0)+($E262&gt;=$E261)*($E262&lt;=INDEX($E:$E,MATCH(TRUE,INDEX((ISNUMBER($E:$E)),0),0)))*($E262&gt;INDEX(_xlfn.ANCHORARRAY(Sintesi!$C$15),1,$C262))*($E262&lt;INDEX(_xlfn.ANCHORARRAY(Sintesi!$C$16),1,$C262))*(INDEX(_xlfn.ANCHORARRAY(Sintesi!$C$15),1,$C262)&gt;0),2,IF($E262=(INDEX(_xlfn.ANCHORARRAY(Sintesi!$C$16),1,$C262)),3,4)))),0),IF($C262&gt;0,IF(($E262=INDEX(_xlfn.ANCHORARRAY(Sintesi!$C$14),1,$C262))*(INDEX(_xlfn.ANCHORARRAY(Sintesi!$C$15),1,$C262)&gt;0),0,IF(($E262=INDEX(_xlfn.ANCHORARRAY(Sintesi!$C$14),1,$C262))*(INDEX(_xlfn.ANCHORARRAY(Sintesi!$C$15),1,$C262)&lt;0)+($E262&gt;=LOOKUP(2,1/($E:$E&lt;&gt;""),$E:$E))*($E262&lt;=INDEX($E:$E,MATCH(TRUE,INDEX((ISNUMBER($E:$E)),0),0)))*($E262&gt;INDEX(_xlfn.ANCHORARRAY(Sintesi!$C$14),1,$C262))*($E262&lt;=INDEX(_xlfn.ANCHORARRAY(Sintesi!$C$15),1,$C262))*(INDEX(_xlfn.ANCHORARRAY(Sintesi!$C$15),1,$C262)&gt;0),1,IF(($E262&gt;=LOOKUP(2,1/($E:$E&lt;&gt;""),$E:$E))*($E262&lt;=INDEX($E:$E,MATCH(TRUE,INDEX((ISNUMBER($E:$E)),0),0)))*($E262&gt;INDEX(_xlfn.ANCHORARRAY(Sintesi!$C$14),1,$C262))*($E262&lt;INDEX(_xlfn.ANCHORARRAY(Sintesi!$C$16),1,$C262))*(INDEX(_xlfn.ANCHORARRAY(Sintesi!$C$15),1,$C262)&lt;0)+($E262&gt;=LOOKUP(2,1/($E:$E&lt;&gt;""),$E:$E))*($E262&lt;=INDEX($E:$E,MATCH(TRUE,INDEX((ISNUMBER($E:$E)),0),0)))*($E262&gt;INDEX(_xlfn.ANCHORARRAY(Sintesi!$C$15),1,$C262))*($E262&lt;INDEX(_xlfn.ANCHORARRAY(Sintesi!$C$16),1,$C262))*(INDEX(_xlfn.ANCHORARRAY(Sintesi!$C$15),1,$C262)&gt;0),2,IF($E262=(INDEX(_xlfn.ANCHORARRAY(Sintesi!$C$16),1,$C262)),3,4)))),0)),IF(ISNUMBER($E261),IF($C262&gt;0,IF(($E262=INDEX(_xlfn.ANCHORARRAY(Sintesi!$C$14),1,$C262))*(INDEX(_xlfn.ANCHORARRAY(Sintesi!$C$15),1,$C262)&gt;0),0,IF(($E262=INDEX(_xlfn.ANCHORARRAY(Sintesi!$C$14),1,$C262))*(INDEX(_xlfn.ANCHORARRAY(Sintesi!$C$15),1,$C262)&lt;0)+($E262&gt;=$E261)*($E262&lt;=$E263)*($E262&gt;INDEX(_xlfn.ANCHORARRAY(Sintesi!$C$14),1,$C262))*($E262&lt;=INDEX(_xlfn.ANCHORARRAY(Sintesi!$C$15),1,$C262))*(INDEX(_xlfn.ANCHORARRAY(Sintesi!$C$15),1,$C262)&gt;0),1,IF(($E262&gt;=$E261)*($E262&lt;=$E263)*($E262&gt;INDEX(_xlfn.ANCHORARRAY(Sintesi!$C$14),1,$C262))*($E262&lt;INDEX(_xlfn.ANCHORARRAY(Sintesi!$C$16),1,$C262))*(INDEX(_xlfn.ANCHORARRAY(Sintesi!$C$15),1,$C262)&lt;0)+($E262&gt;=$E261)*($E262&lt;=$E263)*($E262&gt;INDEX(_xlfn.ANCHORARRAY(Sintesi!$C$15),1,$C262))*($E262&lt;INDEX(_xlfn.ANCHORARRAY(Sintesi!$C$16),1,$C262))*(INDEX(_xlfn.ANCHORARRAY(Sintesi!$C$15),1,$C262)&gt;0),2,IF($E262=(INDEX(_xlfn.ANCHORARRAY(Sintesi!$C$16),1,$C262)),3,4)))),0),IF($C262&gt;0,IF(($E262=INDEX(_xlfn.ANCHORARRAY(Sintesi!$C$14),1,$C262))*(INDEX(_xlfn.ANCHORARRAY(Sintesi!$C$15),1,$C262)&gt;0),0,IF(($E262=INDEX(_xlfn.ANCHORARRAY(Sintesi!$C$14),1,$C262))*(INDEX(_xlfn.ANCHORARRAY(Sintesi!$C$15),1,$C262)&lt;0)+($E262&gt;=LOOKUP(2,1/($E:$E&lt;&gt;""),$E:$E))*($E262&lt;=$E263)*($E262&gt;INDEX(_xlfn.ANCHORARRAY(Sintesi!$C$14),1,$C262))*($E262&lt;=INDEX(_xlfn.ANCHORARRAY(Sintesi!$C$15),1,$C262))*(INDEX(_xlfn.ANCHORARRAY(Sintesi!$C$15),1,$C262)&gt;0),1,IF(($E262&gt;=LOOKUP(2,1/($E:$E&lt;&gt;""),$E:$E))*($E262&lt;=$E263)*($E262&gt;INDEX(_xlfn.ANCHORARRAY(Sintesi!$C$14),1,$C262))*($E262&lt;INDEX(_xlfn.ANCHORARRAY(Sintesi!$C$16),1,$C262))*(INDEX(_xlfn.ANCHORARRAY(Sintesi!$C$15),1,$C262)&lt;0)+($E262&gt;=LOOKUP(2,1/($E:$E&lt;&gt;""),$E:$E))*($E262&lt;=$E263)*($E262&gt;INDEX(_xlfn.ANCHORARRAY(Sintesi!$C$15),1,$C262))*($E262&lt;INDEX(_xlfn.ANCHORARRAY(Sintesi!$C$16),1,$C262))*(INDEX(_xlfn.ANCHORARRAY(Sintesi!$C$15),1,$C262)&gt;0),2,IF($E262=(INDEX(_xlfn.ANCHORARRAY(Sintesi!$C$16),1,$C262)),3,4)))),0)))</f>
        <v/>
      </c>
      <c r="E262" s="1">
        <f>'Paste cell here'!F262</f>
        <v/>
      </c>
      <c r="F262" s="1">
        <f>'Paste cell here'!C262</f>
        <v/>
      </c>
      <c r="G262" s="1">
        <f>'Paste cell here'!D262</f>
        <v/>
      </c>
      <c r="H262" s="1">
        <f>'Paste cell here'!E262</f>
        <v/>
      </c>
      <c r="I262" s="1">
        <f>'Paste cell here'!X262</f>
        <v/>
      </c>
      <c r="J262" s="1">
        <f>'Paste cell here'!Y262+'Paste cell here'!S262</f>
        <v/>
      </c>
      <c r="K262" s="1">
        <f>I262/H262</f>
        <v/>
      </c>
      <c r="L262" s="1">
        <f>AVERAGE(($F262+$G262)/2-($F262-$G262)/2*COS(PI()*(8-VLOOKUP(MONTH(B262),$O$1:$Q$13,3))/(VLOOKUP(MONTH(B262),$O$1:$Q$13,2)-VLOOKUP(MONTH(B262),$O$1:$Q$13,3))),($F262+$G262)/2-($F262-$G262)/2*COS(PI()*(9-VLOOKUP(MONTH(B262),$O$1:$Q$13,3))/(VLOOKUP(MONTH(B262),$O$1:$Q$13,2)-VLOOKUP(MONTH(B262),$O$1:$Q$13,3))),($F262+$G262)/2-($F262-$G262)/2*COS(PI()*(10-VLOOKUP(MONTH(B262),$O$1:$Q$13,3))/(VLOOKUP(MONTH(B262),$O$1:$Q$13,2)-VLOOKUP(MONTH(B262),$O$1:$Q$13,3))),($F262+$G262)/2-($F262-$G262)/2*COS(PI()*(11-VLOOKUP(MONTH(B262),$O$1:$Q$13,3))/(VLOOKUP(MONTH(B262),$O$1:$Q$13,2)-VLOOKUP(MONTH(B262),$O$1:$Q$13,3))),($F262+$G262)/2-($F262-$G262)/2*COS(PI()*(12-VLOOKUP(MONTH(B262),$O$1:$Q$13,3))/(VLOOKUP(MONTH(B262),$O$1:$Q$13,2)-VLOOKUP(MONTH(B262),$O$1:$Q$13,3))),($F262+$G262)/2-($F262-$G262)/2*COS(PI()*(13-VLOOKUP(MONTH(B262),$O$1:$Q$13,3))/(VLOOKUP(MONTH(B262),$O$1:$Q$13,2)-VLOOKUP(MONTH(B262),$O$1:$Q$13,3))),($F262+$G262)/2-($F262-$G262)/2*COS(PI()*(14-VLOOKUP(MONTH(B262),$O$1:$Q$13,3))/(VLOOKUP(MONTH(B262),$O$1:$Q$13,2)-VLOOKUP(MONTH(B262),$O$1:$Q$13,3))))</f>
        <v/>
      </c>
      <c r="M262" s="1">
        <f t="array" ref="M262">IF(AND(A262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,A262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),IF(L262&lt;_xlfn.IFNA(INDEX(_xlfn.ANCHORARRAY(Sintesi!$C$17)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,1,IF(L262&gt;=_xlfn.IFNA(INDEX(_xlfn.ANCHORARRAY(Sintesi!$C$18)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,0,1-(L262-_xlfn.IFNA(INDEX(_xlfn.ANCHORARRAY(Sintesi!$C$17)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)/(_xlfn.IFNA(INDEX(_xlfn.ANCHORARRAY(Sintesi!$C$18)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-_xlfn.IFNA(INDEX(_xlfn.ANCHORARRAY(Sintesi!$C$17)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))),0)</f>
        <v/>
      </c>
    </row>
    <row r="263">
      <c r="A263" s="1">
        <f>'Paste cell here'!A263</f>
        <v/>
      </c>
      <c r="B263" s="2">
        <f>DATE(Sintesi!$C$4-1,12,31)+A263</f>
        <v/>
      </c>
      <c r="C263" s="34">
        <f t="array" ref="C263">_xlfn.IFNA(MATCH(1,(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)*(_xlfn.ANCHORARRAY(Sintesi!$C$15)&gt;=0)+(_xlfn.ANCHORARRAY(Sintesi!$C$15)&lt;0),0),0)</f>
        <v/>
      </c>
      <c r="D263" s="1">
        <f t="array" ref="D263">IF(ISBLANK($E264),IF(ISNUMBER($E262),IF($C263&gt;0,IF(($E263=INDEX(_xlfn.ANCHORARRAY(Sintesi!$C$14),1,$C263))*(INDEX(_xlfn.ANCHORARRAY(Sintesi!$C$15),1,$C263)&gt;0),0,IF(($E263=INDEX(_xlfn.ANCHORARRAY(Sintesi!$C$14),1,$C263))*(INDEX(_xlfn.ANCHORARRAY(Sintesi!$C$15),1,$C263)&lt;0)+($E263&gt;=$E262)*($E263&lt;=INDEX($E:$E,MATCH(TRUE,INDEX((ISNUMBER($E:$E)),0),0)))*($E263&gt;INDEX(_xlfn.ANCHORARRAY(Sintesi!$C$14),1,$C263))*($E263&lt;=INDEX(_xlfn.ANCHORARRAY(Sintesi!$C$15),1,$C263))*(INDEX(_xlfn.ANCHORARRAY(Sintesi!$C$15),1,$C263)&gt;0),1,IF(($E263&gt;=$E262)*($E263&lt;=INDEX($E:$E,MATCH(TRUE,INDEX((ISNUMBER($E:$E)),0),0)))*($E263&gt;INDEX(_xlfn.ANCHORARRAY(Sintesi!$C$14),1,$C263))*($E263&lt;INDEX(_xlfn.ANCHORARRAY(Sintesi!$C$16),1,$C263))*(INDEX(_xlfn.ANCHORARRAY(Sintesi!$C$15),1,$C263)&lt;0)+($E263&gt;=$E262)*($E263&lt;=INDEX($E:$E,MATCH(TRUE,INDEX((ISNUMBER($E:$E)),0),0)))*($E263&gt;INDEX(_xlfn.ANCHORARRAY(Sintesi!$C$15),1,$C263))*($E263&lt;INDEX(_xlfn.ANCHORARRAY(Sintesi!$C$16),1,$C263))*(INDEX(_xlfn.ANCHORARRAY(Sintesi!$C$15),1,$C263)&gt;0),2,IF($E263=(INDEX(_xlfn.ANCHORARRAY(Sintesi!$C$16),1,$C263)),3,4)))),0),IF($C263&gt;0,IF(($E263=INDEX(_xlfn.ANCHORARRAY(Sintesi!$C$14),1,$C263))*(INDEX(_xlfn.ANCHORARRAY(Sintesi!$C$15),1,$C263)&gt;0),0,IF(($E263=INDEX(_xlfn.ANCHORARRAY(Sintesi!$C$14),1,$C263))*(INDEX(_xlfn.ANCHORARRAY(Sintesi!$C$15),1,$C263)&lt;0)+($E263&gt;=LOOKUP(2,1/($E:$E&lt;&gt;""),$E:$E))*($E263&lt;=INDEX($E:$E,MATCH(TRUE,INDEX((ISNUMBER($E:$E)),0),0)))*($E263&gt;INDEX(_xlfn.ANCHORARRAY(Sintesi!$C$14),1,$C263))*($E263&lt;=INDEX(_xlfn.ANCHORARRAY(Sintesi!$C$15),1,$C263))*(INDEX(_xlfn.ANCHORARRAY(Sintesi!$C$15),1,$C263)&gt;0),1,IF(($E263&gt;=LOOKUP(2,1/($E:$E&lt;&gt;""),$E:$E))*($E263&lt;=INDEX($E:$E,MATCH(TRUE,INDEX((ISNUMBER($E:$E)),0),0)))*($E263&gt;INDEX(_xlfn.ANCHORARRAY(Sintesi!$C$14),1,$C263))*($E263&lt;INDEX(_xlfn.ANCHORARRAY(Sintesi!$C$16),1,$C263))*(INDEX(_xlfn.ANCHORARRAY(Sintesi!$C$15),1,$C263)&lt;0)+($E263&gt;=LOOKUP(2,1/($E:$E&lt;&gt;""),$E:$E))*($E263&lt;=INDEX($E:$E,MATCH(TRUE,INDEX((ISNUMBER($E:$E)),0),0)))*($E263&gt;INDEX(_xlfn.ANCHORARRAY(Sintesi!$C$15),1,$C263))*($E263&lt;INDEX(_xlfn.ANCHORARRAY(Sintesi!$C$16),1,$C263))*(INDEX(_xlfn.ANCHORARRAY(Sintesi!$C$15),1,$C263)&gt;0),2,IF($E263=(INDEX(_xlfn.ANCHORARRAY(Sintesi!$C$16),1,$C263)),3,4)))),0)),IF(ISNUMBER($E262),IF($C263&gt;0,IF(($E263=INDEX(_xlfn.ANCHORARRAY(Sintesi!$C$14),1,$C263))*(INDEX(_xlfn.ANCHORARRAY(Sintesi!$C$15),1,$C263)&gt;0),0,IF(($E263=INDEX(_xlfn.ANCHORARRAY(Sintesi!$C$14),1,$C263))*(INDEX(_xlfn.ANCHORARRAY(Sintesi!$C$15),1,$C263)&lt;0)+($E263&gt;=$E262)*($E263&lt;=$E264)*($E263&gt;INDEX(_xlfn.ANCHORARRAY(Sintesi!$C$14),1,$C263))*($E263&lt;=INDEX(_xlfn.ANCHORARRAY(Sintesi!$C$15),1,$C263))*(INDEX(_xlfn.ANCHORARRAY(Sintesi!$C$15),1,$C263)&gt;0),1,IF(($E263&gt;=$E262)*($E263&lt;=$E264)*($E263&gt;INDEX(_xlfn.ANCHORARRAY(Sintesi!$C$14),1,$C263))*($E263&lt;INDEX(_xlfn.ANCHORARRAY(Sintesi!$C$16),1,$C263))*(INDEX(_xlfn.ANCHORARRAY(Sintesi!$C$15),1,$C263)&lt;0)+($E263&gt;=$E262)*($E263&lt;=$E264)*($E263&gt;INDEX(_xlfn.ANCHORARRAY(Sintesi!$C$15),1,$C263))*($E263&lt;INDEX(_xlfn.ANCHORARRAY(Sintesi!$C$16),1,$C263))*(INDEX(_xlfn.ANCHORARRAY(Sintesi!$C$15),1,$C263)&gt;0),2,IF($E263=(INDEX(_xlfn.ANCHORARRAY(Sintesi!$C$16),1,$C263)),3,4)))),0),IF($C263&gt;0,IF(($E263=INDEX(_xlfn.ANCHORARRAY(Sintesi!$C$14),1,$C263))*(INDEX(_xlfn.ANCHORARRAY(Sintesi!$C$15),1,$C263)&gt;0),0,IF(($E263=INDEX(_xlfn.ANCHORARRAY(Sintesi!$C$14),1,$C263))*(INDEX(_xlfn.ANCHORARRAY(Sintesi!$C$15),1,$C263)&lt;0)+($E263&gt;=LOOKUP(2,1/($E:$E&lt;&gt;""),$E:$E))*($E263&lt;=$E264)*($E263&gt;INDEX(_xlfn.ANCHORARRAY(Sintesi!$C$14),1,$C263))*($E263&lt;=INDEX(_xlfn.ANCHORARRAY(Sintesi!$C$15),1,$C263))*(INDEX(_xlfn.ANCHORARRAY(Sintesi!$C$15),1,$C263)&gt;0),1,IF(($E263&gt;=LOOKUP(2,1/($E:$E&lt;&gt;""),$E:$E))*($E263&lt;=$E264)*($E263&gt;INDEX(_xlfn.ANCHORARRAY(Sintesi!$C$14),1,$C263))*($E263&lt;INDEX(_xlfn.ANCHORARRAY(Sintesi!$C$16),1,$C263))*(INDEX(_xlfn.ANCHORARRAY(Sintesi!$C$15),1,$C263)&lt;0)+($E263&gt;=LOOKUP(2,1/($E:$E&lt;&gt;""),$E:$E))*($E263&lt;=$E264)*($E263&gt;INDEX(_xlfn.ANCHORARRAY(Sintesi!$C$15),1,$C263))*($E263&lt;INDEX(_xlfn.ANCHORARRAY(Sintesi!$C$16),1,$C263))*(INDEX(_xlfn.ANCHORARRAY(Sintesi!$C$15),1,$C263)&gt;0),2,IF($E263=(INDEX(_xlfn.ANCHORARRAY(Sintesi!$C$16),1,$C263)),3,4)))),0)))</f>
        <v/>
      </c>
      <c r="E263" s="1">
        <f>'Paste cell here'!F263</f>
        <v/>
      </c>
      <c r="F263" s="1">
        <f>'Paste cell here'!C263</f>
        <v/>
      </c>
      <c r="G263" s="1">
        <f>'Paste cell here'!D263</f>
        <v/>
      </c>
      <c r="H263" s="1">
        <f>'Paste cell here'!E263</f>
        <v/>
      </c>
      <c r="I263" s="1">
        <f>'Paste cell here'!X263</f>
        <v/>
      </c>
      <c r="J263" s="1">
        <f>'Paste cell here'!Y263+'Paste cell here'!S263</f>
        <v/>
      </c>
      <c r="K263" s="1">
        <f>I263/H263</f>
        <v/>
      </c>
      <c r="L263" s="1">
        <f>AVERAGE(($F263+$G263)/2-($F263-$G263)/2*COS(PI()*(8-VLOOKUP(MONTH(B263),$O$1:$Q$13,3))/(VLOOKUP(MONTH(B263),$O$1:$Q$13,2)-VLOOKUP(MONTH(B263),$O$1:$Q$13,3))),($F263+$G263)/2-($F263-$G263)/2*COS(PI()*(9-VLOOKUP(MONTH(B263),$O$1:$Q$13,3))/(VLOOKUP(MONTH(B263),$O$1:$Q$13,2)-VLOOKUP(MONTH(B263),$O$1:$Q$13,3))),($F263+$G263)/2-($F263-$G263)/2*COS(PI()*(10-VLOOKUP(MONTH(B263),$O$1:$Q$13,3))/(VLOOKUP(MONTH(B263),$O$1:$Q$13,2)-VLOOKUP(MONTH(B263),$O$1:$Q$13,3))),($F263+$G263)/2-($F263-$G263)/2*COS(PI()*(11-VLOOKUP(MONTH(B263),$O$1:$Q$13,3))/(VLOOKUP(MONTH(B263),$O$1:$Q$13,2)-VLOOKUP(MONTH(B263),$O$1:$Q$13,3))),($F263+$G263)/2-($F263-$G263)/2*COS(PI()*(12-VLOOKUP(MONTH(B263),$O$1:$Q$13,3))/(VLOOKUP(MONTH(B263),$O$1:$Q$13,2)-VLOOKUP(MONTH(B263),$O$1:$Q$13,3))),($F263+$G263)/2-($F263-$G263)/2*COS(PI()*(13-VLOOKUP(MONTH(B263),$O$1:$Q$13,3))/(VLOOKUP(MONTH(B263),$O$1:$Q$13,2)-VLOOKUP(MONTH(B263),$O$1:$Q$13,3))),($F263+$G263)/2-($F263-$G263)/2*COS(PI()*(14-VLOOKUP(MONTH(B263),$O$1:$Q$13,3))/(VLOOKUP(MONTH(B263),$O$1:$Q$13,2)-VLOOKUP(MONTH(B263),$O$1:$Q$13,3))))</f>
        <v/>
      </c>
      <c r="M263" s="1">
        <f t="array" ref="M263">IF(AND(A263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,A263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),IF(L263&lt;_xlfn.IFNA(INDEX(_xlfn.ANCHORARRAY(Sintesi!$C$17)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,1,IF(L263&gt;=_xlfn.IFNA(INDEX(_xlfn.ANCHORARRAY(Sintesi!$C$18)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,0,1-(L263-_xlfn.IFNA(INDEX(_xlfn.ANCHORARRAY(Sintesi!$C$17)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)/(_xlfn.IFNA(INDEX(_xlfn.ANCHORARRAY(Sintesi!$C$18)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-_xlfn.IFNA(INDEX(_xlfn.ANCHORARRAY(Sintesi!$C$17)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))),0)</f>
        <v/>
      </c>
    </row>
    <row r="264">
      <c r="A264" s="1">
        <f>'Paste cell here'!A264</f>
        <v/>
      </c>
      <c r="B264" s="2">
        <f>DATE(Sintesi!$C$4-1,12,31)+A264</f>
        <v/>
      </c>
      <c r="C264" s="34">
        <f t="array" ref="C264">_xlfn.IFNA(MATCH(1,(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)*(_xlfn.ANCHORARRAY(Sintesi!$C$15)&gt;=0)+(_xlfn.ANCHORARRAY(Sintesi!$C$15)&lt;0),0),0)</f>
        <v/>
      </c>
      <c r="D264" s="1">
        <f t="array" ref="D264">IF(ISBLANK($E265),IF(ISNUMBER($E263),IF($C264&gt;0,IF(($E264=INDEX(_xlfn.ANCHORARRAY(Sintesi!$C$14),1,$C264))*(INDEX(_xlfn.ANCHORARRAY(Sintesi!$C$15),1,$C264)&gt;0),0,IF(($E264=INDEX(_xlfn.ANCHORARRAY(Sintesi!$C$14),1,$C264))*(INDEX(_xlfn.ANCHORARRAY(Sintesi!$C$15),1,$C264)&lt;0)+($E264&gt;=$E263)*($E264&lt;=INDEX($E:$E,MATCH(TRUE,INDEX((ISNUMBER($E:$E)),0),0)))*($E264&gt;INDEX(_xlfn.ANCHORARRAY(Sintesi!$C$14),1,$C264))*($E264&lt;=INDEX(_xlfn.ANCHORARRAY(Sintesi!$C$15),1,$C264))*(INDEX(_xlfn.ANCHORARRAY(Sintesi!$C$15),1,$C264)&gt;0),1,IF(($E264&gt;=$E263)*($E264&lt;=INDEX($E:$E,MATCH(TRUE,INDEX((ISNUMBER($E:$E)),0),0)))*($E264&gt;INDEX(_xlfn.ANCHORARRAY(Sintesi!$C$14),1,$C264))*($E264&lt;INDEX(_xlfn.ANCHORARRAY(Sintesi!$C$16),1,$C264))*(INDEX(_xlfn.ANCHORARRAY(Sintesi!$C$15),1,$C264)&lt;0)+($E264&gt;=$E263)*($E264&lt;=INDEX($E:$E,MATCH(TRUE,INDEX((ISNUMBER($E:$E)),0),0)))*($E264&gt;INDEX(_xlfn.ANCHORARRAY(Sintesi!$C$15),1,$C264))*($E264&lt;INDEX(_xlfn.ANCHORARRAY(Sintesi!$C$16),1,$C264))*(INDEX(_xlfn.ANCHORARRAY(Sintesi!$C$15),1,$C264)&gt;0),2,IF($E264=(INDEX(_xlfn.ANCHORARRAY(Sintesi!$C$16),1,$C264)),3,4)))),0),IF($C264&gt;0,IF(($E264=INDEX(_xlfn.ANCHORARRAY(Sintesi!$C$14),1,$C264))*(INDEX(_xlfn.ANCHORARRAY(Sintesi!$C$15),1,$C264)&gt;0),0,IF(($E264=INDEX(_xlfn.ANCHORARRAY(Sintesi!$C$14),1,$C264))*(INDEX(_xlfn.ANCHORARRAY(Sintesi!$C$15),1,$C264)&lt;0)+($E264&gt;=LOOKUP(2,1/($E:$E&lt;&gt;""),$E:$E))*($E264&lt;=INDEX($E:$E,MATCH(TRUE,INDEX((ISNUMBER($E:$E)),0),0)))*($E264&gt;INDEX(_xlfn.ANCHORARRAY(Sintesi!$C$14),1,$C264))*($E264&lt;=INDEX(_xlfn.ANCHORARRAY(Sintesi!$C$15),1,$C264))*(INDEX(_xlfn.ANCHORARRAY(Sintesi!$C$15),1,$C264)&gt;0),1,IF(($E264&gt;=LOOKUP(2,1/($E:$E&lt;&gt;""),$E:$E))*($E264&lt;=INDEX($E:$E,MATCH(TRUE,INDEX((ISNUMBER($E:$E)),0),0)))*($E264&gt;INDEX(_xlfn.ANCHORARRAY(Sintesi!$C$14),1,$C264))*($E264&lt;INDEX(_xlfn.ANCHORARRAY(Sintesi!$C$16),1,$C264))*(INDEX(_xlfn.ANCHORARRAY(Sintesi!$C$15),1,$C264)&lt;0)+($E264&gt;=LOOKUP(2,1/($E:$E&lt;&gt;""),$E:$E))*($E264&lt;=INDEX($E:$E,MATCH(TRUE,INDEX((ISNUMBER($E:$E)),0),0)))*($E264&gt;INDEX(_xlfn.ANCHORARRAY(Sintesi!$C$15),1,$C264))*($E264&lt;INDEX(_xlfn.ANCHORARRAY(Sintesi!$C$16),1,$C264))*(INDEX(_xlfn.ANCHORARRAY(Sintesi!$C$15),1,$C264)&gt;0),2,IF($E264=(INDEX(_xlfn.ANCHORARRAY(Sintesi!$C$16),1,$C264)),3,4)))),0)),IF(ISNUMBER($E263),IF($C264&gt;0,IF(($E264=INDEX(_xlfn.ANCHORARRAY(Sintesi!$C$14),1,$C264))*(INDEX(_xlfn.ANCHORARRAY(Sintesi!$C$15),1,$C264)&gt;0),0,IF(($E264=INDEX(_xlfn.ANCHORARRAY(Sintesi!$C$14),1,$C264))*(INDEX(_xlfn.ANCHORARRAY(Sintesi!$C$15),1,$C264)&lt;0)+($E264&gt;=$E263)*($E264&lt;=$E265)*($E264&gt;INDEX(_xlfn.ANCHORARRAY(Sintesi!$C$14),1,$C264))*($E264&lt;=INDEX(_xlfn.ANCHORARRAY(Sintesi!$C$15),1,$C264))*(INDEX(_xlfn.ANCHORARRAY(Sintesi!$C$15),1,$C264)&gt;0),1,IF(($E264&gt;=$E263)*($E264&lt;=$E265)*($E264&gt;INDEX(_xlfn.ANCHORARRAY(Sintesi!$C$14),1,$C264))*($E264&lt;INDEX(_xlfn.ANCHORARRAY(Sintesi!$C$16),1,$C264))*(INDEX(_xlfn.ANCHORARRAY(Sintesi!$C$15),1,$C264)&lt;0)+($E264&gt;=$E263)*($E264&lt;=$E265)*($E264&gt;INDEX(_xlfn.ANCHORARRAY(Sintesi!$C$15),1,$C264))*($E264&lt;INDEX(_xlfn.ANCHORARRAY(Sintesi!$C$16),1,$C264))*(INDEX(_xlfn.ANCHORARRAY(Sintesi!$C$15),1,$C264)&gt;0),2,IF($E264=(INDEX(_xlfn.ANCHORARRAY(Sintesi!$C$16),1,$C264)),3,4)))),0),IF($C264&gt;0,IF(($E264=INDEX(_xlfn.ANCHORARRAY(Sintesi!$C$14),1,$C264))*(INDEX(_xlfn.ANCHORARRAY(Sintesi!$C$15),1,$C264)&gt;0),0,IF(($E264=INDEX(_xlfn.ANCHORARRAY(Sintesi!$C$14),1,$C264))*(INDEX(_xlfn.ANCHORARRAY(Sintesi!$C$15),1,$C264)&lt;0)+($E264&gt;=LOOKUP(2,1/($E:$E&lt;&gt;""),$E:$E))*($E264&lt;=$E265)*($E264&gt;INDEX(_xlfn.ANCHORARRAY(Sintesi!$C$14),1,$C264))*($E264&lt;=INDEX(_xlfn.ANCHORARRAY(Sintesi!$C$15),1,$C264))*(INDEX(_xlfn.ANCHORARRAY(Sintesi!$C$15),1,$C264)&gt;0),1,IF(($E264&gt;=LOOKUP(2,1/($E:$E&lt;&gt;""),$E:$E))*($E264&lt;=$E265)*($E264&gt;INDEX(_xlfn.ANCHORARRAY(Sintesi!$C$14),1,$C264))*($E264&lt;INDEX(_xlfn.ANCHORARRAY(Sintesi!$C$16),1,$C264))*(INDEX(_xlfn.ANCHORARRAY(Sintesi!$C$15),1,$C264)&lt;0)+($E264&gt;=LOOKUP(2,1/($E:$E&lt;&gt;""),$E:$E))*($E264&lt;=$E265)*($E264&gt;INDEX(_xlfn.ANCHORARRAY(Sintesi!$C$15),1,$C264))*($E264&lt;INDEX(_xlfn.ANCHORARRAY(Sintesi!$C$16),1,$C264))*(INDEX(_xlfn.ANCHORARRAY(Sintesi!$C$15),1,$C264)&gt;0),2,IF($E264=(INDEX(_xlfn.ANCHORARRAY(Sintesi!$C$16),1,$C264)),3,4)))),0)))</f>
        <v/>
      </c>
      <c r="E264" s="1">
        <f>'Paste cell here'!F264</f>
        <v/>
      </c>
      <c r="F264" s="1">
        <f>'Paste cell here'!C264</f>
        <v/>
      </c>
      <c r="G264" s="1">
        <f>'Paste cell here'!D264</f>
        <v/>
      </c>
      <c r="H264" s="1">
        <f>'Paste cell here'!E264</f>
        <v/>
      </c>
      <c r="I264" s="1">
        <f>'Paste cell here'!X264</f>
        <v/>
      </c>
      <c r="J264" s="1">
        <f>'Paste cell here'!Y264+'Paste cell here'!S264</f>
        <v/>
      </c>
      <c r="K264" s="1">
        <f>I264/H264</f>
        <v/>
      </c>
      <c r="L264" s="1">
        <f>AVERAGE(($F264+$G264)/2-($F264-$G264)/2*COS(PI()*(8-VLOOKUP(MONTH(B264),$O$1:$Q$13,3))/(VLOOKUP(MONTH(B264),$O$1:$Q$13,2)-VLOOKUP(MONTH(B264),$O$1:$Q$13,3))),($F264+$G264)/2-($F264-$G264)/2*COS(PI()*(9-VLOOKUP(MONTH(B264),$O$1:$Q$13,3))/(VLOOKUP(MONTH(B264),$O$1:$Q$13,2)-VLOOKUP(MONTH(B264),$O$1:$Q$13,3))),($F264+$G264)/2-($F264-$G264)/2*COS(PI()*(10-VLOOKUP(MONTH(B264),$O$1:$Q$13,3))/(VLOOKUP(MONTH(B264),$O$1:$Q$13,2)-VLOOKUP(MONTH(B264),$O$1:$Q$13,3))),($F264+$G264)/2-($F264-$G264)/2*COS(PI()*(11-VLOOKUP(MONTH(B264),$O$1:$Q$13,3))/(VLOOKUP(MONTH(B264),$O$1:$Q$13,2)-VLOOKUP(MONTH(B264),$O$1:$Q$13,3))),($F264+$G264)/2-($F264-$G264)/2*COS(PI()*(12-VLOOKUP(MONTH(B264),$O$1:$Q$13,3))/(VLOOKUP(MONTH(B264),$O$1:$Q$13,2)-VLOOKUP(MONTH(B264),$O$1:$Q$13,3))),($F264+$G264)/2-($F264-$G264)/2*COS(PI()*(13-VLOOKUP(MONTH(B264),$O$1:$Q$13,3))/(VLOOKUP(MONTH(B264),$O$1:$Q$13,2)-VLOOKUP(MONTH(B264),$O$1:$Q$13,3))),($F264+$G264)/2-($F264-$G264)/2*COS(PI()*(14-VLOOKUP(MONTH(B264),$O$1:$Q$13,3))/(VLOOKUP(MONTH(B264),$O$1:$Q$13,2)-VLOOKUP(MONTH(B264),$O$1:$Q$13,3))))</f>
        <v/>
      </c>
      <c r="M264" s="1">
        <f t="array" ref="M264">IF(AND(A264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,A264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),IF(L264&lt;_xlfn.IFNA(INDEX(_xlfn.ANCHORARRAY(Sintesi!$C$17)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,1,IF(L264&gt;=_xlfn.IFNA(INDEX(_xlfn.ANCHORARRAY(Sintesi!$C$18)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,0,1-(L264-_xlfn.IFNA(INDEX(_xlfn.ANCHORARRAY(Sintesi!$C$17)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)/(_xlfn.IFNA(INDEX(_xlfn.ANCHORARRAY(Sintesi!$C$18)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-_xlfn.IFNA(INDEX(_xlfn.ANCHORARRAY(Sintesi!$C$17)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))),0)</f>
        <v/>
      </c>
    </row>
    <row r="265">
      <c r="A265" s="1">
        <f>'Paste cell here'!A265</f>
        <v/>
      </c>
      <c r="B265" s="2">
        <f>DATE(Sintesi!$C$4-1,12,31)+A265</f>
        <v/>
      </c>
      <c r="C265" s="34">
        <f t="array" ref="C265">_xlfn.IFNA(MATCH(1,(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)*(_xlfn.ANCHORARRAY(Sintesi!$C$15)&gt;=0)+(_xlfn.ANCHORARRAY(Sintesi!$C$15)&lt;0),0),0)</f>
        <v/>
      </c>
      <c r="D265" s="1">
        <f t="array" ref="D265">IF(ISBLANK($E266),IF(ISNUMBER($E264),IF($C265&gt;0,IF(($E265=INDEX(_xlfn.ANCHORARRAY(Sintesi!$C$14),1,$C265))*(INDEX(_xlfn.ANCHORARRAY(Sintesi!$C$15),1,$C265)&gt;0),0,IF(($E265=INDEX(_xlfn.ANCHORARRAY(Sintesi!$C$14),1,$C265))*(INDEX(_xlfn.ANCHORARRAY(Sintesi!$C$15),1,$C265)&lt;0)+($E265&gt;=$E264)*($E265&lt;=INDEX($E:$E,MATCH(TRUE,INDEX((ISNUMBER($E:$E)),0),0)))*($E265&gt;INDEX(_xlfn.ANCHORARRAY(Sintesi!$C$14),1,$C265))*($E265&lt;=INDEX(_xlfn.ANCHORARRAY(Sintesi!$C$15),1,$C265))*(INDEX(_xlfn.ANCHORARRAY(Sintesi!$C$15),1,$C265)&gt;0),1,IF(($E265&gt;=$E264)*($E265&lt;=INDEX($E:$E,MATCH(TRUE,INDEX((ISNUMBER($E:$E)),0),0)))*($E265&gt;INDEX(_xlfn.ANCHORARRAY(Sintesi!$C$14),1,$C265))*($E265&lt;INDEX(_xlfn.ANCHORARRAY(Sintesi!$C$16),1,$C265))*(INDEX(_xlfn.ANCHORARRAY(Sintesi!$C$15),1,$C265)&lt;0)+($E265&gt;=$E264)*($E265&lt;=INDEX($E:$E,MATCH(TRUE,INDEX((ISNUMBER($E:$E)),0),0)))*($E265&gt;INDEX(_xlfn.ANCHORARRAY(Sintesi!$C$15),1,$C265))*($E265&lt;INDEX(_xlfn.ANCHORARRAY(Sintesi!$C$16),1,$C265))*(INDEX(_xlfn.ANCHORARRAY(Sintesi!$C$15),1,$C265)&gt;0),2,IF($E265=(INDEX(_xlfn.ANCHORARRAY(Sintesi!$C$16),1,$C265)),3,4)))),0),IF($C265&gt;0,IF(($E265=INDEX(_xlfn.ANCHORARRAY(Sintesi!$C$14),1,$C265))*(INDEX(_xlfn.ANCHORARRAY(Sintesi!$C$15),1,$C265)&gt;0),0,IF(($E265=INDEX(_xlfn.ANCHORARRAY(Sintesi!$C$14),1,$C265))*(INDEX(_xlfn.ANCHORARRAY(Sintesi!$C$15),1,$C265)&lt;0)+($E265&gt;=LOOKUP(2,1/($E:$E&lt;&gt;""),$E:$E))*($E265&lt;=INDEX($E:$E,MATCH(TRUE,INDEX((ISNUMBER($E:$E)),0),0)))*($E265&gt;INDEX(_xlfn.ANCHORARRAY(Sintesi!$C$14),1,$C265))*($E265&lt;=INDEX(_xlfn.ANCHORARRAY(Sintesi!$C$15),1,$C265))*(INDEX(_xlfn.ANCHORARRAY(Sintesi!$C$15),1,$C265)&gt;0),1,IF(($E265&gt;=LOOKUP(2,1/($E:$E&lt;&gt;""),$E:$E))*($E265&lt;=INDEX($E:$E,MATCH(TRUE,INDEX((ISNUMBER($E:$E)),0),0)))*($E265&gt;INDEX(_xlfn.ANCHORARRAY(Sintesi!$C$14),1,$C265))*($E265&lt;INDEX(_xlfn.ANCHORARRAY(Sintesi!$C$16),1,$C265))*(INDEX(_xlfn.ANCHORARRAY(Sintesi!$C$15),1,$C265)&lt;0)+($E265&gt;=LOOKUP(2,1/($E:$E&lt;&gt;""),$E:$E))*($E265&lt;=INDEX($E:$E,MATCH(TRUE,INDEX((ISNUMBER($E:$E)),0),0)))*($E265&gt;INDEX(_xlfn.ANCHORARRAY(Sintesi!$C$15),1,$C265))*($E265&lt;INDEX(_xlfn.ANCHORARRAY(Sintesi!$C$16),1,$C265))*(INDEX(_xlfn.ANCHORARRAY(Sintesi!$C$15),1,$C265)&gt;0),2,IF($E265=(INDEX(_xlfn.ANCHORARRAY(Sintesi!$C$16),1,$C265)),3,4)))),0)),IF(ISNUMBER($E264),IF($C265&gt;0,IF(($E265=INDEX(_xlfn.ANCHORARRAY(Sintesi!$C$14),1,$C265))*(INDEX(_xlfn.ANCHORARRAY(Sintesi!$C$15),1,$C265)&gt;0),0,IF(($E265=INDEX(_xlfn.ANCHORARRAY(Sintesi!$C$14),1,$C265))*(INDEX(_xlfn.ANCHORARRAY(Sintesi!$C$15),1,$C265)&lt;0)+($E265&gt;=$E264)*($E265&lt;=$E266)*($E265&gt;INDEX(_xlfn.ANCHORARRAY(Sintesi!$C$14),1,$C265))*($E265&lt;=INDEX(_xlfn.ANCHORARRAY(Sintesi!$C$15),1,$C265))*(INDEX(_xlfn.ANCHORARRAY(Sintesi!$C$15),1,$C265)&gt;0),1,IF(($E265&gt;=$E264)*($E265&lt;=$E266)*($E265&gt;INDEX(_xlfn.ANCHORARRAY(Sintesi!$C$14),1,$C265))*($E265&lt;INDEX(_xlfn.ANCHORARRAY(Sintesi!$C$16),1,$C265))*(INDEX(_xlfn.ANCHORARRAY(Sintesi!$C$15),1,$C265)&lt;0)+($E265&gt;=$E264)*($E265&lt;=$E266)*($E265&gt;INDEX(_xlfn.ANCHORARRAY(Sintesi!$C$15),1,$C265))*($E265&lt;INDEX(_xlfn.ANCHORARRAY(Sintesi!$C$16),1,$C265))*(INDEX(_xlfn.ANCHORARRAY(Sintesi!$C$15),1,$C265)&gt;0),2,IF($E265=(INDEX(_xlfn.ANCHORARRAY(Sintesi!$C$16),1,$C265)),3,4)))),0),IF($C265&gt;0,IF(($E265=INDEX(_xlfn.ANCHORARRAY(Sintesi!$C$14),1,$C265))*(INDEX(_xlfn.ANCHORARRAY(Sintesi!$C$15),1,$C265)&gt;0),0,IF(($E265=INDEX(_xlfn.ANCHORARRAY(Sintesi!$C$14),1,$C265))*(INDEX(_xlfn.ANCHORARRAY(Sintesi!$C$15),1,$C265)&lt;0)+($E265&gt;=LOOKUP(2,1/($E:$E&lt;&gt;""),$E:$E))*($E265&lt;=$E266)*($E265&gt;INDEX(_xlfn.ANCHORARRAY(Sintesi!$C$14),1,$C265))*($E265&lt;=INDEX(_xlfn.ANCHORARRAY(Sintesi!$C$15),1,$C265))*(INDEX(_xlfn.ANCHORARRAY(Sintesi!$C$15),1,$C265)&gt;0),1,IF(($E265&gt;=LOOKUP(2,1/($E:$E&lt;&gt;""),$E:$E))*($E265&lt;=$E266)*($E265&gt;INDEX(_xlfn.ANCHORARRAY(Sintesi!$C$14),1,$C265))*($E265&lt;INDEX(_xlfn.ANCHORARRAY(Sintesi!$C$16),1,$C265))*(INDEX(_xlfn.ANCHORARRAY(Sintesi!$C$15),1,$C265)&lt;0)+($E265&gt;=LOOKUP(2,1/($E:$E&lt;&gt;""),$E:$E))*($E265&lt;=$E266)*($E265&gt;INDEX(_xlfn.ANCHORARRAY(Sintesi!$C$15),1,$C265))*($E265&lt;INDEX(_xlfn.ANCHORARRAY(Sintesi!$C$16),1,$C265))*(INDEX(_xlfn.ANCHORARRAY(Sintesi!$C$15),1,$C265)&gt;0),2,IF($E265=(INDEX(_xlfn.ANCHORARRAY(Sintesi!$C$16),1,$C265)),3,4)))),0)))</f>
        <v/>
      </c>
      <c r="E265" s="1">
        <f>'Paste cell here'!F265</f>
        <v/>
      </c>
      <c r="F265" s="1">
        <f>'Paste cell here'!C265</f>
        <v/>
      </c>
      <c r="G265" s="1">
        <f>'Paste cell here'!D265</f>
        <v/>
      </c>
      <c r="H265" s="1">
        <f>'Paste cell here'!E265</f>
        <v/>
      </c>
      <c r="I265" s="1">
        <f>'Paste cell here'!X265</f>
        <v/>
      </c>
      <c r="J265" s="1">
        <f>'Paste cell here'!Y265+'Paste cell here'!S265</f>
        <v/>
      </c>
      <c r="K265" s="1">
        <f>I265/H265</f>
        <v/>
      </c>
      <c r="L265" s="1">
        <f>AVERAGE(($F265+$G265)/2-($F265-$G265)/2*COS(PI()*(8-VLOOKUP(MONTH(B265),$O$1:$Q$13,3))/(VLOOKUP(MONTH(B265),$O$1:$Q$13,2)-VLOOKUP(MONTH(B265),$O$1:$Q$13,3))),($F265+$G265)/2-($F265-$G265)/2*COS(PI()*(9-VLOOKUP(MONTH(B265),$O$1:$Q$13,3))/(VLOOKUP(MONTH(B265),$O$1:$Q$13,2)-VLOOKUP(MONTH(B265),$O$1:$Q$13,3))),($F265+$G265)/2-($F265-$G265)/2*COS(PI()*(10-VLOOKUP(MONTH(B265),$O$1:$Q$13,3))/(VLOOKUP(MONTH(B265),$O$1:$Q$13,2)-VLOOKUP(MONTH(B265),$O$1:$Q$13,3))),($F265+$G265)/2-($F265-$G265)/2*COS(PI()*(11-VLOOKUP(MONTH(B265),$O$1:$Q$13,3))/(VLOOKUP(MONTH(B265),$O$1:$Q$13,2)-VLOOKUP(MONTH(B265),$O$1:$Q$13,3))),($F265+$G265)/2-($F265-$G265)/2*COS(PI()*(12-VLOOKUP(MONTH(B265),$O$1:$Q$13,3))/(VLOOKUP(MONTH(B265),$O$1:$Q$13,2)-VLOOKUP(MONTH(B265),$O$1:$Q$13,3))),($F265+$G265)/2-($F265-$G265)/2*COS(PI()*(13-VLOOKUP(MONTH(B265),$O$1:$Q$13,3))/(VLOOKUP(MONTH(B265),$O$1:$Q$13,2)-VLOOKUP(MONTH(B265),$O$1:$Q$13,3))),($F265+$G265)/2-($F265-$G265)/2*COS(PI()*(14-VLOOKUP(MONTH(B265),$O$1:$Q$13,3))/(VLOOKUP(MONTH(B265),$O$1:$Q$13,2)-VLOOKUP(MONTH(B265),$O$1:$Q$13,3))))</f>
        <v/>
      </c>
      <c r="M265" s="1">
        <f t="array" ref="M265">IF(AND(A265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,A265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),IF(L265&lt;_xlfn.IFNA(INDEX(_xlfn.ANCHORARRAY(Sintesi!$C$17)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,1,IF(L265&gt;=_xlfn.IFNA(INDEX(_xlfn.ANCHORARRAY(Sintesi!$C$18)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,0,1-(L265-_xlfn.IFNA(INDEX(_xlfn.ANCHORARRAY(Sintesi!$C$17)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)/(_xlfn.IFNA(INDEX(_xlfn.ANCHORARRAY(Sintesi!$C$18)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-_xlfn.IFNA(INDEX(_xlfn.ANCHORARRAY(Sintesi!$C$17)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))),0)</f>
        <v/>
      </c>
    </row>
    <row r="266">
      <c r="A266" s="1">
        <f>'Paste cell here'!A266</f>
        <v/>
      </c>
      <c r="B266" s="2">
        <f>DATE(Sintesi!$C$4-1,12,31)+A266</f>
        <v/>
      </c>
      <c r="C266" s="34">
        <f t="array" ref="C266">_xlfn.IFNA(MATCH(1,(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)*(_xlfn.ANCHORARRAY(Sintesi!$C$15)&gt;=0)+(_xlfn.ANCHORARRAY(Sintesi!$C$15)&lt;0),0),0)</f>
        <v/>
      </c>
      <c r="D266" s="1">
        <f t="array" ref="D266">IF(ISBLANK($E267),IF(ISNUMBER($E265),IF($C266&gt;0,IF(($E266=INDEX(_xlfn.ANCHORARRAY(Sintesi!$C$14),1,$C266))*(INDEX(_xlfn.ANCHORARRAY(Sintesi!$C$15),1,$C266)&gt;0),0,IF(($E266=INDEX(_xlfn.ANCHORARRAY(Sintesi!$C$14),1,$C266))*(INDEX(_xlfn.ANCHORARRAY(Sintesi!$C$15),1,$C266)&lt;0)+($E266&gt;=$E265)*($E266&lt;=INDEX($E:$E,MATCH(TRUE,INDEX((ISNUMBER($E:$E)),0),0)))*($E266&gt;INDEX(_xlfn.ANCHORARRAY(Sintesi!$C$14),1,$C266))*($E266&lt;=INDEX(_xlfn.ANCHORARRAY(Sintesi!$C$15),1,$C266))*(INDEX(_xlfn.ANCHORARRAY(Sintesi!$C$15),1,$C266)&gt;0),1,IF(($E266&gt;=$E265)*($E266&lt;=INDEX($E:$E,MATCH(TRUE,INDEX((ISNUMBER($E:$E)),0),0)))*($E266&gt;INDEX(_xlfn.ANCHORARRAY(Sintesi!$C$14),1,$C266))*($E266&lt;INDEX(_xlfn.ANCHORARRAY(Sintesi!$C$16),1,$C266))*(INDEX(_xlfn.ANCHORARRAY(Sintesi!$C$15),1,$C266)&lt;0)+($E266&gt;=$E265)*($E266&lt;=INDEX($E:$E,MATCH(TRUE,INDEX((ISNUMBER($E:$E)),0),0)))*($E266&gt;INDEX(_xlfn.ANCHORARRAY(Sintesi!$C$15),1,$C266))*($E266&lt;INDEX(_xlfn.ANCHORARRAY(Sintesi!$C$16),1,$C266))*(INDEX(_xlfn.ANCHORARRAY(Sintesi!$C$15),1,$C266)&gt;0),2,IF($E266=(INDEX(_xlfn.ANCHORARRAY(Sintesi!$C$16),1,$C266)),3,4)))),0),IF($C266&gt;0,IF(($E266=INDEX(_xlfn.ANCHORARRAY(Sintesi!$C$14),1,$C266))*(INDEX(_xlfn.ANCHORARRAY(Sintesi!$C$15),1,$C266)&gt;0),0,IF(($E266=INDEX(_xlfn.ANCHORARRAY(Sintesi!$C$14),1,$C266))*(INDEX(_xlfn.ANCHORARRAY(Sintesi!$C$15),1,$C266)&lt;0)+($E266&gt;=LOOKUP(2,1/($E:$E&lt;&gt;""),$E:$E))*($E266&lt;=INDEX($E:$E,MATCH(TRUE,INDEX((ISNUMBER($E:$E)),0),0)))*($E266&gt;INDEX(_xlfn.ANCHORARRAY(Sintesi!$C$14),1,$C266))*($E266&lt;=INDEX(_xlfn.ANCHORARRAY(Sintesi!$C$15),1,$C266))*(INDEX(_xlfn.ANCHORARRAY(Sintesi!$C$15),1,$C266)&gt;0),1,IF(($E266&gt;=LOOKUP(2,1/($E:$E&lt;&gt;""),$E:$E))*($E266&lt;=INDEX($E:$E,MATCH(TRUE,INDEX((ISNUMBER($E:$E)),0),0)))*($E266&gt;INDEX(_xlfn.ANCHORARRAY(Sintesi!$C$14),1,$C266))*($E266&lt;INDEX(_xlfn.ANCHORARRAY(Sintesi!$C$16),1,$C266))*(INDEX(_xlfn.ANCHORARRAY(Sintesi!$C$15),1,$C266)&lt;0)+($E266&gt;=LOOKUP(2,1/($E:$E&lt;&gt;""),$E:$E))*($E266&lt;=INDEX($E:$E,MATCH(TRUE,INDEX((ISNUMBER($E:$E)),0),0)))*($E266&gt;INDEX(_xlfn.ANCHORARRAY(Sintesi!$C$15),1,$C266))*($E266&lt;INDEX(_xlfn.ANCHORARRAY(Sintesi!$C$16),1,$C266))*(INDEX(_xlfn.ANCHORARRAY(Sintesi!$C$15),1,$C266)&gt;0),2,IF($E266=(INDEX(_xlfn.ANCHORARRAY(Sintesi!$C$16),1,$C266)),3,4)))),0)),IF(ISNUMBER($E265),IF($C266&gt;0,IF(($E266=INDEX(_xlfn.ANCHORARRAY(Sintesi!$C$14),1,$C266))*(INDEX(_xlfn.ANCHORARRAY(Sintesi!$C$15),1,$C266)&gt;0),0,IF(($E266=INDEX(_xlfn.ANCHORARRAY(Sintesi!$C$14),1,$C266))*(INDEX(_xlfn.ANCHORARRAY(Sintesi!$C$15),1,$C266)&lt;0)+($E266&gt;=$E265)*($E266&lt;=$E267)*($E266&gt;INDEX(_xlfn.ANCHORARRAY(Sintesi!$C$14),1,$C266))*($E266&lt;=INDEX(_xlfn.ANCHORARRAY(Sintesi!$C$15),1,$C266))*(INDEX(_xlfn.ANCHORARRAY(Sintesi!$C$15),1,$C266)&gt;0),1,IF(($E266&gt;=$E265)*($E266&lt;=$E267)*($E266&gt;INDEX(_xlfn.ANCHORARRAY(Sintesi!$C$14),1,$C266))*($E266&lt;INDEX(_xlfn.ANCHORARRAY(Sintesi!$C$16),1,$C266))*(INDEX(_xlfn.ANCHORARRAY(Sintesi!$C$15),1,$C266)&lt;0)+($E266&gt;=$E265)*($E266&lt;=$E267)*($E266&gt;INDEX(_xlfn.ANCHORARRAY(Sintesi!$C$15),1,$C266))*($E266&lt;INDEX(_xlfn.ANCHORARRAY(Sintesi!$C$16),1,$C266))*(INDEX(_xlfn.ANCHORARRAY(Sintesi!$C$15),1,$C266)&gt;0),2,IF($E266=(INDEX(_xlfn.ANCHORARRAY(Sintesi!$C$16),1,$C266)),3,4)))),0),IF($C266&gt;0,IF(($E266=INDEX(_xlfn.ANCHORARRAY(Sintesi!$C$14),1,$C266))*(INDEX(_xlfn.ANCHORARRAY(Sintesi!$C$15),1,$C266)&gt;0),0,IF(($E266=INDEX(_xlfn.ANCHORARRAY(Sintesi!$C$14),1,$C266))*(INDEX(_xlfn.ANCHORARRAY(Sintesi!$C$15),1,$C266)&lt;0)+($E266&gt;=LOOKUP(2,1/($E:$E&lt;&gt;""),$E:$E))*($E266&lt;=$E267)*($E266&gt;INDEX(_xlfn.ANCHORARRAY(Sintesi!$C$14),1,$C266))*($E266&lt;=INDEX(_xlfn.ANCHORARRAY(Sintesi!$C$15),1,$C266))*(INDEX(_xlfn.ANCHORARRAY(Sintesi!$C$15),1,$C266)&gt;0),1,IF(($E266&gt;=LOOKUP(2,1/($E:$E&lt;&gt;""),$E:$E))*($E266&lt;=$E267)*($E266&gt;INDEX(_xlfn.ANCHORARRAY(Sintesi!$C$14),1,$C266))*($E266&lt;INDEX(_xlfn.ANCHORARRAY(Sintesi!$C$16),1,$C266))*(INDEX(_xlfn.ANCHORARRAY(Sintesi!$C$15),1,$C266)&lt;0)+($E266&gt;=LOOKUP(2,1/($E:$E&lt;&gt;""),$E:$E))*($E266&lt;=$E267)*($E266&gt;INDEX(_xlfn.ANCHORARRAY(Sintesi!$C$15),1,$C266))*($E266&lt;INDEX(_xlfn.ANCHORARRAY(Sintesi!$C$16),1,$C266))*(INDEX(_xlfn.ANCHORARRAY(Sintesi!$C$15),1,$C266)&gt;0),2,IF($E266=(INDEX(_xlfn.ANCHORARRAY(Sintesi!$C$16),1,$C266)),3,4)))),0)))</f>
        <v/>
      </c>
      <c r="E266" s="1">
        <f>'Paste cell here'!F266</f>
        <v/>
      </c>
      <c r="F266" s="1">
        <f>'Paste cell here'!C266</f>
        <v/>
      </c>
      <c r="G266" s="1">
        <f>'Paste cell here'!D266</f>
        <v/>
      </c>
      <c r="H266" s="1">
        <f>'Paste cell here'!E266</f>
        <v/>
      </c>
      <c r="I266" s="1">
        <f>'Paste cell here'!X266</f>
        <v/>
      </c>
      <c r="J266" s="1">
        <f>'Paste cell here'!Y266+'Paste cell here'!S266</f>
        <v/>
      </c>
      <c r="K266" s="1">
        <f>I266/H266</f>
        <v/>
      </c>
      <c r="L266" s="1">
        <f>AVERAGE(($F266+$G266)/2-($F266-$G266)/2*COS(PI()*(8-VLOOKUP(MONTH(B266),$O$1:$Q$13,3))/(VLOOKUP(MONTH(B266),$O$1:$Q$13,2)-VLOOKUP(MONTH(B266),$O$1:$Q$13,3))),($F266+$G266)/2-($F266-$G266)/2*COS(PI()*(9-VLOOKUP(MONTH(B266),$O$1:$Q$13,3))/(VLOOKUP(MONTH(B266),$O$1:$Q$13,2)-VLOOKUP(MONTH(B266),$O$1:$Q$13,3))),($F266+$G266)/2-($F266-$G266)/2*COS(PI()*(10-VLOOKUP(MONTH(B266),$O$1:$Q$13,3))/(VLOOKUP(MONTH(B266),$O$1:$Q$13,2)-VLOOKUP(MONTH(B266),$O$1:$Q$13,3))),($F266+$G266)/2-($F266-$G266)/2*COS(PI()*(11-VLOOKUP(MONTH(B266),$O$1:$Q$13,3))/(VLOOKUP(MONTH(B266),$O$1:$Q$13,2)-VLOOKUP(MONTH(B266),$O$1:$Q$13,3))),($F266+$G266)/2-($F266-$G266)/2*COS(PI()*(12-VLOOKUP(MONTH(B266),$O$1:$Q$13,3))/(VLOOKUP(MONTH(B266),$O$1:$Q$13,2)-VLOOKUP(MONTH(B266),$O$1:$Q$13,3))),($F266+$G266)/2-($F266-$G266)/2*COS(PI()*(13-VLOOKUP(MONTH(B266),$O$1:$Q$13,3))/(VLOOKUP(MONTH(B266),$O$1:$Q$13,2)-VLOOKUP(MONTH(B266),$O$1:$Q$13,3))),($F266+$G266)/2-($F266-$G266)/2*COS(PI()*(14-VLOOKUP(MONTH(B266),$O$1:$Q$13,3))/(VLOOKUP(MONTH(B266),$O$1:$Q$13,2)-VLOOKUP(MONTH(B266),$O$1:$Q$13,3))))</f>
        <v/>
      </c>
      <c r="M266" s="1">
        <f t="array" ref="M266">IF(AND(A266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,A266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),IF(L266&lt;_xlfn.IFNA(INDEX(_xlfn.ANCHORARRAY(Sintesi!$C$17)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,1,IF(L266&gt;=_xlfn.IFNA(INDEX(_xlfn.ANCHORARRAY(Sintesi!$C$18)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,0,1-(L266-_xlfn.IFNA(INDEX(_xlfn.ANCHORARRAY(Sintesi!$C$17)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)/(_xlfn.IFNA(INDEX(_xlfn.ANCHORARRAY(Sintesi!$C$18)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-_xlfn.IFNA(INDEX(_xlfn.ANCHORARRAY(Sintesi!$C$17)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))),0)</f>
        <v/>
      </c>
    </row>
    <row r="267">
      <c r="A267" s="1">
        <f>'Paste cell here'!A267</f>
        <v/>
      </c>
      <c r="B267" s="2">
        <f>DATE(Sintesi!$C$4-1,12,31)+A267</f>
        <v/>
      </c>
      <c r="C267" s="34">
        <f t="array" ref="C267">_xlfn.IFNA(MATCH(1,(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)*(_xlfn.ANCHORARRAY(Sintesi!$C$15)&gt;=0)+(_xlfn.ANCHORARRAY(Sintesi!$C$15)&lt;0),0),0)</f>
        <v/>
      </c>
      <c r="D267" s="1">
        <f t="array" ref="D267">IF(ISBLANK($E268),IF(ISNUMBER($E266),IF($C267&gt;0,IF(($E267=INDEX(_xlfn.ANCHORARRAY(Sintesi!$C$14),1,$C267))*(INDEX(_xlfn.ANCHORARRAY(Sintesi!$C$15),1,$C267)&gt;0),0,IF(($E267=INDEX(_xlfn.ANCHORARRAY(Sintesi!$C$14),1,$C267))*(INDEX(_xlfn.ANCHORARRAY(Sintesi!$C$15),1,$C267)&lt;0)+($E267&gt;=$E266)*($E267&lt;=INDEX($E:$E,MATCH(TRUE,INDEX((ISNUMBER($E:$E)),0),0)))*($E267&gt;INDEX(_xlfn.ANCHORARRAY(Sintesi!$C$14),1,$C267))*($E267&lt;=INDEX(_xlfn.ANCHORARRAY(Sintesi!$C$15),1,$C267))*(INDEX(_xlfn.ANCHORARRAY(Sintesi!$C$15),1,$C267)&gt;0),1,IF(($E267&gt;=$E266)*($E267&lt;=INDEX($E:$E,MATCH(TRUE,INDEX((ISNUMBER($E:$E)),0),0)))*($E267&gt;INDEX(_xlfn.ANCHORARRAY(Sintesi!$C$14),1,$C267))*($E267&lt;INDEX(_xlfn.ANCHORARRAY(Sintesi!$C$16),1,$C267))*(INDEX(_xlfn.ANCHORARRAY(Sintesi!$C$15),1,$C267)&lt;0)+($E267&gt;=$E266)*($E267&lt;=INDEX($E:$E,MATCH(TRUE,INDEX((ISNUMBER($E:$E)),0),0)))*($E267&gt;INDEX(_xlfn.ANCHORARRAY(Sintesi!$C$15),1,$C267))*($E267&lt;INDEX(_xlfn.ANCHORARRAY(Sintesi!$C$16),1,$C267))*(INDEX(_xlfn.ANCHORARRAY(Sintesi!$C$15),1,$C267)&gt;0),2,IF($E267=(INDEX(_xlfn.ANCHORARRAY(Sintesi!$C$16),1,$C267)),3,4)))),0),IF($C267&gt;0,IF(($E267=INDEX(_xlfn.ANCHORARRAY(Sintesi!$C$14),1,$C267))*(INDEX(_xlfn.ANCHORARRAY(Sintesi!$C$15),1,$C267)&gt;0),0,IF(($E267=INDEX(_xlfn.ANCHORARRAY(Sintesi!$C$14),1,$C267))*(INDEX(_xlfn.ANCHORARRAY(Sintesi!$C$15),1,$C267)&lt;0)+($E267&gt;=LOOKUP(2,1/($E:$E&lt;&gt;""),$E:$E))*($E267&lt;=INDEX($E:$E,MATCH(TRUE,INDEX((ISNUMBER($E:$E)),0),0)))*($E267&gt;INDEX(_xlfn.ANCHORARRAY(Sintesi!$C$14),1,$C267))*($E267&lt;=INDEX(_xlfn.ANCHORARRAY(Sintesi!$C$15),1,$C267))*(INDEX(_xlfn.ANCHORARRAY(Sintesi!$C$15),1,$C267)&gt;0),1,IF(($E267&gt;=LOOKUP(2,1/($E:$E&lt;&gt;""),$E:$E))*($E267&lt;=INDEX($E:$E,MATCH(TRUE,INDEX((ISNUMBER($E:$E)),0),0)))*($E267&gt;INDEX(_xlfn.ANCHORARRAY(Sintesi!$C$14),1,$C267))*($E267&lt;INDEX(_xlfn.ANCHORARRAY(Sintesi!$C$16),1,$C267))*(INDEX(_xlfn.ANCHORARRAY(Sintesi!$C$15),1,$C267)&lt;0)+($E267&gt;=LOOKUP(2,1/($E:$E&lt;&gt;""),$E:$E))*($E267&lt;=INDEX($E:$E,MATCH(TRUE,INDEX((ISNUMBER($E:$E)),0),0)))*($E267&gt;INDEX(_xlfn.ANCHORARRAY(Sintesi!$C$15),1,$C267))*($E267&lt;INDEX(_xlfn.ANCHORARRAY(Sintesi!$C$16),1,$C267))*(INDEX(_xlfn.ANCHORARRAY(Sintesi!$C$15),1,$C267)&gt;0),2,IF($E267=(INDEX(_xlfn.ANCHORARRAY(Sintesi!$C$16),1,$C267)),3,4)))),0)),IF(ISNUMBER($E266),IF($C267&gt;0,IF(($E267=INDEX(_xlfn.ANCHORARRAY(Sintesi!$C$14),1,$C267))*(INDEX(_xlfn.ANCHORARRAY(Sintesi!$C$15),1,$C267)&gt;0),0,IF(($E267=INDEX(_xlfn.ANCHORARRAY(Sintesi!$C$14),1,$C267))*(INDEX(_xlfn.ANCHORARRAY(Sintesi!$C$15),1,$C267)&lt;0)+($E267&gt;=$E266)*($E267&lt;=$E268)*($E267&gt;INDEX(_xlfn.ANCHORARRAY(Sintesi!$C$14),1,$C267))*($E267&lt;=INDEX(_xlfn.ANCHORARRAY(Sintesi!$C$15),1,$C267))*(INDEX(_xlfn.ANCHORARRAY(Sintesi!$C$15),1,$C267)&gt;0),1,IF(($E267&gt;=$E266)*($E267&lt;=$E268)*($E267&gt;INDEX(_xlfn.ANCHORARRAY(Sintesi!$C$14),1,$C267))*($E267&lt;INDEX(_xlfn.ANCHORARRAY(Sintesi!$C$16),1,$C267))*(INDEX(_xlfn.ANCHORARRAY(Sintesi!$C$15),1,$C267)&lt;0)+($E267&gt;=$E266)*($E267&lt;=$E268)*($E267&gt;INDEX(_xlfn.ANCHORARRAY(Sintesi!$C$15),1,$C267))*($E267&lt;INDEX(_xlfn.ANCHORARRAY(Sintesi!$C$16),1,$C267))*(INDEX(_xlfn.ANCHORARRAY(Sintesi!$C$15),1,$C267)&gt;0),2,IF($E267=(INDEX(_xlfn.ANCHORARRAY(Sintesi!$C$16),1,$C267)),3,4)))),0),IF($C267&gt;0,IF(($E267=INDEX(_xlfn.ANCHORARRAY(Sintesi!$C$14),1,$C267))*(INDEX(_xlfn.ANCHORARRAY(Sintesi!$C$15),1,$C267)&gt;0),0,IF(($E267=INDEX(_xlfn.ANCHORARRAY(Sintesi!$C$14),1,$C267))*(INDEX(_xlfn.ANCHORARRAY(Sintesi!$C$15),1,$C267)&lt;0)+($E267&gt;=LOOKUP(2,1/($E:$E&lt;&gt;""),$E:$E))*($E267&lt;=$E268)*($E267&gt;INDEX(_xlfn.ANCHORARRAY(Sintesi!$C$14),1,$C267))*($E267&lt;=INDEX(_xlfn.ANCHORARRAY(Sintesi!$C$15),1,$C267))*(INDEX(_xlfn.ANCHORARRAY(Sintesi!$C$15),1,$C267)&gt;0),1,IF(($E267&gt;=LOOKUP(2,1/($E:$E&lt;&gt;""),$E:$E))*($E267&lt;=$E268)*($E267&gt;INDEX(_xlfn.ANCHORARRAY(Sintesi!$C$14),1,$C267))*($E267&lt;INDEX(_xlfn.ANCHORARRAY(Sintesi!$C$16),1,$C267))*(INDEX(_xlfn.ANCHORARRAY(Sintesi!$C$15),1,$C267)&lt;0)+($E267&gt;=LOOKUP(2,1/($E:$E&lt;&gt;""),$E:$E))*($E267&lt;=$E268)*($E267&gt;INDEX(_xlfn.ANCHORARRAY(Sintesi!$C$15),1,$C267))*($E267&lt;INDEX(_xlfn.ANCHORARRAY(Sintesi!$C$16),1,$C267))*(INDEX(_xlfn.ANCHORARRAY(Sintesi!$C$15),1,$C267)&gt;0),2,IF($E267=(INDEX(_xlfn.ANCHORARRAY(Sintesi!$C$16),1,$C267)),3,4)))),0)))</f>
        <v/>
      </c>
      <c r="E267" s="1">
        <f>'Paste cell here'!F267</f>
        <v/>
      </c>
      <c r="F267" s="1">
        <f>'Paste cell here'!C267</f>
        <v/>
      </c>
      <c r="G267" s="1">
        <f>'Paste cell here'!D267</f>
        <v/>
      </c>
      <c r="H267" s="1">
        <f>'Paste cell here'!E267</f>
        <v/>
      </c>
      <c r="I267" s="1">
        <f>'Paste cell here'!X267</f>
        <v/>
      </c>
      <c r="J267" s="1">
        <f>'Paste cell here'!Y267+'Paste cell here'!S267</f>
        <v/>
      </c>
      <c r="K267" s="1">
        <f>I267/H267</f>
        <v/>
      </c>
      <c r="L267" s="1">
        <f>AVERAGE(($F267+$G267)/2-($F267-$G267)/2*COS(PI()*(8-VLOOKUP(MONTH(B267),$O$1:$Q$13,3))/(VLOOKUP(MONTH(B267),$O$1:$Q$13,2)-VLOOKUP(MONTH(B267),$O$1:$Q$13,3))),($F267+$G267)/2-($F267-$G267)/2*COS(PI()*(9-VLOOKUP(MONTH(B267),$O$1:$Q$13,3))/(VLOOKUP(MONTH(B267),$O$1:$Q$13,2)-VLOOKUP(MONTH(B267),$O$1:$Q$13,3))),($F267+$G267)/2-($F267-$G267)/2*COS(PI()*(10-VLOOKUP(MONTH(B267),$O$1:$Q$13,3))/(VLOOKUP(MONTH(B267),$O$1:$Q$13,2)-VLOOKUP(MONTH(B267),$O$1:$Q$13,3))),($F267+$G267)/2-($F267-$G267)/2*COS(PI()*(11-VLOOKUP(MONTH(B267),$O$1:$Q$13,3))/(VLOOKUP(MONTH(B267),$O$1:$Q$13,2)-VLOOKUP(MONTH(B267),$O$1:$Q$13,3))),($F267+$G267)/2-($F267-$G267)/2*COS(PI()*(12-VLOOKUP(MONTH(B267),$O$1:$Q$13,3))/(VLOOKUP(MONTH(B267),$O$1:$Q$13,2)-VLOOKUP(MONTH(B267),$O$1:$Q$13,3))),($F267+$G267)/2-($F267-$G267)/2*COS(PI()*(13-VLOOKUP(MONTH(B267),$O$1:$Q$13,3))/(VLOOKUP(MONTH(B267),$O$1:$Q$13,2)-VLOOKUP(MONTH(B267),$O$1:$Q$13,3))),($F267+$G267)/2-($F267-$G267)/2*COS(PI()*(14-VLOOKUP(MONTH(B267),$O$1:$Q$13,3))/(VLOOKUP(MONTH(B267),$O$1:$Q$13,2)-VLOOKUP(MONTH(B267),$O$1:$Q$13,3))))</f>
        <v/>
      </c>
      <c r="M267" s="1">
        <f t="array" ref="M267">IF(AND(A267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,A267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),IF(L267&lt;_xlfn.IFNA(INDEX(_xlfn.ANCHORARRAY(Sintesi!$C$17)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,1,IF(L267&gt;=_xlfn.IFNA(INDEX(_xlfn.ANCHORARRAY(Sintesi!$C$18)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,0,1-(L267-_xlfn.IFNA(INDEX(_xlfn.ANCHORARRAY(Sintesi!$C$17)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)/(_xlfn.IFNA(INDEX(_xlfn.ANCHORARRAY(Sintesi!$C$18)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-_xlfn.IFNA(INDEX(_xlfn.ANCHORARRAY(Sintesi!$C$17)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))),0)</f>
        <v/>
      </c>
    </row>
    <row r="268">
      <c r="A268" s="1">
        <f>'Paste cell here'!A268</f>
        <v/>
      </c>
      <c r="B268" s="2">
        <f>DATE(Sintesi!$C$4-1,12,31)+A268</f>
        <v/>
      </c>
      <c r="C268" s="34">
        <f t="array" ref="C268">_xlfn.IFNA(MATCH(1,(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)*(_xlfn.ANCHORARRAY(Sintesi!$C$15)&gt;=0)+(_xlfn.ANCHORARRAY(Sintesi!$C$15)&lt;0),0),0)</f>
        <v/>
      </c>
      <c r="D268" s="1">
        <f t="array" ref="D268">IF(ISBLANK($E269),IF(ISNUMBER($E267),IF($C268&gt;0,IF(($E268=INDEX(_xlfn.ANCHORARRAY(Sintesi!$C$14),1,$C268))*(INDEX(_xlfn.ANCHORARRAY(Sintesi!$C$15),1,$C268)&gt;0),0,IF(($E268=INDEX(_xlfn.ANCHORARRAY(Sintesi!$C$14),1,$C268))*(INDEX(_xlfn.ANCHORARRAY(Sintesi!$C$15),1,$C268)&lt;0)+($E268&gt;=$E267)*($E268&lt;=INDEX($E:$E,MATCH(TRUE,INDEX((ISNUMBER($E:$E)),0),0)))*($E268&gt;INDEX(_xlfn.ANCHORARRAY(Sintesi!$C$14),1,$C268))*($E268&lt;=INDEX(_xlfn.ANCHORARRAY(Sintesi!$C$15),1,$C268))*(INDEX(_xlfn.ANCHORARRAY(Sintesi!$C$15),1,$C268)&gt;0),1,IF(($E268&gt;=$E267)*($E268&lt;=INDEX($E:$E,MATCH(TRUE,INDEX((ISNUMBER($E:$E)),0),0)))*($E268&gt;INDEX(_xlfn.ANCHORARRAY(Sintesi!$C$14),1,$C268))*($E268&lt;INDEX(_xlfn.ANCHORARRAY(Sintesi!$C$16),1,$C268))*(INDEX(_xlfn.ANCHORARRAY(Sintesi!$C$15),1,$C268)&lt;0)+($E268&gt;=$E267)*($E268&lt;=INDEX($E:$E,MATCH(TRUE,INDEX((ISNUMBER($E:$E)),0),0)))*($E268&gt;INDEX(_xlfn.ANCHORARRAY(Sintesi!$C$15),1,$C268))*($E268&lt;INDEX(_xlfn.ANCHORARRAY(Sintesi!$C$16),1,$C268))*(INDEX(_xlfn.ANCHORARRAY(Sintesi!$C$15),1,$C268)&gt;0),2,IF($E268=(INDEX(_xlfn.ANCHORARRAY(Sintesi!$C$16),1,$C268)),3,4)))),0),IF($C268&gt;0,IF(($E268=INDEX(_xlfn.ANCHORARRAY(Sintesi!$C$14),1,$C268))*(INDEX(_xlfn.ANCHORARRAY(Sintesi!$C$15),1,$C268)&gt;0),0,IF(($E268=INDEX(_xlfn.ANCHORARRAY(Sintesi!$C$14),1,$C268))*(INDEX(_xlfn.ANCHORARRAY(Sintesi!$C$15),1,$C268)&lt;0)+($E268&gt;=LOOKUP(2,1/($E:$E&lt;&gt;""),$E:$E))*($E268&lt;=INDEX($E:$E,MATCH(TRUE,INDEX((ISNUMBER($E:$E)),0),0)))*($E268&gt;INDEX(_xlfn.ANCHORARRAY(Sintesi!$C$14),1,$C268))*($E268&lt;=INDEX(_xlfn.ANCHORARRAY(Sintesi!$C$15),1,$C268))*(INDEX(_xlfn.ANCHORARRAY(Sintesi!$C$15),1,$C268)&gt;0),1,IF(($E268&gt;=LOOKUP(2,1/($E:$E&lt;&gt;""),$E:$E))*($E268&lt;=INDEX($E:$E,MATCH(TRUE,INDEX((ISNUMBER($E:$E)),0),0)))*($E268&gt;INDEX(_xlfn.ANCHORARRAY(Sintesi!$C$14),1,$C268))*($E268&lt;INDEX(_xlfn.ANCHORARRAY(Sintesi!$C$16),1,$C268))*(INDEX(_xlfn.ANCHORARRAY(Sintesi!$C$15),1,$C268)&lt;0)+($E268&gt;=LOOKUP(2,1/($E:$E&lt;&gt;""),$E:$E))*($E268&lt;=INDEX($E:$E,MATCH(TRUE,INDEX((ISNUMBER($E:$E)),0),0)))*($E268&gt;INDEX(_xlfn.ANCHORARRAY(Sintesi!$C$15),1,$C268))*($E268&lt;INDEX(_xlfn.ANCHORARRAY(Sintesi!$C$16),1,$C268))*(INDEX(_xlfn.ANCHORARRAY(Sintesi!$C$15),1,$C268)&gt;0),2,IF($E268=(INDEX(_xlfn.ANCHORARRAY(Sintesi!$C$16),1,$C268)),3,4)))),0)),IF(ISNUMBER($E267),IF($C268&gt;0,IF(($E268=INDEX(_xlfn.ANCHORARRAY(Sintesi!$C$14),1,$C268))*(INDEX(_xlfn.ANCHORARRAY(Sintesi!$C$15),1,$C268)&gt;0),0,IF(($E268=INDEX(_xlfn.ANCHORARRAY(Sintesi!$C$14),1,$C268))*(INDEX(_xlfn.ANCHORARRAY(Sintesi!$C$15),1,$C268)&lt;0)+($E268&gt;=$E267)*($E268&lt;=$E269)*($E268&gt;INDEX(_xlfn.ANCHORARRAY(Sintesi!$C$14),1,$C268))*($E268&lt;=INDEX(_xlfn.ANCHORARRAY(Sintesi!$C$15),1,$C268))*(INDEX(_xlfn.ANCHORARRAY(Sintesi!$C$15),1,$C268)&gt;0),1,IF(($E268&gt;=$E267)*($E268&lt;=$E269)*($E268&gt;INDEX(_xlfn.ANCHORARRAY(Sintesi!$C$14),1,$C268))*($E268&lt;INDEX(_xlfn.ANCHORARRAY(Sintesi!$C$16),1,$C268))*(INDEX(_xlfn.ANCHORARRAY(Sintesi!$C$15),1,$C268)&lt;0)+($E268&gt;=$E267)*($E268&lt;=$E269)*($E268&gt;INDEX(_xlfn.ANCHORARRAY(Sintesi!$C$15),1,$C268))*($E268&lt;INDEX(_xlfn.ANCHORARRAY(Sintesi!$C$16),1,$C268))*(INDEX(_xlfn.ANCHORARRAY(Sintesi!$C$15),1,$C268)&gt;0),2,IF($E268=(INDEX(_xlfn.ANCHORARRAY(Sintesi!$C$16),1,$C268)),3,4)))),0),IF($C268&gt;0,IF(($E268=INDEX(_xlfn.ANCHORARRAY(Sintesi!$C$14),1,$C268))*(INDEX(_xlfn.ANCHORARRAY(Sintesi!$C$15),1,$C268)&gt;0),0,IF(($E268=INDEX(_xlfn.ANCHORARRAY(Sintesi!$C$14),1,$C268))*(INDEX(_xlfn.ANCHORARRAY(Sintesi!$C$15),1,$C268)&lt;0)+($E268&gt;=LOOKUP(2,1/($E:$E&lt;&gt;""),$E:$E))*($E268&lt;=$E269)*($E268&gt;INDEX(_xlfn.ANCHORARRAY(Sintesi!$C$14),1,$C268))*($E268&lt;=INDEX(_xlfn.ANCHORARRAY(Sintesi!$C$15),1,$C268))*(INDEX(_xlfn.ANCHORARRAY(Sintesi!$C$15),1,$C268)&gt;0),1,IF(($E268&gt;=LOOKUP(2,1/($E:$E&lt;&gt;""),$E:$E))*($E268&lt;=$E269)*($E268&gt;INDEX(_xlfn.ANCHORARRAY(Sintesi!$C$14),1,$C268))*($E268&lt;INDEX(_xlfn.ANCHORARRAY(Sintesi!$C$16),1,$C268))*(INDEX(_xlfn.ANCHORARRAY(Sintesi!$C$15),1,$C268)&lt;0)+($E268&gt;=LOOKUP(2,1/($E:$E&lt;&gt;""),$E:$E))*($E268&lt;=$E269)*($E268&gt;INDEX(_xlfn.ANCHORARRAY(Sintesi!$C$15),1,$C268))*($E268&lt;INDEX(_xlfn.ANCHORARRAY(Sintesi!$C$16),1,$C268))*(INDEX(_xlfn.ANCHORARRAY(Sintesi!$C$15),1,$C268)&gt;0),2,IF($E268=(INDEX(_xlfn.ANCHORARRAY(Sintesi!$C$16),1,$C268)),3,4)))),0)))</f>
        <v/>
      </c>
      <c r="E268" s="1">
        <f>'Paste cell here'!F268</f>
        <v/>
      </c>
      <c r="F268" s="1">
        <f>'Paste cell here'!C268</f>
        <v/>
      </c>
      <c r="G268" s="1">
        <f>'Paste cell here'!D268</f>
        <v/>
      </c>
      <c r="H268" s="1">
        <f>'Paste cell here'!E268</f>
        <v/>
      </c>
      <c r="I268" s="1">
        <f>'Paste cell here'!X268</f>
        <v/>
      </c>
      <c r="J268" s="1">
        <f>'Paste cell here'!Y268+'Paste cell here'!S268</f>
        <v/>
      </c>
      <c r="K268" s="1">
        <f>I268/H268</f>
        <v/>
      </c>
      <c r="L268" s="1">
        <f>AVERAGE(($F268+$G268)/2-($F268-$G268)/2*COS(PI()*(8-VLOOKUP(MONTH(B268),$O$1:$Q$13,3))/(VLOOKUP(MONTH(B268),$O$1:$Q$13,2)-VLOOKUP(MONTH(B268),$O$1:$Q$13,3))),($F268+$G268)/2-($F268-$G268)/2*COS(PI()*(9-VLOOKUP(MONTH(B268),$O$1:$Q$13,3))/(VLOOKUP(MONTH(B268),$O$1:$Q$13,2)-VLOOKUP(MONTH(B268),$O$1:$Q$13,3))),($F268+$G268)/2-($F268-$G268)/2*COS(PI()*(10-VLOOKUP(MONTH(B268),$O$1:$Q$13,3))/(VLOOKUP(MONTH(B268),$O$1:$Q$13,2)-VLOOKUP(MONTH(B268),$O$1:$Q$13,3))),($F268+$G268)/2-($F268-$G268)/2*COS(PI()*(11-VLOOKUP(MONTH(B268),$O$1:$Q$13,3))/(VLOOKUP(MONTH(B268),$O$1:$Q$13,2)-VLOOKUP(MONTH(B268),$O$1:$Q$13,3))),($F268+$G268)/2-($F268-$G268)/2*COS(PI()*(12-VLOOKUP(MONTH(B268),$O$1:$Q$13,3))/(VLOOKUP(MONTH(B268),$O$1:$Q$13,2)-VLOOKUP(MONTH(B268),$O$1:$Q$13,3))),($F268+$G268)/2-($F268-$G268)/2*COS(PI()*(13-VLOOKUP(MONTH(B268),$O$1:$Q$13,3))/(VLOOKUP(MONTH(B268),$O$1:$Q$13,2)-VLOOKUP(MONTH(B268),$O$1:$Q$13,3))),($F268+$G268)/2-($F268-$G268)/2*COS(PI()*(14-VLOOKUP(MONTH(B268),$O$1:$Q$13,3))/(VLOOKUP(MONTH(B268),$O$1:$Q$13,2)-VLOOKUP(MONTH(B268),$O$1:$Q$13,3))))</f>
        <v/>
      </c>
      <c r="M268" s="1">
        <f t="array" ref="M268">IF(AND(A268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,A268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),IF(L268&lt;_xlfn.IFNA(INDEX(_xlfn.ANCHORARRAY(Sintesi!$C$17)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,1,IF(L268&gt;=_xlfn.IFNA(INDEX(_xlfn.ANCHORARRAY(Sintesi!$C$18)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,0,1-(L268-_xlfn.IFNA(INDEX(_xlfn.ANCHORARRAY(Sintesi!$C$17)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)/(_xlfn.IFNA(INDEX(_xlfn.ANCHORARRAY(Sintesi!$C$18)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-_xlfn.IFNA(INDEX(_xlfn.ANCHORARRAY(Sintesi!$C$17)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))),0)</f>
        <v/>
      </c>
    </row>
    <row r="269">
      <c r="A269" s="1">
        <f>'Paste cell here'!A269</f>
        <v/>
      </c>
      <c r="B269" s="2">
        <f>DATE(Sintesi!$C$4-1,12,31)+A269</f>
        <v/>
      </c>
      <c r="C269" s="34">
        <f t="array" ref="C269">_xlfn.IFNA(MATCH(1,(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)*(_xlfn.ANCHORARRAY(Sintesi!$C$15)&gt;=0)+(_xlfn.ANCHORARRAY(Sintesi!$C$15)&lt;0),0),0)</f>
        <v/>
      </c>
      <c r="D269" s="1">
        <f t="array" ref="D269">IF(ISBLANK($E270),IF(ISNUMBER($E268),IF($C269&gt;0,IF(($E269=INDEX(_xlfn.ANCHORARRAY(Sintesi!$C$14),1,$C269))*(INDEX(_xlfn.ANCHORARRAY(Sintesi!$C$15),1,$C269)&gt;0),0,IF(($E269=INDEX(_xlfn.ANCHORARRAY(Sintesi!$C$14),1,$C269))*(INDEX(_xlfn.ANCHORARRAY(Sintesi!$C$15),1,$C269)&lt;0)+($E269&gt;=$E268)*($E269&lt;=INDEX($E:$E,MATCH(TRUE,INDEX((ISNUMBER($E:$E)),0),0)))*($E269&gt;INDEX(_xlfn.ANCHORARRAY(Sintesi!$C$14),1,$C269))*($E269&lt;=INDEX(_xlfn.ANCHORARRAY(Sintesi!$C$15),1,$C269))*(INDEX(_xlfn.ANCHORARRAY(Sintesi!$C$15),1,$C269)&gt;0),1,IF(($E269&gt;=$E268)*($E269&lt;=INDEX($E:$E,MATCH(TRUE,INDEX((ISNUMBER($E:$E)),0),0)))*($E269&gt;INDEX(_xlfn.ANCHORARRAY(Sintesi!$C$14),1,$C269))*($E269&lt;INDEX(_xlfn.ANCHORARRAY(Sintesi!$C$16),1,$C269))*(INDEX(_xlfn.ANCHORARRAY(Sintesi!$C$15),1,$C269)&lt;0)+($E269&gt;=$E268)*($E269&lt;=INDEX($E:$E,MATCH(TRUE,INDEX((ISNUMBER($E:$E)),0),0)))*($E269&gt;INDEX(_xlfn.ANCHORARRAY(Sintesi!$C$15),1,$C269))*($E269&lt;INDEX(_xlfn.ANCHORARRAY(Sintesi!$C$16),1,$C269))*(INDEX(_xlfn.ANCHORARRAY(Sintesi!$C$15),1,$C269)&gt;0),2,IF($E269=(INDEX(_xlfn.ANCHORARRAY(Sintesi!$C$16),1,$C269)),3,4)))),0),IF($C269&gt;0,IF(($E269=INDEX(_xlfn.ANCHORARRAY(Sintesi!$C$14),1,$C269))*(INDEX(_xlfn.ANCHORARRAY(Sintesi!$C$15),1,$C269)&gt;0),0,IF(($E269=INDEX(_xlfn.ANCHORARRAY(Sintesi!$C$14),1,$C269))*(INDEX(_xlfn.ANCHORARRAY(Sintesi!$C$15),1,$C269)&lt;0)+($E269&gt;=LOOKUP(2,1/($E:$E&lt;&gt;""),$E:$E))*($E269&lt;=INDEX($E:$E,MATCH(TRUE,INDEX((ISNUMBER($E:$E)),0),0)))*($E269&gt;INDEX(_xlfn.ANCHORARRAY(Sintesi!$C$14),1,$C269))*($E269&lt;=INDEX(_xlfn.ANCHORARRAY(Sintesi!$C$15),1,$C269))*(INDEX(_xlfn.ANCHORARRAY(Sintesi!$C$15),1,$C269)&gt;0),1,IF(($E269&gt;=LOOKUP(2,1/($E:$E&lt;&gt;""),$E:$E))*($E269&lt;=INDEX($E:$E,MATCH(TRUE,INDEX((ISNUMBER($E:$E)),0),0)))*($E269&gt;INDEX(_xlfn.ANCHORARRAY(Sintesi!$C$14),1,$C269))*($E269&lt;INDEX(_xlfn.ANCHORARRAY(Sintesi!$C$16),1,$C269))*(INDEX(_xlfn.ANCHORARRAY(Sintesi!$C$15),1,$C269)&lt;0)+($E269&gt;=LOOKUP(2,1/($E:$E&lt;&gt;""),$E:$E))*($E269&lt;=INDEX($E:$E,MATCH(TRUE,INDEX((ISNUMBER($E:$E)),0),0)))*($E269&gt;INDEX(_xlfn.ANCHORARRAY(Sintesi!$C$15),1,$C269))*($E269&lt;INDEX(_xlfn.ANCHORARRAY(Sintesi!$C$16),1,$C269))*(INDEX(_xlfn.ANCHORARRAY(Sintesi!$C$15),1,$C269)&gt;0),2,IF($E269=(INDEX(_xlfn.ANCHORARRAY(Sintesi!$C$16),1,$C269)),3,4)))),0)),IF(ISNUMBER($E268),IF($C269&gt;0,IF(($E269=INDEX(_xlfn.ANCHORARRAY(Sintesi!$C$14),1,$C269))*(INDEX(_xlfn.ANCHORARRAY(Sintesi!$C$15),1,$C269)&gt;0),0,IF(($E269=INDEX(_xlfn.ANCHORARRAY(Sintesi!$C$14),1,$C269))*(INDEX(_xlfn.ANCHORARRAY(Sintesi!$C$15),1,$C269)&lt;0)+($E269&gt;=$E268)*($E269&lt;=$E270)*($E269&gt;INDEX(_xlfn.ANCHORARRAY(Sintesi!$C$14),1,$C269))*($E269&lt;=INDEX(_xlfn.ANCHORARRAY(Sintesi!$C$15),1,$C269))*(INDEX(_xlfn.ANCHORARRAY(Sintesi!$C$15),1,$C269)&gt;0),1,IF(($E269&gt;=$E268)*($E269&lt;=$E270)*($E269&gt;INDEX(_xlfn.ANCHORARRAY(Sintesi!$C$14),1,$C269))*($E269&lt;INDEX(_xlfn.ANCHORARRAY(Sintesi!$C$16),1,$C269))*(INDEX(_xlfn.ANCHORARRAY(Sintesi!$C$15),1,$C269)&lt;0)+($E269&gt;=$E268)*($E269&lt;=$E270)*($E269&gt;INDEX(_xlfn.ANCHORARRAY(Sintesi!$C$15),1,$C269))*($E269&lt;INDEX(_xlfn.ANCHORARRAY(Sintesi!$C$16),1,$C269))*(INDEX(_xlfn.ANCHORARRAY(Sintesi!$C$15),1,$C269)&gt;0),2,IF($E269=(INDEX(_xlfn.ANCHORARRAY(Sintesi!$C$16),1,$C269)),3,4)))),0),IF($C269&gt;0,IF(($E269=INDEX(_xlfn.ANCHORARRAY(Sintesi!$C$14),1,$C269))*(INDEX(_xlfn.ANCHORARRAY(Sintesi!$C$15),1,$C269)&gt;0),0,IF(($E269=INDEX(_xlfn.ANCHORARRAY(Sintesi!$C$14),1,$C269))*(INDEX(_xlfn.ANCHORARRAY(Sintesi!$C$15),1,$C269)&lt;0)+($E269&gt;=LOOKUP(2,1/($E:$E&lt;&gt;""),$E:$E))*($E269&lt;=$E270)*($E269&gt;INDEX(_xlfn.ANCHORARRAY(Sintesi!$C$14),1,$C269))*($E269&lt;=INDEX(_xlfn.ANCHORARRAY(Sintesi!$C$15),1,$C269))*(INDEX(_xlfn.ANCHORARRAY(Sintesi!$C$15),1,$C269)&gt;0),1,IF(($E269&gt;=LOOKUP(2,1/($E:$E&lt;&gt;""),$E:$E))*($E269&lt;=$E270)*($E269&gt;INDEX(_xlfn.ANCHORARRAY(Sintesi!$C$14),1,$C269))*($E269&lt;INDEX(_xlfn.ANCHORARRAY(Sintesi!$C$16),1,$C269))*(INDEX(_xlfn.ANCHORARRAY(Sintesi!$C$15),1,$C269)&lt;0)+($E269&gt;=LOOKUP(2,1/($E:$E&lt;&gt;""),$E:$E))*($E269&lt;=$E270)*($E269&gt;INDEX(_xlfn.ANCHORARRAY(Sintesi!$C$15),1,$C269))*($E269&lt;INDEX(_xlfn.ANCHORARRAY(Sintesi!$C$16),1,$C269))*(INDEX(_xlfn.ANCHORARRAY(Sintesi!$C$15),1,$C269)&gt;0),2,IF($E269=(INDEX(_xlfn.ANCHORARRAY(Sintesi!$C$16),1,$C269)),3,4)))),0)))</f>
        <v/>
      </c>
      <c r="E269" s="1">
        <f>'Paste cell here'!F269</f>
        <v/>
      </c>
      <c r="F269" s="1">
        <f>'Paste cell here'!C269</f>
        <v/>
      </c>
      <c r="G269" s="1">
        <f>'Paste cell here'!D269</f>
        <v/>
      </c>
      <c r="H269" s="1">
        <f>'Paste cell here'!E269</f>
        <v/>
      </c>
      <c r="I269" s="1">
        <f>'Paste cell here'!X269</f>
        <v/>
      </c>
      <c r="J269" s="1">
        <f>'Paste cell here'!Y269+'Paste cell here'!S269</f>
        <v/>
      </c>
      <c r="K269" s="1">
        <f>I269/H269</f>
        <v/>
      </c>
      <c r="L269" s="1">
        <f>AVERAGE(($F269+$G269)/2-($F269-$G269)/2*COS(PI()*(8-VLOOKUP(MONTH(B269),$O$1:$Q$13,3))/(VLOOKUP(MONTH(B269),$O$1:$Q$13,2)-VLOOKUP(MONTH(B269),$O$1:$Q$13,3))),($F269+$G269)/2-($F269-$G269)/2*COS(PI()*(9-VLOOKUP(MONTH(B269),$O$1:$Q$13,3))/(VLOOKUP(MONTH(B269),$O$1:$Q$13,2)-VLOOKUP(MONTH(B269),$O$1:$Q$13,3))),($F269+$G269)/2-($F269-$G269)/2*COS(PI()*(10-VLOOKUP(MONTH(B269),$O$1:$Q$13,3))/(VLOOKUP(MONTH(B269),$O$1:$Q$13,2)-VLOOKUP(MONTH(B269),$O$1:$Q$13,3))),($F269+$G269)/2-($F269-$G269)/2*COS(PI()*(11-VLOOKUP(MONTH(B269),$O$1:$Q$13,3))/(VLOOKUP(MONTH(B269),$O$1:$Q$13,2)-VLOOKUP(MONTH(B269),$O$1:$Q$13,3))),($F269+$G269)/2-($F269-$G269)/2*COS(PI()*(12-VLOOKUP(MONTH(B269),$O$1:$Q$13,3))/(VLOOKUP(MONTH(B269),$O$1:$Q$13,2)-VLOOKUP(MONTH(B269),$O$1:$Q$13,3))),($F269+$G269)/2-($F269-$G269)/2*COS(PI()*(13-VLOOKUP(MONTH(B269),$O$1:$Q$13,3))/(VLOOKUP(MONTH(B269),$O$1:$Q$13,2)-VLOOKUP(MONTH(B269),$O$1:$Q$13,3))),($F269+$G269)/2-($F269-$G269)/2*COS(PI()*(14-VLOOKUP(MONTH(B269),$O$1:$Q$13,3))/(VLOOKUP(MONTH(B269),$O$1:$Q$13,2)-VLOOKUP(MONTH(B269),$O$1:$Q$13,3))))</f>
        <v/>
      </c>
      <c r="M269" s="1">
        <f t="array" ref="M269">IF(AND(A269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,A269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),IF(L269&lt;_xlfn.IFNA(INDEX(_xlfn.ANCHORARRAY(Sintesi!$C$17)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,1,IF(L269&gt;=_xlfn.IFNA(INDEX(_xlfn.ANCHORARRAY(Sintesi!$C$18)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,0,1-(L269-_xlfn.IFNA(INDEX(_xlfn.ANCHORARRAY(Sintesi!$C$17)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)/(_xlfn.IFNA(INDEX(_xlfn.ANCHORARRAY(Sintesi!$C$18)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-_xlfn.IFNA(INDEX(_xlfn.ANCHORARRAY(Sintesi!$C$17)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))),0)</f>
        <v/>
      </c>
    </row>
    <row r="270">
      <c r="A270" s="1">
        <f>'Paste cell here'!A270</f>
        <v/>
      </c>
      <c r="B270" s="2">
        <f>DATE(Sintesi!$C$4-1,12,31)+A270</f>
        <v/>
      </c>
      <c r="C270" s="34">
        <f t="array" ref="C270">_xlfn.IFNA(MATCH(1,(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)*(_xlfn.ANCHORARRAY(Sintesi!$C$15)&gt;=0)+(_xlfn.ANCHORARRAY(Sintesi!$C$15)&lt;0),0),0)</f>
        <v/>
      </c>
      <c r="D270" s="1">
        <f t="array" ref="D270">IF(ISBLANK($E271),IF(ISNUMBER($E269),IF($C270&gt;0,IF(($E270=INDEX(_xlfn.ANCHORARRAY(Sintesi!$C$14),1,$C270))*(INDEX(_xlfn.ANCHORARRAY(Sintesi!$C$15),1,$C270)&gt;0),0,IF(($E270=INDEX(_xlfn.ANCHORARRAY(Sintesi!$C$14),1,$C270))*(INDEX(_xlfn.ANCHORARRAY(Sintesi!$C$15),1,$C270)&lt;0)+($E270&gt;=$E269)*($E270&lt;=INDEX($E:$E,MATCH(TRUE,INDEX((ISNUMBER($E:$E)),0),0)))*($E270&gt;INDEX(_xlfn.ANCHORARRAY(Sintesi!$C$14),1,$C270))*($E270&lt;=INDEX(_xlfn.ANCHORARRAY(Sintesi!$C$15),1,$C270))*(INDEX(_xlfn.ANCHORARRAY(Sintesi!$C$15),1,$C270)&gt;0),1,IF(($E270&gt;=$E269)*($E270&lt;=INDEX($E:$E,MATCH(TRUE,INDEX((ISNUMBER($E:$E)),0),0)))*($E270&gt;INDEX(_xlfn.ANCHORARRAY(Sintesi!$C$14),1,$C270))*($E270&lt;INDEX(_xlfn.ANCHORARRAY(Sintesi!$C$16),1,$C270))*(INDEX(_xlfn.ANCHORARRAY(Sintesi!$C$15),1,$C270)&lt;0)+($E270&gt;=$E269)*($E270&lt;=INDEX($E:$E,MATCH(TRUE,INDEX((ISNUMBER($E:$E)),0),0)))*($E270&gt;INDEX(_xlfn.ANCHORARRAY(Sintesi!$C$15),1,$C270))*($E270&lt;INDEX(_xlfn.ANCHORARRAY(Sintesi!$C$16),1,$C270))*(INDEX(_xlfn.ANCHORARRAY(Sintesi!$C$15),1,$C270)&gt;0),2,IF($E270=(INDEX(_xlfn.ANCHORARRAY(Sintesi!$C$16),1,$C270)),3,4)))),0),IF($C270&gt;0,IF(($E270=INDEX(_xlfn.ANCHORARRAY(Sintesi!$C$14),1,$C270))*(INDEX(_xlfn.ANCHORARRAY(Sintesi!$C$15),1,$C270)&gt;0),0,IF(($E270=INDEX(_xlfn.ANCHORARRAY(Sintesi!$C$14),1,$C270))*(INDEX(_xlfn.ANCHORARRAY(Sintesi!$C$15),1,$C270)&lt;0)+($E270&gt;=LOOKUP(2,1/($E:$E&lt;&gt;""),$E:$E))*($E270&lt;=INDEX($E:$E,MATCH(TRUE,INDEX((ISNUMBER($E:$E)),0),0)))*($E270&gt;INDEX(_xlfn.ANCHORARRAY(Sintesi!$C$14),1,$C270))*($E270&lt;=INDEX(_xlfn.ANCHORARRAY(Sintesi!$C$15),1,$C270))*(INDEX(_xlfn.ANCHORARRAY(Sintesi!$C$15),1,$C270)&gt;0),1,IF(($E270&gt;=LOOKUP(2,1/($E:$E&lt;&gt;""),$E:$E))*($E270&lt;=INDEX($E:$E,MATCH(TRUE,INDEX((ISNUMBER($E:$E)),0),0)))*($E270&gt;INDEX(_xlfn.ANCHORARRAY(Sintesi!$C$14),1,$C270))*($E270&lt;INDEX(_xlfn.ANCHORARRAY(Sintesi!$C$16),1,$C270))*(INDEX(_xlfn.ANCHORARRAY(Sintesi!$C$15),1,$C270)&lt;0)+($E270&gt;=LOOKUP(2,1/($E:$E&lt;&gt;""),$E:$E))*($E270&lt;=INDEX($E:$E,MATCH(TRUE,INDEX((ISNUMBER($E:$E)),0),0)))*($E270&gt;INDEX(_xlfn.ANCHORARRAY(Sintesi!$C$15),1,$C270))*($E270&lt;INDEX(_xlfn.ANCHORARRAY(Sintesi!$C$16),1,$C270))*(INDEX(_xlfn.ANCHORARRAY(Sintesi!$C$15),1,$C270)&gt;0),2,IF($E270=(INDEX(_xlfn.ANCHORARRAY(Sintesi!$C$16),1,$C270)),3,4)))),0)),IF(ISNUMBER($E269),IF($C270&gt;0,IF(($E270=INDEX(_xlfn.ANCHORARRAY(Sintesi!$C$14),1,$C270))*(INDEX(_xlfn.ANCHORARRAY(Sintesi!$C$15),1,$C270)&gt;0),0,IF(($E270=INDEX(_xlfn.ANCHORARRAY(Sintesi!$C$14),1,$C270))*(INDEX(_xlfn.ANCHORARRAY(Sintesi!$C$15),1,$C270)&lt;0)+($E270&gt;=$E269)*($E270&lt;=$E271)*($E270&gt;INDEX(_xlfn.ANCHORARRAY(Sintesi!$C$14),1,$C270))*($E270&lt;=INDEX(_xlfn.ANCHORARRAY(Sintesi!$C$15),1,$C270))*(INDEX(_xlfn.ANCHORARRAY(Sintesi!$C$15),1,$C270)&gt;0),1,IF(($E270&gt;=$E269)*($E270&lt;=$E271)*($E270&gt;INDEX(_xlfn.ANCHORARRAY(Sintesi!$C$14),1,$C270))*($E270&lt;INDEX(_xlfn.ANCHORARRAY(Sintesi!$C$16),1,$C270))*(INDEX(_xlfn.ANCHORARRAY(Sintesi!$C$15),1,$C270)&lt;0)+($E270&gt;=$E269)*($E270&lt;=$E271)*($E270&gt;INDEX(_xlfn.ANCHORARRAY(Sintesi!$C$15),1,$C270))*($E270&lt;INDEX(_xlfn.ANCHORARRAY(Sintesi!$C$16),1,$C270))*(INDEX(_xlfn.ANCHORARRAY(Sintesi!$C$15),1,$C270)&gt;0),2,IF($E270=(INDEX(_xlfn.ANCHORARRAY(Sintesi!$C$16),1,$C270)),3,4)))),0),IF($C270&gt;0,IF(($E270=INDEX(_xlfn.ANCHORARRAY(Sintesi!$C$14),1,$C270))*(INDEX(_xlfn.ANCHORARRAY(Sintesi!$C$15),1,$C270)&gt;0),0,IF(($E270=INDEX(_xlfn.ANCHORARRAY(Sintesi!$C$14),1,$C270))*(INDEX(_xlfn.ANCHORARRAY(Sintesi!$C$15),1,$C270)&lt;0)+($E270&gt;=LOOKUP(2,1/($E:$E&lt;&gt;""),$E:$E))*($E270&lt;=$E271)*($E270&gt;INDEX(_xlfn.ANCHORARRAY(Sintesi!$C$14),1,$C270))*($E270&lt;=INDEX(_xlfn.ANCHORARRAY(Sintesi!$C$15),1,$C270))*(INDEX(_xlfn.ANCHORARRAY(Sintesi!$C$15),1,$C270)&gt;0),1,IF(($E270&gt;=LOOKUP(2,1/($E:$E&lt;&gt;""),$E:$E))*($E270&lt;=$E271)*($E270&gt;INDEX(_xlfn.ANCHORARRAY(Sintesi!$C$14),1,$C270))*($E270&lt;INDEX(_xlfn.ANCHORARRAY(Sintesi!$C$16),1,$C270))*(INDEX(_xlfn.ANCHORARRAY(Sintesi!$C$15),1,$C270)&lt;0)+($E270&gt;=LOOKUP(2,1/($E:$E&lt;&gt;""),$E:$E))*($E270&lt;=$E271)*($E270&gt;INDEX(_xlfn.ANCHORARRAY(Sintesi!$C$15),1,$C270))*($E270&lt;INDEX(_xlfn.ANCHORARRAY(Sintesi!$C$16),1,$C270))*(INDEX(_xlfn.ANCHORARRAY(Sintesi!$C$15),1,$C270)&gt;0),2,IF($E270=(INDEX(_xlfn.ANCHORARRAY(Sintesi!$C$16),1,$C270)),3,4)))),0)))</f>
        <v/>
      </c>
      <c r="E270" s="1">
        <f>'Paste cell here'!F270</f>
        <v/>
      </c>
      <c r="F270" s="1">
        <f>'Paste cell here'!C270</f>
        <v/>
      </c>
      <c r="G270" s="1">
        <f>'Paste cell here'!D270</f>
        <v/>
      </c>
      <c r="H270" s="1">
        <f>'Paste cell here'!E270</f>
        <v/>
      </c>
      <c r="I270" s="1">
        <f>'Paste cell here'!X270</f>
        <v/>
      </c>
      <c r="J270" s="1">
        <f>'Paste cell here'!Y270+'Paste cell here'!S270</f>
        <v/>
      </c>
      <c r="K270" s="1">
        <f>I270/H270</f>
        <v/>
      </c>
      <c r="L270" s="1">
        <f>AVERAGE(($F270+$G270)/2-($F270-$G270)/2*COS(PI()*(8-VLOOKUP(MONTH(B270),$O$1:$Q$13,3))/(VLOOKUP(MONTH(B270),$O$1:$Q$13,2)-VLOOKUP(MONTH(B270),$O$1:$Q$13,3))),($F270+$G270)/2-($F270-$G270)/2*COS(PI()*(9-VLOOKUP(MONTH(B270),$O$1:$Q$13,3))/(VLOOKUP(MONTH(B270),$O$1:$Q$13,2)-VLOOKUP(MONTH(B270),$O$1:$Q$13,3))),($F270+$G270)/2-($F270-$G270)/2*COS(PI()*(10-VLOOKUP(MONTH(B270),$O$1:$Q$13,3))/(VLOOKUP(MONTH(B270),$O$1:$Q$13,2)-VLOOKUP(MONTH(B270),$O$1:$Q$13,3))),($F270+$G270)/2-($F270-$G270)/2*COS(PI()*(11-VLOOKUP(MONTH(B270),$O$1:$Q$13,3))/(VLOOKUP(MONTH(B270),$O$1:$Q$13,2)-VLOOKUP(MONTH(B270),$O$1:$Q$13,3))),($F270+$G270)/2-($F270-$G270)/2*COS(PI()*(12-VLOOKUP(MONTH(B270),$O$1:$Q$13,3))/(VLOOKUP(MONTH(B270),$O$1:$Q$13,2)-VLOOKUP(MONTH(B270),$O$1:$Q$13,3))),($F270+$G270)/2-($F270-$G270)/2*COS(PI()*(13-VLOOKUP(MONTH(B270),$O$1:$Q$13,3))/(VLOOKUP(MONTH(B270),$O$1:$Q$13,2)-VLOOKUP(MONTH(B270),$O$1:$Q$13,3))),($F270+$G270)/2-($F270-$G270)/2*COS(PI()*(14-VLOOKUP(MONTH(B270),$O$1:$Q$13,3))/(VLOOKUP(MONTH(B270),$O$1:$Q$13,2)-VLOOKUP(MONTH(B270),$O$1:$Q$13,3))))</f>
        <v/>
      </c>
      <c r="M270" s="1">
        <f t="array" ref="M270">IF(AND(A270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,A270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),IF(L270&lt;_xlfn.IFNA(INDEX(_xlfn.ANCHORARRAY(Sintesi!$C$17)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,1,IF(L270&gt;=_xlfn.IFNA(INDEX(_xlfn.ANCHORARRAY(Sintesi!$C$18)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,0,1-(L270-_xlfn.IFNA(INDEX(_xlfn.ANCHORARRAY(Sintesi!$C$17)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)/(_xlfn.IFNA(INDEX(_xlfn.ANCHORARRAY(Sintesi!$C$18)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-_xlfn.IFNA(INDEX(_xlfn.ANCHORARRAY(Sintesi!$C$17)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))),0)</f>
        <v/>
      </c>
    </row>
    <row r="271">
      <c r="A271" s="1">
        <f>'Paste cell here'!A271</f>
        <v/>
      </c>
      <c r="B271" s="2">
        <f>DATE(Sintesi!$C$4-1,12,31)+A271</f>
        <v/>
      </c>
      <c r="C271" s="34">
        <f t="array" ref="C271">_xlfn.IFNA(MATCH(1,(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)*(_xlfn.ANCHORARRAY(Sintesi!$C$15)&gt;=0)+(_xlfn.ANCHORARRAY(Sintesi!$C$15)&lt;0),0),0)</f>
        <v/>
      </c>
      <c r="D271" s="1">
        <f t="array" ref="D271">IF(ISBLANK($E272),IF(ISNUMBER($E270),IF($C271&gt;0,IF(($E271=INDEX(_xlfn.ANCHORARRAY(Sintesi!$C$14),1,$C271))*(INDEX(_xlfn.ANCHORARRAY(Sintesi!$C$15),1,$C271)&gt;0),0,IF(($E271=INDEX(_xlfn.ANCHORARRAY(Sintesi!$C$14),1,$C271))*(INDEX(_xlfn.ANCHORARRAY(Sintesi!$C$15),1,$C271)&lt;0)+($E271&gt;=$E270)*($E271&lt;=INDEX($E:$E,MATCH(TRUE,INDEX((ISNUMBER($E:$E)),0),0)))*($E271&gt;INDEX(_xlfn.ANCHORARRAY(Sintesi!$C$14),1,$C271))*($E271&lt;=INDEX(_xlfn.ANCHORARRAY(Sintesi!$C$15),1,$C271))*(INDEX(_xlfn.ANCHORARRAY(Sintesi!$C$15),1,$C271)&gt;0),1,IF(($E271&gt;=$E270)*($E271&lt;=INDEX($E:$E,MATCH(TRUE,INDEX((ISNUMBER($E:$E)),0),0)))*($E271&gt;INDEX(_xlfn.ANCHORARRAY(Sintesi!$C$14),1,$C271))*($E271&lt;INDEX(_xlfn.ANCHORARRAY(Sintesi!$C$16),1,$C271))*(INDEX(_xlfn.ANCHORARRAY(Sintesi!$C$15),1,$C271)&lt;0)+($E271&gt;=$E270)*($E271&lt;=INDEX($E:$E,MATCH(TRUE,INDEX((ISNUMBER($E:$E)),0),0)))*($E271&gt;INDEX(_xlfn.ANCHORARRAY(Sintesi!$C$15),1,$C271))*($E271&lt;INDEX(_xlfn.ANCHORARRAY(Sintesi!$C$16),1,$C271))*(INDEX(_xlfn.ANCHORARRAY(Sintesi!$C$15),1,$C271)&gt;0),2,IF($E271=(INDEX(_xlfn.ANCHORARRAY(Sintesi!$C$16),1,$C271)),3,4)))),0),IF($C271&gt;0,IF(($E271=INDEX(_xlfn.ANCHORARRAY(Sintesi!$C$14),1,$C271))*(INDEX(_xlfn.ANCHORARRAY(Sintesi!$C$15),1,$C271)&gt;0),0,IF(($E271=INDEX(_xlfn.ANCHORARRAY(Sintesi!$C$14),1,$C271))*(INDEX(_xlfn.ANCHORARRAY(Sintesi!$C$15),1,$C271)&lt;0)+($E271&gt;=LOOKUP(2,1/($E:$E&lt;&gt;""),$E:$E))*($E271&lt;=INDEX($E:$E,MATCH(TRUE,INDEX((ISNUMBER($E:$E)),0),0)))*($E271&gt;INDEX(_xlfn.ANCHORARRAY(Sintesi!$C$14),1,$C271))*($E271&lt;=INDEX(_xlfn.ANCHORARRAY(Sintesi!$C$15),1,$C271))*(INDEX(_xlfn.ANCHORARRAY(Sintesi!$C$15),1,$C271)&gt;0),1,IF(($E271&gt;=LOOKUP(2,1/($E:$E&lt;&gt;""),$E:$E))*($E271&lt;=INDEX($E:$E,MATCH(TRUE,INDEX((ISNUMBER($E:$E)),0),0)))*($E271&gt;INDEX(_xlfn.ANCHORARRAY(Sintesi!$C$14),1,$C271))*($E271&lt;INDEX(_xlfn.ANCHORARRAY(Sintesi!$C$16),1,$C271))*(INDEX(_xlfn.ANCHORARRAY(Sintesi!$C$15),1,$C271)&lt;0)+($E271&gt;=LOOKUP(2,1/($E:$E&lt;&gt;""),$E:$E))*($E271&lt;=INDEX($E:$E,MATCH(TRUE,INDEX((ISNUMBER($E:$E)),0),0)))*($E271&gt;INDEX(_xlfn.ANCHORARRAY(Sintesi!$C$15),1,$C271))*($E271&lt;INDEX(_xlfn.ANCHORARRAY(Sintesi!$C$16),1,$C271))*(INDEX(_xlfn.ANCHORARRAY(Sintesi!$C$15),1,$C271)&gt;0),2,IF($E271=(INDEX(_xlfn.ANCHORARRAY(Sintesi!$C$16),1,$C271)),3,4)))),0)),IF(ISNUMBER($E270),IF($C271&gt;0,IF(($E271=INDEX(_xlfn.ANCHORARRAY(Sintesi!$C$14),1,$C271))*(INDEX(_xlfn.ANCHORARRAY(Sintesi!$C$15),1,$C271)&gt;0),0,IF(($E271=INDEX(_xlfn.ANCHORARRAY(Sintesi!$C$14),1,$C271))*(INDEX(_xlfn.ANCHORARRAY(Sintesi!$C$15),1,$C271)&lt;0)+($E271&gt;=$E270)*($E271&lt;=$E272)*($E271&gt;INDEX(_xlfn.ANCHORARRAY(Sintesi!$C$14),1,$C271))*($E271&lt;=INDEX(_xlfn.ANCHORARRAY(Sintesi!$C$15),1,$C271))*(INDEX(_xlfn.ANCHORARRAY(Sintesi!$C$15),1,$C271)&gt;0),1,IF(($E271&gt;=$E270)*($E271&lt;=$E272)*($E271&gt;INDEX(_xlfn.ANCHORARRAY(Sintesi!$C$14),1,$C271))*($E271&lt;INDEX(_xlfn.ANCHORARRAY(Sintesi!$C$16),1,$C271))*(INDEX(_xlfn.ANCHORARRAY(Sintesi!$C$15),1,$C271)&lt;0)+($E271&gt;=$E270)*($E271&lt;=$E272)*($E271&gt;INDEX(_xlfn.ANCHORARRAY(Sintesi!$C$15),1,$C271))*($E271&lt;INDEX(_xlfn.ANCHORARRAY(Sintesi!$C$16),1,$C271))*(INDEX(_xlfn.ANCHORARRAY(Sintesi!$C$15),1,$C271)&gt;0),2,IF($E271=(INDEX(_xlfn.ANCHORARRAY(Sintesi!$C$16),1,$C271)),3,4)))),0),IF($C271&gt;0,IF(($E271=INDEX(_xlfn.ANCHORARRAY(Sintesi!$C$14),1,$C271))*(INDEX(_xlfn.ANCHORARRAY(Sintesi!$C$15),1,$C271)&gt;0),0,IF(($E271=INDEX(_xlfn.ANCHORARRAY(Sintesi!$C$14),1,$C271))*(INDEX(_xlfn.ANCHORARRAY(Sintesi!$C$15),1,$C271)&lt;0)+($E271&gt;=LOOKUP(2,1/($E:$E&lt;&gt;""),$E:$E))*($E271&lt;=$E272)*($E271&gt;INDEX(_xlfn.ANCHORARRAY(Sintesi!$C$14),1,$C271))*($E271&lt;=INDEX(_xlfn.ANCHORARRAY(Sintesi!$C$15),1,$C271))*(INDEX(_xlfn.ANCHORARRAY(Sintesi!$C$15),1,$C271)&gt;0),1,IF(($E271&gt;=LOOKUP(2,1/($E:$E&lt;&gt;""),$E:$E))*($E271&lt;=$E272)*($E271&gt;INDEX(_xlfn.ANCHORARRAY(Sintesi!$C$14),1,$C271))*($E271&lt;INDEX(_xlfn.ANCHORARRAY(Sintesi!$C$16),1,$C271))*(INDEX(_xlfn.ANCHORARRAY(Sintesi!$C$15),1,$C271)&lt;0)+($E271&gt;=LOOKUP(2,1/($E:$E&lt;&gt;""),$E:$E))*($E271&lt;=$E272)*($E271&gt;INDEX(_xlfn.ANCHORARRAY(Sintesi!$C$15),1,$C271))*($E271&lt;INDEX(_xlfn.ANCHORARRAY(Sintesi!$C$16),1,$C271))*(INDEX(_xlfn.ANCHORARRAY(Sintesi!$C$15),1,$C271)&gt;0),2,IF($E271=(INDEX(_xlfn.ANCHORARRAY(Sintesi!$C$16),1,$C271)),3,4)))),0)))</f>
        <v/>
      </c>
      <c r="E271" s="1">
        <f>'Paste cell here'!F271</f>
        <v/>
      </c>
      <c r="F271" s="1">
        <f>'Paste cell here'!C271</f>
        <v/>
      </c>
      <c r="G271" s="1">
        <f>'Paste cell here'!D271</f>
        <v/>
      </c>
      <c r="H271" s="1">
        <f>'Paste cell here'!E271</f>
        <v/>
      </c>
      <c r="I271" s="1">
        <f>'Paste cell here'!X271</f>
        <v/>
      </c>
      <c r="J271" s="1">
        <f>'Paste cell here'!Y271+'Paste cell here'!S271</f>
        <v/>
      </c>
      <c r="K271" s="1">
        <f>I271/H271</f>
        <v/>
      </c>
      <c r="L271" s="1">
        <f>AVERAGE(($F271+$G271)/2-($F271-$G271)/2*COS(PI()*(8-VLOOKUP(MONTH(B271),$O$1:$Q$13,3))/(VLOOKUP(MONTH(B271),$O$1:$Q$13,2)-VLOOKUP(MONTH(B271),$O$1:$Q$13,3))),($F271+$G271)/2-($F271-$G271)/2*COS(PI()*(9-VLOOKUP(MONTH(B271),$O$1:$Q$13,3))/(VLOOKUP(MONTH(B271),$O$1:$Q$13,2)-VLOOKUP(MONTH(B271),$O$1:$Q$13,3))),($F271+$G271)/2-($F271-$G271)/2*COS(PI()*(10-VLOOKUP(MONTH(B271),$O$1:$Q$13,3))/(VLOOKUP(MONTH(B271),$O$1:$Q$13,2)-VLOOKUP(MONTH(B271),$O$1:$Q$13,3))),($F271+$G271)/2-($F271-$G271)/2*COS(PI()*(11-VLOOKUP(MONTH(B271),$O$1:$Q$13,3))/(VLOOKUP(MONTH(B271),$O$1:$Q$13,2)-VLOOKUP(MONTH(B271),$O$1:$Q$13,3))),($F271+$G271)/2-($F271-$G271)/2*COS(PI()*(12-VLOOKUP(MONTH(B271),$O$1:$Q$13,3))/(VLOOKUP(MONTH(B271),$O$1:$Q$13,2)-VLOOKUP(MONTH(B271),$O$1:$Q$13,3))),($F271+$G271)/2-($F271-$G271)/2*COS(PI()*(13-VLOOKUP(MONTH(B271),$O$1:$Q$13,3))/(VLOOKUP(MONTH(B271),$O$1:$Q$13,2)-VLOOKUP(MONTH(B271),$O$1:$Q$13,3))),($F271+$G271)/2-($F271-$G271)/2*COS(PI()*(14-VLOOKUP(MONTH(B271),$O$1:$Q$13,3))/(VLOOKUP(MONTH(B271),$O$1:$Q$13,2)-VLOOKUP(MONTH(B271),$O$1:$Q$13,3))))</f>
        <v/>
      </c>
      <c r="M271" s="1">
        <f t="array" ref="M271">IF(AND(A271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,A271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),IF(L271&lt;_xlfn.IFNA(INDEX(_xlfn.ANCHORARRAY(Sintesi!$C$17)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,1,IF(L271&gt;=_xlfn.IFNA(INDEX(_xlfn.ANCHORARRAY(Sintesi!$C$18)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,0,1-(L271-_xlfn.IFNA(INDEX(_xlfn.ANCHORARRAY(Sintesi!$C$17)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)/(_xlfn.IFNA(INDEX(_xlfn.ANCHORARRAY(Sintesi!$C$18)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-_xlfn.IFNA(INDEX(_xlfn.ANCHORARRAY(Sintesi!$C$17)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))),0)</f>
        <v/>
      </c>
    </row>
    <row r="272">
      <c r="A272" s="1">
        <f>'Paste cell here'!A272</f>
        <v/>
      </c>
      <c r="B272" s="2">
        <f>DATE(Sintesi!$C$4-1,12,31)+A272</f>
        <v/>
      </c>
      <c r="C272" s="34">
        <f t="array" ref="C272">_xlfn.IFNA(MATCH(1,(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)*(_xlfn.ANCHORARRAY(Sintesi!$C$15)&gt;=0)+(_xlfn.ANCHORARRAY(Sintesi!$C$15)&lt;0),0),0)</f>
        <v/>
      </c>
      <c r="D272" s="1">
        <f t="array" ref="D272">IF(ISBLANK($E273),IF(ISNUMBER($E271),IF($C272&gt;0,IF(($E272=INDEX(_xlfn.ANCHORARRAY(Sintesi!$C$14),1,$C272))*(INDEX(_xlfn.ANCHORARRAY(Sintesi!$C$15),1,$C272)&gt;0),0,IF(($E272=INDEX(_xlfn.ANCHORARRAY(Sintesi!$C$14),1,$C272))*(INDEX(_xlfn.ANCHORARRAY(Sintesi!$C$15),1,$C272)&lt;0)+($E272&gt;=$E271)*($E272&lt;=INDEX($E:$E,MATCH(TRUE,INDEX((ISNUMBER($E:$E)),0),0)))*($E272&gt;INDEX(_xlfn.ANCHORARRAY(Sintesi!$C$14),1,$C272))*($E272&lt;=INDEX(_xlfn.ANCHORARRAY(Sintesi!$C$15),1,$C272))*(INDEX(_xlfn.ANCHORARRAY(Sintesi!$C$15),1,$C272)&gt;0),1,IF(($E272&gt;=$E271)*($E272&lt;=INDEX($E:$E,MATCH(TRUE,INDEX((ISNUMBER($E:$E)),0),0)))*($E272&gt;INDEX(_xlfn.ANCHORARRAY(Sintesi!$C$14),1,$C272))*($E272&lt;INDEX(_xlfn.ANCHORARRAY(Sintesi!$C$16),1,$C272))*(INDEX(_xlfn.ANCHORARRAY(Sintesi!$C$15),1,$C272)&lt;0)+($E272&gt;=$E271)*($E272&lt;=INDEX($E:$E,MATCH(TRUE,INDEX((ISNUMBER($E:$E)),0),0)))*($E272&gt;INDEX(_xlfn.ANCHORARRAY(Sintesi!$C$15),1,$C272))*($E272&lt;INDEX(_xlfn.ANCHORARRAY(Sintesi!$C$16),1,$C272))*(INDEX(_xlfn.ANCHORARRAY(Sintesi!$C$15),1,$C272)&gt;0),2,IF($E272=(INDEX(_xlfn.ANCHORARRAY(Sintesi!$C$16),1,$C272)),3,4)))),0),IF($C272&gt;0,IF(($E272=INDEX(_xlfn.ANCHORARRAY(Sintesi!$C$14),1,$C272))*(INDEX(_xlfn.ANCHORARRAY(Sintesi!$C$15),1,$C272)&gt;0),0,IF(($E272=INDEX(_xlfn.ANCHORARRAY(Sintesi!$C$14),1,$C272))*(INDEX(_xlfn.ANCHORARRAY(Sintesi!$C$15),1,$C272)&lt;0)+($E272&gt;=LOOKUP(2,1/($E:$E&lt;&gt;""),$E:$E))*($E272&lt;=INDEX($E:$E,MATCH(TRUE,INDEX((ISNUMBER($E:$E)),0),0)))*($E272&gt;INDEX(_xlfn.ANCHORARRAY(Sintesi!$C$14),1,$C272))*($E272&lt;=INDEX(_xlfn.ANCHORARRAY(Sintesi!$C$15),1,$C272))*(INDEX(_xlfn.ANCHORARRAY(Sintesi!$C$15),1,$C272)&gt;0),1,IF(($E272&gt;=LOOKUP(2,1/($E:$E&lt;&gt;""),$E:$E))*($E272&lt;=INDEX($E:$E,MATCH(TRUE,INDEX((ISNUMBER($E:$E)),0),0)))*($E272&gt;INDEX(_xlfn.ANCHORARRAY(Sintesi!$C$14),1,$C272))*($E272&lt;INDEX(_xlfn.ANCHORARRAY(Sintesi!$C$16),1,$C272))*(INDEX(_xlfn.ANCHORARRAY(Sintesi!$C$15),1,$C272)&lt;0)+($E272&gt;=LOOKUP(2,1/($E:$E&lt;&gt;""),$E:$E))*($E272&lt;=INDEX($E:$E,MATCH(TRUE,INDEX((ISNUMBER($E:$E)),0),0)))*($E272&gt;INDEX(_xlfn.ANCHORARRAY(Sintesi!$C$15),1,$C272))*($E272&lt;INDEX(_xlfn.ANCHORARRAY(Sintesi!$C$16),1,$C272))*(INDEX(_xlfn.ANCHORARRAY(Sintesi!$C$15),1,$C272)&gt;0),2,IF($E272=(INDEX(_xlfn.ANCHORARRAY(Sintesi!$C$16),1,$C272)),3,4)))),0)),IF(ISNUMBER($E271),IF($C272&gt;0,IF(($E272=INDEX(_xlfn.ANCHORARRAY(Sintesi!$C$14),1,$C272))*(INDEX(_xlfn.ANCHORARRAY(Sintesi!$C$15),1,$C272)&gt;0),0,IF(($E272=INDEX(_xlfn.ANCHORARRAY(Sintesi!$C$14),1,$C272))*(INDEX(_xlfn.ANCHORARRAY(Sintesi!$C$15),1,$C272)&lt;0)+($E272&gt;=$E271)*($E272&lt;=$E273)*($E272&gt;INDEX(_xlfn.ANCHORARRAY(Sintesi!$C$14),1,$C272))*($E272&lt;=INDEX(_xlfn.ANCHORARRAY(Sintesi!$C$15),1,$C272))*(INDEX(_xlfn.ANCHORARRAY(Sintesi!$C$15),1,$C272)&gt;0),1,IF(($E272&gt;=$E271)*($E272&lt;=$E273)*($E272&gt;INDEX(_xlfn.ANCHORARRAY(Sintesi!$C$14),1,$C272))*($E272&lt;INDEX(_xlfn.ANCHORARRAY(Sintesi!$C$16),1,$C272))*(INDEX(_xlfn.ANCHORARRAY(Sintesi!$C$15),1,$C272)&lt;0)+($E272&gt;=$E271)*($E272&lt;=$E273)*($E272&gt;INDEX(_xlfn.ANCHORARRAY(Sintesi!$C$15),1,$C272))*($E272&lt;INDEX(_xlfn.ANCHORARRAY(Sintesi!$C$16),1,$C272))*(INDEX(_xlfn.ANCHORARRAY(Sintesi!$C$15),1,$C272)&gt;0),2,IF($E272=(INDEX(_xlfn.ANCHORARRAY(Sintesi!$C$16),1,$C272)),3,4)))),0),IF($C272&gt;0,IF(($E272=INDEX(_xlfn.ANCHORARRAY(Sintesi!$C$14),1,$C272))*(INDEX(_xlfn.ANCHORARRAY(Sintesi!$C$15),1,$C272)&gt;0),0,IF(($E272=INDEX(_xlfn.ANCHORARRAY(Sintesi!$C$14),1,$C272))*(INDEX(_xlfn.ANCHORARRAY(Sintesi!$C$15),1,$C272)&lt;0)+($E272&gt;=LOOKUP(2,1/($E:$E&lt;&gt;""),$E:$E))*($E272&lt;=$E273)*($E272&gt;INDEX(_xlfn.ANCHORARRAY(Sintesi!$C$14),1,$C272))*($E272&lt;=INDEX(_xlfn.ANCHORARRAY(Sintesi!$C$15),1,$C272))*(INDEX(_xlfn.ANCHORARRAY(Sintesi!$C$15),1,$C272)&gt;0),1,IF(($E272&gt;=LOOKUP(2,1/($E:$E&lt;&gt;""),$E:$E))*($E272&lt;=$E273)*($E272&gt;INDEX(_xlfn.ANCHORARRAY(Sintesi!$C$14),1,$C272))*($E272&lt;INDEX(_xlfn.ANCHORARRAY(Sintesi!$C$16),1,$C272))*(INDEX(_xlfn.ANCHORARRAY(Sintesi!$C$15),1,$C272)&lt;0)+($E272&gt;=LOOKUP(2,1/($E:$E&lt;&gt;""),$E:$E))*($E272&lt;=$E273)*($E272&gt;INDEX(_xlfn.ANCHORARRAY(Sintesi!$C$15),1,$C272))*($E272&lt;INDEX(_xlfn.ANCHORARRAY(Sintesi!$C$16),1,$C272))*(INDEX(_xlfn.ANCHORARRAY(Sintesi!$C$15),1,$C272)&gt;0),2,IF($E272=(INDEX(_xlfn.ANCHORARRAY(Sintesi!$C$16),1,$C272)),3,4)))),0)))</f>
        <v/>
      </c>
      <c r="E272" s="1">
        <f>'Paste cell here'!F272</f>
        <v/>
      </c>
      <c r="F272" s="1">
        <f>'Paste cell here'!C272</f>
        <v/>
      </c>
      <c r="G272" s="1">
        <f>'Paste cell here'!D272</f>
        <v/>
      </c>
      <c r="H272" s="1">
        <f>'Paste cell here'!E272</f>
        <v/>
      </c>
      <c r="I272" s="1">
        <f>'Paste cell here'!X272</f>
        <v/>
      </c>
      <c r="J272" s="1">
        <f>'Paste cell here'!Y272+'Paste cell here'!S272</f>
        <v/>
      </c>
      <c r="K272" s="1">
        <f>I272/H272</f>
        <v/>
      </c>
      <c r="L272" s="1">
        <f>AVERAGE(($F272+$G272)/2-($F272-$G272)/2*COS(PI()*(8-VLOOKUP(MONTH(B272),$O$1:$Q$13,3))/(VLOOKUP(MONTH(B272),$O$1:$Q$13,2)-VLOOKUP(MONTH(B272),$O$1:$Q$13,3))),($F272+$G272)/2-($F272-$G272)/2*COS(PI()*(9-VLOOKUP(MONTH(B272),$O$1:$Q$13,3))/(VLOOKUP(MONTH(B272),$O$1:$Q$13,2)-VLOOKUP(MONTH(B272),$O$1:$Q$13,3))),($F272+$G272)/2-($F272-$G272)/2*COS(PI()*(10-VLOOKUP(MONTH(B272),$O$1:$Q$13,3))/(VLOOKUP(MONTH(B272),$O$1:$Q$13,2)-VLOOKUP(MONTH(B272),$O$1:$Q$13,3))),($F272+$G272)/2-($F272-$G272)/2*COS(PI()*(11-VLOOKUP(MONTH(B272),$O$1:$Q$13,3))/(VLOOKUP(MONTH(B272),$O$1:$Q$13,2)-VLOOKUP(MONTH(B272),$O$1:$Q$13,3))),($F272+$G272)/2-($F272-$G272)/2*COS(PI()*(12-VLOOKUP(MONTH(B272),$O$1:$Q$13,3))/(VLOOKUP(MONTH(B272),$O$1:$Q$13,2)-VLOOKUP(MONTH(B272),$O$1:$Q$13,3))),($F272+$G272)/2-($F272-$G272)/2*COS(PI()*(13-VLOOKUP(MONTH(B272),$O$1:$Q$13,3))/(VLOOKUP(MONTH(B272),$O$1:$Q$13,2)-VLOOKUP(MONTH(B272),$O$1:$Q$13,3))),($F272+$G272)/2-($F272-$G272)/2*COS(PI()*(14-VLOOKUP(MONTH(B272),$O$1:$Q$13,3))/(VLOOKUP(MONTH(B272),$O$1:$Q$13,2)-VLOOKUP(MONTH(B272),$O$1:$Q$13,3))))</f>
        <v/>
      </c>
      <c r="M272" s="1">
        <f t="array" ref="M272">IF(AND(A272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,A272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),IF(L272&lt;_xlfn.IFNA(INDEX(_xlfn.ANCHORARRAY(Sintesi!$C$17)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,1,IF(L272&gt;=_xlfn.IFNA(INDEX(_xlfn.ANCHORARRAY(Sintesi!$C$18)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,0,1-(L272-_xlfn.IFNA(INDEX(_xlfn.ANCHORARRAY(Sintesi!$C$17)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)/(_xlfn.IFNA(INDEX(_xlfn.ANCHORARRAY(Sintesi!$C$18)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-_xlfn.IFNA(INDEX(_xlfn.ANCHORARRAY(Sintesi!$C$17)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))),0)</f>
        <v/>
      </c>
    </row>
    <row r="273">
      <c r="A273" s="1">
        <f>'Paste cell here'!A273</f>
        <v/>
      </c>
      <c r="B273" s="2">
        <f>DATE(Sintesi!$C$4-1,12,31)+A273</f>
        <v/>
      </c>
      <c r="C273" s="34">
        <f t="array" ref="C273">_xlfn.IFNA(MATCH(1,(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)*(_xlfn.ANCHORARRAY(Sintesi!$C$15)&gt;=0)+(_xlfn.ANCHORARRAY(Sintesi!$C$15)&lt;0),0),0)</f>
        <v/>
      </c>
      <c r="D273" s="1">
        <f t="array" ref="D273">IF(ISBLANK($E274),IF(ISNUMBER($E272),IF($C273&gt;0,IF(($E273=INDEX(_xlfn.ANCHORARRAY(Sintesi!$C$14),1,$C273))*(INDEX(_xlfn.ANCHORARRAY(Sintesi!$C$15),1,$C273)&gt;0),0,IF(($E273=INDEX(_xlfn.ANCHORARRAY(Sintesi!$C$14),1,$C273))*(INDEX(_xlfn.ANCHORARRAY(Sintesi!$C$15),1,$C273)&lt;0)+($E273&gt;=$E272)*($E273&lt;=INDEX($E:$E,MATCH(TRUE,INDEX((ISNUMBER($E:$E)),0),0)))*($E273&gt;INDEX(_xlfn.ANCHORARRAY(Sintesi!$C$14),1,$C273))*($E273&lt;=INDEX(_xlfn.ANCHORARRAY(Sintesi!$C$15),1,$C273))*(INDEX(_xlfn.ANCHORARRAY(Sintesi!$C$15),1,$C273)&gt;0),1,IF(($E273&gt;=$E272)*($E273&lt;=INDEX($E:$E,MATCH(TRUE,INDEX((ISNUMBER($E:$E)),0),0)))*($E273&gt;INDEX(_xlfn.ANCHORARRAY(Sintesi!$C$14),1,$C273))*($E273&lt;INDEX(_xlfn.ANCHORARRAY(Sintesi!$C$16),1,$C273))*(INDEX(_xlfn.ANCHORARRAY(Sintesi!$C$15),1,$C273)&lt;0)+($E273&gt;=$E272)*($E273&lt;=INDEX($E:$E,MATCH(TRUE,INDEX((ISNUMBER($E:$E)),0),0)))*($E273&gt;INDEX(_xlfn.ANCHORARRAY(Sintesi!$C$15),1,$C273))*($E273&lt;INDEX(_xlfn.ANCHORARRAY(Sintesi!$C$16),1,$C273))*(INDEX(_xlfn.ANCHORARRAY(Sintesi!$C$15),1,$C273)&gt;0),2,IF($E273=(INDEX(_xlfn.ANCHORARRAY(Sintesi!$C$16),1,$C273)),3,4)))),0),IF($C273&gt;0,IF(($E273=INDEX(_xlfn.ANCHORARRAY(Sintesi!$C$14),1,$C273))*(INDEX(_xlfn.ANCHORARRAY(Sintesi!$C$15),1,$C273)&gt;0),0,IF(($E273=INDEX(_xlfn.ANCHORARRAY(Sintesi!$C$14),1,$C273))*(INDEX(_xlfn.ANCHORARRAY(Sintesi!$C$15),1,$C273)&lt;0)+($E273&gt;=LOOKUP(2,1/($E:$E&lt;&gt;""),$E:$E))*($E273&lt;=INDEX($E:$E,MATCH(TRUE,INDEX((ISNUMBER($E:$E)),0),0)))*($E273&gt;INDEX(_xlfn.ANCHORARRAY(Sintesi!$C$14),1,$C273))*($E273&lt;=INDEX(_xlfn.ANCHORARRAY(Sintesi!$C$15),1,$C273))*(INDEX(_xlfn.ANCHORARRAY(Sintesi!$C$15),1,$C273)&gt;0),1,IF(($E273&gt;=LOOKUP(2,1/($E:$E&lt;&gt;""),$E:$E))*($E273&lt;=INDEX($E:$E,MATCH(TRUE,INDEX((ISNUMBER($E:$E)),0),0)))*($E273&gt;INDEX(_xlfn.ANCHORARRAY(Sintesi!$C$14),1,$C273))*($E273&lt;INDEX(_xlfn.ANCHORARRAY(Sintesi!$C$16),1,$C273))*(INDEX(_xlfn.ANCHORARRAY(Sintesi!$C$15),1,$C273)&lt;0)+($E273&gt;=LOOKUP(2,1/($E:$E&lt;&gt;""),$E:$E))*($E273&lt;=INDEX($E:$E,MATCH(TRUE,INDEX((ISNUMBER($E:$E)),0),0)))*($E273&gt;INDEX(_xlfn.ANCHORARRAY(Sintesi!$C$15),1,$C273))*($E273&lt;INDEX(_xlfn.ANCHORARRAY(Sintesi!$C$16),1,$C273))*(INDEX(_xlfn.ANCHORARRAY(Sintesi!$C$15),1,$C273)&gt;0),2,IF($E273=(INDEX(_xlfn.ANCHORARRAY(Sintesi!$C$16),1,$C273)),3,4)))),0)),IF(ISNUMBER($E272),IF($C273&gt;0,IF(($E273=INDEX(_xlfn.ANCHORARRAY(Sintesi!$C$14),1,$C273))*(INDEX(_xlfn.ANCHORARRAY(Sintesi!$C$15),1,$C273)&gt;0),0,IF(($E273=INDEX(_xlfn.ANCHORARRAY(Sintesi!$C$14),1,$C273))*(INDEX(_xlfn.ANCHORARRAY(Sintesi!$C$15),1,$C273)&lt;0)+($E273&gt;=$E272)*($E273&lt;=$E274)*($E273&gt;INDEX(_xlfn.ANCHORARRAY(Sintesi!$C$14),1,$C273))*($E273&lt;=INDEX(_xlfn.ANCHORARRAY(Sintesi!$C$15),1,$C273))*(INDEX(_xlfn.ANCHORARRAY(Sintesi!$C$15),1,$C273)&gt;0),1,IF(($E273&gt;=$E272)*($E273&lt;=$E274)*($E273&gt;INDEX(_xlfn.ANCHORARRAY(Sintesi!$C$14),1,$C273))*($E273&lt;INDEX(_xlfn.ANCHORARRAY(Sintesi!$C$16),1,$C273))*(INDEX(_xlfn.ANCHORARRAY(Sintesi!$C$15),1,$C273)&lt;0)+($E273&gt;=$E272)*($E273&lt;=$E274)*($E273&gt;INDEX(_xlfn.ANCHORARRAY(Sintesi!$C$15),1,$C273))*($E273&lt;INDEX(_xlfn.ANCHORARRAY(Sintesi!$C$16),1,$C273))*(INDEX(_xlfn.ANCHORARRAY(Sintesi!$C$15),1,$C273)&gt;0),2,IF($E273=(INDEX(_xlfn.ANCHORARRAY(Sintesi!$C$16),1,$C273)),3,4)))),0),IF($C273&gt;0,IF(($E273=INDEX(_xlfn.ANCHORARRAY(Sintesi!$C$14),1,$C273))*(INDEX(_xlfn.ANCHORARRAY(Sintesi!$C$15),1,$C273)&gt;0),0,IF(($E273=INDEX(_xlfn.ANCHORARRAY(Sintesi!$C$14),1,$C273))*(INDEX(_xlfn.ANCHORARRAY(Sintesi!$C$15),1,$C273)&lt;0)+($E273&gt;=LOOKUP(2,1/($E:$E&lt;&gt;""),$E:$E))*($E273&lt;=$E274)*($E273&gt;INDEX(_xlfn.ANCHORARRAY(Sintesi!$C$14),1,$C273))*($E273&lt;=INDEX(_xlfn.ANCHORARRAY(Sintesi!$C$15),1,$C273))*(INDEX(_xlfn.ANCHORARRAY(Sintesi!$C$15),1,$C273)&gt;0),1,IF(($E273&gt;=LOOKUP(2,1/($E:$E&lt;&gt;""),$E:$E))*($E273&lt;=$E274)*($E273&gt;INDEX(_xlfn.ANCHORARRAY(Sintesi!$C$14),1,$C273))*($E273&lt;INDEX(_xlfn.ANCHORARRAY(Sintesi!$C$16),1,$C273))*(INDEX(_xlfn.ANCHORARRAY(Sintesi!$C$15),1,$C273)&lt;0)+($E273&gt;=LOOKUP(2,1/($E:$E&lt;&gt;""),$E:$E))*($E273&lt;=$E274)*($E273&gt;INDEX(_xlfn.ANCHORARRAY(Sintesi!$C$15),1,$C273))*($E273&lt;INDEX(_xlfn.ANCHORARRAY(Sintesi!$C$16),1,$C273))*(INDEX(_xlfn.ANCHORARRAY(Sintesi!$C$15),1,$C273)&gt;0),2,IF($E273=(INDEX(_xlfn.ANCHORARRAY(Sintesi!$C$16),1,$C273)),3,4)))),0)))</f>
        <v/>
      </c>
      <c r="E273" s="1">
        <f>'Paste cell here'!F273</f>
        <v/>
      </c>
      <c r="F273" s="1">
        <f>'Paste cell here'!C273</f>
        <v/>
      </c>
      <c r="G273" s="1">
        <f>'Paste cell here'!D273</f>
        <v/>
      </c>
      <c r="H273" s="1">
        <f>'Paste cell here'!E273</f>
        <v/>
      </c>
      <c r="I273" s="1">
        <f>'Paste cell here'!X273</f>
        <v/>
      </c>
      <c r="J273" s="1">
        <f>'Paste cell here'!Y273+'Paste cell here'!S273</f>
        <v/>
      </c>
      <c r="K273" s="1">
        <f>I273/H273</f>
        <v/>
      </c>
      <c r="L273" s="1">
        <f>AVERAGE(($F273+$G273)/2-($F273-$G273)/2*COS(PI()*(8-VLOOKUP(MONTH(B273),$O$1:$Q$13,3))/(VLOOKUP(MONTH(B273),$O$1:$Q$13,2)-VLOOKUP(MONTH(B273),$O$1:$Q$13,3))),($F273+$G273)/2-($F273-$G273)/2*COS(PI()*(9-VLOOKUP(MONTH(B273),$O$1:$Q$13,3))/(VLOOKUP(MONTH(B273),$O$1:$Q$13,2)-VLOOKUP(MONTH(B273),$O$1:$Q$13,3))),($F273+$G273)/2-($F273-$G273)/2*COS(PI()*(10-VLOOKUP(MONTH(B273),$O$1:$Q$13,3))/(VLOOKUP(MONTH(B273),$O$1:$Q$13,2)-VLOOKUP(MONTH(B273),$O$1:$Q$13,3))),($F273+$G273)/2-($F273-$G273)/2*COS(PI()*(11-VLOOKUP(MONTH(B273),$O$1:$Q$13,3))/(VLOOKUP(MONTH(B273),$O$1:$Q$13,2)-VLOOKUP(MONTH(B273),$O$1:$Q$13,3))),($F273+$G273)/2-($F273-$G273)/2*COS(PI()*(12-VLOOKUP(MONTH(B273),$O$1:$Q$13,3))/(VLOOKUP(MONTH(B273),$O$1:$Q$13,2)-VLOOKUP(MONTH(B273),$O$1:$Q$13,3))),($F273+$G273)/2-($F273-$G273)/2*COS(PI()*(13-VLOOKUP(MONTH(B273),$O$1:$Q$13,3))/(VLOOKUP(MONTH(B273),$O$1:$Q$13,2)-VLOOKUP(MONTH(B273),$O$1:$Q$13,3))),($F273+$G273)/2-($F273-$G273)/2*COS(PI()*(14-VLOOKUP(MONTH(B273),$O$1:$Q$13,3))/(VLOOKUP(MONTH(B273),$O$1:$Q$13,2)-VLOOKUP(MONTH(B273),$O$1:$Q$13,3))))</f>
        <v/>
      </c>
      <c r="M273" s="1">
        <f t="array" ref="M273">IF(AND(A273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,A273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),IF(L273&lt;_xlfn.IFNA(INDEX(_xlfn.ANCHORARRAY(Sintesi!$C$17)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,1,IF(L273&gt;=_xlfn.IFNA(INDEX(_xlfn.ANCHORARRAY(Sintesi!$C$18)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,0,1-(L273-_xlfn.IFNA(INDEX(_xlfn.ANCHORARRAY(Sintesi!$C$17)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)/(_xlfn.IFNA(INDEX(_xlfn.ANCHORARRAY(Sintesi!$C$18)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-_xlfn.IFNA(INDEX(_xlfn.ANCHORARRAY(Sintesi!$C$17)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))),0)</f>
        <v/>
      </c>
    </row>
    <row r="274">
      <c r="A274" s="1">
        <f>'Paste cell here'!A274</f>
        <v/>
      </c>
      <c r="B274" s="2">
        <f>DATE(Sintesi!$C$4-1,12,31)+A274</f>
        <v/>
      </c>
      <c r="C274" s="34">
        <f t="array" ref="C274">_xlfn.IFNA(MATCH(1,(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)*(_xlfn.ANCHORARRAY(Sintesi!$C$15)&gt;=0)+(_xlfn.ANCHORARRAY(Sintesi!$C$15)&lt;0),0),0)</f>
        <v/>
      </c>
      <c r="D274" s="1">
        <f t="array" ref="D274">IF(ISBLANK($E275),IF(ISNUMBER($E273),IF($C274&gt;0,IF(($E274=INDEX(_xlfn.ANCHORARRAY(Sintesi!$C$14),1,$C274))*(INDEX(_xlfn.ANCHORARRAY(Sintesi!$C$15),1,$C274)&gt;0),0,IF(($E274=INDEX(_xlfn.ANCHORARRAY(Sintesi!$C$14),1,$C274))*(INDEX(_xlfn.ANCHORARRAY(Sintesi!$C$15),1,$C274)&lt;0)+($E274&gt;=$E273)*($E274&lt;=INDEX($E:$E,MATCH(TRUE,INDEX((ISNUMBER($E:$E)),0),0)))*($E274&gt;INDEX(_xlfn.ANCHORARRAY(Sintesi!$C$14),1,$C274))*($E274&lt;=INDEX(_xlfn.ANCHORARRAY(Sintesi!$C$15),1,$C274))*(INDEX(_xlfn.ANCHORARRAY(Sintesi!$C$15),1,$C274)&gt;0),1,IF(($E274&gt;=$E273)*($E274&lt;=INDEX($E:$E,MATCH(TRUE,INDEX((ISNUMBER($E:$E)),0),0)))*($E274&gt;INDEX(_xlfn.ANCHORARRAY(Sintesi!$C$14),1,$C274))*($E274&lt;INDEX(_xlfn.ANCHORARRAY(Sintesi!$C$16),1,$C274))*(INDEX(_xlfn.ANCHORARRAY(Sintesi!$C$15),1,$C274)&lt;0)+($E274&gt;=$E273)*($E274&lt;=INDEX($E:$E,MATCH(TRUE,INDEX((ISNUMBER($E:$E)),0),0)))*($E274&gt;INDEX(_xlfn.ANCHORARRAY(Sintesi!$C$15),1,$C274))*($E274&lt;INDEX(_xlfn.ANCHORARRAY(Sintesi!$C$16),1,$C274))*(INDEX(_xlfn.ANCHORARRAY(Sintesi!$C$15),1,$C274)&gt;0),2,IF($E274=(INDEX(_xlfn.ANCHORARRAY(Sintesi!$C$16),1,$C274)),3,4)))),0),IF($C274&gt;0,IF(($E274=INDEX(_xlfn.ANCHORARRAY(Sintesi!$C$14),1,$C274))*(INDEX(_xlfn.ANCHORARRAY(Sintesi!$C$15),1,$C274)&gt;0),0,IF(($E274=INDEX(_xlfn.ANCHORARRAY(Sintesi!$C$14),1,$C274))*(INDEX(_xlfn.ANCHORARRAY(Sintesi!$C$15),1,$C274)&lt;0)+($E274&gt;=LOOKUP(2,1/($E:$E&lt;&gt;""),$E:$E))*($E274&lt;=INDEX($E:$E,MATCH(TRUE,INDEX((ISNUMBER($E:$E)),0),0)))*($E274&gt;INDEX(_xlfn.ANCHORARRAY(Sintesi!$C$14),1,$C274))*($E274&lt;=INDEX(_xlfn.ANCHORARRAY(Sintesi!$C$15),1,$C274))*(INDEX(_xlfn.ANCHORARRAY(Sintesi!$C$15),1,$C274)&gt;0),1,IF(($E274&gt;=LOOKUP(2,1/($E:$E&lt;&gt;""),$E:$E))*($E274&lt;=INDEX($E:$E,MATCH(TRUE,INDEX((ISNUMBER($E:$E)),0),0)))*($E274&gt;INDEX(_xlfn.ANCHORARRAY(Sintesi!$C$14),1,$C274))*($E274&lt;INDEX(_xlfn.ANCHORARRAY(Sintesi!$C$16),1,$C274))*(INDEX(_xlfn.ANCHORARRAY(Sintesi!$C$15),1,$C274)&lt;0)+($E274&gt;=LOOKUP(2,1/($E:$E&lt;&gt;""),$E:$E))*($E274&lt;=INDEX($E:$E,MATCH(TRUE,INDEX((ISNUMBER($E:$E)),0),0)))*($E274&gt;INDEX(_xlfn.ANCHORARRAY(Sintesi!$C$15),1,$C274))*($E274&lt;INDEX(_xlfn.ANCHORARRAY(Sintesi!$C$16),1,$C274))*(INDEX(_xlfn.ANCHORARRAY(Sintesi!$C$15),1,$C274)&gt;0),2,IF($E274=(INDEX(_xlfn.ANCHORARRAY(Sintesi!$C$16),1,$C274)),3,4)))),0)),IF(ISNUMBER($E273),IF($C274&gt;0,IF(($E274=INDEX(_xlfn.ANCHORARRAY(Sintesi!$C$14),1,$C274))*(INDEX(_xlfn.ANCHORARRAY(Sintesi!$C$15),1,$C274)&gt;0),0,IF(($E274=INDEX(_xlfn.ANCHORARRAY(Sintesi!$C$14),1,$C274))*(INDEX(_xlfn.ANCHORARRAY(Sintesi!$C$15),1,$C274)&lt;0)+($E274&gt;=$E273)*($E274&lt;=$E275)*($E274&gt;INDEX(_xlfn.ANCHORARRAY(Sintesi!$C$14),1,$C274))*($E274&lt;=INDEX(_xlfn.ANCHORARRAY(Sintesi!$C$15),1,$C274))*(INDEX(_xlfn.ANCHORARRAY(Sintesi!$C$15),1,$C274)&gt;0),1,IF(($E274&gt;=$E273)*($E274&lt;=$E275)*($E274&gt;INDEX(_xlfn.ANCHORARRAY(Sintesi!$C$14),1,$C274))*($E274&lt;INDEX(_xlfn.ANCHORARRAY(Sintesi!$C$16),1,$C274))*(INDEX(_xlfn.ANCHORARRAY(Sintesi!$C$15),1,$C274)&lt;0)+($E274&gt;=$E273)*($E274&lt;=$E275)*($E274&gt;INDEX(_xlfn.ANCHORARRAY(Sintesi!$C$15),1,$C274))*($E274&lt;INDEX(_xlfn.ANCHORARRAY(Sintesi!$C$16),1,$C274))*(INDEX(_xlfn.ANCHORARRAY(Sintesi!$C$15),1,$C274)&gt;0),2,IF($E274=(INDEX(_xlfn.ANCHORARRAY(Sintesi!$C$16),1,$C274)),3,4)))),0),IF($C274&gt;0,IF(($E274=INDEX(_xlfn.ANCHORARRAY(Sintesi!$C$14),1,$C274))*(INDEX(_xlfn.ANCHORARRAY(Sintesi!$C$15),1,$C274)&gt;0),0,IF(($E274=INDEX(_xlfn.ANCHORARRAY(Sintesi!$C$14),1,$C274))*(INDEX(_xlfn.ANCHORARRAY(Sintesi!$C$15),1,$C274)&lt;0)+($E274&gt;=LOOKUP(2,1/($E:$E&lt;&gt;""),$E:$E))*($E274&lt;=$E275)*($E274&gt;INDEX(_xlfn.ANCHORARRAY(Sintesi!$C$14),1,$C274))*($E274&lt;=INDEX(_xlfn.ANCHORARRAY(Sintesi!$C$15),1,$C274))*(INDEX(_xlfn.ANCHORARRAY(Sintesi!$C$15),1,$C274)&gt;0),1,IF(($E274&gt;=LOOKUP(2,1/($E:$E&lt;&gt;""),$E:$E))*($E274&lt;=$E275)*($E274&gt;INDEX(_xlfn.ANCHORARRAY(Sintesi!$C$14),1,$C274))*($E274&lt;INDEX(_xlfn.ANCHORARRAY(Sintesi!$C$16),1,$C274))*(INDEX(_xlfn.ANCHORARRAY(Sintesi!$C$15),1,$C274)&lt;0)+($E274&gt;=LOOKUP(2,1/($E:$E&lt;&gt;""),$E:$E))*($E274&lt;=$E275)*($E274&gt;INDEX(_xlfn.ANCHORARRAY(Sintesi!$C$15),1,$C274))*($E274&lt;INDEX(_xlfn.ANCHORARRAY(Sintesi!$C$16),1,$C274))*(INDEX(_xlfn.ANCHORARRAY(Sintesi!$C$15),1,$C274)&gt;0),2,IF($E274=(INDEX(_xlfn.ANCHORARRAY(Sintesi!$C$16),1,$C274)),3,4)))),0)))</f>
        <v/>
      </c>
      <c r="E274" s="1">
        <f>'Paste cell here'!F274</f>
        <v/>
      </c>
      <c r="F274" s="1">
        <f>'Paste cell here'!C274</f>
        <v/>
      </c>
      <c r="G274" s="1">
        <f>'Paste cell here'!D274</f>
        <v/>
      </c>
      <c r="H274" s="1">
        <f>'Paste cell here'!E274</f>
        <v/>
      </c>
      <c r="I274" s="1">
        <f>'Paste cell here'!X274</f>
        <v/>
      </c>
      <c r="J274" s="1">
        <f>'Paste cell here'!Y274+'Paste cell here'!S274</f>
        <v/>
      </c>
      <c r="K274" s="1">
        <f>I274/H274</f>
        <v/>
      </c>
      <c r="L274" s="1">
        <f>AVERAGE(($F274+$G274)/2-($F274-$G274)/2*COS(PI()*(8-VLOOKUP(MONTH(B274),$O$1:$Q$13,3))/(VLOOKUP(MONTH(B274),$O$1:$Q$13,2)-VLOOKUP(MONTH(B274),$O$1:$Q$13,3))),($F274+$G274)/2-($F274-$G274)/2*COS(PI()*(9-VLOOKUP(MONTH(B274),$O$1:$Q$13,3))/(VLOOKUP(MONTH(B274),$O$1:$Q$13,2)-VLOOKUP(MONTH(B274),$O$1:$Q$13,3))),($F274+$G274)/2-($F274-$G274)/2*COS(PI()*(10-VLOOKUP(MONTH(B274),$O$1:$Q$13,3))/(VLOOKUP(MONTH(B274),$O$1:$Q$13,2)-VLOOKUP(MONTH(B274),$O$1:$Q$13,3))),($F274+$G274)/2-($F274-$G274)/2*COS(PI()*(11-VLOOKUP(MONTH(B274),$O$1:$Q$13,3))/(VLOOKUP(MONTH(B274),$O$1:$Q$13,2)-VLOOKUP(MONTH(B274),$O$1:$Q$13,3))),($F274+$G274)/2-($F274-$G274)/2*COS(PI()*(12-VLOOKUP(MONTH(B274),$O$1:$Q$13,3))/(VLOOKUP(MONTH(B274),$O$1:$Q$13,2)-VLOOKUP(MONTH(B274),$O$1:$Q$13,3))),($F274+$G274)/2-($F274-$G274)/2*COS(PI()*(13-VLOOKUP(MONTH(B274),$O$1:$Q$13,3))/(VLOOKUP(MONTH(B274),$O$1:$Q$13,2)-VLOOKUP(MONTH(B274),$O$1:$Q$13,3))),($F274+$G274)/2-($F274-$G274)/2*COS(PI()*(14-VLOOKUP(MONTH(B274),$O$1:$Q$13,3))/(VLOOKUP(MONTH(B274),$O$1:$Q$13,2)-VLOOKUP(MONTH(B274),$O$1:$Q$13,3))))</f>
        <v/>
      </c>
      <c r="M274" s="1">
        <f t="array" ref="M274">IF(AND(A274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,A274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),IF(L274&lt;_xlfn.IFNA(INDEX(_xlfn.ANCHORARRAY(Sintesi!$C$17)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,1,IF(L274&gt;=_xlfn.IFNA(INDEX(_xlfn.ANCHORARRAY(Sintesi!$C$18)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,0,1-(L274-_xlfn.IFNA(INDEX(_xlfn.ANCHORARRAY(Sintesi!$C$17)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)/(_xlfn.IFNA(INDEX(_xlfn.ANCHORARRAY(Sintesi!$C$18)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-_xlfn.IFNA(INDEX(_xlfn.ANCHORARRAY(Sintesi!$C$17)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))),0)</f>
        <v/>
      </c>
    </row>
    <row r="275">
      <c r="A275" s="1">
        <f>'Paste cell here'!A275</f>
        <v/>
      </c>
      <c r="B275" s="2">
        <f>DATE(Sintesi!$C$4-1,12,31)+A275</f>
        <v/>
      </c>
      <c r="C275" s="34">
        <f t="array" ref="C275">_xlfn.IFNA(MATCH(1,(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)*(_xlfn.ANCHORARRAY(Sintesi!$C$15)&gt;=0)+(_xlfn.ANCHORARRAY(Sintesi!$C$15)&lt;0),0),0)</f>
        <v/>
      </c>
      <c r="D275" s="1">
        <f t="array" ref="D275">IF(ISBLANK($E276),IF(ISNUMBER($E274),IF($C275&gt;0,IF(($E275=INDEX(_xlfn.ANCHORARRAY(Sintesi!$C$14),1,$C275))*(INDEX(_xlfn.ANCHORARRAY(Sintesi!$C$15),1,$C275)&gt;0),0,IF(($E275=INDEX(_xlfn.ANCHORARRAY(Sintesi!$C$14),1,$C275))*(INDEX(_xlfn.ANCHORARRAY(Sintesi!$C$15),1,$C275)&lt;0)+($E275&gt;=$E274)*($E275&lt;=INDEX($E:$E,MATCH(TRUE,INDEX((ISNUMBER($E:$E)),0),0)))*($E275&gt;INDEX(_xlfn.ANCHORARRAY(Sintesi!$C$14),1,$C275))*($E275&lt;=INDEX(_xlfn.ANCHORARRAY(Sintesi!$C$15),1,$C275))*(INDEX(_xlfn.ANCHORARRAY(Sintesi!$C$15),1,$C275)&gt;0),1,IF(($E275&gt;=$E274)*($E275&lt;=INDEX($E:$E,MATCH(TRUE,INDEX((ISNUMBER($E:$E)),0),0)))*($E275&gt;INDEX(_xlfn.ANCHORARRAY(Sintesi!$C$14),1,$C275))*($E275&lt;INDEX(_xlfn.ANCHORARRAY(Sintesi!$C$16),1,$C275))*(INDEX(_xlfn.ANCHORARRAY(Sintesi!$C$15),1,$C275)&lt;0)+($E275&gt;=$E274)*($E275&lt;=INDEX($E:$E,MATCH(TRUE,INDEX((ISNUMBER($E:$E)),0),0)))*($E275&gt;INDEX(_xlfn.ANCHORARRAY(Sintesi!$C$15),1,$C275))*($E275&lt;INDEX(_xlfn.ANCHORARRAY(Sintesi!$C$16),1,$C275))*(INDEX(_xlfn.ANCHORARRAY(Sintesi!$C$15),1,$C275)&gt;0),2,IF($E275=(INDEX(_xlfn.ANCHORARRAY(Sintesi!$C$16),1,$C275)),3,4)))),0),IF($C275&gt;0,IF(($E275=INDEX(_xlfn.ANCHORARRAY(Sintesi!$C$14),1,$C275))*(INDEX(_xlfn.ANCHORARRAY(Sintesi!$C$15),1,$C275)&gt;0),0,IF(($E275=INDEX(_xlfn.ANCHORARRAY(Sintesi!$C$14),1,$C275))*(INDEX(_xlfn.ANCHORARRAY(Sintesi!$C$15),1,$C275)&lt;0)+($E275&gt;=LOOKUP(2,1/($E:$E&lt;&gt;""),$E:$E))*($E275&lt;=INDEX($E:$E,MATCH(TRUE,INDEX((ISNUMBER($E:$E)),0),0)))*($E275&gt;INDEX(_xlfn.ANCHORARRAY(Sintesi!$C$14),1,$C275))*($E275&lt;=INDEX(_xlfn.ANCHORARRAY(Sintesi!$C$15),1,$C275))*(INDEX(_xlfn.ANCHORARRAY(Sintesi!$C$15),1,$C275)&gt;0),1,IF(($E275&gt;=LOOKUP(2,1/($E:$E&lt;&gt;""),$E:$E))*($E275&lt;=INDEX($E:$E,MATCH(TRUE,INDEX((ISNUMBER($E:$E)),0),0)))*($E275&gt;INDEX(_xlfn.ANCHORARRAY(Sintesi!$C$14),1,$C275))*($E275&lt;INDEX(_xlfn.ANCHORARRAY(Sintesi!$C$16),1,$C275))*(INDEX(_xlfn.ANCHORARRAY(Sintesi!$C$15),1,$C275)&lt;0)+($E275&gt;=LOOKUP(2,1/($E:$E&lt;&gt;""),$E:$E))*($E275&lt;=INDEX($E:$E,MATCH(TRUE,INDEX((ISNUMBER($E:$E)),0),0)))*($E275&gt;INDEX(_xlfn.ANCHORARRAY(Sintesi!$C$15),1,$C275))*($E275&lt;INDEX(_xlfn.ANCHORARRAY(Sintesi!$C$16),1,$C275))*(INDEX(_xlfn.ANCHORARRAY(Sintesi!$C$15),1,$C275)&gt;0),2,IF($E275=(INDEX(_xlfn.ANCHORARRAY(Sintesi!$C$16),1,$C275)),3,4)))),0)),IF(ISNUMBER($E274),IF($C275&gt;0,IF(($E275=INDEX(_xlfn.ANCHORARRAY(Sintesi!$C$14),1,$C275))*(INDEX(_xlfn.ANCHORARRAY(Sintesi!$C$15),1,$C275)&gt;0),0,IF(($E275=INDEX(_xlfn.ANCHORARRAY(Sintesi!$C$14),1,$C275))*(INDEX(_xlfn.ANCHORARRAY(Sintesi!$C$15),1,$C275)&lt;0)+($E275&gt;=$E274)*($E275&lt;=$E276)*($E275&gt;INDEX(_xlfn.ANCHORARRAY(Sintesi!$C$14),1,$C275))*($E275&lt;=INDEX(_xlfn.ANCHORARRAY(Sintesi!$C$15),1,$C275))*(INDEX(_xlfn.ANCHORARRAY(Sintesi!$C$15),1,$C275)&gt;0),1,IF(($E275&gt;=$E274)*($E275&lt;=$E276)*($E275&gt;INDEX(_xlfn.ANCHORARRAY(Sintesi!$C$14),1,$C275))*($E275&lt;INDEX(_xlfn.ANCHORARRAY(Sintesi!$C$16),1,$C275))*(INDEX(_xlfn.ANCHORARRAY(Sintesi!$C$15),1,$C275)&lt;0)+($E275&gt;=$E274)*($E275&lt;=$E276)*($E275&gt;INDEX(_xlfn.ANCHORARRAY(Sintesi!$C$15),1,$C275))*($E275&lt;INDEX(_xlfn.ANCHORARRAY(Sintesi!$C$16),1,$C275))*(INDEX(_xlfn.ANCHORARRAY(Sintesi!$C$15),1,$C275)&gt;0),2,IF($E275=(INDEX(_xlfn.ANCHORARRAY(Sintesi!$C$16),1,$C275)),3,4)))),0),IF($C275&gt;0,IF(($E275=INDEX(_xlfn.ANCHORARRAY(Sintesi!$C$14),1,$C275))*(INDEX(_xlfn.ANCHORARRAY(Sintesi!$C$15),1,$C275)&gt;0),0,IF(($E275=INDEX(_xlfn.ANCHORARRAY(Sintesi!$C$14),1,$C275))*(INDEX(_xlfn.ANCHORARRAY(Sintesi!$C$15),1,$C275)&lt;0)+($E275&gt;=LOOKUP(2,1/($E:$E&lt;&gt;""),$E:$E))*($E275&lt;=$E276)*($E275&gt;INDEX(_xlfn.ANCHORARRAY(Sintesi!$C$14),1,$C275))*($E275&lt;=INDEX(_xlfn.ANCHORARRAY(Sintesi!$C$15),1,$C275))*(INDEX(_xlfn.ANCHORARRAY(Sintesi!$C$15),1,$C275)&gt;0),1,IF(($E275&gt;=LOOKUP(2,1/($E:$E&lt;&gt;""),$E:$E))*($E275&lt;=$E276)*($E275&gt;INDEX(_xlfn.ANCHORARRAY(Sintesi!$C$14),1,$C275))*($E275&lt;INDEX(_xlfn.ANCHORARRAY(Sintesi!$C$16),1,$C275))*(INDEX(_xlfn.ANCHORARRAY(Sintesi!$C$15),1,$C275)&lt;0)+($E275&gt;=LOOKUP(2,1/($E:$E&lt;&gt;""),$E:$E))*($E275&lt;=$E276)*($E275&gt;INDEX(_xlfn.ANCHORARRAY(Sintesi!$C$15),1,$C275))*($E275&lt;INDEX(_xlfn.ANCHORARRAY(Sintesi!$C$16),1,$C275))*(INDEX(_xlfn.ANCHORARRAY(Sintesi!$C$15),1,$C275)&gt;0),2,IF($E275=(INDEX(_xlfn.ANCHORARRAY(Sintesi!$C$16),1,$C275)),3,4)))),0)))</f>
        <v/>
      </c>
      <c r="E275" s="1">
        <f>'Paste cell here'!F275</f>
        <v/>
      </c>
      <c r="F275" s="1">
        <f>'Paste cell here'!C275</f>
        <v/>
      </c>
      <c r="G275" s="1">
        <f>'Paste cell here'!D275</f>
        <v/>
      </c>
      <c r="H275" s="1">
        <f>'Paste cell here'!E275</f>
        <v/>
      </c>
      <c r="I275" s="1">
        <f>'Paste cell here'!X275</f>
        <v/>
      </c>
      <c r="J275" s="1">
        <f>'Paste cell here'!Y275+'Paste cell here'!S275</f>
        <v/>
      </c>
      <c r="K275" s="1">
        <f>I275/H275</f>
        <v/>
      </c>
      <c r="L275" s="1">
        <f>AVERAGE(($F275+$G275)/2-($F275-$G275)/2*COS(PI()*(8-VLOOKUP(MONTH(B275),$O$1:$Q$13,3))/(VLOOKUP(MONTH(B275),$O$1:$Q$13,2)-VLOOKUP(MONTH(B275),$O$1:$Q$13,3))),($F275+$G275)/2-($F275-$G275)/2*COS(PI()*(9-VLOOKUP(MONTH(B275),$O$1:$Q$13,3))/(VLOOKUP(MONTH(B275),$O$1:$Q$13,2)-VLOOKUP(MONTH(B275),$O$1:$Q$13,3))),($F275+$G275)/2-($F275-$G275)/2*COS(PI()*(10-VLOOKUP(MONTH(B275),$O$1:$Q$13,3))/(VLOOKUP(MONTH(B275),$O$1:$Q$13,2)-VLOOKUP(MONTH(B275),$O$1:$Q$13,3))),($F275+$G275)/2-($F275-$G275)/2*COS(PI()*(11-VLOOKUP(MONTH(B275),$O$1:$Q$13,3))/(VLOOKUP(MONTH(B275),$O$1:$Q$13,2)-VLOOKUP(MONTH(B275),$O$1:$Q$13,3))),($F275+$G275)/2-($F275-$G275)/2*COS(PI()*(12-VLOOKUP(MONTH(B275),$O$1:$Q$13,3))/(VLOOKUP(MONTH(B275),$O$1:$Q$13,2)-VLOOKUP(MONTH(B275),$O$1:$Q$13,3))),($F275+$G275)/2-($F275-$G275)/2*COS(PI()*(13-VLOOKUP(MONTH(B275),$O$1:$Q$13,3))/(VLOOKUP(MONTH(B275),$O$1:$Q$13,2)-VLOOKUP(MONTH(B275),$O$1:$Q$13,3))),($F275+$G275)/2-($F275-$G275)/2*COS(PI()*(14-VLOOKUP(MONTH(B275),$O$1:$Q$13,3))/(VLOOKUP(MONTH(B275),$O$1:$Q$13,2)-VLOOKUP(MONTH(B275),$O$1:$Q$13,3))))</f>
        <v/>
      </c>
      <c r="M275" s="1">
        <f t="array" ref="M275">IF(AND(A275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,A275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),IF(L275&lt;_xlfn.IFNA(INDEX(_xlfn.ANCHORARRAY(Sintesi!$C$17)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,1,IF(L275&gt;=_xlfn.IFNA(INDEX(_xlfn.ANCHORARRAY(Sintesi!$C$18)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,0,1-(L275-_xlfn.IFNA(INDEX(_xlfn.ANCHORARRAY(Sintesi!$C$17)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)/(_xlfn.IFNA(INDEX(_xlfn.ANCHORARRAY(Sintesi!$C$18)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-_xlfn.IFNA(INDEX(_xlfn.ANCHORARRAY(Sintesi!$C$17)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))),0)</f>
        <v/>
      </c>
    </row>
    <row r="276">
      <c r="A276" s="1">
        <f>'Paste cell here'!A276</f>
        <v/>
      </c>
      <c r="B276" s="2">
        <f>DATE(Sintesi!$C$4-1,12,31)+A276</f>
        <v/>
      </c>
      <c r="C276" s="34">
        <f t="array" ref="C276">_xlfn.IFNA(MATCH(1,(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)*(_xlfn.ANCHORARRAY(Sintesi!$C$15)&gt;=0)+(_xlfn.ANCHORARRAY(Sintesi!$C$15)&lt;0),0),0)</f>
        <v/>
      </c>
      <c r="D276" s="1">
        <f t="array" ref="D276">IF(ISBLANK($E277),IF(ISNUMBER($E275),IF($C276&gt;0,IF(($E276=INDEX(_xlfn.ANCHORARRAY(Sintesi!$C$14),1,$C276))*(INDEX(_xlfn.ANCHORARRAY(Sintesi!$C$15),1,$C276)&gt;0),0,IF(($E276=INDEX(_xlfn.ANCHORARRAY(Sintesi!$C$14),1,$C276))*(INDEX(_xlfn.ANCHORARRAY(Sintesi!$C$15),1,$C276)&lt;0)+($E276&gt;=$E275)*($E276&lt;=INDEX($E:$E,MATCH(TRUE,INDEX((ISNUMBER($E:$E)),0),0)))*($E276&gt;INDEX(_xlfn.ANCHORARRAY(Sintesi!$C$14),1,$C276))*($E276&lt;=INDEX(_xlfn.ANCHORARRAY(Sintesi!$C$15),1,$C276))*(INDEX(_xlfn.ANCHORARRAY(Sintesi!$C$15),1,$C276)&gt;0),1,IF(($E276&gt;=$E275)*($E276&lt;=INDEX($E:$E,MATCH(TRUE,INDEX((ISNUMBER($E:$E)),0),0)))*($E276&gt;INDEX(_xlfn.ANCHORARRAY(Sintesi!$C$14),1,$C276))*($E276&lt;INDEX(_xlfn.ANCHORARRAY(Sintesi!$C$16),1,$C276))*(INDEX(_xlfn.ANCHORARRAY(Sintesi!$C$15),1,$C276)&lt;0)+($E276&gt;=$E275)*($E276&lt;=INDEX($E:$E,MATCH(TRUE,INDEX((ISNUMBER($E:$E)),0),0)))*($E276&gt;INDEX(_xlfn.ANCHORARRAY(Sintesi!$C$15),1,$C276))*($E276&lt;INDEX(_xlfn.ANCHORARRAY(Sintesi!$C$16),1,$C276))*(INDEX(_xlfn.ANCHORARRAY(Sintesi!$C$15),1,$C276)&gt;0),2,IF($E276=(INDEX(_xlfn.ANCHORARRAY(Sintesi!$C$16),1,$C276)),3,4)))),0),IF($C276&gt;0,IF(($E276=INDEX(_xlfn.ANCHORARRAY(Sintesi!$C$14),1,$C276))*(INDEX(_xlfn.ANCHORARRAY(Sintesi!$C$15),1,$C276)&gt;0),0,IF(($E276=INDEX(_xlfn.ANCHORARRAY(Sintesi!$C$14),1,$C276))*(INDEX(_xlfn.ANCHORARRAY(Sintesi!$C$15),1,$C276)&lt;0)+($E276&gt;=LOOKUP(2,1/($E:$E&lt;&gt;""),$E:$E))*($E276&lt;=INDEX($E:$E,MATCH(TRUE,INDEX((ISNUMBER($E:$E)),0),0)))*($E276&gt;INDEX(_xlfn.ANCHORARRAY(Sintesi!$C$14),1,$C276))*($E276&lt;=INDEX(_xlfn.ANCHORARRAY(Sintesi!$C$15),1,$C276))*(INDEX(_xlfn.ANCHORARRAY(Sintesi!$C$15),1,$C276)&gt;0),1,IF(($E276&gt;=LOOKUP(2,1/($E:$E&lt;&gt;""),$E:$E))*($E276&lt;=INDEX($E:$E,MATCH(TRUE,INDEX((ISNUMBER($E:$E)),0),0)))*($E276&gt;INDEX(_xlfn.ANCHORARRAY(Sintesi!$C$14),1,$C276))*($E276&lt;INDEX(_xlfn.ANCHORARRAY(Sintesi!$C$16),1,$C276))*(INDEX(_xlfn.ANCHORARRAY(Sintesi!$C$15),1,$C276)&lt;0)+($E276&gt;=LOOKUP(2,1/($E:$E&lt;&gt;""),$E:$E))*($E276&lt;=INDEX($E:$E,MATCH(TRUE,INDEX((ISNUMBER($E:$E)),0),0)))*($E276&gt;INDEX(_xlfn.ANCHORARRAY(Sintesi!$C$15),1,$C276))*($E276&lt;INDEX(_xlfn.ANCHORARRAY(Sintesi!$C$16),1,$C276))*(INDEX(_xlfn.ANCHORARRAY(Sintesi!$C$15),1,$C276)&gt;0),2,IF($E276=(INDEX(_xlfn.ANCHORARRAY(Sintesi!$C$16),1,$C276)),3,4)))),0)),IF(ISNUMBER($E275),IF($C276&gt;0,IF(($E276=INDEX(_xlfn.ANCHORARRAY(Sintesi!$C$14),1,$C276))*(INDEX(_xlfn.ANCHORARRAY(Sintesi!$C$15),1,$C276)&gt;0),0,IF(($E276=INDEX(_xlfn.ANCHORARRAY(Sintesi!$C$14),1,$C276))*(INDEX(_xlfn.ANCHORARRAY(Sintesi!$C$15),1,$C276)&lt;0)+($E276&gt;=$E275)*($E276&lt;=$E277)*($E276&gt;INDEX(_xlfn.ANCHORARRAY(Sintesi!$C$14),1,$C276))*($E276&lt;=INDEX(_xlfn.ANCHORARRAY(Sintesi!$C$15),1,$C276))*(INDEX(_xlfn.ANCHORARRAY(Sintesi!$C$15),1,$C276)&gt;0),1,IF(($E276&gt;=$E275)*($E276&lt;=$E277)*($E276&gt;INDEX(_xlfn.ANCHORARRAY(Sintesi!$C$14),1,$C276))*($E276&lt;INDEX(_xlfn.ANCHORARRAY(Sintesi!$C$16),1,$C276))*(INDEX(_xlfn.ANCHORARRAY(Sintesi!$C$15),1,$C276)&lt;0)+($E276&gt;=$E275)*($E276&lt;=$E277)*($E276&gt;INDEX(_xlfn.ANCHORARRAY(Sintesi!$C$15),1,$C276))*($E276&lt;INDEX(_xlfn.ANCHORARRAY(Sintesi!$C$16),1,$C276))*(INDEX(_xlfn.ANCHORARRAY(Sintesi!$C$15),1,$C276)&gt;0),2,IF($E276=(INDEX(_xlfn.ANCHORARRAY(Sintesi!$C$16),1,$C276)),3,4)))),0),IF($C276&gt;0,IF(($E276=INDEX(_xlfn.ANCHORARRAY(Sintesi!$C$14),1,$C276))*(INDEX(_xlfn.ANCHORARRAY(Sintesi!$C$15),1,$C276)&gt;0),0,IF(($E276=INDEX(_xlfn.ANCHORARRAY(Sintesi!$C$14),1,$C276))*(INDEX(_xlfn.ANCHORARRAY(Sintesi!$C$15),1,$C276)&lt;0)+($E276&gt;=LOOKUP(2,1/($E:$E&lt;&gt;""),$E:$E))*($E276&lt;=$E277)*($E276&gt;INDEX(_xlfn.ANCHORARRAY(Sintesi!$C$14),1,$C276))*($E276&lt;=INDEX(_xlfn.ANCHORARRAY(Sintesi!$C$15),1,$C276))*(INDEX(_xlfn.ANCHORARRAY(Sintesi!$C$15),1,$C276)&gt;0),1,IF(($E276&gt;=LOOKUP(2,1/($E:$E&lt;&gt;""),$E:$E))*($E276&lt;=$E277)*($E276&gt;INDEX(_xlfn.ANCHORARRAY(Sintesi!$C$14),1,$C276))*($E276&lt;INDEX(_xlfn.ANCHORARRAY(Sintesi!$C$16),1,$C276))*(INDEX(_xlfn.ANCHORARRAY(Sintesi!$C$15),1,$C276)&lt;0)+($E276&gt;=LOOKUP(2,1/($E:$E&lt;&gt;""),$E:$E))*($E276&lt;=$E277)*($E276&gt;INDEX(_xlfn.ANCHORARRAY(Sintesi!$C$15),1,$C276))*($E276&lt;INDEX(_xlfn.ANCHORARRAY(Sintesi!$C$16),1,$C276))*(INDEX(_xlfn.ANCHORARRAY(Sintesi!$C$15),1,$C276)&gt;0),2,IF($E276=(INDEX(_xlfn.ANCHORARRAY(Sintesi!$C$16),1,$C276)),3,4)))),0)))</f>
        <v/>
      </c>
      <c r="E276" s="1">
        <f>'Paste cell here'!F276</f>
        <v/>
      </c>
      <c r="F276" s="1">
        <f>'Paste cell here'!C276</f>
        <v/>
      </c>
      <c r="G276" s="1">
        <f>'Paste cell here'!D276</f>
        <v/>
      </c>
      <c r="H276" s="1">
        <f>'Paste cell here'!E276</f>
        <v/>
      </c>
      <c r="I276" s="1">
        <f>'Paste cell here'!X276</f>
        <v/>
      </c>
      <c r="J276" s="1">
        <f>'Paste cell here'!Y276+'Paste cell here'!S276</f>
        <v/>
      </c>
      <c r="K276" s="1">
        <f>I276/H276</f>
        <v/>
      </c>
      <c r="L276" s="1">
        <f>AVERAGE(($F276+$G276)/2-($F276-$G276)/2*COS(PI()*(8-VLOOKUP(MONTH(B276),$O$1:$Q$13,3))/(VLOOKUP(MONTH(B276),$O$1:$Q$13,2)-VLOOKUP(MONTH(B276),$O$1:$Q$13,3))),($F276+$G276)/2-($F276-$G276)/2*COS(PI()*(9-VLOOKUP(MONTH(B276),$O$1:$Q$13,3))/(VLOOKUP(MONTH(B276),$O$1:$Q$13,2)-VLOOKUP(MONTH(B276),$O$1:$Q$13,3))),($F276+$G276)/2-($F276-$G276)/2*COS(PI()*(10-VLOOKUP(MONTH(B276),$O$1:$Q$13,3))/(VLOOKUP(MONTH(B276),$O$1:$Q$13,2)-VLOOKUP(MONTH(B276),$O$1:$Q$13,3))),($F276+$G276)/2-($F276-$G276)/2*COS(PI()*(11-VLOOKUP(MONTH(B276),$O$1:$Q$13,3))/(VLOOKUP(MONTH(B276),$O$1:$Q$13,2)-VLOOKUP(MONTH(B276),$O$1:$Q$13,3))),($F276+$G276)/2-($F276-$G276)/2*COS(PI()*(12-VLOOKUP(MONTH(B276),$O$1:$Q$13,3))/(VLOOKUP(MONTH(B276),$O$1:$Q$13,2)-VLOOKUP(MONTH(B276),$O$1:$Q$13,3))),($F276+$G276)/2-($F276-$G276)/2*COS(PI()*(13-VLOOKUP(MONTH(B276),$O$1:$Q$13,3))/(VLOOKUP(MONTH(B276),$O$1:$Q$13,2)-VLOOKUP(MONTH(B276),$O$1:$Q$13,3))),($F276+$G276)/2-($F276-$G276)/2*COS(PI()*(14-VLOOKUP(MONTH(B276),$O$1:$Q$13,3))/(VLOOKUP(MONTH(B276),$O$1:$Q$13,2)-VLOOKUP(MONTH(B276),$O$1:$Q$13,3))))</f>
        <v/>
      </c>
      <c r="M276" s="1">
        <f t="array" ref="M276">IF(AND(A276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,A276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),IF(L276&lt;_xlfn.IFNA(INDEX(_xlfn.ANCHORARRAY(Sintesi!$C$17)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,1,IF(L276&gt;=_xlfn.IFNA(INDEX(_xlfn.ANCHORARRAY(Sintesi!$C$18)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,0,1-(L276-_xlfn.IFNA(INDEX(_xlfn.ANCHORARRAY(Sintesi!$C$17)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)/(_xlfn.IFNA(INDEX(_xlfn.ANCHORARRAY(Sintesi!$C$18)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-_xlfn.IFNA(INDEX(_xlfn.ANCHORARRAY(Sintesi!$C$17)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))),0)</f>
        <v/>
      </c>
    </row>
    <row r="277">
      <c r="A277" s="1">
        <f>'Paste cell here'!A277</f>
        <v/>
      </c>
      <c r="B277" s="2">
        <f>DATE(Sintesi!$C$4-1,12,31)+A277</f>
        <v/>
      </c>
      <c r="C277" s="34">
        <f t="array" ref="C277">_xlfn.IFNA(MATCH(1,(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)*(_xlfn.ANCHORARRAY(Sintesi!$C$15)&gt;=0)+(_xlfn.ANCHORARRAY(Sintesi!$C$15)&lt;0),0),0)</f>
        <v/>
      </c>
      <c r="D277" s="1">
        <f t="array" ref="D277">IF(ISBLANK($E278),IF(ISNUMBER($E276),IF($C277&gt;0,IF(($E277=INDEX(_xlfn.ANCHORARRAY(Sintesi!$C$14),1,$C277))*(INDEX(_xlfn.ANCHORARRAY(Sintesi!$C$15),1,$C277)&gt;0),0,IF(($E277=INDEX(_xlfn.ANCHORARRAY(Sintesi!$C$14),1,$C277))*(INDEX(_xlfn.ANCHORARRAY(Sintesi!$C$15),1,$C277)&lt;0)+($E277&gt;=$E276)*($E277&lt;=INDEX($E:$E,MATCH(TRUE,INDEX((ISNUMBER($E:$E)),0),0)))*($E277&gt;INDEX(_xlfn.ANCHORARRAY(Sintesi!$C$14),1,$C277))*($E277&lt;=INDEX(_xlfn.ANCHORARRAY(Sintesi!$C$15),1,$C277))*(INDEX(_xlfn.ANCHORARRAY(Sintesi!$C$15),1,$C277)&gt;0),1,IF(($E277&gt;=$E276)*($E277&lt;=INDEX($E:$E,MATCH(TRUE,INDEX((ISNUMBER($E:$E)),0),0)))*($E277&gt;INDEX(_xlfn.ANCHORARRAY(Sintesi!$C$14),1,$C277))*($E277&lt;INDEX(_xlfn.ANCHORARRAY(Sintesi!$C$16),1,$C277))*(INDEX(_xlfn.ANCHORARRAY(Sintesi!$C$15),1,$C277)&lt;0)+($E277&gt;=$E276)*($E277&lt;=INDEX($E:$E,MATCH(TRUE,INDEX((ISNUMBER($E:$E)),0),0)))*($E277&gt;INDEX(_xlfn.ANCHORARRAY(Sintesi!$C$15),1,$C277))*($E277&lt;INDEX(_xlfn.ANCHORARRAY(Sintesi!$C$16),1,$C277))*(INDEX(_xlfn.ANCHORARRAY(Sintesi!$C$15),1,$C277)&gt;0),2,IF($E277=(INDEX(_xlfn.ANCHORARRAY(Sintesi!$C$16),1,$C277)),3,4)))),0),IF($C277&gt;0,IF(($E277=INDEX(_xlfn.ANCHORARRAY(Sintesi!$C$14),1,$C277))*(INDEX(_xlfn.ANCHORARRAY(Sintesi!$C$15),1,$C277)&gt;0),0,IF(($E277=INDEX(_xlfn.ANCHORARRAY(Sintesi!$C$14),1,$C277))*(INDEX(_xlfn.ANCHORARRAY(Sintesi!$C$15),1,$C277)&lt;0)+($E277&gt;=LOOKUP(2,1/($E:$E&lt;&gt;""),$E:$E))*($E277&lt;=INDEX($E:$E,MATCH(TRUE,INDEX((ISNUMBER($E:$E)),0),0)))*($E277&gt;INDEX(_xlfn.ANCHORARRAY(Sintesi!$C$14),1,$C277))*($E277&lt;=INDEX(_xlfn.ANCHORARRAY(Sintesi!$C$15),1,$C277))*(INDEX(_xlfn.ANCHORARRAY(Sintesi!$C$15),1,$C277)&gt;0),1,IF(($E277&gt;=LOOKUP(2,1/($E:$E&lt;&gt;""),$E:$E))*($E277&lt;=INDEX($E:$E,MATCH(TRUE,INDEX((ISNUMBER($E:$E)),0),0)))*($E277&gt;INDEX(_xlfn.ANCHORARRAY(Sintesi!$C$14),1,$C277))*($E277&lt;INDEX(_xlfn.ANCHORARRAY(Sintesi!$C$16),1,$C277))*(INDEX(_xlfn.ANCHORARRAY(Sintesi!$C$15),1,$C277)&lt;0)+($E277&gt;=LOOKUP(2,1/($E:$E&lt;&gt;""),$E:$E))*($E277&lt;=INDEX($E:$E,MATCH(TRUE,INDEX((ISNUMBER($E:$E)),0),0)))*($E277&gt;INDEX(_xlfn.ANCHORARRAY(Sintesi!$C$15),1,$C277))*($E277&lt;INDEX(_xlfn.ANCHORARRAY(Sintesi!$C$16),1,$C277))*(INDEX(_xlfn.ANCHORARRAY(Sintesi!$C$15),1,$C277)&gt;0),2,IF($E277=(INDEX(_xlfn.ANCHORARRAY(Sintesi!$C$16),1,$C277)),3,4)))),0)),IF(ISNUMBER($E276),IF($C277&gt;0,IF(($E277=INDEX(_xlfn.ANCHORARRAY(Sintesi!$C$14),1,$C277))*(INDEX(_xlfn.ANCHORARRAY(Sintesi!$C$15),1,$C277)&gt;0),0,IF(($E277=INDEX(_xlfn.ANCHORARRAY(Sintesi!$C$14),1,$C277))*(INDEX(_xlfn.ANCHORARRAY(Sintesi!$C$15),1,$C277)&lt;0)+($E277&gt;=$E276)*($E277&lt;=$E278)*($E277&gt;INDEX(_xlfn.ANCHORARRAY(Sintesi!$C$14),1,$C277))*($E277&lt;=INDEX(_xlfn.ANCHORARRAY(Sintesi!$C$15),1,$C277))*(INDEX(_xlfn.ANCHORARRAY(Sintesi!$C$15),1,$C277)&gt;0),1,IF(($E277&gt;=$E276)*($E277&lt;=$E278)*($E277&gt;INDEX(_xlfn.ANCHORARRAY(Sintesi!$C$14),1,$C277))*($E277&lt;INDEX(_xlfn.ANCHORARRAY(Sintesi!$C$16),1,$C277))*(INDEX(_xlfn.ANCHORARRAY(Sintesi!$C$15),1,$C277)&lt;0)+($E277&gt;=$E276)*($E277&lt;=$E278)*($E277&gt;INDEX(_xlfn.ANCHORARRAY(Sintesi!$C$15),1,$C277))*($E277&lt;INDEX(_xlfn.ANCHORARRAY(Sintesi!$C$16),1,$C277))*(INDEX(_xlfn.ANCHORARRAY(Sintesi!$C$15),1,$C277)&gt;0),2,IF($E277=(INDEX(_xlfn.ANCHORARRAY(Sintesi!$C$16),1,$C277)),3,4)))),0),IF($C277&gt;0,IF(($E277=INDEX(_xlfn.ANCHORARRAY(Sintesi!$C$14),1,$C277))*(INDEX(_xlfn.ANCHORARRAY(Sintesi!$C$15),1,$C277)&gt;0),0,IF(($E277=INDEX(_xlfn.ANCHORARRAY(Sintesi!$C$14),1,$C277))*(INDEX(_xlfn.ANCHORARRAY(Sintesi!$C$15),1,$C277)&lt;0)+($E277&gt;=LOOKUP(2,1/($E:$E&lt;&gt;""),$E:$E))*($E277&lt;=$E278)*($E277&gt;INDEX(_xlfn.ANCHORARRAY(Sintesi!$C$14),1,$C277))*($E277&lt;=INDEX(_xlfn.ANCHORARRAY(Sintesi!$C$15),1,$C277))*(INDEX(_xlfn.ANCHORARRAY(Sintesi!$C$15),1,$C277)&gt;0),1,IF(($E277&gt;=LOOKUP(2,1/($E:$E&lt;&gt;""),$E:$E))*($E277&lt;=$E278)*($E277&gt;INDEX(_xlfn.ANCHORARRAY(Sintesi!$C$14),1,$C277))*($E277&lt;INDEX(_xlfn.ANCHORARRAY(Sintesi!$C$16),1,$C277))*(INDEX(_xlfn.ANCHORARRAY(Sintesi!$C$15),1,$C277)&lt;0)+($E277&gt;=LOOKUP(2,1/($E:$E&lt;&gt;""),$E:$E))*($E277&lt;=$E278)*($E277&gt;INDEX(_xlfn.ANCHORARRAY(Sintesi!$C$15),1,$C277))*($E277&lt;INDEX(_xlfn.ANCHORARRAY(Sintesi!$C$16),1,$C277))*(INDEX(_xlfn.ANCHORARRAY(Sintesi!$C$15),1,$C277)&gt;0),2,IF($E277=(INDEX(_xlfn.ANCHORARRAY(Sintesi!$C$16),1,$C277)),3,4)))),0)))</f>
        <v/>
      </c>
      <c r="E277" s="1">
        <f>'Paste cell here'!F277</f>
        <v/>
      </c>
      <c r="F277" s="1">
        <f>'Paste cell here'!C277</f>
        <v/>
      </c>
      <c r="G277" s="1">
        <f>'Paste cell here'!D277</f>
        <v/>
      </c>
      <c r="H277" s="1">
        <f>'Paste cell here'!E277</f>
        <v/>
      </c>
      <c r="I277" s="1">
        <f>'Paste cell here'!X277</f>
        <v/>
      </c>
      <c r="J277" s="1">
        <f>'Paste cell here'!Y277+'Paste cell here'!S277</f>
        <v/>
      </c>
      <c r="K277" s="1">
        <f>I277/H277</f>
        <v/>
      </c>
      <c r="L277" s="1">
        <f>AVERAGE(($F277+$G277)/2-($F277-$G277)/2*COS(PI()*(8-VLOOKUP(MONTH(B277),$O$1:$Q$13,3))/(VLOOKUP(MONTH(B277),$O$1:$Q$13,2)-VLOOKUP(MONTH(B277),$O$1:$Q$13,3))),($F277+$G277)/2-($F277-$G277)/2*COS(PI()*(9-VLOOKUP(MONTH(B277),$O$1:$Q$13,3))/(VLOOKUP(MONTH(B277),$O$1:$Q$13,2)-VLOOKUP(MONTH(B277),$O$1:$Q$13,3))),($F277+$G277)/2-($F277-$G277)/2*COS(PI()*(10-VLOOKUP(MONTH(B277),$O$1:$Q$13,3))/(VLOOKUP(MONTH(B277),$O$1:$Q$13,2)-VLOOKUP(MONTH(B277),$O$1:$Q$13,3))),($F277+$G277)/2-($F277-$G277)/2*COS(PI()*(11-VLOOKUP(MONTH(B277),$O$1:$Q$13,3))/(VLOOKUP(MONTH(B277),$O$1:$Q$13,2)-VLOOKUP(MONTH(B277),$O$1:$Q$13,3))),($F277+$G277)/2-($F277-$G277)/2*COS(PI()*(12-VLOOKUP(MONTH(B277),$O$1:$Q$13,3))/(VLOOKUP(MONTH(B277),$O$1:$Q$13,2)-VLOOKUP(MONTH(B277),$O$1:$Q$13,3))),($F277+$G277)/2-($F277-$G277)/2*COS(PI()*(13-VLOOKUP(MONTH(B277),$O$1:$Q$13,3))/(VLOOKUP(MONTH(B277),$O$1:$Q$13,2)-VLOOKUP(MONTH(B277),$O$1:$Q$13,3))),($F277+$G277)/2-($F277-$G277)/2*COS(PI()*(14-VLOOKUP(MONTH(B277),$O$1:$Q$13,3))/(VLOOKUP(MONTH(B277),$O$1:$Q$13,2)-VLOOKUP(MONTH(B277),$O$1:$Q$13,3))))</f>
        <v/>
      </c>
      <c r="M277" s="1">
        <f t="array" ref="M277">IF(AND(A277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,A277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),IF(L277&lt;_xlfn.IFNA(INDEX(_xlfn.ANCHORARRAY(Sintesi!$C$17)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,1,IF(L277&gt;=_xlfn.IFNA(INDEX(_xlfn.ANCHORARRAY(Sintesi!$C$18)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,0,1-(L277-_xlfn.IFNA(INDEX(_xlfn.ANCHORARRAY(Sintesi!$C$17)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)/(_xlfn.IFNA(INDEX(_xlfn.ANCHORARRAY(Sintesi!$C$18)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-_xlfn.IFNA(INDEX(_xlfn.ANCHORARRAY(Sintesi!$C$17)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))),0)</f>
        <v/>
      </c>
    </row>
    <row r="278">
      <c r="A278" s="1">
        <f>'Paste cell here'!A278</f>
        <v/>
      </c>
      <c r="B278" s="2">
        <f>DATE(Sintesi!$C$4-1,12,31)+A278</f>
        <v/>
      </c>
      <c r="C278" s="34">
        <f t="array" ref="C278">_xlfn.IFNA(MATCH(1,(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)*(_xlfn.ANCHORARRAY(Sintesi!$C$15)&gt;=0)+(_xlfn.ANCHORARRAY(Sintesi!$C$15)&lt;0),0),0)</f>
        <v/>
      </c>
      <c r="D278" s="1">
        <f t="array" ref="D278">IF(ISBLANK($E279),IF(ISNUMBER($E277),IF($C278&gt;0,IF(($E278=INDEX(_xlfn.ANCHORARRAY(Sintesi!$C$14),1,$C278))*(INDEX(_xlfn.ANCHORARRAY(Sintesi!$C$15),1,$C278)&gt;0),0,IF(($E278=INDEX(_xlfn.ANCHORARRAY(Sintesi!$C$14),1,$C278))*(INDEX(_xlfn.ANCHORARRAY(Sintesi!$C$15),1,$C278)&lt;0)+($E278&gt;=$E277)*($E278&lt;=INDEX($E:$E,MATCH(TRUE,INDEX((ISNUMBER($E:$E)),0),0)))*($E278&gt;INDEX(_xlfn.ANCHORARRAY(Sintesi!$C$14),1,$C278))*($E278&lt;=INDEX(_xlfn.ANCHORARRAY(Sintesi!$C$15),1,$C278))*(INDEX(_xlfn.ANCHORARRAY(Sintesi!$C$15),1,$C278)&gt;0),1,IF(($E278&gt;=$E277)*($E278&lt;=INDEX($E:$E,MATCH(TRUE,INDEX((ISNUMBER($E:$E)),0),0)))*($E278&gt;INDEX(_xlfn.ANCHORARRAY(Sintesi!$C$14),1,$C278))*($E278&lt;INDEX(_xlfn.ANCHORARRAY(Sintesi!$C$16),1,$C278))*(INDEX(_xlfn.ANCHORARRAY(Sintesi!$C$15),1,$C278)&lt;0)+($E278&gt;=$E277)*($E278&lt;=INDEX($E:$E,MATCH(TRUE,INDEX((ISNUMBER($E:$E)),0),0)))*($E278&gt;INDEX(_xlfn.ANCHORARRAY(Sintesi!$C$15),1,$C278))*($E278&lt;INDEX(_xlfn.ANCHORARRAY(Sintesi!$C$16),1,$C278))*(INDEX(_xlfn.ANCHORARRAY(Sintesi!$C$15),1,$C278)&gt;0),2,IF($E278=(INDEX(_xlfn.ANCHORARRAY(Sintesi!$C$16),1,$C278)),3,4)))),0),IF($C278&gt;0,IF(($E278=INDEX(_xlfn.ANCHORARRAY(Sintesi!$C$14),1,$C278))*(INDEX(_xlfn.ANCHORARRAY(Sintesi!$C$15),1,$C278)&gt;0),0,IF(($E278=INDEX(_xlfn.ANCHORARRAY(Sintesi!$C$14),1,$C278))*(INDEX(_xlfn.ANCHORARRAY(Sintesi!$C$15),1,$C278)&lt;0)+($E278&gt;=LOOKUP(2,1/($E:$E&lt;&gt;""),$E:$E))*($E278&lt;=INDEX($E:$E,MATCH(TRUE,INDEX((ISNUMBER($E:$E)),0),0)))*($E278&gt;INDEX(_xlfn.ANCHORARRAY(Sintesi!$C$14),1,$C278))*($E278&lt;=INDEX(_xlfn.ANCHORARRAY(Sintesi!$C$15),1,$C278))*(INDEX(_xlfn.ANCHORARRAY(Sintesi!$C$15),1,$C278)&gt;0),1,IF(($E278&gt;=LOOKUP(2,1/($E:$E&lt;&gt;""),$E:$E))*($E278&lt;=INDEX($E:$E,MATCH(TRUE,INDEX((ISNUMBER($E:$E)),0),0)))*($E278&gt;INDEX(_xlfn.ANCHORARRAY(Sintesi!$C$14),1,$C278))*($E278&lt;INDEX(_xlfn.ANCHORARRAY(Sintesi!$C$16),1,$C278))*(INDEX(_xlfn.ANCHORARRAY(Sintesi!$C$15),1,$C278)&lt;0)+($E278&gt;=LOOKUP(2,1/($E:$E&lt;&gt;""),$E:$E))*($E278&lt;=INDEX($E:$E,MATCH(TRUE,INDEX((ISNUMBER($E:$E)),0),0)))*($E278&gt;INDEX(_xlfn.ANCHORARRAY(Sintesi!$C$15),1,$C278))*($E278&lt;INDEX(_xlfn.ANCHORARRAY(Sintesi!$C$16),1,$C278))*(INDEX(_xlfn.ANCHORARRAY(Sintesi!$C$15),1,$C278)&gt;0),2,IF($E278=(INDEX(_xlfn.ANCHORARRAY(Sintesi!$C$16),1,$C278)),3,4)))),0)),IF(ISNUMBER($E277),IF($C278&gt;0,IF(($E278=INDEX(_xlfn.ANCHORARRAY(Sintesi!$C$14),1,$C278))*(INDEX(_xlfn.ANCHORARRAY(Sintesi!$C$15),1,$C278)&gt;0),0,IF(($E278=INDEX(_xlfn.ANCHORARRAY(Sintesi!$C$14),1,$C278))*(INDEX(_xlfn.ANCHORARRAY(Sintesi!$C$15),1,$C278)&lt;0)+($E278&gt;=$E277)*($E278&lt;=$E279)*($E278&gt;INDEX(_xlfn.ANCHORARRAY(Sintesi!$C$14),1,$C278))*($E278&lt;=INDEX(_xlfn.ANCHORARRAY(Sintesi!$C$15),1,$C278))*(INDEX(_xlfn.ANCHORARRAY(Sintesi!$C$15),1,$C278)&gt;0),1,IF(($E278&gt;=$E277)*($E278&lt;=$E279)*($E278&gt;INDEX(_xlfn.ANCHORARRAY(Sintesi!$C$14),1,$C278))*($E278&lt;INDEX(_xlfn.ANCHORARRAY(Sintesi!$C$16),1,$C278))*(INDEX(_xlfn.ANCHORARRAY(Sintesi!$C$15),1,$C278)&lt;0)+($E278&gt;=$E277)*($E278&lt;=$E279)*($E278&gt;INDEX(_xlfn.ANCHORARRAY(Sintesi!$C$15),1,$C278))*($E278&lt;INDEX(_xlfn.ANCHORARRAY(Sintesi!$C$16),1,$C278))*(INDEX(_xlfn.ANCHORARRAY(Sintesi!$C$15),1,$C278)&gt;0),2,IF($E278=(INDEX(_xlfn.ANCHORARRAY(Sintesi!$C$16),1,$C278)),3,4)))),0),IF($C278&gt;0,IF(($E278=INDEX(_xlfn.ANCHORARRAY(Sintesi!$C$14),1,$C278))*(INDEX(_xlfn.ANCHORARRAY(Sintesi!$C$15),1,$C278)&gt;0),0,IF(($E278=INDEX(_xlfn.ANCHORARRAY(Sintesi!$C$14),1,$C278))*(INDEX(_xlfn.ANCHORARRAY(Sintesi!$C$15),1,$C278)&lt;0)+($E278&gt;=LOOKUP(2,1/($E:$E&lt;&gt;""),$E:$E))*($E278&lt;=$E279)*($E278&gt;INDEX(_xlfn.ANCHORARRAY(Sintesi!$C$14),1,$C278))*($E278&lt;=INDEX(_xlfn.ANCHORARRAY(Sintesi!$C$15),1,$C278))*(INDEX(_xlfn.ANCHORARRAY(Sintesi!$C$15),1,$C278)&gt;0),1,IF(($E278&gt;=LOOKUP(2,1/($E:$E&lt;&gt;""),$E:$E))*($E278&lt;=$E279)*($E278&gt;INDEX(_xlfn.ANCHORARRAY(Sintesi!$C$14),1,$C278))*($E278&lt;INDEX(_xlfn.ANCHORARRAY(Sintesi!$C$16),1,$C278))*(INDEX(_xlfn.ANCHORARRAY(Sintesi!$C$15),1,$C278)&lt;0)+($E278&gt;=LOOKUP(2,1/($E:$E&lt;&gt;""),$E:$E))*($E278&lt;=$E279)*($E278&gt;INDEX(_xlfn.ANCHORARRAY(Sintesi!$C$15),1,$C278))*($E278&lt;INDEX(_xlfn.ANCHORARRAY(Sintesi!$C$16),1,$C278))*(INDEX(_xlfn.ANCHORARRAY(Sintesi!$C$15),1,$C278)&gt;0),2,IF($E278=(INDEX(_xlfn.ANCHORARRAY(Sintesi!$C$16),1,$C278)),3,4)))),0)))</f>
        <v/>
      </c>
      <c r="E278" s="1">
        <f>'Paste cell here'!F278</f>
        <v/>
      </c>
      <c r="F278" s="1">
        <f>'Paste cell here'!C278</f>
        <v/>
      </c>
      <c r="G278" s="1">
        <f>'Paste cell here'!D278</f>
        <v/>
      </c>
      <c r="H278" s="1">
        <f>'Paste cell here'!E278</f>
        <v/>
      </c>
      <c r="I278" s="1">
        <f>'Paste cell here'!X278</f>
        <v/>
      </c>
      <c r="J278" s="1">
        <f>'Paste cell here'!Y278+'Paste cell here'!S278</f>
        <v/>
      </c>
      <c r="K278" s="1">
        <f>I278/H278</f>
        <v/>
      </c>
      <c r="L278" s="1">
        <f>AVERAGE(($F278+$G278)/2-($F278-$G278)/2*COS(PI()*(8-VLOOKUP(MONTH(B278),$O$1:$Q$13,3))/(VLOOKUP(MONTH(B278),$O$1:$Q$13,2)-VLOOKUP(MONTH(B278),$O$1:$Q$13,3))),($F278+$G278)/2-($F278-$G278)/2*COS(PI()*(9-VLOOKUP(MONTH(B278),$O$1:$Q$13,3))/(VLOOKUP(MONTH(B278),$O$1:$Q$13,2)-VLOOKUP(MONTH(B278),$O$1:$Q$13,3))),($F278+$G278)/2-($F278-$G278)/2*COS(PI()*(10-VLOOKUP(MONTH(B278),$O$1:$Q$13,3))/(VLOOKUP(MONTH(B278),$O$1:$Q$13,2)-VLOOKUP(MONTH(B278),$O$1:$Q$13,3))),($F278+$G278)/2-($F278-$G278)/2*COS(PI()*(11-VLOOKUP(MONTH(B278),$O$1:$Q$13,3))/(VLOOKUP(MONTH(B278),$O$1:$Q$13,2)-VLOOKUP(MONTH(B278),$O$1:$Q$13,3))),($F278+$G278)/2-($F278-$G278)/2*COS(PI()*(12-VLOOKUP(MONTH(B278),$O$1:$Q$13,3))/(VLOOKUP(MONTH(B278),$O$1:$Q$13,2)-VLOOKUP(MONTH(B278),$O$1:$Q$13,3))),($F278+$G278)/2-($F278-$G278)/2*COS(PI()*(13-VLOOKUP(MONTH(B278),$O$1:$Q$13,3))/(VLOOKUP(MONTH(B278),$O$1:$Q$13,2)-VLOOKUP(MONTH(B278),$O$1:$Q$13,3))),($F278+$G278)/2-($F278-$G278)/2*COS(PI()*(14-VLOOKUP(MONTH(B278),$O$1:$Q$13,3))/(VLOOKUP(MONTH(B278),$O$1:$Q$13,2)-VLOOKUP(MONTH(B278),$O$1:$Q$13,3))))</f>
        <v/>
      </c>
      <c r="M278" s="1">
        <f t="array" ref="M278">IF(AND(A278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,A278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),IF(L278&lt;_xlfn.IFNA(INDEX(_xlfn.ANCHORARRAY(Sintesi!$C$17)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,1,IF(L278&gt;=_xlfn.IFNA(INDEX(_xlfn.ANCHORARRAY(Sintesi!$C$18)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,0,1-(L278-_xlfn.IFNA(INDEX(_xlfn.ANCHORARRAY(Sintesi!$C$17)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)/(_xlfn.IFNA(INDEX(_xlfn.ANCHORARRAY(Sintesi!$C$18)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-_xlfn.IFNA(INDEX(_xlfn.ANCHORARRAY(Sintesi!$C$17)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))),0)</f>
        <v/>
      </c>
    </row>
    <row r="279">
      <c r="A279" s="1">
        <f>'Paste cell here'!A279</f>
        <v/>
      </c>
      <c r="B279" s="2">
        <f>DATE(Sintesi!$C$4-1,12,31)+A279</f>
        <v/>
      </c>
      <c r="C279" s="34">
        <f t="array" ref="C279">_xlfn.IFNA(MATCH(1,(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)*(_xlfn.ANCHORARRAY(Sintesi!$C$15)&gt;=0)+(_xlfn.ANCHORARRAY(Sintesi!$C$15)&lt;0),0),0)</f>
        <v/>
      </c>
      <c r="D279" s="1">
        <f t="array" ref="D279">IF(ISBLANK($E280),IF(ISNUMBER($E278),IF($C279&gt;0,IF(($E279=INDEX(_xlfn.ANCHORARRAY(Sintesi!$C$14),1,$C279))*(INDEX(_xlfn.ANCHORARRAY(Sintesi!$C$15),1,$C279)&gt;0),0,IF(($E279=INDEX(_xlfn.ANCHORARRAY(Sintesi!$C$14),1,$C279))*(INDEX(_xlfn.ANCHORARRAY(Sintesi!$C$15),1,$C279)&lt;0)+($E279&gt;=$E278)*($E279&lt;=INDEX($E:$E,MATCH(TRUE,INDEX((ISNUMBER($E:$E)),0),0)))*($E279&gt;INDEX(_xlfn.ANCHORARRAY(Sintesi!$C$14),1,$C279))*($E279&lt;=INDEX(_xlfn.ANCHORARRAY(Sintesi!$C$15),1,$C279))*(INDEX(_xlfn.ANCHORARRAY(Sintesi!$C$15),1,$C279)&gt;0),1,IF(($E279&gt;=$E278)*($E279&lt;=INDEX($E:$E,MATCH(TRUE,INDEX((ISNUMBER($E:$E)),0),0)))*($E279&gt;INDEX(_xlfn.ANCHORARRAY(Sintesi!$C$14),1,$C279))*($E279&lt;INDEX(_xlfn.ANCHORARRAY(Sintesi!$C$16),1,$C279))*(INDEX(_xlfn.ANCHORARRAY(Sintesi!$C$15),1,$C279)&lt;0)+($E279&gt;=$E278)*($E279&lt;=INDEX($E:$E,MATCH(TRUE,INDEX((ISNUMBER($E:$E)),0),0)))*($E279&gt;INDEX(_xlfn.ANCHORARRAY(Sintesi!$C$15),1,$C279))*($E279&lt;INDEX(_xlfn.ANCHORARRAY(Sintesi!$C$16),1,$C279))*(INDEX(_xlfn.ANCHORARRAY(Sintesi!$C$15),1,$C279)&gt;0),2,IF($E279=(INDEX(_xlfn.ANCHORARRAY(Sintesi!$C$16),1,$C279)),3,4)))),0),IF($C279&gt;0,IF(($E279=INDEX(_xlfn.ANCHORARRAY(Sintesi!$C$14),1,$C279))*(INDEX(_xlfn.ANCHORARRAY(Sintesi!$C$15),1,$C279)&gt;0),0,IF(($E279=INDEX(_xlfn.ANCHORARRAY(Sintesi!$C$14),1,$C279))*(INDEX(_xlfn.ANCHORARRAY(Sintesi!$C$15),1,$C279)&lt;0)+($E279&gt;=LOOKUP(2,1/($E:$E&lt;&gt;""),$E:$E))*($E279&lt;=INDEX($E:$E,MATCH(TRUE,INDEX((ISNUMBER($E:$E)),0),0)))*($E279&gt;INDEX(_xlfn.ANCHORARRAY(Sintesi!$C$14),1,$C279))*($E279&lt;=INDEX(_xlfn.ANCHORARRAY(Sintesi!$C$15),1,$C279))*(INDEX(_xlfn.ANCHORARRAY(Sintesi!$C$15),1,$C279)&gt;0),1,IF(($E279&gt;=LOOKUP(2,1/($E:$E&lt;&gt;""),$E:$E))*($E279&lt;=INDEX($E:$E,MATCH(TRUE,INDEX((ISNUMBER($E:$E)),0),0)))*($E279&gt;INDEX(_xlfn.ANCHORARRAY(Sintesi!$C$14),1,$C279))*($E279&lt;INDEX(_xlfn.ANCHORARRAY(Sintesi!$C$16),1,$C279))*(INDEX(_xlfn.ANCHORARRAY(Sintesi!$C$15),1,$C279)&lt;0)+($E279&gt;=LOOKUP(2,1/($E:$E&lt;&gt;""),$E:$E))*($E279&lt;=INDEX($E:$E,MATCH(TRUE,INDEX((ISNUMBER($E:$E)),0),0)))*($E279&gt;INDEX(_xlfn.ANCHORARRAY(Sintesi!$C$15),1,$C279))*($E279&lt;INDEX(_xlfn.ANCHORARRAY(Sintesi!$C$16),1,$C279))*(INDEX(_xlfn.ANCHORARRAY(Sintesi!$C$15),1,$C279)&gt;0),2,IF($E279=(INDEX(_xlfn.ANCHORARRAY(Sintesi!$C$16),1,$C279)),3,4)))),0)),IF(ISNUMBER($E278),IF($C279&gt;0,IF(($E279=INDEX(_xlfn.ANCHORARRAY(Sintesi!$C$14),1,$C279))*(INDEX(_xlfn.ANCHORARRAY(Sintesi!$C$15),1,$C279)&gt;0),0,IF(($E279=INDEX(_xlfn.ANCHORARRAY(Sintesi!$C$14),1,$C279))*(INDEX(_xlfn.ANCHORARRAY(Sintesi!$C$15),1,$C279)&lt;0)+($E279&gt;=$E278)*($E279&lt;=$E280)*($E279&gt;INDEX(_xlfn.ANCHORARRAY(Sintesi!$C$14),1,$C279))*($E279&lt;=INDEX(_xlfn.ANCHORARRAY(Sintesi!$C$15),1,$C279))*(INDEX(_xlfn.ANCHORARRAY(Sintesi!$C$15),1,$C279)&gt;0),1,IF(($E279&gt;=$E278)*($E279&lt;=$E280)*($E279&gt;INDEX(_xlfn.ANCHORARRAY(Sintesi!$C$14),1,$C279))*($E279&lt;INDEX(_xlfn.ANCHORARRAY(Sintesi!$C$16),1,$C279))*(INDEX(_xlfn.ANCHORARRAY(Sintesi!$C$15),1,$C279)&lt;0)+($E279&gt;=$E278)*($E279&lt;=$E280)*($E279&gt;INDEX(_xlfn.ANCHORARRAY(Sintesi!$C$15),1,$C279))*($E279&lt;INDEX(_xlfn.ANCHORARRAY(Sintesi!$C$16),1,$C279))*(INDEX(_xlfn.ANCHORARRAY(Sintesi!$C$15),1,$C279)&gt;0),2,IF($E279=(INDEX(_xlfn.ANCHORARRAY(Sintesi!$C$16),1,$C279)),3,4)))),0),IF($C279&gt;0,IF(($E279=INDEX(_xlfn.ANCHORARRAY(Sintesi!$C$14),1,$C279))*(INDEX(_xlfn.ANCHORARRAY(Sintesi!$C$15),1,$C279)&gt;0),0,IF(($E279=INDEX(_xlfn.ANCHORARRAY(Sintesi!$C$14),1,$C279))*(INDEX(_xlfn.ANCHORARRAY(Sintesi!$C$15),1,$C279)&lt;0)+($E279&gt;=LOOKUP(2,1/($E:$E&lt;&gt;""),$E:$E))*($E279&lt;=$E280)*($E279&gt;INDEX(_xlfn.ANCHORARRAY(Sintesi!$C$14),1,$C279))*($E279&lt;=INDEX(_xlfn.ANCHORARRAY(Sintesi!$C$15),1,$C279))*(INDEX(_xlfn.ANCHORARRAY(Sintesi!$C$15),1,$C279)&gt;0),1,IF(($E279&gt;=LOOKUP(2,1/($E:$E&lt;&gt;""),$E:$E))*($E279&lt;=$E280)*($E279&gt;INDEX(_xlfn.ANCHORARRAY(Sintesi!$C$14),1,$C279))*($E279&lt;INDEX(_xlfn.ANCHORARRAY(Sintesi!$C$16),1,$C279))*(INDEX(_xlfn.ANCHORARRAY(Sintesi!$C$15),1,$C279)&lt;0)+($E279&gt;=LOOKUP(2,1/($E:$E&lt;&gt;""),$E:$E))*($E279&lt;=$E280)*($E279&gt;INDEX(_xlfn.ANCHORARRAY(Sintesi!$C$15),1,$C279))*($E279&lt;INDEX(_xlfn.ANCHORARRAY(Sintesi!$C$16),1,$C279))*(INDEX(_xlfn.ANCHORARRAY(Sintesi!$C$15),1,$C279)&gt;0),2,IF($E279=(INDEX(_xlfn.ANCHORARRAY(Sintesi!$C$16),1,$C279)),3,4)))),0)))</f>
        <v/>
      </c>
      <c r="E279" s="1">
        <f>'Paste cell here'!F279</f>
        <v/>
      </c>
      <c r="F279" s="1">
        <f>'Paste cell here'!C279</f>
        <v/>
      </c>
      <c r="G279" s="1">
        <f>'Paste cell here'!D279</f>
        <v/>
      </c>
      <c r="H279" s="1">
        <f>'Paste cell here'!E279</f>
        <v/>
      </c>
      <c r="I279" s="1">
        <f>'Paste cell here'!X279</f>
        <v/>
      </c>
      <c r="J279" s="1">
        <f>'Paste cell here'!Y279+'Paste cell here'!S279</f>
        <v/>
      </c>
      <c r="K279" s="1">
        <f>I279/H279</f>
        <v/>
      </c>
      <c r="L279" s="1">
        <f>AVERAGE(($F279+$G279)/2-($F279-$G279)/2*COS(PI()*(8-VLOOKUP(MONTH(B279),$O$1:$Q$13,3))/(VLOOKUP(MONTH(B279),$O$1:$Q$13,2)-VLOOKUP(MONTH(B279),$O$1:$Q$13,3))),($F279+$G279)/2-($F279-$G279)/2*COS(PI()*(9-VLOOKUP(MONTH(B279),$O$1:$Q$13,3))/(VLOOKUP(MONTH(B279),$O$1:$Q$13,2)-VLOOKUP(MONTH(B279),$O$1:$Q$13,3))),($F279+$G279)/2-($F279-$G279)/2*COS(PI()*(10-VLOOKUP(MONTH(B279),$O$1:$Q$13,3))/(VLOOKUP(MONTH(B279),$O$1:$Q$13,2)-VLOOKUP(MONTH(B279),$O$1:$Q$13,3))),($F279+$G279)/2-($F279-$G279)/2*COS(PI()*(11-VLOOKUP(MONTH(B279),$O$1:$Q$13,3))/(VLOOKUP(MONTH(B279),$O$1:$Q$13,2)-VLOOKUP(MONTH(B279),$O$1:$Q$13,3))),($F279+$G279)/2-($F279-$G279)/2*COS(PI()*(12-VLOOKUP(MONTH(B279),$O$1:$Q$13,3))/(VLOOKUP(MONTH(B279),$O$1:$Q$13,2)-VLOOKUP(MONTH(B279),$O$1:$Q$13,3))),($F279+$G279)/2-($F279-$G279)/2*COS(PI()*(13-VLOOKUP(MONTH(B279),$O$1:$Q$13,3))/(VLOOKUP(MONTH(B279),$O$1:$Q$13,2)-VLOOKUP(MONTH(B279),$O$1:$Q$13,3))),($F279+$G279)/2-($F279-$G279)/2*COS(PI()*(14-VLOOKUP(MONTH(B279),$O$1:$Q$13,3))/(VLOOKUP(MONTH(B279),$O$1:$Q$13,2)-VLOOKUP(MONTH(B279),$O$1:$Q$13,3))))</f>
        <v/>
      </c>
      <c r="M279" s="1">
        <f t="array" ref="M279">IF(AND(A279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,A279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),IF(L279&lt;_xlfn.IFNA(INDEX(_xlfn.ANCHORARRAY(Sintesi!$C$17)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,1,IF(L279&gt;=_xlfn.IFNA(INDEX(_xlfn.ANCHORARRAY(Sintesi!$C$18)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,0,1-(L279-_xlfn.IFNA(INDEX(_xlfn.ANCHORARRAY(Sintesi!$C$17)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)/(_xlfn.IFNA(INDEX(_xlfn.ANCHORARRAY(Sintesi!$C$18)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-_xlfn.IFNA(INDEX(_xlfn.ANCHORARRAY(Sintesi!$C$17)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))),0)</f>
        <v/>
      </c>
    </row>
    <row r="280">
      <c r="A280" s="1">
        <f>'Paste cell here'!A280</f>
        <v/>
      </c>
      <c r="B280" s="2">
        <f>DATE(Sintesi!$C$4-1,12,31)+A280</f>
        <v/>
      </c>
      <c r="C280" s="34">
        <f t="array" ref="C280">_xlfn.IFNA(MATCH(1,(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)*(_xlfn.ANCHORARRAY(Sintesi!$C$15)&gt;=0)+(_xlfn.ANCHORARRAY(Sintesi!$C$15)&lt;0),0),0)</f>
        <v/>
      </c>
      <c r="D280" s="1">
        <f t="array" ref="D280">IF(ISBLANK($E281),IF(ISNUMBER($E279),IF($C280&gt;0,IF(($E280=INDEX(_xlfn.ANCHORARRAY(Sintesi!$C$14),1,$C280))*(INDEX(_xlfn.ANCHORARRAY(Sintesi!$C$15),1,$C280)&gt;0),0,IF(($E280=INDEX(_xlfn.ANCHORARRAY(Sintesi!$C$14),1,$C280))*(INDEX(_xlfn.ANCHORARRAY(Sintesi!$C$15),1,$C280)&lt;0)+($E280&gt;=$E279)*($E280&lt;=INDEX($E:$E,MATCH(TRUE,INDEX((ISNUMBER($E:$E)),0),0)))*($E280&gt;INDEX(_xlfn.ANCHORARRAY(Sintesi!$C$14),1,$C280))*($E280&lt;=INDEX(_xlfn.ANCHORARRAY(Sintesi!$C$15),1,$C280))*(INDEX(_xlfn.ANCHORARRAY(Sintesi!$C$15),1,$C280)&gt;0),1,IF(($E280&gt;=$E279)*($E280&lt;=INDEX($E:$E,MATCH(TRUE,INDEX((ISNUMBER($E:$E)),0),0)))*($E280&gt;INDEX(_xlfn.ANCHORARRAY(Sintesi!$C$14),1,$C280))*($E280&lt;INDEX(_xlfn.ANCHORARRAY(Sintesi!$C$16),1,$C280))*(INDEX(_xlfn.ANCHORARRAY(Sintesi!$C$15),1,$C280)&lt;0)+($E280&gt;=$E279)*($E280&lt;=INDEX($E:$E,MATCH(TRUE,INDEX((ISNUMBER($E:$E)),0),0)))*($E280&gt;INDEX(_xlfn.ANCHORARRAY(Sintesi!$C$15),1,$C280))*($E280&lt;INDEX(_xlfn.ANCHORARRAY(Sintesi!$C$16),1,$C280))*(INDEX(_xlfn.ANCHORARRAY(Sintesi!$C$15),1,$C280)&gt;0),2,IF($E280=(INDEX(_xlfn.ANCHORARRAY(Sintesi!$C$16),1,$C280)),3,4)))),0),IF($C280&gt;0,IF(($E280=INDEX(_xlfn.ANCHORARRAY(Sintesi!$C$14),1,$C280))*(INDEX(_xlfn.ANCHORARRAY(Sintesi!$C$15),1,$C280)&gt;0),0,IF(($E280=INDEX(_xlfn.ANCHORARRAY(Sintesi!$C$14),1,$C280))*(INDEX(_xlfn.ANCHORARRAY(Sintesi!$C$15),1,$C280)&lt;0)+($E280&gt;=LOOKUP(2,1/($E:$E&lt;&gt;""),$E:$E))*($E280&lt;=INDEX($E:$E,MATCH(TRUE,INDEX((ISNUMBER($E:$E)),0),0)))*($E280&gt;INDEX(_xlfn.ANCHORARRAY(Sintesi!$C$14),1,$C280))*($E280&lt;=INDEX(_xlfn.ANCHORARRAY(Sintesi!$C$15),1,$C280))*(INDEX(_xlfn.ANCHORARRAY(Sintesi!$C$15),1,$C280)&gt;0),1,IF(($E280&gt;=LOOKUP(2,1/($E:$E&lt;&gt;""),$E:$E))*($E280&lt;=INDEX($E:$E,MATCH(TRUE,INDEX((ISNUMBER($E:$E)),0),0)))*($E280&gt;INDEX(_xlfn.ANCHORARRAY(Sintesi!$C$14),1,$C280))*($E280&lt;INDEX(_xlfn.ANCHORARRAY(Sintesi!$C$16),1,$C280))*(INDEX(_xlfn.ANCHORARRAY(Sintesi!$C$15),1,$C280)&lt;0)+($E280&gt;=LOOKUP(2,1/($E:$E&lt;&gt;""),$E:$E))*($E280&lt;=INDEX($E:$E,MATCH(TRUE,INDEX((ISNUMBER($E:$E)),0),0)))*($E280&gt;INDEX(_xlfn.ANCHORARRAY(Sintesi!$C$15),1,$C280))*($E280&lt;INDEX(_xlfn.ANCHORARRAY(Sintesi!$C$16),1,$C280))*(INDEX(_xlfn.ANCHORARRAY(Sintesi!$C$15),1,$C280)&gt;0),2,IF($E280=(INDEX(_xlfn.ANCHORARRAY(Sintesi!$C$16),1,$C280)),3,4)))),0)),IF(ISNUMBER($E279),IF($C280&gt;0,IF(($E280=INDEX(_xlfn.ANCHORARRAY(Sintesi!$C$14),1,$C280))*(INDEX(_xlfn.ANCHORARRAY(Sintesi!$C$15),1,$C280)&gt;0),0,IF(($E280=INDEX(_xlfn.ANCHORARRAY(Sintesi!$C$14),1,$C280))*(INDEX(_xlfn.ANCHORARRAY(Sintesi!$C$15),1,$C280)&lt;0)+($E280&gt;=$E279)*($E280&lt;=$E281)*($E280&gt;INDEX(_xlfn.ANCHORARRAY(Sintesi!$C$14),1,$C280))*($E280&lt;=INDEX(_xlfn.ANCHORARRAY(Sintesi!$C$15),1,$C280))*(INDEX(_xlfn.ANCHORARRAY(Sintesi!$C$15),1,$C280)&gt;0),1,IF(($E280&gt;=$E279)*($E280&lt;=$E281)*($E280&gt;INDEX(_xlfn.ANCHORARRAY(Sintesi!$C$14),1,$C280))*($E280&lt;INDEX(_xlfn.ANCHORARRAY(Sintesi!$C$16),1,$C280))*(INDEX(_xlfn.ANCHORARRAY(Sintesi!$C$15),1,$C280)&lt;0)+($E280&gt;=$E279)*($E280&lt;=$E281)*($E280&gt;INDEX(_xlfn.ANCHORARRAY(Sintesi!$C$15),1,$C280))*($E280&lt;INDEX(_xlfn.ANCHORARRAY(Sintesi!$C$16),1,$C280))*(INDEX(_xlfn.ANCHORARRAY(Sintesi!$C$15),1,$C280)&gt;0),2,IF($E280=(INDEX(_xlfn.ANCHORARRAY(Sintesi!$C$16),1,$C280)),3,4)))),0),IF($C280&gt;0,IF(($E280=INDEX(_xlfn.ANCHORARRAY(Sintesi!$C$14),1,$C280))*(INDEX(_xlfn.ANCHORARRAY(Sintesi!$C$15),1,$C280)&gt;0),0,IF(($E280=INDEX(_xlfn.ANCHORARRAY(Sintesi!$C$14),1,$C280))*(INDEX(_xlfn.ANCHORARRAY(Sintesi!$C$15),1,$C280)&lt;0)+($E280&gt;=LOOKUP(2,1/($E:$E&lt;&gt;""),$E:$E))*($E280&lt;=$E281)*($E280&gt;INDEX(_xlfn.ANCHORARRAY(Sintesi!$C$14),1,$C280))*($E280&lt;=INDEX(_xlfn.ANCHORARRAY(Sintesi!$C$15),1,$C280))*(INDEX(_xlfn.ANCHORARRAY(Sintesi!$C$15),1,$C280)&gt;0),1,IF(($E280&gt;=LOOKUP(2,1/($E:$E&lt;&gt;""),$E:$E))*($E280&lt;=$E281)*($E280&gt;INDEX(_xlfn.ANCHORARRAY(Sintesi!$C$14),1,$C280))*($E280&lt;INDEX(_xlfn.ANCHORARRAY(Sintesi!$C$16),1,$C280))*(INDEX(_xlfn.ANCHORARRAY(Sintesi!$C$15),1,$C280)&lt;0)+($E280&gt;=LOOKUP(2,1/($E:$E&lt;&gt;""),$E:$E))*($E280&lt;=$E281)*($E280&gt;INDEX(_xlfn.ANCHORARRAY(Sintesi!$C$15),1,$C280))*($E280&lt;INDEX(_xlfn.ANCHORARRAY(Sintesi!$C$16),1,$C280))*(INDEX(_xlfn.ANCHORARRAY(Sintesi!$C$15),1,$C280)&gt;0),2,IF($E280=(INDEX(_xlfn.ANCHORARRAY(Sintesi!$C$16),1,$C280)),3,4)))),0)))</f>
        <v/>
      </c>
      <c r="E280" s="1">
        <f>'Paste cell here'!F280</f>
        <v/>
      </c>
      <c r="F280" s="1">
        <f>'Paste cell here'!C280</f>
        <v/>
      </c>
      <c r="G280" s="1">
        <f>'Paste cell here'!D280</f>
        <v/>
      </c>
      <c r="H280" s="1">
        <f>'Paste cell here'!E280</f>
        <v/>
      </c>
      <c r="I280" s="1">
        <f>'Paste cell here'!X280</f>
        <v/>
      </c>
      <c r="J280" s="1">
        <f>'Paste cell here'!Y280+'Paste cell here'!S280</f>
        <v/>
      </c>
      <c r="K280" s="1">
        <f>I280/H280</f>
        <v/>
      </c>
      <c r="L280" s="1">
        <f>AVERAGE(($F280+$G280)/2-($F280-$G280)/2*COS(PI()*(8-VLOOKUP(MONTH(B280),$O$1:$Q$13,3))/(VLOOKUP(MONTH(B280),$O$1:$Q$13,2)-VLOOKUP(MONTH(B280),$O$1:$Q$13,3))),($F280+$G280)/2-($F280-$G280)/2*COS(PI()*(9-VLOOKUP(MONTH(B280),$O$1:$Q$13,3))/(VLOOKUP(MONTH(B280),$O$1:$Q$13,2)-VLOOKUP(MONTH(B280),$O$1:$Q$13,3))),($F280+$G280)/2-($F280-$G280)/2*COS(PI()*(10-VLOOKUP(MONTH(B280),$O$1:$Q$13,3))/(VLOOKUP(MONTH(B280),$O$1:$Q$13,2)-VLOOKUP(MONTH(B280),$O$1:$Q$13,3))),($F280+$G280)/2-($F280-$G280)/2*COS(PI()*(11-VLOOKUP(MONTH(B280),$O$1:$Q$13,3))/(VLOOKUP(MONTH(B280),$O$1:$Q$13,2)-VLOOKUP(MONTH(B280),$O$1:$Q$13,3))),($F280+$G280)/2-($F280-$G280)/2*COS(PI()*(12-VLOOKUP(MONTH(B280),$O$1:$Q$13,3))/(VLOOKUP(MONTH(B280),$O$1:$Q$13,2)-VLOOKUP(MONTH(B280),$O$1:$Q$13,3))),($F280+$G280)/2-($F280-$G280)/2*COS(PI()*(13-VLOOKUP(MONTH(B280),$O$1:$Q$13,3))/(VLOOKUP(MONTH(B280),$O$1:$Q$13,2)-VLOOKUP(MONTH(B280),$O$1:$Q$13,3))),($F280+$G280)/2-($F280-$G280)/2*COS(PI()*(14-VLOOKUP(MONTH(B280),$O$1:$Q$13,3))/(VLOOKUP(MONTH(B280),$O$1:$Q$13,2)-VLOOKUP(MONTH(B280),$O$1:$Q$13,3))))</f>
        <v/>
      </c>
      <c r="M280" s="1">
        <f t="array" ref="M280">IF(AND(A280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,A280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),IF(L280&lt;_xlfn.IFNA(INDEX(_xlfn.ANCHORARRAY(Sintesi!$C$17)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,1,IF(L280&gt;=_xlfn.IFNA(INDEX(_xlfn.ANCHORARRAY(Sintesi!$C$18)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,0,1-(L280-_xlfn.IFNA(INDEX(_xlfn.ANCHORARRAY(Sintesi!$C$17)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)/(_xlfn.IFNA(INDEX(_xlfn.ANCHORARRAY(Sintesi!$C$18)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-_xlfn.IFNA(INDEX(_xlfn.ANCHORARRAY(Sintesi!$C$17)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))),0)</f>
        <v/>
      </c>
    </row>
    <row r="281">
      <c r="A281" s="1">
        <f>'Paste cell here'!A281</f>
        <v/>
      </c>
      <c r="B281" s="2">
        <f>DATE(Sintesi!$C$4-1,12,31)+A281</f>
        <v/>
      </c>
      <c r="C281" s="34">
        <f t="array" ref="C281">_xlfn.IFNA(MATCH(1,(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)*(_xlfn.ANCHORARRAY(Sintesi!$C$15)&gt;=0)+(_xlfn.ANCHORARRAY(Sintesi!$C$15)&lt;0),0),0)</f>
        <v/>
      </c>
      <c r="D281" s="1">
        <f t="array" ref="D281">IF(ISBLANK($E282),IF(ISNUMBER($E280),IF($C281&gt;0,IF(($E281=INDEX(_xlfn.ANCHORARRAY(Sintesi!$C$14),1,$C281))*(INDEX(_xlfn.ANCHORARRAY(Sintesi!$C$15),1,$C281)&gt;0),0,IF(($E281=INDEX(_xlfn.ANCHORARRAY(Sintesi!$C$14),1,$C281))*(INDEX(_xlfn.ANCHORARRAY(Sintesi!$C$15),1,$C281)&lt;0)+($E281&gt;=$E280)*($E281&lt;=INDEX($E:$E,MATCH(TRUE,INDEX((ISNUMBER($E:$E)),0),0)))*($E281&gt;INDEX(_xlfn.ANCHORARRAY(Sintesi!$C$14),1,$C281))*($E281&lt;=INDEX(_xlfn.ANCHORARRAY(Sintesi!$C$15),1,$C281))*(INDEX(_xlfn.ANCHORARRAY(Sintesi!$C$15),1,$C281)&gt;0),1,IF(($E281&gt;=$E280)*($E281&lt;=INDEX($E:$E,MATCH(TRUE,INDEX((ISNUMBER($E:$E)),0),0)))*($E281&gt;INDEX(_xlfn.ANCHORARRAY(Sintesi!$C$14),1,$C281))*($E281&lt;INDEX(_xlfn.ANCHORARRAY(Sintesi!$C$16),1,$C281))*(INDEX(_xlfn.ANCHORARRAY(Sintesi!$C$15),1,$C281)&lt;0)+($E281&gt;=$E280)*($E281&lt;=INDEX($E:$E,MATCH(TRUE,INDEX((ISNUMBER($E:$E)),0),0)))*($E281&gt;INDEX(_xlfn.ANCHORARRAY(Sintesi!$C$15),1,$C281))*($E281&lt;INDEX(_xlfn.ANCHORARRAY(Sintesi!$C$16),1,$C281))*(INDEX(_xlfn.ANCHORARRAY(Sintesi!$C$15),1,$C281)&gt;0),2,IF($E281=(INDEX(_xlfn.ANCHORARRAY(Sintesi!$C$16),1,$C281)),3,4)))),0),IF($C281&gt;0,IF(($E281=INDEX(_xlfn.ANCHORARRAY(Sintesi!$C$14),1,$C281))*(INDEX(_xlfn.ANCHORARRAY(Sintesi!$C$15),1,$C281)&gt;0),0,IF(($E281=INDEX(_xlfn.ANCHORARRAY(Sintesi!$C$14),1,$C281))*(INDEX(_xlfn.ANCHORARRAY(Sintesi!$C$15),1,$C281)&lt;0)+($E281&gt;=LOOKUP(2,1/($E:$E&lt;&gt;""),$E:$E))*($E281&lt;=INDEX($E:$E,MATCH(TRUE,INDEX((ISNUMBER($E:$E)),0),0)))*($E281&gt;INDEX(_xlfn.ANCHORARRAY(Sintesi!$C$14),1,$C281))*($E281&lt;=INDEX(_xlfn.ANCHORARRAY(Sintesi!$C$15),1,$C281))*(INDEX(_xlfn.ANCHORARRAY(Sintesi!$C$15),1,$C281)&gt;0),1,IF(($E281&gt;=LOOKUP(2,1/($E:$E&lt;&gt;""),$E:$E))*($E281&lt;=INDEX($E:$E,MATCH(TRUE,INDEX((ISNUMBER($E:$E)),0),0)))*($E281&gt;INDEX(_xlfn.ANCHORARRAY(Sintesi!$C$14),1,$C281))*($E281&lt;INDEX(_xlfn.ANCHORARRAY(Sintesi!$C$16),1,$C281))*(INDEX(_xlfn.ANCHORARRAY(Sintesi!$C$15),1,$C281)&lt;0)+($E281&gt;=LOOKUP(2,1/($E:$E&lt;&gt;""),$E:$E))*($E281&lt;=INDEX($E:$E,MATCH(TRUE,INDEX((ISNUMBER($E:$E)),0),0)))*($E281&gt;INDEX(_xlfn.ANCHORARRAY(Sintesi!$C$15),1,$C281))*($E281&lt;INDEX(_xlfn.ANCHORARRAY(Sintesi!$C$16),1,$C281))*(INDEX(_xlfn.ANCHORARRAY(Sintesi!$C$15),1,$C281)&gt;0),2,IF($E281=(INDEX(_xlfn.ANCHORARRAY(Sintesi!$C$16),1,$C281)),3,4)))),0)),IF(ISNUMBER($E280),IF($C281&gt;0,IF(($E281=INDEX(_xlfn.ANCHORARRAY(Sintesi!$C$14),1,$C281))*(INDEX(_xlfn.ANCHORARRAY(Sintesi!$C$15),1,$C281)&gt;0),0,IF(($E281=INDEX(_xlfn.ANCHORARRAY(Sintesi!$C$14),1,$C281))*(INDEX(_xlfn.ANCHORARRAY(Sintesi!$C$15),1,$C281)&lt;0)+($E281&gt;=$E280)*($E281&lt;=$E282)*($E281&gt;INDEX(_xlfn.ANCHORARRAY(Sintesi!$C$14),1,$C281))*($E281&lt;=INDEX(_xlfn.ANCHORARRAY(Sintesi!$C$15),1,$C281))*(INDEX(_xlfn.ANCHORARRAY(Sintesi!$C$15),1,$C281)&gt;0),1,IF(($E281&gt;=$E280)*($E281&lt;=$E282)*($E281&gt;INDEX(_xlfn.ANCHORARRAY(Sintesi!$C$14),1,$C281))*($E281&lt;INDEX(_xlfn.ANCHORARRAY(Sintesi!$C$16),1,$C281))*(INDEX(_xlfn.ANCHORARRAY(Sintesi!$C$15),1,$C281)&lt;0)+($E281&gt;=$E280)*($E281&lt;=$E282)*($E281&gt;INDEX(_xlfn.ANCHORARRAY(Sintesi!$C$15),1,$C281))*($E281&lt;INDEX(_xlfn.ANCHORARRAY(Sintesi!$C$16),1,$C281))*(INDEX(_xlfn.ANCHORARRAY(Sintesi!$C$15),1,$C281)&gt;0),2,IF($E281=(INDEX(_xlfn.ANCHORARRAY(Sintesi!$C$16),1,$C281)),3,4)))),0),IF($C281&gt;0,IF(($E281=INDEX(_xlfn.ANCHORARRAY(Sintesi!$C$14),1,$C281))*(INDEX(_xlfn.ANCHORARRAY(Sintesi!$C$15),1,$C281)&gt;0),0,IF(($E281=INDEX(_xlfn.ANCHORARRAY(Sintesi!$C$14),1,$C281))*(INDEX(_xlfn.ANCHORARRAY(Sintesi!$C$15),1,$C281)&lt;0)+($E281&gt;=LOOKUP(2,1/($E:$E&lt;&gt;""),$E:$E))*($E281&lt;=$E282)*($E281&gt;INDEX(_xlfn.ANCHORARRAY(Sintesi!$C$14),1,$C281))*($E281&lt;=INDEX(_xlfn.ANCHORARRAY(Sintesi!$C$15),1,$C281))*(INDEX(_xlfn.ANCHORARRAY(Sintesi!$C$15),1,$C281)&gt;0),1,IF(($E281&gt;=LOOKUP(2,1/($E:$E&lt;&gt;""),$E:$E))*($E281&lt;=$E282)*($E281&gt;INDEX(_xlfn.ANCHORARRAY(Sintesi!$C$14),1,$C281))*($E281&lt;INDEX(_xlfn.ANCHORARRAY(Sintesi!$C$16),1,$C281))*(INDEX(_xlfn.ANCHORARRAY(Sintesi!$C$15),1,$C281)&lt;0)+($E281&gt;=LOOKUP(2,1/($E:$E&lt;&gt;""),$E:$E))*($E281&lt;=$E282)*($E281&gt;INDEX(_xlfn.ANCHORARRAY(Sintesi!$C$15),1,$C281))*($E281&lt;INDEX(_xlfn.ANCHORARRAY(Sintesi!$C$16),1,$C281))*(INDEX(_xlfn.ANCHORARRAY(Sintesi!$C$15),1,$C281)&gt;0),2,IF($E281=(INDEX(_xlfn.ANCHORARRAY(Sintesi!$C$16),1,$C281)),3,4)))),0)))</f>
        <v/>
      </c>
      <c r="E281" s="1">
        <f>'Paste cell here'!F281</f>
        <v/>
      </c>
      <c r="F281" s="1">
        <f>'Paste cell here'!C281</f>
        <v/>
      </c>
      <c r="G281" s="1">
        <f>'Paste cell here'!D281</f>
        <v/>
      </c>
      <c r="H281" s="1">
        <f>'Paste cell here'!E281</f>
        <v/>
      </c>
      <c r="I281" s="1">
        <f>'Paste cell here'!X281</f>
        <v/>
      </c>
      <c r="J281" s="1">
        <f>'Paste cell here'!Y281+'Paste cell here'!S281</f>
        <v/>
      </c>
      <c r="K281" s="1">
        <f>I281/H281</f>
        <v/>
      </c>
      <c r="L281" s="1">
        <f>AVERAGE(($F281+$G281)/2-($F281-$G281)/2*COS(PI()*(8-VLOOKUP(MONTH(B281),$O$1:$Q$13,3))/(VLOOKUP(MONTH(B281),$O$1:$Q$13,2)-VLOOKUP(MONTH(B281),$O$1:$Q$13,3))),($F281+$G281)/2-($F281-$G281)/2*COS(PI()*(9-VLOOKUP(MONTH(B281),$O$1:$Q$13,3))/(VLOOKUP(MONTH(B281),$O$1:$Q$13,2)-VLOOKUP(MONTH(B281),$O$1:$Q$13,3))),($F281+$G281)/2-($F281-$G281)/2*COS(PI()*(10-VLOOKUP(MONTH(B281),$O$1:$Q$13,3))/(VLOOKUP(MONTH(B281),$O$1:$Q$13,2)-VLOOKUP(MONTH(B281),$O$1:$Q$13,3))),($F281+$G281)/2-($F281-$G281)/2*COS(PI()*(11-VLOOKUP(MONTH(B281),$O$1:$Q$13,3))/(VLOOKUP(MONTH(B281),$O$1:$Q$13,2)-VLOOKUP(MONTH(B281),$O$1:$Q$13,3))),($F281+$G281)/2-($F281-$G281)/2*COS(PI()*(12-VLOOKUP(MONTH(B281),$O$1:$Q$13,3))/(VLOOKUP(MONTH(B281),$O$1:$Q$13,2)-VLOOKUP(MONTH(B281),$O$1:$Q$13,3))),($F281+$G281)/2-($F281-$G281)/2*COS(PI()*(13-VLOOKUP(MONTH(B281),$O$1:$Q$13,3))/(VLOOKUP(MONTH(B281),$O$1:$Q$13,2)-VLOOKUP(MONTH(B281),$O$1:$Q$13,3))),($F281+$G281)/2-($F281-$G281)/2*COS(PI()*(14-VLOOKUP(MONTH(B281),$O$1:$Q$13,3))/(VLOOKUP(MONTH(B281),$O$1:$Q$13,2)-VLOOKUP(MONTH(B281),$O$1:$Q$13,3))))</f>
        <v/>
      </c>
      <c r="M281" s="1">
        <f t="array" ref="M281">IF(AND(A281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,A281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),IF(L281&lt;_xlfn.IFNA(INDEX(_xlfn.ANCHORARRAY(Sintesi!$C$17)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,1,IF(L281&gt;=_xlfn.IFNA(INDEX(_xlfn.ANCHORARRAY(Sintesi!$C$18)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,0,1-(L281-_xlfn.IFNA(INDEX(_xlfn.ANCHORARRAY(Sintesi!$C$17)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)/(_xlfn.IFNA(INDEX(_xlfn.ANCHORARRAY(Sintesi!$C$18)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-_xlfn.IFNA(INDEX(_xlfn.ANCHORARRAY(Sintesi!$C$17)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))),0)</f>
        <v/>
      </c>
    </row>
    <row r="282">
      <c r="A282" s="1">
        <f>'Paste cell here'!A282</f>
        <v/>
      </c>
      <c r="B282" s="2">
        <f>DATE(Sintesi!$C$4-1,12,31)+A282</f>
        <v/>
      </c>
      <c r="C282" s="34">
        <f t="array" ref="C282">_xlfn.IFNA(MATCH(1,(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)*(_xlfn.ANCHORARRAY(Sintesi!$C$15)&gt;=0)+(_xlfn.ANCHORARRAY(Sintesi!$C$15)&lt;0),0),0)</f>
        <v/>
      </c>
      <c r="D282" s="1">
        <f t="array" ref="D282">IF(ISBLANK($E283),IF(ISNUMBER($E281),IF($C282&gt;0,IF(($E282=INDEX(_xlfn.ANCHORARRAY(Sintesi!$C$14),1,$C282))*(INDEX(_xlfn.ANCHORARRAY(Sintesi!$C$15),1,$C282)&gt;0),0,IF(($E282=INDEX(_xlfn.ANCHORARRAY(Sintesi!$C$14),1,$C282))*(INDEX(_xlfn.ANCHORARRAY(Sintesi!$C$15),1,$C282)&lt;0)+($E282&gt;=$E281)*($E282&lt;=INDEX($E:$E,MATCH(TRUE,INDEX((ISNUMBER($E:$E)),0),0)))*($E282&gt;INDEX(_xlfn.ANCHORARRAY(Sintesi!$C$14),1,$C282))*($E282&lt;=INDEX(_xlfn.ANCHORARRAY(Sintesi!$C$15),1,$C282))*(INDEX(_xlfn.ANCHORARRAY(Sintesi!$C$15),1,$C282)&gt;0),1,IF(($E282&gt;=$E281)*($E282&lt;=INDEX($E:$E,MATCH(TRUE,INDEX((ISNUMBER($E:$E)),0),0)))*($E282&gt;INDEX(_xlfn.ANCHORARRAY(Sintesi!$C$14),1,$C282))*($E282&lt;INDEX(_xlfn.ANCHORARRAY(Sintesi!$C$16),1,$C282))*(INDEX(_xlfn.ANCHORARRAY(Sintesi!$C$15),1,$C282)&lt;0)+($E282&gt;=$E281)*($E282&lt;=INDEX($E:$E,MATCH(TRUE,INDEX((ISNUMBER($E:$E)),0),0)))*($E282&gt;INDEX(_xlfn.ANCHORARRAY(Sintesi!$C$15),1,$C282))*($E282&lt;INDEX(_xlfn.ANCHORARRAY(Sintesi!$C$16),1,$C282))*(INDEX(_xlfn.ANCHORARRAY(Sintesi!$C$15),1,$C282)&gt;0),2,IF($E282=(INDEX(_xlfn.ANCHORARRAY(Sintesi!$C$16),1,$C282)),3,4)))),0),IF($C282&gt;0,IF(($E282=INDEX(_xlfn.ANCHORARRAY(Sintesi!$C$14),1,$C282))*(INDEX(_xlfn.ANCHORARRAY(Sintesi!$C$15),1,$C282)&gt;0),0,IF(($E282=INDEX(_xlfn.ANCHORARRAY(Sintesi!$C$14),1,$C282))*(INDEX(_xlfn.ANCHORARRAY(Sintesi!$C$15),1,$C282)&lt;0)+($E282&gt;=LOOKUP(2,1/($E:$E&lt;&gt;""),$E:$E))*($E282&lt;=INDEX($E:$E,MATCH(TRUE,INDEX((ISNUMBER($E:$E)),0),0)))*($E282&gt;INDEX(_xlfn.ANCHORARRAY(Sintesi!$C$14),1,$C282))*($E282&lt;=INDEX(_xlfn.ANCHORARRAY(Sintesi!$C$15),1,$C282))*(INDEX(_xlfn.ANCHORARRAY(Sintesi!$C$15),1,$C282)&gt;0),1,IF(($E282&gt;=LOOKUP(2,1/($E:$E&lt;&gt;""),$E:$E))*($E282&lt;=INDEX($E:$E,MATCH(TRUE,INDEX((ISNUMBER($E:$E)),0),0)))*($E282&gt;INDEX(_xlfn.ANCHORARRAY(Sintesi!$C$14),1,$C282))*($E282&lt;INDEX(_xlfn.ANCHORARRAY(Sintesi!$C$16),1,$C282))*(INDEX(_xlfn.ANCHORARRAY(Sintesi!$C$15),1,$C282)&lt;0)+($E282&gt;=LOOKUP(2,1/($E:$E&lt;&gt;""),$E:$E))*($E282&lt;=INDEX($E:$E,MATCH(TRUE,INDEX((ISNUMBER($E:$E)),0),0)))*($E282&gt;INDEX(_xlfn.ANCHORARRAY(Sintesi!$C$15),1,$C282))*($E282&lt;INDEX(_xlfn.ANCHORARRAY(Sintesi!$C$16),1,$C282))*(INDEX(_xlfn.ANCHORARRAY(Sintesi!$C$15),1,$C282)&gt;0),2,IF($E282=(INDEX(_xlfn.ANCHORARRAY(Sintesi!$C$16),1,$C282)),3,4)))),0)),IF(ISNUMBER($E281),IF($C282&gt;0,IF(($E282=INDEX(_xlfn.ANCHORARRAY(Sintesi!$C$14),1,$C282))*(INDEX(_xlfn.ANCHORARRAY(Sintesi!$C$15),1,$C282)&gt;0),0,IF(($E282=INDEX(_xlfn.ANCHORARRAY(Sintesi!$C$14),1,$C282))*(INDEX(_xlfn.ANCHORARRAY(Sintesi!$C$15),1,$C282)&lt;0)+($E282&gt;=$E281)*($E282&lt;=$E283)*($E282&gt;INDEX(_xlfn.ANCHORARRAY(Sintesi!$C$14),1,$C282))*($E282&lt;=INDEX(_xlfn.ANCHORARRAY(Sintesi!$C$15),1,$C282))*(INDEX(_xlfn.ANCHORARRAY(Sintesi!$C$15),1,$C282)&gt;0),1,IF(($E282&gt;=$E281)*($E282&lt;=$E283)*($E282&gt;INDEX(_xlfn.ANCHORARRAY(Sintesi!$C$14),1,$C282))*($E282&lt;INDEX(_xlfn.ANCHORARRAY(Sintesi!$C$16),1,$C282))*(INDEX(_xlfn.ANCHORARRAY(Sintesi!$C$15),1,$C282)&lt;0)+($E282&gt;=$E281)*($E282&lt;=$E283)*($E282&gt;INDEX(_xlfn.ANCHORARRAY(Sintesi!$C$15),1,$C282))*($E282&lt;INDEX(_xlfn.ANCHORARRAY(Sintesi!$C$16),1,$C282))*(INDEX(_xlfn.ANCHORARRAY(Sintesi!$C$15),1,$C282)&gt;0),2,IF($E282=(INDEX(_xlfn.ANCHORARRAY(Sintesi!$C$16),1,$C282)),3,4)))),0),IF($C282&gt;0,IF(($E282=INDEX(_xlfn.ANCHORARRAY(Sintesi!$C$14),1,$C282))*(INDEX(_xlfn.ANCHORARRAY(Sintesi!$C$15),1,$C282)&gt;0),0,IF(($E282=INDEX(_xlfn.ANCHORARRAY(Sintesi!$C$14),1,$C282))*(INDEX(_xlfn.ANCHORARRAY(Sintesi!$C$15),1,$C282)&lt;0)+($E282&gt;=LOOKUP(2,1/($E:$E&lt;&gt;""),$E:$E))*($E282&lt;=$E283)*($E282&gt;INDEX(_xlfn.ANCHORARRAY(Sintesi!$C$14),1,$C282))*($E282&lt;=INDEX(_xlfn.ANCHORARRAY(Sintesi!$C$15),1,$C282))*(INDEX(_xlfn.ANCHORARRAY(Sintesi!$C$15),1,$C282)&gt;0),1,IF(($E282&gt;=LOOKUP(2,1/($E:$E&lt;&gt;""),$E:$E))*($E282&lt;=$E283)*($E282&gt;INDEX(_xlfn.ANCHORARRAY(Sintesi!$C$14),1,$C282))*($E282&lt;INDEX(_xlfn.ANCHORARRAY(Sintesi!$C$16),1,$C282))*(INDEX(_xlfn.ANCHORARRAY(Sintesi!$C$15),1,$C282)&lt;0)+($E282&gt;=LOOKUP(2,1/($E:$E&lt;&gt;""),$E:$E))*($E282&lt;=$E283)*($E282&gt;INDEX(_xlfn.ANCHORARRAY(Sintesi!$C$15),1,$C282))*($E282&lt;INDEX(_xlfn.ANCHORARRAY(Sintesi!$C$16),1,$C282))*(INDEX(_xlfn.ANCHORARRAY(Sintesi!$C$15),1,$C282)&gt;0),2,IF($E282=(INDEX(_xlfn.ANCHORARRAY(Sintesi!$C$16),1,$C282)),3,4)))),0)))</f>
        <v/>
      </c>
      <c r="E282" s="1">
        <f>'Paste cell here'!F282</f>
        <v/>
      </c>
      <c r="F282" s="1">
        <f>'Paste cell here'!C282</f>
        <v/>
      </c>
      <c r="G282" s="1">
        <f>'Paste cell here'!D282</f>
        <v/>
      </c>
      <c r="H282" s="1">
        <f>'Paste cell here'!E282</f>
        <v/>
      </c>
      <c r="I282" s="1">
        <f>'Paste cell here'!X282</f>
        <v/>
      </c>
      <c r="J282" s="1">
        <f>'Paste cell here'!Y282+'Paste cell here'!S282</f>
        <v/>
      </c>
      <c r="K282" s="1">
        <f>I282/H282</f>
        <v/>
      </c>
      <c r="L282" s="1">
        <f>AVERAGE(($F282+$G282)/2-($F282-$G282)/2*COS(PI()*(8-VLOOKUP(MONTH(B282),$O$1:$Q$13,3))/(VLOOKUP(MONTH(B282),$O$1:$Q$13,2)-VLOOKUP(MONTH(B282),$O$1:$Q$13,3))),($F282+$G282)/2-($F282-$G282)/2*COS(PI()*(9-VLOOKUP(MONTH(B282),$O$1:$Q$13,3))/(VLOOKUP(MONTH(B282),$O$1:$Q$13,2)-VLOOKUP(MONTH(B282),$O$1:$Q$13,3))),($F282+$G282)/2-($F282-$G282)/2*COS(PI()*(10-VLOOKUP(MONTH(B282),$O$1:$Q$13,3))/(VLOOKUP(MONTH(B282),$O$1:$Q$13,2)-VLOOKUP(MONTH(B282),$O$1:$Q$13,3))),($F282+$G282)/2-($F282-$G282)/2*COS(PI()*(11-VLOOKUP(MONTH(B282),$O$1:$Q$13,3))/(VLOOKUP(MONTH(B282),$O$1:$Q$13,2)-VLOOKUP(MONTH(B282),$O$1:$Q$13,3))),($F282+$G282)/2-($F282-$G282)/2*COS(PI()*(12-VLOOKUP(MONTH(B282),$O$1:$Q$13,3))/(VLOOKUP(MONTH(B282),$O$1:$Q$13,2)-VLOOKUP(MONTH(B282),$O$1:$Q$13,3))),($F282+$G282)/2-($F282-$G282)/2*COS(PI()*(13-VLOOKUP(MONTH(B282),$O$1:$Q$13,3))/(VLOOKUP(MONTH(B282),$O$1:$Q$13,2)-VLOOKUP(MONTH(B282),$O$1:$Q$13,3))),($F282+$G282)/2-($F282-$G282)/2*COS(PI()*(14-VLOOKUP(MONTH(B282),$O$1:$Q$13,3))/(VLOOKUP(MONTH(B282),$O$1:$Q$13,2)-VLOOKUP(MONTH(B282),$O$1:$Q$13,3))))</f>
        <v/>
      </c>
      <c r="M282" s="1">
        <f t="array" ref="M282">IF(AND(A282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,A282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),IF(L282&lt;_xlfn.IFNA(INDEX(_xlfn.ANCHORARRAY(Sintesi!$C$17)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,1,IF(L282&gt;=_xlfn.IFNA(INDEX(_xlfn.ANCHORARRAY(Sintesi!$C$18)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,0,1-(L282-_xlfn.IFNA(INDEX(_xlfn.ANCHORARRAY(Sintesi!$C$17)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)/(_xlfn.IFNA(INDEX(_xlfn.ANCHORARRAY(Sintesi!$C$18)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-_xlfn.IFNA(INDEX(_xlfn.ANCHORARRAY(Sintesi!$C$17)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))),0)</f>
        <v/>
      </c>
    </row>
    <row r="283">
      <c r="A283" s="1">
        <f>'Paste cell here'!A283</f>
        <v/>
      </c>
      <c r="B283" s="2">
        <f>DATE(Sintesi!$C$4-1,12,31)+A283</f>
        <v/>
      </c>
      <c r="C283" s="34">
        <f t="array" ref="C283">_xlfn.IFNA(MATCH(1,(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)*(_xlfn.ANCHORARRAY(Sintesi!$C$15)&gt;=0)+(_xlfn.ANCHORARRAY(Sintesi!$C$15)&lt;0),0),0)</f>
        <v/>
      </c>
      <c r="D283" s="1">
        <f t="array" ref="D283">IF(ISBLANK($E284),IF(ISNUMBER($E282),IF($C283&gt;0,IF(($E283=INDEX(_xlfn.ANCHORARRAY(Sintesi!$C$14),1,$C283))*(INDEX(_xlfn.ANCHORARRAY(Sintesi!$C$15),1,$C283)&gt;0),0,IF(($E283=INDEX(_xlfn.ANCHORARRAY(Sintesi!$C$14),1,$C283))*(INDEX(_xlfn.ANCHORARRAY(Sintesi!$C$15),1,$C283)&lt;0)+($E283&gt;=$E282)*($E283&lt;=INDEX($E:$E,MATCH(TRUE,INDEX((ISNUMBER($E:$E)),0),0)))*($E283&gt;INDEX(_xlfn.ANCHORARRAY(Sintesi!$C$14),1,$C283))*($E283&lt;=INDEX(_xlfn.ANCHORARRAY(Sintesi!$C$15),1,$C283))*(INDEX(_xlfn.ANCHORARRAY(Sintesi!$C$15),1,$C283)&gt;0),1,IF(($E283&gt;=$E282)*($E283&lt;=INDEX($E:$E,MATCH(TRUE,INDEX((ISNUMBER($E:$E)),0),0)))*($E283&gt;INDEX(_xlfn.ANCHORARRAY(Sintesi!$C$14),1,$C283))*($E283&lt;INDEX(_xlfn.ANCHORARRAY(Sintesi!$C$16),1,$C283))*(INDEX(_xlfn.ANCHORARRAY(Sintesi!$C$15),1,$C283)&lt;0)+($E283&gt;=$E282)*($E283&lt;=INDEX($E:$E,MATCH(TRUE,INDEX((ISNUMBER($E:$E)),0),0)))*($E283&gt;INDEX(_xlfn.ANCHORARRAY(Sintesi!$C$15),1,$C283))*($E283&lt;INDEX(_xlfn.ANCHORARRAY(Sintesi!$C$16),1,$C283))*(INDEX(_xlfn.ANCHORARRAY(Sintesi!$C$15),1,$C283)&gt;0),2,IF($E283=(INDEX(_xlfn.ANCHORARRAY(Sintesi!$C$16),1,$C283)),3,4)))),0),IF($C283&gt;0,IF(($E283=INDEX(_xlfn.ANCHORARRAY(Sintesi!$C$14),1,$C283))*(INDEX(_xlfn.ANCHORARRAY(Sintesi!$C$15),1,$C283)&gt;0),0,IF(($E283=INDEX(_xlfn.ANCHORARRAY(Sintesi!$C$14),1,$C283))*(INDEX(_xlfn.ANCHORARRAY(Sintesi!$C$15),1,$C283)&lt;0)+($E283&gt;=LOOKUP(2,1/($E:$E&lt;&gt;""),$E:$E))*($E283&lt;=INDEX($E:$E,MATCH(TRUE,INDEX((ISNUMBER($E:$E)),0),0)))*($E283&gt;INDEX(_xlfn.ANCHORARRAY(Sintesi!$C$14),1,$C283))*($E283&lt;=INDEX(_xlfn.ANCHORARRAY(Sintesi!$C$15),1,$C283))*(INDEX(_xlfn.ANCHORARRAY(Sintesi!$C$15),1,$C283)&gt;0),1,IF(($E283&gt;=LOOKUP(2,1/($E:$E&lt;&gt;""),$E:$E))*($E283&lt;=INDEX($E:$E,MATCH(TRUE,INDEX((ISNUMBER($E:$E)),0),0)))*($E283&gt;INDEX(_xlfn.ANCHORARRAY(Sintesi!$C$14),1,$C283))*($E283&lt;INDEX(_xlfn.ANCHORARRAY(Sintesi!$C$16),1,$C283))*(INDEX(_xlfn.ANCHORARRAY(Sintesi!$C$15),1,$C283)&lt;0)+($E283&gt;=LOOKUP(2,1/($E:$E&lt;&gt;""),$E:$E))*($E283&lt;=INDEX($E:$E,MATCH(TRUE,INDEX((ISNUMBER($E:$E)),0),0)))*($E283&gt;INDEX(_xlfn.ANCHORARRAY(Sintesi!$C$15),1,$C283))*($E283&lt;INDEX(_xlfn.ANCHORARRAY(Sintesi!$C$16),1,$C283))*(INDEX(_xlfn.ANCHORARRAY(Sintesi!$C$15),1,$C283)&gt;0),2,IF($E283=(INDEX(_xlfn.ANCHORARRAY(Sintesi!$C$16),1,$C283)),3,4)))),0)),IF(ISNUMBER($E282),IF($C283&gt;0,IF(($E283=INDEX(_xlfn.ANCHORARRAY(Sintesi!$C$14),1,$C283))*(INDEX(_xlfn.ANCHORARRAY(Sintesi!$C$15),1,$C283)&gt;0),0,IF(($E283=INDEX(_xlfn.ANCHORARRAY(Sintesi!$C$14),1,$C283))*(INDEX(_xlfn.ANCHORARRAY(Sintesi!$C$15),1,$C283)&lt;0)+($E283&gt;=$E282)*($E283&lt;=$E284)*($E283&gt;INDEX(_xlfn.ANCHORARRAY(Sintesi!$C$14),1,$C283))*($E283&lt;=INDEX(_xlfn.ANCHORARRAY(Sintesi!$C$15),1,$C283))*(INDEX(_xlfn.ANCHORARRAY(Sintesi!$C$15),1,$C283)&gt;0),1,IF(($E283&gt;=$E282)*($E283&lt;=$E284)*($E283&gt;INDEX(_xlfn.ANCHORARRAY(Sintesi!$C$14),1,$C283))*($E283&lt;INDEX(_xlfn.ANCHORARRAY(Sintesi!$C$16),1,$C283))*(INDEX(_xlfn.ANCHORARRAY(Sintesi!$C$15),1,$C283)&lt;0)+($E283&gt;=$E282)*($E283&lt;=$E284)*($E283&gt;INDEX(_xlfn.ANCHORARRAY(Sintesi!$C$15),1,$C283))*($E283&lt;INDEX(_xlfn.ANCHORARRAY(Sintesi!$C$16),1,$C283))*(INDEX(_xlfn.ANCHORARRAY(Sintesi!$C$15),1,$C283)&gt;0),2,IF($E283=(INDEX(_xlfn.ANCHORARRAY(Sintesi!$C$16),1,$C283)),3,4)))),0),IF($C283&gt;0,IF(($E283=INDEX(_xlfn.ANCHORARRAY(Sintesi!$C$14),1,$C283))*(INDEX(_xlfn.ANCHORARRAY(Sintesi!$C$15),1,$C283)&gt;0),0,IF(($E283=INDEX(_xlfn.ANCHORARRAY(Sintesi!$C$14),1,$C283))*(INDEX(_xlfn.ANCHORARRAY(Sintesi!$C$15),1,$C283)&lt;0)+($E283&gt;=LOOKUP(2,1/($E:$E&lt;&gt;""),$E:$E))*($E283&lt;=$E284)*($E283&gt;INDEX(_xlfn.ANCHORARRAY(Sintesi!$C$14),1,$C283))*($E283&lt;=INDEX(_xlfn.ANCHORARRAY(Sintesi!$C$15),1,$C283))*(INDEX(_xlfn.ANCHORARRAY(Sintesi!$C$15),1,$C283)&gt;0),1,IF(($E283&gt;=LOOKUP(2,1/($E:$E&lt;&gt;""),$E:$E))*($E283&lt;=$E284)*($E283&gt;INDEX(_xlfn.ANCHORARRAY(Sintesi!$C$14),1,$C283))*($E283&lt;INDEX(_xlfn.ANCHORARRAY(Sintesi!$C$16),1,$C283))*(INDEX(_xlfn.ANCHORARRAY(Sintesi!$C$15),1,$C283)&lt;0)+($E283&gt;=LOOKUP(2,1/($E:$E&lt;&gt;""),$E:$E))*($E283&lt;=$E284)*($E283&gt;INDEX(_xlfn.ANCHORARRAY(Sintesi!$C$15),1,$C283))*($E283&lt;INDEX(_xlfn.ANCHORARRAY(Sintesi!$C$16),1,$C283))*(INDEX(_xlfn.ANCHORARRAY(Sintesi!$C$15),1,$C283)&gt;0),2,IF($E283=(INDEX(_xlfn.ANCHORARRAY(Sintesi!$C$16),1,$C283)),3,4)))),0)))</f>
        <v/>
      </c>
      <c r="E283" s="1">
        <f>'Paste cell here'!F283</f>
        <v/>
      </c>
      <c r="F283" s="1">
        <f>'Paste cell here'!C283</f>
        <v/>
      </c>
      <c r="G283" s="1">
        <f>'Paste cell here'!D283</f>
        <v/>
      </c>
      <c r="H283" s="1">
        <f>'Paste cell here'!E283</f>
        <v/>
      </c>
      <c r="I283" s="1">
        <f>'Paste cell here'!X283</f>
        <v/>
      </c>
      <c r="J283" s="1">
        <f>'Paste cell here'!Y283+'Paste cell here'!S283</f>
        <v/>
      </c>
      <c r="K283" s="1">
        <f>I283/H283</f>
        <v/>
      </c>
      <c r="L283" s="1">
        <f>AVERAGE(($F283+$G283)/2-($F283-$G283)/2*COS(PI()*(8-VLOOKUP(MONTH(B283),$O$1:$Q$13,3))/(VLOOKUP(MONTH(B283),$O$1:$Q$13,2)-VLOOKUP(MONTH(B283),$O$1:$Q$13,3))),($F283+$G283)/2-($F283-$G283)/2*COS(PI()*(9-VLOOKUP(MONTH(B283),$O$1:$Q$13,3))/(VLOOKUP(MONTH(B283),$O$1:$Q$13,2)-VLOOKUP(MONTH(B283),$O$1:$Q$13,3))),($F283+$G283)/2-($F283-$G283)/2*COS(PI()*(10-VLOOKUP(MONTH(B283),$O$1:$Q$13,3))/(VLOOKUP(MONTH(B283),$O$1:$Q$13,2)-VLOOKUP(MONTH(B283),$O$1:$Q$13,3))),($F283+$G283)/2-($F283-$G283)/2*COS(PI()*(11-VLOOKUP(MONTH(B283),$O$1:$Q$13,3))/(VLOOKUP(MONTH(B283),$O$1:$Q$13,2)-VLOOKUP(MONTH(B283),$O$1:$Q$13,3))),($F283+$G283)/2-($F283-$G283)/2*COS(PI()*(12-VLOOKUP(MONTH(B283),$O$1:$Q$13,3))/(VLOOKUP(MONTH(B283),$O$1:$Q$13,2)-VLOOKUP(MONTH(B283),$O$1:$Q$13,3))),($F283+$G283)/2-($F283-$G283)/2*COS(PI()*(13-VLOOKUP(MONTH(B283),$O$1:$Q$13,3))/(VLOOKUP(MONTH(B283),$O$1:$Q$13,2)-VLOOKUP(MONTH(B283),$O$1:$Q$13,3))),($F283+$G283)/2-($F283-$G283)/2*COS(PI()*(14-VLOOKUP(MONTH(B283),$O$1:$Q$13,3))/(VLOOKUP(MONTH(B283),$O$1:$Q$13,2)-VLOOKUP(MONTH(B283),$O$1:$Q$13,3))))</f>
        <v/>
      </c>
      <c r="M283" s="1">
        <f t="array" ref="M283">IF(AND(A283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,A283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),IF(L283&lt;_xlfn.IFNA(INDEX(_xlfn.ANCHORARRAY(Sintesi!$C$17)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,1,IF(L283&gt;=_xlfn.IFNA(INDEX(_xlfn.ANCHORARRAY(Sintesi!$C$18)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,0,1-(L283-_xlfn.IFNA(INDEX(_xlfn.ANCHORARRAY(Sintesi!$C$17)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)/(_xlfn.IFNA(INDEX(_xlfn.ANCHORARRAY(Sintesi!$C$18)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-_xlfn.IFNA(INDEX(_xlfn.ANCHORARRAY(Sintesi!$C$17)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))),0)</f>
        <v/>
      </c>
    </row>
    <row r="284">
      <c r="A284" s="1">
        <f>'Paste cell here'!A284</f>
        <v/>
      </c>
      <c r="B284" s="2">
        <f>DATE(Sintesi!$C$4-1,12,31)+A284</f>
        <v/>
      </c>
      <c r="C284" s="34">
        <f t="array" ref="C284">_xlfn.IFNA(MATCH(1,(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)*(_xlfn.ANCHORARRAY(Sintesi!$C$15)&gt;=0)+(_xlfn.ANCHORARRAY(Sintesi!$C$15)&lt;0),0),0)</f>
        <v/>
      </c>
      <c r="D284" s="1">
        <f t="array" ref="D284">IF(ISBLANK($E285),IF(ISNUMBER($E283),IF($C284&gt;0,IF(($E284=INDEX(_xlfn.ANCHORARRAY(Sintesi!$C$14),1,$C284))*(INDEX(_xlfn.ANCHORARRAY(Sintesi!$C$15),1,$C284)&gt;0),0,IF(($E284=INDEX(_xlfn.ANCHORARRAY(Sintesi!$C$14),1,$C284))*(INDEX(_xlfn.ANCHORARRAY(Sintesi!$C$15),1,$C284)&lt;0)+($E284&gt;=$E283)*($E284&lt;=INDEX($E:$E,MATCH(TRUE,INDEX((ISNUMBER($E:$E)),0),0)))*($E284&gt;INDEX(_xlfn.ANCHORARRAY(Sintesi!$C$14),1,$C284))*($E284&lt;=INDEX(_xlfn.ANCHORARRAY(Sintesi!$C$15),1,$C284))*(INDEX(_xlfn.ANCHORARRAY(Sintesi!$C$15),1,$C284)&gt;0),1,IF(($E284&gt;=$E283)*($E284&lt;=INDEX($E:$E,MATCH(TRUE,INDEX((ISNUMBER($E:$E)),0),0)))*($E284&gt;INDEX(_xlfn.ANCHORARRAY(Sintesi!$C$14),1,$C284))*($E284&lt;INDEX(_xlfn.ANCHORARRAY(Sintesi!$C$16),1,$C284))*(INDEX(_xlfn.ANCHORARRAY(Sintesi!$C$15),1,$C284)&lt;0)+($E284&gt;=$E283)*($E284&lt;=INDEX($E:$E,MATCH(TRUE,INDEX((ISNUMBER($E:$E)),0),0)))*($E284&gt;INDEX(_xlfn.ANCHORARRAY(Sintesi!$C$15),1,$C284))*($E284&lt;INDEX(_xlfn.ANCHORARRAY(Sintesi!$C$16),1,$C284))*(INDEX(_xlfn.ANCHORARRAY(Sintesi!$C$15),1,$C284)&gt;0),2,IF($E284=(INDEX(_xlfn.ANCHORARRAY(Sintesi!$C$16),1,$C284)),3,4)))),0),IF($C284&gt;0,IF(($E284=INDEX(_xlfn.ANCHORARRAY(Sintesi!$C$14),1,$C284))*(INDEX(_xlfn.ANCHORARRAY(Sintesi!$C$15),1,$C284)&gt;0),0,IF(($E284=INDEX(_xlfn.ANCHORARRAY(Sintesi!$C$14),1,$C284))*(INDEX(_xlfn.ANCHORARRAY(Sintesi!$C$15),1,$C284)&lt;0)+($E284&gt;=LOOKUP(2,1/($E:$E&lt;&gt;""),$E:$E))*($E284&lt;=INDEX($E:$E,MATCH(TRUE,INDEX((ISNUMBER($E:$E)),0),0)))*($E284&gt;INDEX(_xlfn.ANCHORARRAY(Sintesi!$C$14),1,$C284))*($E284&lt;=INDEX(_xlfn.ANCHORARRAY(Sintesi!$C$15),1,$C284))*(INDEX(_xlfn.ANCHORARRAY(Sintesi!$C$15),1,$C284)&gt;0),1,IF(($E284&gt;=LOOKUP(2,1/($E:$E&lt;&gt;""),$E:$E))*($E284&lt;=INDEX($E:$E,MATCH(TRUE,INDEX((ISNUMBER($E:$E)),0),0)))*($E284&gt;INDEX(_xlfn.ANCHORARRAY(Sintesi!$C$14),1,$C284))*($E284&lt;INDEX(_xlfn.ANCHORARRAY(Sintesi!$C$16),1,$C284))*(INDEX(_xlfn.ANCHORARRAY(Sintesi!$C$15),1,$C284)&lt;0)+($E284&gt;=LOOKUP(2,1/($E:$E&lt;&gt;""),$E:$E))*($E284&lt;=INDEX($E:$E,MATCH(TRUE,INDEX((ISNUMBER($E:$E)),0),0)))*($E284&gt;INDEX(_xlfn.ANCHORARRAY(Sintesi!$C$15),1,$C284))*($E284&lt;INDEX(_xlfn.ANCHORARRAY(Sintesi!$C$16),1,$C284))*(INDEX(_xlfn.ANCHORARRAY(Sintesi!$C$15),1,$C284)&gt;0),2,IF($E284=(INDEX(_xlfn.ANCHORARRAY(Sintesi!$C$16),1,$C284)),3,4)))),0)),IF(ISNUMBER($E283),IF($C284&gt;0,IF(($E284=INDEX(_xlfn.ANCHORARRAY(Sintesi!$C$14),1,$C284))*(INDEX(_xlfn.ANCHORARRAY(Sintesi!$C$15),1,$C284)&gt;0),0,IF(($E284=INDEX(_xlfn.ANCHORARRAY(Sintesi!$C$14),1,$C284))*(INDEX(_xlfn.ANCHORARRAY(Sintesi!$C$15),1,$C284)&lt;0)+($E284&gt;=$E283)*($E284&lt;=$E285)*($E284&gt;INDEX(_xlfn.ANCHORARRAY(Sintesi!$C$14),1,$C284))*($E284&lt;=INDEX(_xlfn.ANCHORARRAY(Sintesi!$C$15),1,$C284))*(INDEX(_xlfn.ANCHORARRAY(Sintesi!$C$15),1,$C284)&gt;0),1,IF(($E284&gt;=$E283)*($E284&lt;=$E285)*($E284&gt;INDEX(_xlfn.ANCHORARRAY(Sintesi!$C$14),1,$C284))*($E284&lt;INDEX(_xlfn.ANCHORARRAY(Sintesi!$C$16),1,$C284))*(INDEX(_xlfn.ANCHORARRAY(Sintesi!$C$15),1,$C284)&lt;0)+($E284&gt;=$E283)*($E284&lt;=$E285)*($E284&gt;INDEX(_xlfn.ANCHORARRAY(Sintesi!$C$15),1,$C284))*($E284&lt;INDEX(_xlfn.ANCHORARRAY(Sintesi!$C$16),1,$C284))*(INDEX(_xlfn.ANCHORARRAY(Sintesi!$C$15),1,$C284)&gt;0),2,IF($E284=(INDEX(_xlfn.ANCHORARRAY(Sintesi!$C$16),1,$C284)),3,4)))),0),IF($C284&gt;0,IF(($E284=INDEX(_xlfn.ANCHORARRAY(Sintesi!$C$14),1,$C284))*(INDEX(_xlfn.ANCHORARRAY(Sintesi!$C$15),1,$C284)&gt;0),0,IF(($E284=INDEX(_xlfn.ANCHORARRAY(Sintesi!$C$14),1,$C284))*(INDEX(_xlfn.ANCHORARRAY(Sintesi!$C$15),1,$C284)&lt;0)+($E284&gt;=LOOKUP(2,1/($E:$E&lt;&gt;""),$E:$E))*($E284&lt;=$E285)*($E284&gt;INDEX(_xlfn.ANCHORARRAY(Sintesi!$C$14),1,$C284))*($E284&lt;=INDEX(_xlfn.ANCHORARRAY(Sintesi!$C$15),1,$C284))*(INDEX(_xlfn.ANCHORARRAY(Sintesi!$C$15),1,$C284)&gt;0),1,IF(($E284&gt;=LOOKUP(2,1/($E:$E&lt;&gt;""),$E:$E))*($E284&lt;=$E285)*($E284&gt;INDEX(_xlfn.ANCHORARRAY(Sintesi!$C$14),1,$C284))*($E284&lt;INDEX(_xlfn.ANCHORARRAY(Sintesi!$C$16),1,$C284))*(INDEX(_xlfn.ANCHORARRAY(Sintesi!$C$15),1,$C284)&lt;0)+($E284&gt;=LOOKUP(2,1/($E:$E&lt;&gt;""),$E:$E))*($E284&lt;=$E285)*($E284&gt;INDEX(_xlfn.ANCHORARRAY(Sintesi!$C$15),1,$C284))*($E284&lt;INDEX(_xlfn.ANCHORARRAY(Sintesi!$C$16),1,$C284))*(INDEX(_xlfn.ANCHORARRAY(Sintesi!$C$15),1,$C284)&gt;0),2,IF($E284=(INDEX(_xlfn.ANCHORARRAY(Sintesi!$C$16),1,$C284)),3,4)))),0)))</f>
        <v/>
      </c>
      <c r="E284" s="1">
        <f>'Paste cell here'!F284</f>
        <v/>
      </c>
      <c r="F284" s="1">
        <f>'Paste cell here'!C284</f>
        <v/>
      </c>
      <c r="G284" s="1">
        <f>'Paste cell here'!D284</f>
        <v/>
      </c>
      <c r="H284" s="1">
        <f>'Paste cell here'!E284</f>
        <v/>
      </c>
      <c r="I284" s="1">
        <f>'Paste cell here'!X284</f>
        <v/>
      </c>
      <c r="J284" s="1">
        <f>'Paste cell here'!Y284+'Paste cell here'!S284</f>
        <v/>
      </c>
      <c r="K284" s="1">
        <f>I284/H284</f>
        <v/>
      </c>
      <c r="L284" s="1">
        <f>AVERAGE(($F284+$G284)/2-($F284-$G284)/2*COS(PI()*(8-VLOOKUP(MONTH(B284),$O$1:$Q$13,3))/(VLOOKUP(MONTH(B284),$O$1:$Q$13,2)-VLOOKUP(MONTH(B284),$O$1:$Q$13,3))),($F284+$G284)/2-($F284-$G284)/2*COS(PI()*(9-VLOOKUP(MONTH(B284),$O$1:$Q$13,3))/(VLOOKUP(MONTH(B284),$O$1:$Q$13,2)-VLOOKUP(MONTH(B284),$O$1:$Q$13,3))),($F284+$G284)/2-($F284-$G284)/2*COS(PI()*(10-VLOOKUP(MONTH(B284),$O$1:$Q$13,3))/(VLOOKUP(MONTH(B284),$O$1:$Q$13,2)-VLOOKUP(MONTH(B284),$O$1:$Q$13,3))),($F284+$G284)/2-($F284-$G284)/2*COS(PI()*(11-VLOOKUP(MONTH(B284),$O$1:$Q$13,3))/(VLOOKUP(MONTH(B284),$O$1:$Q$13,2)-VLOOKUP(MONTH(B284),$O$1:$Q$13,3))),($F284+$G284)/2-($F284-$G284)/2*COS(PI()*(12-VLOOKUP(MONTH(B284),$O$1:$Q$13,3))/(VLOOKUP(MONTH(B284),$O$1:$Q$13,2)-VLOOKUP(MONTH(B284),$O$1:$Q$13,3))),($F284+$G284)/2-($F284-$G284)/2*COS(PI()*(13-VLOOKUP(MONTH(B284),$O$1:$Q$13,3))/(VLOOKUP(MONTH(B284),$O$1:$Q$13,2)-VLOOKUP(MONTH(B284),$O$1:$Q$13,3))),($F284+$G284)/2-($F284-$G284)/2*COS(PI()*(14-VLOOKUP(MONTH(B284),$O$1:$Q$13,3))/(VLOOKUP(MONTH(B284),$O$1:$Q$13,2)-VLOOKUP(MONTH(B284),$O$1:$Q$13,3))))</f>
        <v/>
      </c>
      <c r="M284" s="1">
        <f t="array" ref="M284">IF(AND(A284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,A284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),IF(L284&lt;_xlfn.IFNA(INDEX(_xlfn.ANCHORARRAY(Sintesi!$C$17)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,1,IF(L284&gt;=_xlfn.IFNA(INDEX(_xlfn.ANCHORARRAY(Sintesi!$C$18)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,0,1-(L284-_xlfn.IFNA(INDEX(_xlfn.ANCHORARRAY(Sintesi!$C$17)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)/(_xlfn.IFNA(INDEX(_xlfn.ANCHORARRAY(Sintesi!$C$18)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-_xlfn.IFNA(INDEX(_xlfn.ANCHORARRAY(Sintesi!$C$17)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))),0)</f>
        <v/>
      </c>
    </row>
    <row r="285">
      <c r="A285" s="1">
        <f>'Paste cell here'!A285</f>
        <v/>
      </c>
      <c r="B285" s="2">
        <f>DATE(Sintesi!$C$4-1,12,31)+A285</f>
        <v/>
      </c>
      <c r="C285" s="34">
        <f t="array" ref="C285">_xlfn.IFNA(MATCH(1,(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)*(_xlfn.ANCHORARRAY(Sintesi!$C$15)&gt;=0)+(_xlfn.ANCHORARRAY(Sintesi!$C$15)&lt;0),0),0)</f>
        <v/>
      </c>
      <c r="D285" s="1">
        <f t="array" ref="D285">IF(ISBLANK($E286),IF(ISNUMBER($E284),IF($C285&gt;0,IF(($E285=INDEX(_xlfn.ANCHORARRAY(Sintesi!$C$14),1,$C285))*(INDEX(_xlfn.ANCHORARRAY(Sintesi!$C$15),1,$C285)&gt;0),0,IF(($E285=INDEX(_xlfn.ANCHORARRAY(Sintesi!$C$14),1,$C285))*(INDEX(_xlfn.ANCHORARRAY(Sintesi!$C$15),1,$C285)&lt;0)+($E285&gt;=$E284)*($E285&lt;=INDEX($E:$E,MATCH(TRUE,INDEX((ISNUMBER($E:$E)),0),0)))*($E285&gt;INDEX(_xlfn.ANCHORARRAY(Sintesi!$C$14),1,$C285))*($E285&lt;=INDEX(_xlfn.ANCHORARRAY(Sintesi!$C$15),1,$C285))*(INDEX(_xlfn.ANCHORARRAY(Sintesi!$C$15),1,$C285)&gt;0),1,IF(($E285&gt;=$E284)*($E285&lt;=INDEX($E:$E,MATCH(TRUE,INDEX((ISNUMBER($E:$E)),0),0)))*($E285&gt;INDEX(_xlfn.ANCHORARRAY(Sintesi!$C$14),1,$C285))*($E285&lt;INDEX(_xlfn.ANCHORARRAY(Sintesi!$C$16),1,$C285))*(INDEX(_xlfn.ANCHORARRAY(Sintesi!$C$15),1,$C285)&lt;0)+($E285&gt;=$E284)*($E285&lt;=INDEX($E:$E,MATCH(TRUE,INDEX((ISNUMBER($E:$E)),0),0)))*($E285&gt;INDEX(_xlfn.ANCHORARRAY(Sintesi!$C$15),1,$C285))*($E285&lt;INDEX(_xlfn.ANCHORARRAY(Sintesi!$C$16),1,$C285))*(INDEX(_xlfn.ANCHORARRAY(Sintesi!$C$15),1,$C285)&gt;0),2,IF($E285=(INDEX(_xlfn.ANCHORARRAY(Sintesi!$C$16),1,$C285)),3,4)))),0),IF($C285&gt;0,IF(($E285=INDEX(_xlfn.ANCHORARRAY(Sintesi!$C$14),1,$C285))*(INDEX(_xlfn.ANCHORARRAY(Sintesi!$C$15),1,$C285)&gt;0),0,IF(($E285=INDEX(_xlfn.ANCHORARRAY(Sintesi!$C$14),1,$C285))*(INDEX(_xlfn.ANCHORARRAY(Sintesi!$C$15),1,$C285)&lt;0)+($E285&gt;=LOOKUP(2,1/($E:$E&lt;&gt;""),$E:$E))*($E285&lt;=INDEX($E:$E,MATCH(TRUE,INDEX((ISNUMBER($E:$E)),0),0)))*($E285&gt;INDEX(_xlfn.ANCHORARRAY(Sintesi!$C$14),1,$C285))*($E285&lt;=INDEX(_xlfn.ANCHORARRAY(Sintesi!$C$15),1,$C285))*(INDEX(_xlfn.ANCHORARRAY(Sintesi!$C$15),1,$C285)&gt;0),1,IF(($E285&gt;=LOOKUP(2,1/($E:$E&lt;&gt;""),$E:$E))*($E285&lt;=INDEX($E:$E,MATCH(TRUE,INDEX((ISNUMBER($E:$E)),0),0)))*($E285&gt;INDEX(_xlfn.ANCHORARRAY(Sintesi!$C$14),1,$C285))*($E285&lt;INDEX(_xlfn.ANCHORARRAY(Sintesi!$C$16),1,$C285))*(INDEX(_xlfn.ANCHORARRAY(Sintesi!$C$15),1,$C285)&lt;0)+($E285&gt;=LOOKUP(2,1/($E:$E&lt;&gt;""),$E:$E))*($E285&lt;=INDEX($E:$E,MATCH(TRUE,INDEX((ISNUMBER($E:$E)),0),0)))*($E285&gt;INDEX(_xlfn.ANCHORARRAY(Sintesi!$C$15),1,$C285))*($E285&lt;INDEX(_xlfn.ANCHORARRAY(Sintesi!$C$16),1,$C285))*(INDEX(_xlfn.ANCHORARRAY(Sintesi!$C$15),1,$C285)&gt;0),2,IF($E285=(INDEX(_xlfn.ANCHORARRAY(Sintesi!$C$16),1,$C285)),3,4)))),0)),IF(ISNUMBER($E284),IF($C285&gt;0,IF(($E285=INDEX(_xlfn.ANCHORARRAY(Sintesi!$C$14),1,$C285))*(INDEX(_xlfn.ANCHORARRAY(Sintesi!$C$15),1,$C285)&gt;0),0,IF(($E285=INDEX(_xlfn.ANCHORARRAY(Sintesi!$C$14),1,$C285))*(INDEX(_xlfn.ANCHORARRAY(Sintesi!$C$15),1,$C285)&lt;0)+($E285&gt;=$E284)*($E285&lt;=$E286)*($E285&gt;INDEX(_xlfn.ANCHORARRAY(Sintesi!$C$14),1,$C285))*($E285&lt;=INDEX(_xlfn.ANCHORARRAY(Sintesi!$C$15),1,$C285))*(INDEX(_xlfn.ANCHORARRAY(Sintesi!$C$15),1,$C285)&gt;0),1,IF(($E285&gt;=$E284)*($E285&lt;=$E286)*($E285&gt;INDEX(_xlfn.ANCHORARRAY(Sintesi!$C$14),1,$C285))*($E285&lt;INDEX(_xlfn.ANCHORARRAY(Sintesi!$C$16),1,$C285))*(INDEX(_xlfn.ANCHORARRAY(Sintesi!$C$15),1,$C285)&lt;0)+($E285&gt;=$E284)*($E285&lt;=$E286)*($E285&gt;INDEX(_xlfn.ANCHORARRAY(Sintesi!$C$15),1,$C285))*($E285&lt;INDEX(_xlfn.ANCHORARRAY(Sintesi!$C$16),1,$C285))*(INDEX(_xlfn.ANCHORARRAY(Sintesi!$C$15),1,$C285)&gt;0),2,IF($E285=(INDEX(_xlfn.ANCHORARRAY(Sintesi!$C$16),1,$C285)),3,4)))),0),IF($C285&gt;0,IF(($E285=INDEX(_xlfn.ANCHORARRAY(Sintesi!$C$14),1,$C285))*(INDEX(_xlfn.ANCHORARRAY(Sintesi!$C$15),1,$C285)&gt;0),0,IF(($E285=INDEX(_xlfn.ANCHORARRAY(Sintesi!$C$14),1,$C285))*(INDEX(_xlfn.ANCHORARRAY(Sintesi!$C$15),1,$C285)&lt;0)+($E285&gt;=LOOKUP(2,1/($E:$E&lt;&gt;""),$E:$E))*($E285&lt;=$E286)*($E285&gt;INDEX(_xlfn.ANCHORARRAY(Sintesi!$C$14),1,$C285))*($E285&lt;=INDEX(_xlfn.ANCHORARRAY(Sintesi!$C$15),1,$C285))*(INDEX(_xlfn.ANCHORARRAY(Sintesi!$C$15),1,$C285)&gt;0),1,IF(($E285&gt;=LOOKUP(2,1/($E:$E&lt;&gt;""),$E:$E))*($E285&lt;=$E286)*($E285&gt;INDEX(_xlfn.ANCHORARRAY(Sintesi!$C$14),1,$C285))*($E285&lt;INDEX(_xlfn.ANCHORARRAY(Sintesi!$C$16),1,$C285))*(INDEX(_xlfn.ANCHORARRAY(Sintesi!$C$15),1,$C285)&lt;0)+($E285&gt;=LOOKUP(2,1/($E:$E&lt;&gt;""),$E:$E))*($E285&lt;=$E286)*($E285&gt;INDEX(_xlfn.ANCHORARRAY(Sintesi!$C$15),1,$C285))*($E285&lt;INDEX(_xlfn.ANCHORARRAY(Sintesi!$C$16),1,$C285))*(INDEX(_xlfn.ANCHORARRAY(Sintesi!$C$15),1,$C285)&gt;0),2,IF($E285=(INDEX(_xlfn.ANCHORARRAY(Sintesi!$C$16),1,$C285)),3,4)))),0)))</f>
        <v/>
      </c>
      <c r="E285" s="1">
        <f>'Paste cell here'!F285</f>
        <v/>
      </c>
      <c r="F285" s="1">
        <f>'Paste cell here'!C285</f>
        <v/>
      </c>
      <c r="G285" s="1">
        <f>'Paste cell here'!D285</f>
        <v/>
      </c>
      <c r="H285" s="1">
        <f>'Paste cell here'!E285</f>
        <v/>
      </c>
      <c r="I285" s="1">
        <f>'Paste cell here'!X285</f>
        <v/>
      </c>
      <c r="J285" s="1">
        <f>'Paste cell here'!Y285+'Paste cell here'!S285</f>
        <v/>
      </c>
      <c r="K285" s="1">
        <f>I285/H285</f>
        <v/>
      </c>
      <c r="L285" s="1">
        <f>AVERAGE(($F285+$G285)/2-($F285-$G285)/2*COS(PI()*(8-VLOOKUP(MONTH(B285),$O$1:$Q$13,3))/(VLOOKUP(MONTH(B285),$O$1:$Q$13,2)-VLOOKUP(MONTH(B285),$O$1:$Q$13,3))),($F285+$G285)/2-($F285-$G285)/2*COS(PI()*(9-VLOOKUP(MONTH(B285),$O$1:$Q$13,3))/(VLOOKUP(MONTH(B285),$O$1:$Q$13,2)-VLOOKUP(MONTH(B285),$O$1:$Q$13,3))),($F285+$G285)/2-($F285-$G285)/2*COS(PI()*(10-VLOOKUP(MONTH(B285),$O$1:$Q$13,3))/(VLOOKUP(MONTH(B285),$O$1:$Q$13,2)-VLOOKUP(MONTH(B285),$O$1:$Q$13,3))),($F285+$G285)/2-($F285-$G285)/2*COS(PI()*(11-VLOOKUP(MONTH(B285),$O$1:$Q$13,3))/(VLOOKUP(MONTH(B285),$O$1:$Q$13,2)-VLOOKUP(MONTH(B285),$O$1:$Q$13,3))),($F285+$G285)/2-($F285-$G285)/2*COS(PI()*(12-VLOOKUP(MONTH(B285),$O$1:$Q$13,3))/(VLOOKUP(MONTH(B285),$O$1:$Q$13,2)-VLOOKUP(MONTH(B285),$O$1:$Q$13,3))),($F285+$G285)/2-($F285-$G285)/2*COS(PI()*(13-VLOOKUP(MONTH(B285),$O$1:$Q$13,3))/(VLOOKUP(MONTH(B285),$O$1:$Q$13,2)-VLOOKUP(MONTH(B285),$O$1:$Q$13,3))),($F285+$G285)/2-($F285-$G285)/2*COS(PI()*(14-VLOOKUP(MONTH(B285),$O$1:$Q$13,3))/(VLOOKUP(MONTH(B285),$O$1:$Q$13,2)-VLOOKUP(MONTH(B285),$O$1:$Q$13,3))))</f>
        <v/>
      </c>
      <c r="M285" s="1">
        <f t="array" ref="M285">IF(AND(A285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,A285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),IF(L285&lt;_xlfn.IFNA(INDEX(_xlfn.ANCHORARRAY(Sintesi!$C$17)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,1,IF(L285&gt;=_xlfn.IFNA(INDEX(_xlfn.ANCHORARRAY(Sintesi!$C$18)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,0,1-(L285-_xlfn.IFNA(INDEX(_xlfn.ANCHORARRAY(Sintesi!$C$17)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)/(_xlfn.IFNA(INDEX(_xlfn.ANCHORARRAY(Sintesi!$C$18)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-_xlfn.IFNA(INDEX(_xlfn.ANCHORARRAY(Sintesi!$C$17)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))),0)</f>
        <v/>
      </c>
    </row>
    <row r="286">
      <c r="A286" s="1">
        <f>'Paste cell here'!A286</f>
        <v/>
      </c>
      <c r="B286" s="2">
        <f>DATE(Sintesi!$C$4-1,12,31)+A286</f>
        <v/>
      </c>
      <c r="C286" s="34">
        <f t="array" ref="C286">_xlfn.IFNA(MATCH(1,(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)*(_xlfn.ANCHORARRAY(Sintesi!$C$15)&gt;=0)+(_xlfn.ANCHORARRAY(Sintesi!$C$15)&lt;0),0),0)</f>
        <v/>
      </c>
      <c r="D286" s="1">
        <f t="array" ref="D286">IF(ISBLANK($E287),IF(ISNUMBER($E285),IF($C286&gt;0,IF(($E286=INDEX(_xlfn.ANCHORARRAY(Sintesi!$C$14),1,$C286))*(INDEX(_xlfn.ANCHORARRAY(Sintesi!$C$15),1,$C286)&gt;0),0,IF(($E286=INDEX(_xlfn.ANCHORARRAY(Sintesi!$C$14),1,$C286))*(INDEX(_xlfn.ANCHORARRAY(Sintesi!$C$15),1,$C286)&lt;0)+($E286&gt;=$E285)*($E286&lt;=INDEX($E:$E,MATCH(TRUE,INDEX((ISNUMBER($E:$E)),0),0)))*($E286&gt;INDEX(_xlfn.ANCHORARRAY(Sintesi!$C$14),1,$C286))*($E286&lt;=INDEX(_xlfn.ANCHORARRAY(Sintesi!$C$15),1,$C286))*(INDEX(_xlfn.ANCHORARRAY(Sintesi!$C$15),1,$C286)&gt;0),1,IF(($E286&gt;=$E285)*($E286&lt;=INDEX($E:$E,MATCH(TRUE,INDEX((ISNUMBER($E:$E)),0),0)))*($E286&gt;INDEX(_xlfn.ANCHORARRAY(Sintesi!$C$14),1,$C286))*($E286&lt;INDEX(_xlfn.ANCHORARRAY(Sintesi!$C$16),1,$C286))*(INDEX(_xlfn.ANCHORARRAY(Sintesi!$C$15),1,$C286)&lt;0)+($E286&gt;=$E285)*($E286&lt;=INDEX($E:$E,MATCH(TRUE,INDEX((ISNUMBER($E:$E)),0),0)))*($E286&gt;INDEX(_xlfn.ANCHORARRAY(Sintesi!$C$15),1,$C286))*($E286&lt;INDEX(_xlfn.ANCHORARRAY(Sintesi!$C$16),1,$C286))*(INDEX(_xlfn.ANCHORARRAY(Sintesi!$C$15),1,$C286)&gt;0),2,IF($E286=(INDEX(_xlfn.ANCHORARRAY(Sintesi!$C$16),1,$C286)),3,4)))),0),IF($C286&gt;0,IF(($E286=INDEX(_xlfn.ANCHORARRAY(Sintesi!$C$14),1,$C286))*(INDEX(_xlfn.ANCHORARRAY(Sintesi!$C$15),1,$C286)&gt;0),0,IF(($E286=INDEX(_xlfn.ANCHORARRAY(Sintesi!$C$14),1,$C286))*(INDEX(_xlfn.ANCHORARRAY(Sintesi!$C$15),1,$C286)&lt;0)+($E286&gt;=LOOKUP(2,1/($E:$E&lt;&gt;""),$E:$E))*($E286&lt;=INDEX($E:$E,MATCH(TRUE,INDEX((ISNUMBER($E:$E)),0),0)))*($E286&gt;INDEX(_xlfn.ANCHORARRAY(Sintesi!$C$14),1,$C286))*($E286&lt;=INDEX(_xlfn.ANCHORARRAY(Sintesi!$C$15),1,$C286))*(INDEX(_xlfn.ANCHORARRAY(Sintesi!$C$15),1,$C286)&gt;0),1,IF(($E286&gt;=LOOKUP(2,1/($E:$E&lt;&gt;""),$E:$E))*($E286&lt;=INDEX($E:$E,MATCH(TRUE,INDEX((ISNUMBER($E:$E)),0),0)))*($E286&gt;INDEX(_xlfn.ANCHORARRAY(Sintesi!$C$14),1,$C286))*($E286&lt;INDEX(_xlfn.ANCHORARRAY(Sintesi!$C$16),1,$C286))*(INDEX(_xlfn.ANCHORARRAY(Sintesi!$C$15),1,$C286)&lt;0)+($E286&gt;=LOOKUP(2,1/($E:$E&lt;&gt;""),$E:$E))*($E286&lt;=INDEX($E:$E,MATCH(TRUE,INDEX((ISNUMBER($E:$E)),0),0)))*($E286&gt;INDEX(_xlfn.ANCHORARRAY(Sintesi!$C$15),1,$C286))*($E286&lt;INDEX(_xlfn.ANCHORARRAY(Sintesi!$C$16),1,$C286))*(INDEX(_xlfn.ANCHORARRAY(Sintesi!$C$15),1,$C286)&gt;0),2,IF($E286=(INDEX(_xlfn.ANCHORARRAY(Sintesi!$C$16),1,$C286)),3,4)))),0)),IF(ISNUMBER($E285),IF($C286&gt;0,IF(($E286=INDEX(_xlfn.ANCHORARRAY(Sintesi!$C$14),1,$C286))*(INDEX(_xlfn.ANCHORARRAY(Sintesi!$C$15),1,$C286)&gt;0),0,IF(($E286=INDEX(_xlfn.ANCHORARRAY(Sintesi!$C$14),1,$C286))*(INDEX(_xlfn.ANCHORARRAY(Sintesi!$C$15),1,$C286)&lt;0)+($E286&gt;=$E285)*($E286&lt;=$E287)*($E286&gt;INDEX(_xlfn.ANCHORARRAY(Sintesi!$C$14),1,$C286))*($E286&lt;=INDEX(_xlfn.ANCHORARRAY(Sintesi!$C$15),1,$C286))*(INDEX(_xlfn.ANCHORARRAY(Sintesi!$C$15),1,$C286)&gt;0),1,IF(($E286&gt;=$E285)*($E286&lt;=$E287)*($E286&gt;INDEX(_xlfn.ANCHORARRAY(Sintesi!$C$14),1,$C286))*($E286&lt;INDEX(_xlfn.ANCHORARRAY(Sintesi!$C$16),1,$C286))*(INDEX(_xlfn.ANCHORARRAY(Sintesi!$C$15),1,$C286)&lt;0)+($E286&gt;=$E285)*($E286&lt;=$E287)*($E286&gt;INDEX(_xlfn.ANCHORARRAY(Sintesi!$C$15),1,$C286))*($E286&lt;INDEX(_xlfn.ANCHORARRAY(Sintesi!$C$16),1,$C286))*(INDEX(_xlfn.ANCHORARRAY(Sintesi!$C$15),1,$C286)&gt;0),2,IF($E286=(INDEX(_xlfn.ANCHORARRAY(Sintesi!$C$16),1,$C286)),3,4)))),0),IF($C286&gt;0,IF(($E286=INDEX(_xlfn.ANCHORARRAY(Sintesi!$C$14),1,$C286))*(INDEX(_xlfn.ANCHORARRAY(Sintesi!$C$15),1,$C286)&gt;0),0,IF(($E286=INDEX(_xlfn.ANCHORARRAY(Sintesi!$C$14),1,$C286))*(INDEX(_xlfn.ANCHORARRAY(Sintesi!$C$15),1,$C286)&lt;0)+($E286&gt;=LOOKUP(2,1/($E:$E&lt;&gt;""),$E:$E))*($E286&lt;=$E287)*($E286&gt;INDEX(_xlfn.ANCHORARRAY(Sintesi!$C$14),1,$C286))*($E286&lt;=INDEX(_xlfn.ANCHORARRAY(Sintesi!$C$15),1,$C286))*(INDEX(_xlfn.ANCHORARRAY(Sintesi!$C$15),1,$C286)&gt;0),1,IF(($E286&gt;=LOOKUP(2,1/($E:$E&lt;&gt;""),$E:$E))*($E286&lt;=$E287)*($E286&gt;INDEX(_xlfn.ANCHORARRAY(Sintesi!$C$14),1,$C286))*($E286&lt;INDEX(_xlfn.ANCHORARRAY(Sintesi!$C$16),1,$C286))*(INDEX(_xlfn.ANCHORARRAY(Sintesi!$C$15),1,$C286)&lt;0)+($E286&gt;=LOOKUP(2,1/($E:$E&lt;&gt;""),$E:$E))*($E286&lt;=$E287)*($E286&gt;INDEX(_xlfn.ANCHORARRAY(Sintesi!$C$15),1,$C286))*($E286&lt;INDEX(_xlfn.ANCHORARRAY(Sintesi!$C$16),1,$C286))*(INDEX(_xlfn.ANCHORARRAY(Sintesi!$C$15),1,$C286)&gt;0),2,IF($E286=(INDEX(_xlfn.ANCHORARRAY(Sintesi!$C$16),1,$C286)),3,4)))),0)))</f>
        <v/>
      </c>
      <c r="E286" s="1">
        <f>'Paste cell here'!F286</f>
        <v/>
      </c>
      <c r="F286" s="1">
        <f>'Paste cell here'!C286</f>
        <v/>
      </c>
      <c r="G286" s="1">
        <f>'Paste cell here'!D286</f>
        <v/>
      </c>
      <c r="H286" s="1">
        <f>'Paste cell here'!E286</f>
        <v/>
      </c>
      <c r="I286" s="1">
        <f>'Paste cell here'!X286</f>
        <v/>
      </c>
      <c r="J286" s="1">
        <f>'Paste cell here'!Y286+'Paste cell here'!S286</f>
        <v/>
      </c>
      <c r="K286" s="1">
        <f>I286/H286</f>
        <v/>
      </c>
      <c r="L286" s="1">
        <f>AVERAGE(($F286+$G286)/2-($F286-$G286)/2*COS(PI()*(8-VLOOKUP(MONTH(B286),$O$1:$Q$13,3))/(VLOOKUP(MONTH(B286),$O$1:$Q$13,2)-VLOOKUP(MONTH(B286),$O$1:$Q$13,3))),($F286+$G286)/2-($F286-$G286)/2*COS(PI()*(9-VLOOKUP(MONTH(B286),$O$1:$Q$13,3))/(VLOOKUP(MONTH(B286),$O$1:$Q$13,2)-VLOOKUP(MONTH(B286),$O$1:$Q$13,3))),($F286+$G286)/2-($F286-$G286)/2*COS(PI()*(10-VLOOKUP(MONTH(B286),$O$1:$Q$13,3))/(VLOOKUP(MONTH(B286),$O$1:$Q$13,2)-VLOOKUP(MONTH(B286),$O$1:$Q$13,3))),($F286+$G286)/2-($F286-$G286)/2*COS(PI()*(11-VLOOKUP(MONTH(B286),$O$1:$Q$13,3))/(VLOOKUP(MONTH(B286),$O$1:$Q$13,2)-VLOOKUP(MONTH(B286),$O$1:$Q$13,3))),($F286+$G286)/2-($F286-$G286)/2*COS(PI()*(12-VLOOKUP(MONTH(B286),$O$1:$Q$13,3))/(VLOOKUP(MONTH(B286),$O$1:$Q$13,2)-VLOOKUP(MONTH(B286),$O$1:$Q$13,3))),($F286+$G286)/2-($F286-$G286)/2*COS(PI()*(13-VLOOKUP(MONTH(B286),$O$1:$Q$13,3))/(VLOOKUP(MONTH(B286),$O$1:$Q$13,2)-VLOOKUP(MONTH(B286),$O$1:$Q$13,3))),($F286+$G286)/2-($F286-$G286)/2*COS(PI()*(14-VLOOKUP(MONTH(B286),$O$1:$Q$13,3))/(VLOOKUP(MONTH(B286),$O$1:$Q$13,2)-VLOOKUP(MONTH(B286),$O$1:$Q$13,3))))</f>
        <v/>
      </c>
      <c r="M286" s="1">
        <f t="array" ref="M286">IF(AND(A286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,A286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),IF(L286&lt;_xlfn.IFNA(INDEX(_xlfn.ANCHORARRAY(Sintesi!$C$17)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,1,IF(L286&gt;=_xlfn.IFNA(INDEX(_xlfn.ANCHORARRAY(Sintesi!$C$18)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,0,1-(L286-_xlfn.IFNA(INDEX(_xlfn.ANCHORARRAY(Sintesi!$C$17)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)/(_xlfn.IFNA(INDEX(_xlfn.ANCHORARRAY(Sintesi!$C$18)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-_xlfn.IFNA(INDEX(_xlfn.ANCHORARRAY(Sintesi!$C$17)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))),0)</f>
        <v/>
      </c>
    </row>
    <row r="287">
      <c r="A287" s="1">
        <f>'Paste cell here'!A287</f>
        <v/>
      </c>
      <c r="B287" s="2">
        <f>DATE(Sintesi!$C$4-1,12,31)+A287</f>
        <v/>
      </c>
      <c r="C287" s="34">
        <f t="array" ref="C287">_xlfn.IFNA(MATCH(1,(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)*(_xlfn.ANCHORARRAY(Sintesi!$C$15)&gt;=0)+(_xlfn.ANCHORARRAY(Sintesi!$C$15)&lt;0),0),0)</f>
        <v/>
      </c>
      <c r="D287" s="1">
        <f t="array" ref="D287">IF(ISBLANK($E288),IF(ISNUMBER($E286),IF($C287&gt;0,IF(($E287=INDEX(_xlfn.ANCHORARRAY(Sintesi!$C$14),1,$C287))*(INDEX(_xlfn.ANCHORARRAY(Sintesi!$C$15),1,$C287)&gt;0),0,IF(($E287=INDEX(_xlfn.ANCHORARRAY(Sintesi!$C$14),1,$C287))*(INDEX(_xlfn.ANCHORARRAY(Sintesi!$C$15),1,$C287)&lt;0)+($E287&gt;=$E286)*($E287&lt;=INDEX($E:$E,MATCH(TRUE,INDEX((ISNUMBER($E:$E)),0),0)))*($E287&gt;INDEX(_xlfn.ANCHORARRAY(Sintesi!$C$14),1,$C287))*($E287&lt;=INDEX(_xlfn.ANCHORARRAY(Sintesi!$C$15),1,$C287))*(INDEX(_xlfn.ANCHORARRAY(Sintesi!$C$15),1,$C287)&gt;0),1,IF(($E287&gt;=$E286)*($E287&lt;=INDEX($E:$E,MATCH(TRUE,INDEX((ISNUMBER($E:$E)),0),0)))*($E287&gt;INDEX(_xlfn.ANCHORARRAY(Sintesi!$C$14),1,$C287))*($E287&lt;INDEX(_xlfn.ANCHORARRAY(Sintesi!$C$16),1,$C287))*(INDEX(_xlfn.ANCHORARRAY(Sintesi!$C$15),1,$C287)&lt;0)+($E287&gt;=$E286)*($E287&lt;=INDEX($E:$E,MATCH(TRUE,INDEX((ISNUMBER($E:$E)),0),0)))*($E287&gt;INDEX(_xlfn.ANCHORARRAY(Sintesi!$C$15),1,$C287))*($E287&lt;INDEX(_xlfn.ANCHORARRAY(Sintesi!$C$16),1,$C287))*(INDEX(_xlfn.ANCHORARRAY(Sintesi!$C$15),1,$C287)&gt;0),2,IF($E287=(INDEX(_xlfn.ANCHORARRAY(Sintesi!$C$16),1,$C287)),3,4)))),0),IF($C287&gt;0,IF(($E287=INDEX(_xlfn.ANCHORARRAY(Sintesi!$C$14),1,$C287))*(INDEX(_xlfn.ANCHORARRAY(Sintesi!$C$15),1,$C287)&gt;0),0,IF(($E287=INDEX(_xlfn.ANCHORARRAY(Sintesi!$C$14),1,$C287))*(INDEX(_xlfn.ANCHORARRAY(Sintesi!$C$15),1,$C287)&lt;0)+($E287&gt;=LOOKUP(2,1/($E:$E&lt;&gt;""),$E:$E))*($E287&lt;=INDEX($E:$E,MATCH(TRUE,INDEX((ISNUMBER($E:$E)),0),0)))*($E287&gt;INDEX(_xlfn.ANCHORARRAY(Sintesi!$C$14),1,$C287))*($E287&lt;=INDEX(_xlfn.ANCHORARRAY(Sintesi!$C$15),1,$C287))*(INDEX(_xlfn.ANCHORARRAY(Sintesi!$C$15),1,$C287)&gt;0),1,IF(($E287&gt;=LOOKUP(2,1/($E:$E&lt;&gt;""),$E:$E))*($E287&lt;=INDEX($E:$E,MATCH(TRUE,INDEX((ISNUMBER($E:$E)),0),0)))*($E287&gt;INDEX(_xlfn.ANCHORARRAY(Sintesi!$C$14),1,$C287))*($E287&lt;INDEX(_xlfn.ANCHORARRAY(Sintesi!$C$16),1,$C287))*(INDEX(_xlfn.ANCHORARRAY(Sintesi!$C$15),1,$C287)&lt;0)+($E287&gt;=LOOKUP(2,1/($E:$E&lt;&gt;""),$E:$E))*($E287&lt;=INDEX($E:$E,MATCH(TRUE,INDEX((ISNUMBER($E:$E)),0),0)))*($E287&gt;INDEX(_xlfn.ANCHORARRAY(Sintesi!$C$15),1,$C287))*($E287&lt;INDEX(_xlfn.ANCHORARRAY(Sintesi!$C$16),1,$C287))*(INDEX(_xlfn.ANCHORARRAY(Sintesi!$C$15),1,$C287)&gt;0),2,IF($E287=(INDEX(_xlfn.ANCHORARRAY(Sintesi!$C$16),1,$C287)),3,4)))),0)),IF(ISNUMBER($E286),IF($C287&gt;0,IF(($E287=INDEX(_xlfn.ANCHORARRAY(Sintesi!$C$14),1,$C287))*(INDEX(_xlfn.ANCHORARRAY(Sintesi!$C$15),1,$C287)&gt;0),0,IF(($E287=INDEX(_xlfn.ANCHORARRAY(Sintesi!$C$14),1,$C287))*(INDEX(_xlfn.ANCHORARRAY(Sintesi!$C$15),1,$C287)&lt;0)+($E287&gt;=$E286)*($E287&lt;=$E288)*($E287&gt;INDEX(_xlfn.ANCHORARRAY(Sintesi!$C$14),1,$C287))*($E287&lt;=INDEX(_xlfn.ANCHORARRAY(Sintesi!$C$15),1,$C287))*(INDEX(_xlfn.ANCHORARRAY(Sintesi!$C$15),1,$C287)&gt;0),1,IF(($E287&gt;=$E286)*($E287&lt;=$E288)*($E287&gt;INDEX(_xlfn.ANCHORARRAY(Sintesi!$C$14),1,$C287))*($E287&lt;INDEX(_xlfn.ANCHORARRAY(Sintesi!$C$16),1,$C287))*(INDEX(_xlfn.ANCHORARRAY(Sintesi!$C$15),1,$C287)&lt;0)+($E287&gt;=$E286)*($E287&lt;=$E288)*($E287&gt;INDEX(_xlfn.ANCHORARRAY(Sintesi!$C$15),1,$C287))*($E287&lt;INDEX(_xlfn.ANCHORARRAY(Sintesi!$C$16),1,$C287))*(INDEX(_xlfn.ANCHORARRAY(Sintesi!$C$15),1,$C287)&gt;0),2,IF($E287=(INDEX(_xlfn.ANCHORARRAY(Sintesi!$C$16),1,$C287)),3,4)))),0),IF($C287&gt;0,IF(($E287=INDEX(_xlfn.ANCHORARRAY(Sintesi!$C$14),1,$C287))*(INDEX(_xlfn.ANCHORARRAY(Sintesi!$C$15),1,$C287)&gt;0),0,IF(($E287=INDEX(_xlfn.ANCHORARRAY(Sintesi!$C$14),1,$C287))*(INDEX(_xlfn.ANCHORARRAY(Sintesi!$C$15),1,$C287)&lt;0)+($E287&gt;=LOOKUP(2,1/($E:$E&lt;&gt;""),$E:$E))*($E287&lt;=$E288)*($E287&gt;INDEX(_xlfn.ANCHORARRAY(Sintesi!$C$14),1,$C287))*($E287&lt;=INDEX(_xlfn.ANCHORARRAY(Sintesi!$C$15),1,$C287))*(INDEX(_xlfn.ANCHORARRAY(Sintesi!$C$15),1,$C287)&gt;0),1,IF(($E287&gt;=LOOKUP(2,1/($E:$E&lt;&gt;""),$E:$E))*($E287&lt;=$E288)*($E287&gt;INDEX(_xlfn.ANCHORARRAY(Sintesi!$C$14),1,$C287))*($E287&lt;INDEX(_xlfn.ANCHORARRAY(Sintesi!$C$16),1,$C287))*(INDEX(_xlfn.ANCHORARRAY(Sintesi!$C$15),1,$C287)&lt;0)+($E287&gt;=LOOKUP(2,1/($E:$E&lt;&gt;""),$E:$E))*($E287&lt;=$E288)*($E287&gt;INDEX(_xlfn.ANCHORARRAY(Sintesi!$C$15),1,$C287))*($E287&lt;INDEX(_xlfn.ANCHORARRAY(Sintesi!$C$16),1,$C287))*(INDEX(_xlfn.ANCHORARRAY(Sintesi!$C$15),1,$C287)&gt;0),2,IF($E287=(INDEX(_xlfn.ANCHORARRAY(Sintesi!$C$16),1,$C287)),3,4)))),0)))</f>
        <v/>
      </c>
      <c r="E287" s="1">
        <f>'Paste cell here'!F287</f>
        <v/>
      </c>
      <c r="F287" s="1">
        <f>'Paste cell here'!C287</f>
        <v/>
      </c>
      <c r="G287" s="1">
        <f>'Paste cell here'!D287</f>
        <v/>
      </c>
      <c r="H287" s="1">
        <f>'Paste cell here'!E287</f>
        <v/>
      </c>
      <c r="I287" s="1">
        <f>'Paste cell here'!X287</f>
        <v/>
      </c>
      <c r="J287" s="1">
        <f>'Paste cell here'!Y287+'Paste cell here'!S287</f>
        <v/>
      </c>
      <c r="K287" s="1">
        <f>I287/H287</f>
        <v/>
      </c>
      <c r="L287" s="1">
        <f>AVERAGE(($F287+$G287)/2-($F287-$G287)/2*COS(PI()*(8-VLOOKUP(MONTH(B287),$O$1:$Q$13,3))/(VLOOKUP(MONTH(B287),$O$1:$Q$13,2)-VLOOKUP(MONTH(B287),$O$1:$Q$13,3))),($F287+$G287)/2-($F287-$G287)/2*COS(PI()*(9-VLOOKUP(MONTH(B287),$O$1:$Q$13,3))/(VLOOKUP(MONTH(B287),$O$1:$Q$13,2)-VLOOKUP(MONTH(B287),$O$1:$Q$13,3))),($F287+$G287)/2-($F287-$G287)/2*COS(PI()*(10-VLOOKUP(MONTH(B287),$O$1:$Q$13,3))/(VLOOKUP(MONTH(B287),$O$1:$Q$13,2)-VLOOKUP(MONTH(B287),$O$1:$Q$13,3))),($F287+$G287)/2-($F287-$G287)/2*COS(PI()*(11-VLOOKUP(MONTH(B287),$O$1:$Q$13,3))/(VLOOKUP(MONTH(B287),$O$1:$Q$13,2)-VLOOKUP(MONTH(B287),$O$1:$Q$13,3))),($F287+$G287)/2-($F287-$G287)/2*COS(PI()*(12-VLOOKUP(MONTH(B287),$O$1:$Q$13,3))/(VLOOKUP(MONTH(B287),$O$1:$Q$13,2)-VLOOKUP(MONTH(B287),$O$1:$Q$13,3))),($F287+$G287)/2-($F287-$G287)/2*COS(PI()*(13-VLOOKUP(MONTH(B287),$O$1:$Q$13,3))/(VLOOKUP(MONTH(B287),$O$1:$Q$13,2)-VLOOKUP(MONTH(B287),$O$1:$Q$13,3))),($F287+$G287)/2-($F287-$G287)/2*COS(PI()*(14-VLOOKUP(MONTH(B287),$O$1:$Q$13,3))/(VLOOKUP(MONTH(B287),$O$1:$Q$13,2)-VLOOKUP(MONTH(B287),$O$1:$Q$13,3))))</f>
        <v/>
      </c>
      <c r="M287" s="1">
        <f t="array" ref="M287">IF(AND(A287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,A287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),IF(L287&lt;_xlfn.IFNA(INDEX(_xlfn.ANCHORARRAY(Sintesi!$C$17)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,1,IF(L287&gt;=_xlfn.IFNA(INDEX(_xlfn.ANCHORARRAY(Sintesi!$C$18)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,0,1-(L287-_xlfn.IFNA(INDEX(_xlfn.ANCHORARRAY(Sintesi!$C$17)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)/(_xlfn.IFNA(INDEX(_xlfn.ANCHORARRAY(Sintesi!$C$18)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-_xlfn.IFNA(INDEX(_xlfn.ANCHORARRAY(Sintesi!$C$17)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))),0)</f>
        <v/>
      </c>
    </row>
    <row r="288">
      <c r="A288" s="1">
        <f>'Paste cell here'!A288</f>
        <v/>
      </c>
      <c r="B288" s="2">
        <f>DATE(Sintesi!$C$4-1,12,31)+A288</f>
        <v/>
      </c>
      <c r="C288" s="34">
        <f t="array" ref="C288">_xlfn.IFNA(MATCH(1,(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)*(_xlfn.ANCHORARRAY(Sintesi!$C$15)&gt;=0)+(_xlfn.ANCHORARRAY(Sintesi!$C$15)&lt;0),0),0)</f>
        <v/>
      </c>
      <c r="D288" s="1">
        <f t="array" ref="D288">IF(ISBLANK($E289),IF(ISNUMBER($E287),IF($C288&gt;0,IF(($E288=INDEX(_xlfn.ANCHORARRAY(Sintesi!$C$14),1,$C288))*(INDEX(_xlfn.ANCHORARRAY(Sintesi!$C$15),1,$C288)&gt;0),0,IF(($E288=INDEX(_xlfn.ANCHORARRAY(Sintesi!$C$14),1,$C288))*(INDEX(_xlfn.ANCHORARRAY(Sintesi!$C$15),1,$C288)&lt;0)+($E288&gt;=$E287)*($E288&lt;=INDEX($E:$E,MATCH(TRUE,INDEX((ISNUMBER($E:$E)),0),0)))*($E288&gt;INDEX(_xlfn.ANCHORARRAY(Sintesi!$C$14),1,$C288))*($E288&lt;=INDEX(_xlfn.ANCHORARRAY(Sintesi!$C$15),1,$C288))*(INDEX(_xlfn.ANCHORARRAY(Sintesi!$C$15),1,$C288)&gt;0),1,IF(($E288&gt;=$E287)*($E288&lt;=INDEX($E:$E,MATCH(TRUE,INDEX((ISNUMBER($E:$E)),0),0)))*($E288&gt;INDEX(_xlfn.ANCHORARRAY(Sintesi!$C$14),1,$C288))*($E288&lt;INDEX(_xlfn.ANCHORARRAY(Sintesi!$C$16),1,$C288))*(INDEX(_xlfn.ANCHORARRAY(Sintesi!$C$15),1,$C288)&lt;0)+($E288&gt;=$E287)*($E288&lt;=INDEX($E:$E,MATCH(TRUE,INDEX((ISNUMBER($E:$E)),0),0)))*($E288&gt;INDEX(_xlfn.ANCHORARRAY(Sintesi!$C$15),1,$C288))*($E288&lt;INDEX(_xlfn.ANCHORARRAY(Sintesi!$C$16),1,$C288))*(INDEX(_xlfn.ANCHORARRAY(Sintesi!$C$15),1,$C288)&gt;0),2,IF($E288=(INDEX(_xlfn.ANCHORARRAY(Sintesi!$C$16),1,$C288)),3,4)))),0),IF($C288&gt;0,IF(($E288=INDEX(_xlfn.ANCHORARRAY(Sintesi!$C$14),1,$C288))*(INDEX(_xlfn.ANCHORARRAY(Sintesi!$C$15),1,$C288)&gt;0),0,IF(($E288=INDEX(_xlfn.ANCHORARRAY(Sintesi!$C$14),1,$C288))*(INDEX(_xlfn.ANCHORARRAY(Sintesi!$C$15),1,$C288)&lt;0)+($E288&gt;=LOOKUP(2,1/($E:$E&lt;&gt;""),$E:$E))*($E288&lt;=INDEX($E:$E,MATCH(TRUE,INDEX((ISNUMBER($E:$E)),0),0)))*($E288&gt;INDEX(_xlfn.ANCHORARRAY(Sintesi!$C$14),1,$C288))*($E288&lt;=INDEX(_xlfn.ANCHORARRAY(Sintesi!$C$15),1,$C288))*(INDEX(_xlfn.ANCHORARRAY(Sintesi!$C$15),1,$C288)&gt;0),1,IF(($E288&gt;=LOOKUP(2,1/($E:$E&lt;&gt;""),$E:$E))*($E288&lt;=INDEX($E:$E,MATCH(TRUE,INDEX((ISNUMBER($E:$E)),0),0)))*($E288&gt;INDEX(_xlfn.ANCHORARRAY(Sintesi!$C$14),1,$C288))*($E288&lt;INDEX(_xlfn.ANCHORARRAY(Sintesi!$C$16),1,$C288))*(INDEX(_xlfn.ANCHORARRAY(Sintesi!$C$15),1,$C288)&lt;0)+($E288&gt;=LOOKUP(2,1/($E:$E&lt;&gt;""),$E:$E))*($E288&lt;=INDEX($E:$E,MATCH(TRUE,INDEX((ISNUMBER($E:$E)),0),0)))*($E288&gt;INDEX(_xlfn.ANCHORARRAY(Sintesi!$C$15),1,$C288))*($E288&lt;INDEX(_xlfn.ANCHORARRAY(Sintesi!$C$16),1,$C288))*(INDEX(_xlfn.ANCHORARRAY(Sintesi!$C$15),1,$C288)&gt;0),2,IF($E288=(INDEX(_xlfn.ANCHORARRAY(Sintesi!$C$16),1,$C288)),3,4)))),0)),IF(ISNUMBER($E287),IF($C288&gt;0,IF(($E288=INDEX(_xlfn.ANCHORARRAY(Sintesi!$C$14),1,$C288))*(INDEX(_xlfn.ANCHORARRAY(Sintesi!$C$15),1,$C288)&gt;0),0,IF(($E288=INDEX(_xlfn.ANCHORARRAY(Sintesi!$C$14),1,$C288))*(INDEX(_xlfn.ANCHORARRAY(Sintesi!$C$15),1,$C288)&lt;0)+($E288&gt;=$E287)*($E288&lt;=$E289)*($E288&gt;INDEX(_xlfn.ANCHORARRAY(Sintesi!$C$14),1,$C288))*($E288&lt;=INDEX(_xlfn.ANCHORARRAY(Sintesi!$C$15),1,$C288))*(INDEX(_xlfn.ANCHORARRAY(Sintesi!$C$15),1,$C288)&gt;0),1,IF(($E288&gt;=$E287)*($E288&lt;=$E289)*($E288&gt;INDEX(_xlfn.ANCHORARRAY(Sintesi!$C$14),1,$C288))*($E288&lt;INDEX(_xlfn.ANCHORARRAY(Sintesi!$C$16),1,$C288))*(INDEX(_xlfn.ANCHORARRAY(Sintesi!$C$15),1,$C288)&lt;0)+($E288&gt;=$E287)*($E288&lt;=$E289)*($E288&gt;INDEX(_xlfn.ANCHORARRAY(Sintesi!$C$15),1,$C288))*($E288&lt;INDEX(_xlfn.ANCHORARRAY(Sintesi!$C$16),1,$C288))*(INDEX(_xlfn.ANCHORARRAY(Sintesi!$C$15),1,$C288)&gt;0),2,IF($E288=(INDEX(_xlfn.ANCHORARRAY(Sintesi!$C$16),1,$C288)),3,4)))),0),IF($C288&gt;0,IF(($E288=INDEX(_xlfn.ANCHORARRAY(Sintesi!$C$14),1,$C288))*(INDEX(_xlfn.ANCHORARRAY(Sintesi!$C$15),1,$C288)&gt;0),0,IF(($E288=INDEX(_xlfn.ANCHORARRAY(Sintesi!$C$14),1,$C288))*(INDEX(_xlfn.ANCHORARRAY(Sintesi!$C$15),1,$C288)&lt;0)+($E288&gt;=LOOKUP(2,1/($E:$E&lt;&gt;""),$E:$E))*($E288&lt;=$E289)*($E288&gt;INDEX(_xlfn.ANCHORARRAY(Sintesi!$C$14),1,$C288))*($E288&lt;=INDEX(_xlfn.ANCHORARRAY(Sintesi!$C$15),1,$C288))*(INDEX(_xlfn.ANCHORARRAY(Sintesi!$C$15),1,$C288)&gt;0),1,IF(($E288&gt;=LOOKUP(2,1/($E:$E&lt;&gt;""),$E:$E))*($E288&lt;=$E289)*($E288&gt;INDEX(_xlfn.ANCHORARRAY(Sintesi!$C$14),1,$C288))*($E288&lt;INDEX(_xlfn.ANCHORARRAY(Sintesi!$C$16),1,$C288))*(INDEX(_xlfn.ANCHORARRAY(Sintesi!$C$15),1,$C288)&lt;0)+($E288&gt;=LOOKUP(2,1/($E:$E&lt;&gt;""),$E:$E))*($E288&lt;=$E289)*($E288&gt;INDEX(_xlfn.ANCHORARRAY(Sintesi!$C$15),1,$C288))*($E288&lt;INDEX(_xlfn.ANCHORARRAY(Sintesi!$C$16),1,$C288))*(INDEX(_xlfn.ANCHORARRAY(Sintesi!$C$15),1,$C288)&gt;0),2,IF($E288=(INDEX(_xlfn.ANCHORARRAY(Sintesi!$C$16),1,$C288)),3,4)))),0)))</f>
        <v/>
      </c>
      <c r="E288" s="1">
        <f>'Paste cell here'!F288</f>
        <v/>
      </c>
      <c r="F288" s="1">
        <f>'Paste cell here'!C288</f>
        <v/>
      </c>
      <c r="G288" s="1">
        <f>'Paste cell here'!D288</f>
        <v/>
      </c>
      <c r="H288" s="1">
        <f>'Paste cell here'!E288</f>
        <v/>
      </c>
      <c r="I288" s="1">
        <f>'Paste cell here'!X288</f>
        <v/>
      </c>
      <c r="J288" s="1">
        <f>'Paste cell here'!Y288+'Paste cell here'!S288</f>
        <v/>
      </c>
      <c r="K288" s="1">
        <f>I288/H288</f>
        <v/>
      </c>
      <c r="L288" s="1">
        <f>AVERAGE(($F288+$G288)/2-($F288-$G288)/2*COS(PI()*(8-VLOOKUP(MONTH(B288),$O$1:$Q$13,3))/(VLOOKUP(MONTH(B288),$O$1:$Q$13,2)-VLOOKUP(MONTH(B288),$O$1:$Q$13,3))),($F288+$G288)/2-($F288-$G288)/2*COS(PI()*(9-VLOOKUP(MONTH(B288),$O$1:$Q$13,3))/(VLOOKUP(MONTH(B288),$O$1:$Q$13,2)-VLOOKUP(MONTH(B288),$O$1:$Q$13,3))),($F288+$G288)/2-($F288-$G288)/2*COS(PI()*(10-VLOOKUP(MONTH(B288),$O$1:$Q$13,3))/(VLOOKUP(MONTH(B288),$O$1:$Q$13,2)-VLOOKUP(MONTH(B288),$O$1:$Q$13,3))),($F288+$G288)/2-($F288-$G288)/2*COS(PI()*(11-VLOOKUP(MONTH(B288),$O$1:$Q$13,3))/(VLOOKUP(MONTH(B288),$O$1:$Q$13,2)-VLOOKUP(MONTH(B288),$O$1:$Q$13,3))),($F288+$G288)/2-($F288-$G288)/2*COS(PI()*(12-VLOOKUP(MONTH(B288),$O$1:$Q$13,3))/(VLOOKUP(MONTH(B288),$O$1:$Q$13,2)-VLOOKUP(MONTH(B288),$O$1:$Q$13,3))),($F288+$G288)/2-($F288-$G288)/2*COS(PI()*(13-VLOOKUP(MONTH(B288),$O$1:$Q$13,3))/(VLOOKUP(MONTH(B288),$O$1:$Q$13,2)-VLOOKUP(MONTH(B288),$O$1:$Q$13,3))),($F288+$G288)/2-($F288-$G288)/2*COS(PI()*(14-VLOOKUP(MONTH(B288),$O$1:$Q$13,3))/(VLOOKUP(MONTH(B288),$O$1:$Q$13,2)-VLOOKUP(MONTH(B288),$O$1:$Q$13,3))))</f>
        <v/>
      </c>
      <c r="M288" s="1">
        <f t="array" ref="M288">IF(AND(A288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,A288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),IF(L288&lt;_xlfn.IFNA(INDEX(_xlfn.ANCHORARRAY(Sintesi!$C$17)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,1,IF(L288&gt;=_xlfn.IFNA(INDEX(_xlfn.ANCHORARRAY(Sintesi!$C$18)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,0,1-(L288-_xlfn.IFNA(INDEX(_xlfn.ANCHORARRAY(Sintesi!$C$17)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)/(_xlfn.IFNA(INDEX(_xlfn.ANCHORARRAY(Sintesi!$C$18)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-_xlfn.IFNA(INDEX(_xlfn.ANCHORARRAY(Sintesi!$C$17)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))),0)</f>
        <v/>
      </c>
    </row>
    <row r="289">
      <c r="A289" s="1">
        <f>'Paste cell here'!A289</f>
        <v/>
      </c>
      <c r="B289" s="2">
        <f>DATE(Sintesi!$C$4-1,12,31)+A289</f>
        <v/>
      </c>
      <c r="C289" s="34">
        <f t="array" ref="C289">_xlfn.IFNA(MATCH(1,(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)*(_xlfn.ANCHORARRAY(Sintesi!$C$15)&gt;=0)+(_xlfn.ANCHORARRAY(Sintesi!$C$15)&lt;0),0),0)</f>
        <v/>
      </c>
      <c r="D289" s="1">
        <f t="array" ref="D289">IF(ISBLANK($E290),IF(ISNUMBER($E288),IF($C289&gt;0,IF(($E289=INDEX(_xlfn.ANCHORARRAY(Sintesi!$C$14),1,$C289))*(INDEX(_xlfn.ANCHORARRAY(Sintesi!$C$15),1,$C289)&gt;0),0,IF(($E289=INDEX(_xlfn.ANCHORARRAY(Sintesi!$C$14),1,$C289))*(INDEX(_xlfn.ANCHORARRAY(Sintesi!$C$15),1,$C289)&lt;0)+($E289&gt;=$E288)*($E289&lt;=INDEX($E:$E,MATCH(TRUE,INDEX((ISNUMBER($E:$E)),0),0)))*($E289&gt;INDEX(_xlfn.ANCHORARRAY(Sintesi!$C$14),1,$C289))*($E289&lt;=INDEX(_xlfn.ANCHORARRAY(Sintesi!$C$15),1,$C289))*(INDEX(_xlfn.ANCHORARRAY(Sintesi!$C$15),1,$C289)&gt;0),1,IF(($E289&gt;=$E288)*($E289&lt;=INDEX($E:$E,MATCH(TRUE,INDEX((ISNUMBER($E:$E)),0),0)))*($E289&gt;INDEX(_xlfn.ANCHORARRAY(Sintesi!$C$14),1,$C289))*($E289&lt;INDEX(_xlfn.ANCHORARRAY(Sintesi!$C$16),1,$C289))*(INDEX(_xlfn.ANCHORARRAY(Sintesi!$C$15),1,$C289)&lt;0)+($E289&gt;=$E288)*($E289&lt;=INDEX($E:$E,MATCH(TRUE,INDEX((ISNUMBER($E:$E)),0),0)))*($E289&gt;INDEX(_xlfn.ANCHORARRAY(Sintesi!$C$15),1,$C289))*($E289&lt;INDEX(_xlfn.ANCHORARRAY(Sintesi!$C$16),1,$C289))*(INDEX(_xlfn.ANCHORARRAY(Sintesi!$C$15),1,$C289)&gt;0),2,IF($E289=(INDEX(_xlfn.ANCHORARRAY(Sintesi!$C$16),1,$C289)),3,4)))),0),IF($C289&gt;0,IF(($E289=INDEX(_xlfn.ANCHORARRAY(Sintesi!$C$14),1,$C289))*(INDEX(_xlfn.ANCHORARRAY(Sintesi!$C$15),1,$C289)&gt;0),0,IF(($E289=INDEX(_xlfn.ANCHORARRAY(Sintesi!$C$14),1,$C289))*(INDEX(_xlfn.ANCHORARRAY(Sintesi!$C$15),1,$C289)&lt;0)+($E289&gt;=LOOKUP(2,1/($E:$E&lt;&gt;""),$E:$E))*($E289&lt;=INDEX($E:$E,MATCH(TRUE,INDEX((ISNUMBER($E:$E)),0),0)))*($E289&gt;INDEX(_xlfn.ANCHORARRAY(Sintesi!$C$14),1,$C289))*($E289&lt;=INDEX(_xlfn.ANCHORARRAY(Sintesi!$C$15),1,$C289))*(INDEX(_xlfn.ANCHORARRAY(Sintesi!$C$15),1,$C289)&gt;0),1,IF(($E289&gt;=LOOKUP(2,1/($E:$E&lt;&gt;""),$E:$E))*($E289&lt;=INDEX($E:$E,MATCH(TRUE,INDEX((ISNUMBER($E:$E)),0),0)))*($E289&gt;INDEX(_xlfn.ANCHORARRAY(Sintesi!$C$14),1,$C289))*($E289&lt;INDEX(_xlfn.ANCHORARRAY(Sintesi!$C$16),1,$C289))*(INDEX(_xlfn.ANCHORARRAY(Sintesi!$C$15),1,$C289)&lt;0)+($E289&gt;=LOOKUP(2,1/($E:$E&lt;&gt;""),$E:$E))*($E289&lt;=INDEX($E:$E,MATCH(TRUE,INDEX((ISNUMBER($E:$E)),0),0)))*($E289&gt;INDEX(_xlfn.ANCHORARRAY(Sintesi!$C$15),1,$C289))*($E289&lt;INDEX(_xlfn.ANCHORARRAY(Sintesi!$C$16),1,$C289))*(INDEX(_xlfn.ANCHORARRAY(Sintesi!$C$15),1,$C289)&gt;0),2,IF($E289=(INDEX(_xlfn.ANCHORARRAY(Sintesi!$C$16),1,$C289)),3,4)))),0)),IF(ISNUMBER($E288),IF($C289&gt;0,IF(($E289=INDEX(_xlfn.ANCHORARRAY(Sintesi!$C$14),1,$C289))*(INDEX(_xlfn.ANCHORARRAY(Sintesi!$C$15),1,$C289)&gt;0),0,IF(($E289=INDEX(_xlfn.ANCHORARRAY(Sintesi!$C$14),1,$C289))*(INDEX(_xlfn.ANCHORARRAY(Sintesi!$C$15),1,$C289)&lt;0)+($E289&gt;=$E288)*($E289&lt;=$E290)*($E289&gt;INDEX(_xlfn.ANCHORARRAY(Sintesi!$C$14),1,$C289))*($E289&lt;=INDEX(_xlfn.ANCHORARRAY(Sintesi!$C$15),1,$C289))*(INDEX(_xlfn.ANCHORARRAY(Sintesi!$C$15),1,$C289)&gt;0),1,IF(($E289&gt;=$E288)*($E289&lt;=$E290)*($E289&gt;INDEX(_xlfn.ANCHORARRAY(Sintesi!$C$14),1,$C289))*($E289&lt;INDEX(_xlfn.ANCHORARRAY(Sintesi!$C$16),1,$C289))*(INDEX(_xlfn.ANCHORARRAY(Sintesi!$C$15),1,$C289)&lt;0)+($E289&gt;=$E288)*($E289&lt;=$E290)*($E289&gt;INDEX(_xlfn.ANCHORARRAY(Sintesi!$C$15),1,$C289))*($E289&lt;INDEX(_xlfn.ANCHORARRAY(Sintesi!$C$16),1,$C289))*(INDEX(_xlfn.ANCHORARRAY(Sintesi!$C$15),1,$C289)&gt;0),2,IF($E289=(INDEX(_xlfn.ANCHORARRAY(Sintesi!$C$16),1,$C289)),3,4)))),0),IF($C289&gt;0,IF(($E289=INDEX(_xlfn.ANCHORARRAY(Sintesi!$C$14),1,$C289))*(INDEX(_xlfn.ANCHORARRAY(Sintesi!$C$15),1,$C289)&gt;0),0,IF(($E289=INDEX(_xlfn.ANCHORARRAY(Sintesi!$C$14),1,$C289))*(INDEX(_xlfn.ANCHORARRAY(Sintesi!$C$15),1,$C289)&lt;0)+($E289&gt;=LOOKUP(2,1/($E:$E&lt;&gt;""),$E:$E))*($E289&lt;=$E290)*($E289&gt;INDEX(_xlfn.ANCHORARRAY(Sintesi!$C$14),1,$C289))*($E289&lt;=INDEX(_xlfn.ANCHORARRAY(Sintesi!$C$15),1,$C289))*(INDEX(_xlfn.ANCHORARRAY(Sintesi!$C$15),1,$C289)&gt;0),1,IF(($E289&gt;=LOOKUP(2,1/($E:$E&lt;&gt;""),$E:$E))*($E289&lt;=$E290)*($E289&gt;INDEX(_xlfn.ANCHORARRAY(Sintesi!$C$14),1,$C289))*($E289&lt;INDEX(_xlfn.ANCHORARRAY(Sintesi!$C$16),1,$C289))*(INDEX(_xlfn.ANCHORARRAY(Sintesi!$C$15),1,$C289)&lt;0)+($E289&gt;=LOOKUP(2,1/($E:$E&lt;&gt;""),$E:$E))*($E289&lt;=$E290)*($E289&gt;INDEX(_xlfn.ANCHORARRAY(Sintesi!$C$15),1,$C289))*($E289&lt;INDEX(_xlfn.ANCHORARRAY(Sintesi!$C$16),1,$C289))*(INDEX(_xlfn.ANCHORARRAY(Sintesi!$C$15),1,$C289)&gt;0),2,IF($E289=(INDEX(_xlfn.ANCHORARRAY(Sintesi!$C$16),1,$C289)),3,4)))),0)))</f>
        <v/>
      </c>
      <c r="E289" s="1">
        <f>'Paste cell here'!F289</f>
        <v/>
      </c>
      <c r="F289" s="1">
        <f>'Paste cell here'!C289</f>
        <v/>
      </c>
      <c r="G289" s="1">
        <f>'Paste cell here'!D289</f>
        <v/>
      </c>
      <c r="H289" s="1">
        <f>'Paste cell here'!E289</f>
        <v/>
      </c>
      <c r="I289" s="1">
        <f>'Paste cell here'!X289</f>
        <v/>
      </c>
      <c r="J289" s="1">
        <f>'Paste cell here'!Y289+'Paste cell here'!S289</f>
        <v/>
      </c>
      <c r="K289" s="1">
        <f>I289/H289</f>
        <v/>
      </c>
      <c r="L289" s="1">
        <f>AVERAGE(($F289+$G289)/2-($F289-$G289)/2*COS(PI()*(8-VLOOKUP(MONTH(B289),$O$1:$Q$13,3))/(VLOOKUP(MONTH(B289),$O$1:$Q$13,2)-VLOOKUP(MONTH(B289),$O$1:$Q$13,3))),($F289+$G289)/2-($F289-$G289)/2*COS(PI()*(9-VLOOKUP(MONTH(B289),$O$1:$Q$13,3))/(VLOOKUP(MONTH(B289),$O$1:$Q$13,2)-VLOOKUP(MONTH(B289),$O$1:$Q$13,3))),($F289+$G289)/2-($F289-$G289)/2*COS(PI()*(10-VLOOKUP(MONTH(B289),$O$1:$Q$13,3))/(VLOOKUP(MONTH(B289),$O$1:$Q$13,2)-VLOOKUP(MONTH(B289),$O$1:$Q$13,3))),($F289+$G289)/2-($F289-$G289)/2*COS(PI()*(11-VLOOKUP(MONTH(B289),$O$1:$Q$13,3))/(VLOOKUP(MONTH(B289),$O$1:$Q$13,2)-VLOOKUP(MONTH(B289),$O$1:$Q$13,3))),($F289+$G289)/2-($F289-$G289)/2*COS(PI()*(12-VLOOKUP(MONTH(B289),$O$1:$Q$13,3))/(VLOOKUP(MONTH(B289),$O$1:$Q$13,2)-VLOOKUP(MONTH(B289),$O$1:$Q$13,3))),($F289+$G289)/2-($F289-$G289)/2*COS(PI()*(13-VLOOKUP(MONTH(B289),$O$1:$Q$13,3))/(VLOOKUP(MONTH(B289),$O$1:$Q$13,2)-VLOOKUP(MONTH(B289),$O$1:$Q$13,3))),($F289+$G289)/2-($F289-$G289)/2*COS(PI()*(14-VLOOKUP(MONTH(B289),$O$1:$Q$13,3))/(VLOOKUP(MONTH(B289),$O$1:$Q$13,2)-VLOOKUP(MONTH(B289),$O$1:$Q$13,3))))</f>
        <v/>
      </c>
      <c r="M289" s="1">
        <f t="array" ref="M289">IF(AND(A289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,A289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),IF(L289&lt;_xlfn.IFNA(INDEX(_xlfn.ANCHORARRAY(Sintesi!$C$17)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,1,IF(L289&gt;=_xlfn.IFNA(INDEX(_xlfn.ANCHORARRAY(Sintesi!$C$18)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,0,1-(L289-_xlfn.IFNA(INDEX(_xlfn.ANCHORARRAY(Sintesi!$C$17)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)/(_xlfn.IFNA(INDEX(_xlfn.ANCHORARRAY(Sintesi!$C$18)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-_xlfn.IFNA(INDEX(_xlfn.ANCHORARRAY(Sintesi!$C$17)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))),0)</f>
        <v/>
      </c>
    </row>
    <row r="290">
      <c r="A290" s="1">
        <f>'Paste cell here'!A290</f>
        <v/>
      </c>
      <c r="B290" s="2">
        <f>DATE(Sintesi!$C$4-1,12,31)+A290</f>
        <v/>
      </c>
      <c r="C290" s="34">
        <f t="array" ref="C290">_xlfn.IFNA(MATCH(1,(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)*(_xlfn.ANCHORARRAY(Sintesi!$C$15)&gt;=0)+(_xlfn.ANCHORARRAY(Sintesi!$C$15)&lt;0),0),0)</f>
        <v/>
      </c>
      <c r="D290" s="1">
        <f t="array" ref="D290">IF(ISBLANK($E291),IF(ISNUMBER($E289),IF($C290&gt;0,IF(($E290=INDEX(_xlfn.ANCHORARRAY(Sintesi!$C$14),1,$C290))*(INDEX(_xlfn.ANCHORARRAY(Sintesi!$C$15),1,$C290)&gt;0),0,IF(($E290=INDEX(_xlfn.ANCHORARRAY(Sintesi!$C$14),1,$C290))*(INDEX(_xlfn.ANCHORARRAY(Sintesi!$C$15),1,$C290)&lt;0)+($E290&gt;=$E289)*($E290&lt;=INDEX($E:$E,MATCH(TRUE,INDEX((ISNUMBER($E:$E)),0),0)))*($E290&gt;INDEX(_xlfn.ANCHORARRAY(Sintesi!$C$14),1,$C290))*($E290&lt;=INDEX(_xlfn.ANCHORARRAY(Sintesi!$C$15),1,$C290))*(INDEX(_xlfn.ANCHORARRAY(Sintesi!$C$15),1,$C290)&gt;0),1,IF(($E290&gt;=$E289)*($E290&lt;=INDEX($E:$E,MATCH(TRUE,INDEX((ISNUMBER($E:$E)),0),0)))*($E290&gt;INDEX(_xlfn.ANCHORARRAY(Sintesi!$C$14),1,$C290))*($E290&lt;INDEX(_xlfn.ANCHORARRAY(Sintesi!$C$16),1,$C290))*(INDEX(_xlfn.ANCHORARRAY(Sintesi!$C$15),1,$C290)&lt;0)+($E290&gt;=$E289)*($E290&lt;=INDEX($E:$E,MATCH(TRUE,INDEX((ISNUMBER($E:$E)),0),0)))*($E290&gt;INDEX(_xlfn.ANCHORARRAY(Sintesi!$C$15),1,$C290))*($E290&lt;INDEX(_xlfn.ANCHORARRAY(Sintesi!$C$16),1,$C290))*(INDEX(_xlfn.ANCHORARRAY(Sintesi!$C$15),1,$C290)&gt;0),2,IF($E290=(INDEX(_xlfn.ANCHORARRAY(Sintesi!$C$16),1,$C290)),3,4)))),0),IF($C290&gt;0,IF(($E290=INDEX(_xlfn.ANCHORARRAY(Sintesi!$C$14),1,$C290))*(INDEX(_xlfn.ANCHORARRAY(Sintesi!$C$15),1,$C290)&gt;0),0,IF(($E290=INDEX(_xlfn.ANCHORARRAY(Sintesi!$C$14),1,$C290))*(INDEX(_xlfn.ANCHORARRAY(Sintesi!$C$15),1,$C290)&lt;0)+($E290&gt;=LOOKUP(2,1/($E:$E&lt;&gt;""),$E:$E))*($E290&lt;=INDEX($E:$E,MATCH(TRUE,INDEX((ISNUMBER($E:$E)),0),0)))*($E290&gt;INDEX(_xlfn.ANCHORARRAY(Sintesi!$C$14),1,$C290))*($E290&lt;=INDEX(_xlfn.ANCHORARRAY(Sintesi!$C$15),1,$C290))*(INDEX(_xlfn.ANCHORARRAY(Sintesi!$C$15),1,$C290)&gt;0),1,IF(($E290&gt;=LOOKUP(2,1/($E:$E&lt;&gt;""),$E:$E))*($E290&lt;=INDEX($E:$E,MATCH(TRUE,INDEX((ISNUMBER($E:$E)),0),0)))*($E290&gt;INDEX(_xlfn.ANCHORARRAY(Sintesi!$C$14),1,$C290))*($E290&lt;INDEX(_xlfn.ANCHORARRAY(Sintesi!$C$16),1,$C290))*(INDEX(_xlfn.ANCHORARRAY(Sintesi!$C$15),1,$C290)&lt;0)+($E290&gt;=LOOKUP(2,1/($E:$E&lt;&gt;""),$E:$E))*($E290&lt;=INDEX($E:$E,MATCH(TRUE,INDEX((ISNUMBER($E:$E)),0),0)))*($E290&gt;INDEX(_xlfn.ANCHORARRAY(Sintesi!$C$15),1,$C290))*($E290&lt;INDEX(_xlfn.ANCHORARRAY(Sintesi!$C$16),1,$C290))*(INDEX(_xlfn.ANCHORARRAY(Sintesi!$C$15),1,$C290)&gt;0),2,IF($E290=(INDEX(_xlfn.ANCHORARRAY(Sintesi!$C$16),1,$C290)),3,4)))),0)),IF(ISNUMBER($E289),IF($C290&gt;0,IF(($E290=INDEX(_xlfn.ANCHORARRAY(Sintesi!$C$14),1,$C290))*(INDEX(_xlfn.ANCHORARRAY(Sintesi!$C$15),1,$C290)&gt;0),0,IF(($E290=INDEX(_xlfn.ANCHORARRAY(Sintesi!$C$14),1,$C290))*(INDEX(_xlfn.ANCHORARRAY(Sintesi!$C$15),1,$C290)&lt;0)+($E290&gt;=$E289)*($E290&lt;=$E291)*($E290&gt;INDEX(_xlfn.ANCHORARRAY(Sintesi!$C$14),1,$C290))*($E290&lt;=INDEX(_xlfn.ANCHORARRAY(Sintesi!$C$15),1,$C290))*(INDEX(_xlfn.ANCHORARRAY(Sintesi!$C$15),1,$C290)&gt;0),1,IF(($E290&gt;=$E289)*($E290&lt;=$E291)*($E290&gt;INDEX(_xlfn.ANCHORARRAY(Sintesi!$C$14),1,$C290))*($E290&lt;INDEX(_xlfn.ANCHORARRAY(Sintesi!$C$16),1,$C290))*(INDEX(_xlfn.ANCHORARRAY(Sintesi!$C$15),1,$C290)&lt;0)+($E290&gt;=$E289)*($E290&lt;=$E291)*($E290&gt;INDEX(_xlfn.ANCHORARRAY(Sintesi!$C$15),1,$C290))*($E290&lt;INDEX(_xlfn.ANCHORARRAY(Sintesi!$C$16),1,$C290))*(INDEX(_xlfn.ANCHORARRAY(Sintesi!$C$15),1,$C290)&gt;0),2,IF($E290=(INDEX(_xlfn.ANCHORARRAY(Sintesi!$C$16),1,$C290)),3,4)))),0),IF($C290&gt;0,IF(($E290=INDEX(_xlfn.ANCHORARRAY(Sintesi!$C$14),1,$C290))*(INDEX(_xlfn.ANCHORARRAY(Sintesi!$C$15),1,$C290)&gt;0),0,IF(($E290=INDEX(_xlfn.ANCHORARRAY(Sintesi!$C$14),1,$C290))*(INDEX(_xlfn.ANCHORARRAY(Sintesi!$C$15),1,$C290)&lt;0)+($E290&gt;=LOOKUP(2,1/($E:$E&lt;&gt;""),$E:$E))*($E290&lt;=$E291)*($E290&gt;INDEX(_xlfn.ANCHORARRAY(Sintesi!$C$14),1,$C290))*($E290&lt;=INDEX(_xlfn.ANCHORARRAY(Sintesi!$C$15),1,$C290))*(INDEX(_xlfn.ANCHORARRAY(Sintesi!$C$15),1,$C290)&gt;0),1,IF(($E290&gt;=LOOKUP(2,1/($E:$E&lt;&gt;""),$E:$E))*($E290&lt;=$E291)*($E290&gt;INDEX(_xlfn.ANCHORARRAY(Sintesi!$C$14),1,$C290))*($E290&lt;INDEX(_xlfn.ANCHORARRAY(Sintesi!$C$16),1,$C290))*(INDEX(_xlfn.ANCHORARRAY(Sintesi!$C$15),1,$C290)&lt;0)+($E290&gt;=LOOKUP(2,1/($E:$E&lt;&gt;""),$E:$E))*($E290&lt;=$E291)*($E290&gt;INDEX(_xlfn.ANCHORARRAY(Sintesi!$C$15),1,$C290))*($E290&lt;INDEX(_xlfn.ANCHORARRAY(Sintesi!$C$16),1,$C290))*(INDEX(_xlfn.ANCHORARRAY(Sintesi!$C$15),1,$C290)&gt;0),2,IF($E290=(INDEX(_xlfn.ANCHORARRAY(Sintesi!$C$16),1,$C290)),3,4)))),0)))</f>
        <v/>
      </c>
      <c r="E290" s="1">
        <f>'Paste cell here'!F290</f>
        <v/>
      </c>
      <c r="F290" s="1">
        <f>'Paste cell here'!C290</f>
        <v/>
      </c>
      <c r="G290" s="1">
        <f>'Paste cell here'!D290</f>
        <v/>
      </c>
      <c r="H290" s="1">
        <f>'Paste cell here'!E290</f>
        <v/>
      </c>
      <c r="I290" s="1">
        <f>'Paste cell here'!X290</f>
        <v/>
      </c>
      <c r="J290" s="1">
        <f>'Paste cell here'!Y290+'Paste cell here'!S290</f>
        <v/>
      </c>
      <c r="K290" s="1">
        <f>I290/H290</f>
        <v/>
      </c>
      <c r="L290" s="1">
        <f>AVERAGE(($F290+$G290)/2-($F290-$G290)/2*COS(PI()*(8-VLOOKUP(MONTH(B290),$O$1:$Q$13,3))/(VLOOKUP(MONTH(B290),$O$1:$Q$13,2)-VLOOKUP(MONTH(B290),$O$1:$Q$13,3))),($F290+$G290)/2-($F290-$G290)/2*COS(PI()*(9-VLOOKUP(MONTH(B290),$O$1:$Q$13,3))/(VLOOKUP(MONTH(B290),$O$1:$Q$13,2)-VLOOKUP(MONTH(B290),$O$1:$Q$13,3))),($F290+$G290)/2-($F290-$G290)/2*COS(PI()*(10-VLOOKUP(MONTH(B290),$O$1:$Q$13,3))/(VLOOKUP(MONTH(B290),$O$1:$Q$13,2)-VLOOKUP(MONTH(B290),$O$1:$Q$13,3))),($F290+$G290)/2-($F290-$G290)/2*COS(PI()*(11-VLOOKUP(MONTH(B290),$O$1:$Q$13,3))/(VLOOKUP(MONTH(B290),$O$1:$Q$13,2)-VLOOKUP(MONTH(B290),$O$1:$Q$13,3))),($F290+$G290)/2-($F290-$G290)/2*COS(PI()*(12-VLOOKUP(MONTH(B290),$O$1:$Q$13,3))/(VLOOKUP(MONTH(B290),$O$1:$Q$13,2)-VLOOKUP(MONTH(B290),$O$1:$Q$13,3))),($F290+$G290)/2-($F290-$G290)/2*COS(PI()*(13-VLOOKUP(MONTH(B290),$O$1:$Q$13,3))/(VLOOKUP(MONTH(B290),$O$1:$Q$13,2)-VLOOKUP(MONTH(B290),$O$1:$Q$13,3))),($F290+$G290)/2-($F290-$G290)/2*COS(PI()*(14-VLOOKUP(MONTH(B290),$O$1:$Q$13,3))/(VLOOKUP(MONTH(B290),$O$1:$Q$13,2)-VLOOKUP(MONTH(B290),$O$1:$Q$13,3))))</f>
        <v/>
      </c>
      <c r="M290" s="1">
        <f t="array" ref="M290">IF(AND(A290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,A290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),IF(L290&lt;_xlfn.IFNA(INDEX(_xlfn.ANCHORARRAY(Sintesi!$C$17)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,1,IF(L290&gt;=_xlfn.IFNA(INDEX(_xlfn.ANCHORARRAY(Sintesi!$C$18)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,0,1-(L290-_xlfn.IFNA(INDEX(_xlfn.ANCHORARRAY(Sintesi!$C$17)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)/(_xlfn.IFNA(INDEX(_xlfn.ANCHORARRAY(Sintesi!$C$18)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-_xlfn.IFNA(INDEX(_xlfn.ANCHORARRAY(Sintesi!$C$17)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))),0)</f>
        <v/>
      </c>
    </row>
    <row r="291">
      <c r="A291" s="1">
        <f>'Paste cell here'!A291</f>
        <v/>
      </c>
      <c r="B291" s="2">
        <f>DATE(Sintesi!$C$4-1,12,31)+A291</f>
        <v/>
      </c>
      <c r="C291" s="34">
        <f t="array" ref="C291">_xlfn.IFNA(MATCH(1,(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)*(_xlfn.ANCHORARRAY(Sintesi!$C$15)&gt;=0)+(_xlfn.ANCHORARRAY(Sintesi!$C$15)&lt;0),0),0)</f>
        <v/>
      </c>
      <c r="D291" s="1">
        <f t="array" ref="D291">IF(ISBLANK($E292),IF(ISNUMBER($E290),IF($C291&gt;0,IF(($E291=INDEX(_xlfn.ANCHORARRAY(Sintesi!$C$14),1,$C291))*(INDEX(_xlfn.ANCHORARRAY(Sintesi!$C$15),1,$C291)&gt;0),0,IF(($E291=INDEX(_xlfn.ANCHORARRAY(Sintesi!$C$14),1,$C291))*(INDEX(_xlfn.ANCHORARRAY(Sintesi!$C$15),1,$C291)&lt;0)+($E291&gt;=$E290)*($E291&lt;=INDEX($E:$E,MATCH(TRUE,INDEX((ISNUMBER($E:$E)),0),0)))*($E291&gt;INDEX(_xlfn.ANCHORARRAY(Sintesi!$C$14),1,$C291))*($E291&lt;=INDEX(_xlfn.ANCHORARRAY(Sintesi!$C$15),1,$C291))*(INDEX(_xlfn.ANCHORARRAY(Sintesi!$C$15),1,$C291)&gt;0),1,IF(($E291&gt;=$E290)*($E291&lt;=INDEX($E:$E,MATCH(TRUE,INDEX((ISNUMBER($E:$E)),0),0)))*($E291&gt;INDEX(_xlfn.ANCHORARRAY(Sintesi!$C$14),1,$C291))*($E291&lt;INDEX(_xlfn.ANCHORARRAY(Sintesi!$C$16),1,$C291))*(INDEX(_xlfn.ANCHORARRAY(Sintesi!$C$15),1,$C291)&lt;0)+($E291&gt;=$E290)*($E291&lt;=INDEX($E:$E,MATCH(TRUE,INDEX((ISNUMBER($E:$E)),0),0)))*($E291&gt;INDEX(_xlfn.ANCHORARRAY(Sintesi!$C$15),1,$C291))*($E291&lt;INDEX(_xlfn.ANCHORARRAY(Sintesi!$C$16),1,$C291))*(INDEX(_xlfn.ANCHORARRAY(Sintesi!$C$15),1,$C291)&gt;0),2,IF($E291=(INDEX(_xlfn.ANCHORARRAY(Sintesi!$C$16),1,$C291)),3,4)))),0),IF($C291&gt;0,IF(($E291=INDEX(_xlfn.ANCHORARRAY(Sintesi!$C$14),1,$C291))*(INDEX(_xlfn.ANCHORARRAY(Sintesi!$C$15),1,$C291)&gt;0),0,IF(($E291=INDEX(_xlfn.ANCHORARRAY(Sintesi!$C$14),1,$C291))*(INDEX(_xlfn.ANCHORARRAY(Sintesi!$C$15),1,$C291)&lt;0)+($E291&gt;=LOOKUP(2,1/($E:$E&lt;&gt;""),$E:$E))*($E291&lt;=INDEX($E:$E,MATCH(TRUE,INDEX((ISNUMBER($E:$E)),0),0)))*($E291&gt;INDEX(_xlfn.ANCHORARRAY(Sintesi!$C$14),1,$C291))*($E291&lt;=INDEX(_xlfn.ANCHORARRAY(Sintesi!$C$15),1,$C291))*(INDEX(_xlfn.ANCHORARRAY(Sintesi!$C$15),1,$C291)&gt;0),1,IF(($E291&gt;=LOOKUP(2,1/($E:$E&lt;&gt;""),$E:$E))*($E291&lt;=INDEX($E:$E,MATCH(TRUE,INDEX((ISNUMBER($E:$E)),0),0)))*($E291&gt;INDEX(_xlfn.ANCHORARRAY(Sintesi!$C$14),1,$C291))*($E291&lt;INDEX(_xlfn.ANCHORARRAY(Sintesi!$C$16),1,$C291))*(INDEX(_xlfn.ANCHORARRAY(Sintesi!$C$15),1,$C291)&lt;0)+($E291&gt;=LOOKUP(2,1/($E:$E&lt;&gt;""),$E:$E))*($E291&lt;=INDEX($E:$E,MATCH(TRUE,INDEX((ISNUMBER($E:$E)),0),0)))*($E291&gt;INDEX(_xlfn.ANCHORARRAY(Sintesi!$C$15),1,$C291))*($E291&lt;INDEX(_xlfn.ANCHORARRAY(Sintesi!$C$16),1,$C291))*(INDEX(_xlfn.ANCHORARRAY(Sintesi!$C$15),1,$C291)&gt;0),2,IF($E291=(INDEX(_xlfn.ANCHORARRAY(Sintesi!$C$16),1,$C291)),3,4)))),0)),IF(ISNUMBER($E290),IF($C291&gt;0,IF(($E291=INDEX(_xlfn.ANCHORARRAY(Sintesi!$C$14),1,$C291))*(INDEX(_xlfn.ANCHORARRAY(Sintesi!$C$15),1,$C291)&gt;0),0,IF(($E291=INDEX(_xlfn.ANCHORARRAY(Sintesi!$C$14),1,$C291))*(INDEX(_xlfn.ANCHORARRAY(Sintesi!$C$15),1,$C291)&lt;0)+($E291&gt;=$E290)*($E291&lt;=$E292)*($E291&gt;INDEX(_xlfn.ANCHORARRAY(Sintesi!$C$14),1,$C291))*($E291&lt;=INDEX(_xlfn.ANCHORARRAY(Sintesi!$C$15),1,$C291))*(INDEX(_xlfn.ANCHORARRAY(Sintesi!$C$15),1,$C291)&gt;0),1,IF(($E291&gt;=$E290)*($E291&lt;=$E292)*($E291&gt;INDEX(_xlfn.ANCHORARRAY(Sintesi!$C$14),1,$C291))*($E291&lt;INDEX(_xlfn.ANCHORARRAY(Sintesi!$C$16),1,$C291))*(INDEX(_xlfn.ANCHORARRAY(Sintesi!$C$15),1,$C291)&lt;0)+($E291&gt;=$E290)*($E291&lt;=$E292)*($E291&gt;INDEX(_xlfn.ANCHORARRAY(Sintesi!$C$15),1,$C291))*($E291&lt;INDEX(_xlfn.ANCHORARRAY(Sintesi!$C$16),1,$C291))*(INDEX(_xlfn.ANCHORARRAY(Sintesi!$C$15),1,$C291)&gt;0),2,IF($E291=(INDEX(_xlfn.ANCHORARRAY(Sintesi!$C$16),1,$C291)),3,4)))),0),IF($C291&gt;0,IF(($E291=INDEX(_xlfn.ANCHORARRAY(Sintesi!$C$14),1,$C291))*(INDEX(_xlfn.ANCHORARRAY(Sintesi!$C$15),1,$C291)&gt;0),0,IF(($E291=INDEX(_xlfn.ANCHORARRAY(Sintesi!$C$14),1,$C291))*(INDEX(_xlfn.ANCHORARRAY(Sintesi!$C$15),1,$C291)&lt;0)+($E291&gt;=LOOKUP(2,1/($E:$E&lt;&gt;""),$E:$E))*($E291&lt;=$E292)*($E291&gt;INDEX(_xlfn.ANCHORARRAY(Sintesi!$C$14),1,$C291))*($E291&lt;=INDEX(_xlfn.ANCHORARRAY(Sintesi!$C$15),1,$C291))*(INDEX(_xlfn.ANCHORARRAY(Sintesi!$C$15),1,$C291)&gt;0),1,IF(($E291&gt;=LOOKUP(2,1/($E:$E&lt;&gt;""),$E:$E))*($E291&lt;=$E292)*($E291&gt;INDEX(_xlfn.ANCHORARRAY(Sintesi!$C$14),1,$C291))*($E291&lt;INDEX(_xlfn.ANCHORARRAY(Sintesi!$C$16),1,$C291))*(INDEX(_xlfn.ANCHORARRAY(Sintesi!$C$15),1,$C291)&lt;0)+($E291&gt;=LOOKUP(2,1/($E:$E&lt;&gt;""),$E:$E))*($E291&lt;=$E292)*($E291&gt;INDEX(_xlfn.ANCHORARRAY(Sintesi!$C$15),1,$C291))*($E291&lt;INDEX(_xlfn.ANCHORARRAY(Sintesi!$C$16),1,$C291))*(INDEX(_xlfn.ANCHORARRAY(Sintesi!$C$15),1,$C291)&gt;0),2,IF($E291=(INDEX(_xlfn.ANCHORARRAY(Sintesi!$C$16),1,$C291)),3,4)))),0)))</f>
        <v/>
      </c>
      <c r="E291" s="1">
        <f>'Paste cell here'!F291</f>
        <v/>
      </c>
      <c r="F291" s="1">
        <f>'Paste cell here'!C291</f>
        <v/>
      </c>
      <c r="G291" s="1">
        <f>'Paste cell here'!D291</f>
        <v/>
      </c>
      <c r="H291" s="1">
        <f>'Paste cell here'!E291</f>
        <v/>
      </c>
      <c r="I291" s="1">
        <f>'Paste cell here'!X291</f>
        <v/>
      </c>
      <c r="J291" s="1">
        <f>'Paste cell here'!Y291+'Paste cell here'!S291</f>
        <v/>
      </c>
      <c r="K291" s="1">
        <f>I291/H291</f>
        <v/>
      </c>
      <c r="L291" s="1">
        <f>AVERAGE(($F291+$G291)/2-($F291-$G291)/2*COS(PI()*(8-VLOOKUP(MONTH(B291),$O$1:$Q$13,3))/(VLOOKUP(MONTH(B291),$O$1:$Q$13,2)-VLOOKUP(MONTH(B291),$O$1:$Q$13,3))),($F291+$G291)/2-($F291-$G291)/2*COS(PI()*(9-VLOOKUP(MONTH(B291),$O$1:$Q$13,3))/(VLOOKUP(MONTH(B291),$O$1:$Q$13,2)-VLOOKUP(MONTH(B291),$O$1:$Q$13,3))),($F291+$G291)/2-($F291-$G291)/2*COS(PI()*(10-VLOOKUP(MONTH(B291),$O$1:$Q$13,3))/(VLOOKUP(MONTH(B291),$O$1:$Q$13,2)-VLOOKUP(MONTH(B291),$O$1:$Q$13,3))),($F291+$G291)/2-($F291-$G291)/2*COS(PI()*(11-VLOOKUP(MONTH(B291),$O$1:$Q$13,3))/(VLOOKUP(MONTH(B291),$O$1:$Q$13,2)-VLOOKUP(MONTH(B291),$O$1:$Q$13,3))),($F291+$G291)/2-($F291-$G291)/2*COS(PI()*(12-VLOOKUP(MONTH(B291),$O$1:$Q$13,3))/(VLOOKUP(MONTH(B291),$O$1:$Q$13,2)-VLOOKUP(MONTH(B291),$O$1:$Q$13,3))),($F291+$G291)/2-($F291-$G291)/2*COS(PI()*(13-VLOOKUP(MONTH(B291),$O$1:$Q$13,3))/(VLOOKUP(MONTH(B291),$O$1:$Q$13,2)-VLOOKUP(MONTH(B291),$O$1:$Q$13,3))),($F291+$G291)/2-($F291-$G291)/2*COS(PI()*(14-VLOOKUP(MONTH(B291),$O$1:$Q$13,3))/(VLOOKUP(MONTH(B291),$O$1:$Q$13,2)-VLOOKUP(MONTH(B291),$O$1:$Q$13,3))))</f>
        <v/>
      </c>
      <c r="M291" s="1">
        <f t="array" ref="M291">IF(AND(A291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,A291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),IF(L291&lt;_xlfn.IFNA(INDEX(_xlfn.ANCHORARRAY(Sintesi!$C$17)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,1,IF(L291&gt;=_xlfn.IFNA(INDEX(_xlfn.ANCHORARRAY(Sintesi!$C$18)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,0,1-(L291-_xlfn.IFNA(INDEX(_xlfn.ANCHORARRAY(Sintesi!$C$17)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)/(_xlfn.IFNA(INDEX(_xlfn.ANCHORARRAY(Sintesi!$C$18)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-_xlfn.IFNA(INDEX(_xlfn.ANCHORARRAY(Sintesi!$C$17)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))),0)</f>
        <v/>
      </c>
    </row>
    <row r="292">
      <c r="A292" s="1">
        <f>'Paste cell here'!A292</f>
        <v/>
      </c>
      <c r="B292" s="2">
        <f>DATE(Sintesi!$C$4-1,12,31)+A292</f>
        <v/>
      </c>
      <c r="C292" s="34">
        <f t="array" ref="C292">_xlfn.IFNA(MATCH(1,(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)*(_xlfn.ANCHORARRAY(Sintesi!$C$15)&gt;=0)+(_xlfn.ANCHORARRAY(Sintesi!$C$15)&lt;0),0),0)</f>
        <v/>
      </c>
      <c r="D292" s="1">
        <f t="array" ref="D292">IF(ISBLANK($E293),IF(ISNUMBER($E291),IF($C292&gt;0,IF(($E292=INDEX(_xlfn.ANCHORARRAY(Sintesi!$C$14),1,$C292))*(INDEX(_xlfn.ANCHORARRAY(Sintesi!$C$15),1,$C292)&gt;0),0,IF(($E292=INDEX(_xlfn.ANCHORARRAY(Sintesi!$C$14),1,$C292))*(INDEX(_xlfn.ANCHORARRAY(Sintesi!$C$15),1,$C292)&lt;0)+($E292&gt;=$E291)*($E292&lt;=INDEX($E:$E,MATCH(TRUE,INDEX((ISNUMBER($E:$E)),0),0)))*($E292&gt;INDEX(_xlfn.ANCHORARRAY(Sintesi!$C$14),1,$C292))*($E292&lt;=INDEX(_xlfn.ANCHORARRAY(Sintesi!$C$15),1,$C292))*(INDEX(_xlfn.ANCHORARRAY(Sintesi!$C$15),1,$C292)&gt;0),1,IF(($E292&gt;=$E291)*($E292&lt;=INDEX($E:$E,MATCH(TRUE,INDEX((ISNUMBER($E:$E)),0),0)))*($E292&gt;INDEX(_xlfn.ANCHORARRAY(Sintesi!$C$14),1,$C292))*($E292&lt;INDEX(_xlfn.ANCHORARRAY(Sintesi!$C$16),1,$C292))*(INDEX(_xlfn.ANCHORARRAY(Sintesi!$C$15),1,$C292)&lt;0)+($E292&gt;=$E291)*($E292&lt;=INDEX($E:$E,MATCH(TRUE,INDEX((ISNUMBER($E:$E)),0),0)))*($E292&gt;INDEX(_xlfn.ANCHORARRAY(Sintesi!$C$15),1,$C292))*($E292&lt;INDEX(_xlfn.ANCHORARRAY(Sintesi!$C$16),1,$C292))*(INDEX(_xlfn.ANCHORARRAY(Sintesi!$C$15),1,$C292)&gt;0),2,IF($E292=(INDEX(_xlfn.ANCHORARRAY(Sintesi!$C$16),1,$C292)),3,4)))),0),IF($C292&gt;0,IF(($E292=INDEX(_xlfn.ANCHORARRAY(Sintesi!$C$14),1,$C292))*(INDEX(_xlfn.ANCHORARRAY(Sintesi!$C$15),1,$C292)&gt;0),0,IF(($E292=INDEX(_xlfn.ANCHORARRAY(Sintesi!$C$14),1,$C292))*(INDEX(_xlfn.ANCHORARRAY(Sintesi!$C$15),1,$C292)&lt;0)+($E292&gt;=LOOKUP(2,1/($E:$E&lt;&gt;""),$E:$E))*($E292&lt;=INDEX($E:$E,MATCH(TRUE,INDEX((ISNUMBER($E:$E)),0),0)))*($E292&gt;INDEX(_xlfn.ANCHORARRAY(Sintesi!$C$14),1,$C292))*($E292&lt;=INDEX(_xlfn.ANCHORARRAY(Sintesi!$C$15),1,$C292))*(INDEX(_xlfn.ANCHORARRAY(Sintesi!$C$15),1,$C292)&gt;0),1,IF(($E292&gt;=LOOKUP(2,1/($E:$E&lt;&gt;""),$E:$E))*($E292&lt;=INDEX($E:$E,MATCH(TRUE,INDEX((ISNUMBER($E:$E)),0),0)))*($E292&gt;INDEX(_xlfn.ANCHORARRAY(Sintesi!$C$14),1,$C292))*($E292&lt;INDEX(_xlfn.ANCHORARRAY(Sintesi!$C$16),1,$C292))*(INDEX(_xlfn.ANCHORARRAY(Sintesi!$C$15),1,$C292)&lt;0)+($E292&gt;=LOOKUP(2,1/($E:$E&lt;&gt;""),$E:$E))*($E292&lt;=INDEX($E:$E,MATCH(TRUE,INDEX((ISNUMBER($E:$E)),0),0)))*($E292&gt;INDEX(_xlfn.ANCHORARRAY(Sintesi!$C$15),1,$C292))*($E292&lt;INDEX(_xlfn.ANCHORARRAY(Sintesi!$C$16),1,$C292))*(INDEX(_xlfn.ANCHORARRAY(Sintesi!$C$15),1,$C292)&gt;0),2,IF($E292=(INDEX(_xlfn.ANCHORARRAY(Sintesi!$C$16),1,$C292)),3,4)))),0)),IF(ISNUMBER($E291),IF($C292&gt;0,IF(($E292=INDEX(_xlfn.ANCHORARRAY(Sintesi!$C$14),1,$C292))*(INDEX(_xlfn.ANCHORARRAY(Sintesi!$C$15),1,$C292)&gt;0),0,IF(($E292=INDEX(_xlfn.ANCHORARRAY(Sintesi!$C$14),1,$C292))*(INDEX(_xlfn.ANCHORARRAY(Sintesi!$C$15),1,$C292)&lt;0)+($E292&gt;=$E291)*($E292&lt;=$E293)*($E292&gt;INDEX(_xlfn.ANCHORARRAY(Sintesi!$C$14),1,$C292))*($E292&lt;=INDEX(_xlfn.ANCHORARRAY(Sintesi!$C$15),1,$C292))*(INDEX(_xlfn.ANCHORARRAY(Sintesi!$C$15),1,$C292)&gt;0),1,IF(($E292&gt;=$E291)*($E292&lt;=$E293)*($E292&gt;INDEX(_xlfn.ANCHORARRAY(Sintesi!$C$14),1,$C292))*($E292&lt;INDEX(_xlfn.ANCHORARRAY(Sintesi!$C$16),1,$C292))*(INDEX(_xlfn.ANCHORARRAY(Sintesi!$C$15),1,$C292)&lt;0)+($E292&gt;=$E291)*($E292&lt;=$E293)*($E292&gt;INDEX(_xlfn.ANCHORARRAY(Sintesi!$C$15),1,$C292))*($E292&lt;INDEX(_xlfn.ANCHORARRAY(Sintesi!$C$16),1,$C292))*(INDEX(_xlfn.ANCHORARRAY(Sintesi!$C$15),1,$C292)&gt;0),2,IF($E292=(INDEX(_xlfn.ANCHORARRAY(Sintesi!$C$16),1,$C292)),3,4)))),0),IF($C292&gt;0,IF(($E292=INDEX(_xlfn.ANCHORARRAY(Sintesi!$C$14),1,$C292))*(INDEX(_xlfn.ANCHORARRAY(Sintesi!$C$15),1,$C292)&gt;0),0,IF(($E292=INDEX(_xlfn.ANCHORARRAY(Sintesi!$C$14),1,$C292))*(INDEX(_xlfn.ANCHORARRAY(Sintesi!$C$15),1,$C292)&lt;0)+($E292&gt;=LOOKUP(2,1/($E:$E&lt;&gt;""),$E:$E))*($E292&lt;=$E293)*($E292&gt;INDEX(_xlfn.ANCHORARRAY(Sintesi!$C$14),1,$C292))*($E292&lt;=INDEX(_xlfn.ANCHORARRAY(Sintesi!$C$15),1,$C292))*(INDEX(_xlfn.ANCHORARRAY(Sintesi!$C$15),1,$C292)&gt;0),1,IF(($E292&gt;=LOOKUP(2,1/($E:$E&lt;&gt;""),$E:$E))*($E292&lt;=$E293)*($E292&gt;INDEX(_xlfn.ANCHORARRAY(Sintesi!$C$14),1,$C292))*($E292&lt;INDEX(_xlfn.ANCHORARRAY(Sintesi!$C$16),1,$C292))*(INDEX(_xlfn.ANCHORARRAY(Sintesi!$C$15),1,$C292)&lt;0)+($E292&gt;=LOOKUP(2,1/($E:$E&lt;&gt;""),$E:$E))*($E292&lt;=$E293)*($E292&gt;INDEX(_xlfn.ANCHORARRAY(Sintesi!$C$15),1,$C292))*($E292&lt;INDEX(_xlfn.ANCHORARRAY(Sintesi!$C$16),1,$C292))*(INDEX(_xlfn.ANCHORARRAY(Sintesi!$C$15),1,$C292)&gt;0),2,IF($E292=(INDEX(_xlfn.ANCHORARRAY(Sintesi!$C$16),1,$C292)),3,4)))),0)))</f>
        <v/>
      </c>
      <c r="E292" s="1">
        <f>'Paste cell here'!F292</f>
        <v/>
      </c>
      <c r="F292" s="1">
        <f>'Paste cell here'!C292</f>
        <v/>
      </c>
      <c r="G292" s="1">
        <f>'Paste cell here'!D292</f>
        <v/>
      </c>
      <c r="H292" s="1">
        <f>'Paste cell here'!E292</f>
        <v/>
      </c>
      <c r="I292" s="1">
        <f>'Paste cell here'!X292</f>
        <v/>
      </c>
      <c r="J292" s="1">
        <f>'Paste cell here'!Y292+'Paste cell here'!S292</f>
        <v/>
      </c>
      <c r="K292" s="1">
        <f>I292/H292</f>
        <v/>
      </c>
      <c r="L292" s="1">
        <f>AVERAGE(($F292+$G292)/2-($F292-$G292)/2*COS(PI()*(8-VLOOKUP(MONTH(B292),$O$1:$Q$13,3))/(VLOOKUP(MONTH(B292),$O$1:$Q$13,2)-VLOOKUP(MONTH(B292),$O$1:$Q$13,3))),($F292+$G292)/2-($F292-$G292)/2*COS(PI()*(9-VLOOKUP(MONTH(B292),$O$1:$Q$13,3))/(VLOOKUP(MONTH(B292),$O$1:$Q$13,2)-VLOOKUP(MONTH(B292),$O$1:$Q$13,3))),($F292+$G292)/2-($F292-$G292)/2*COS(PI()*(10-VLOOKUP(MONTH(B292),$O$1:$Q$13,3))/(VLOOKUP(MONTH(B292),$O$1:$Q$13,2)-VLOOKUP(MONTH(B292),$O$1:$Q$13,3))),($F292+$G292)/2-($F292-$G292)/2*COS(PI()*(11-VLOOKUP(MONTH(B292),$O$1:$Q$13,3))/(VLOOKUP(MONTH(B292),$O$1:$Q$13,2)-VLOOKUP(MONTH(B292),$O$1:$Q$13,3))),($F292+$G292)/2-($F292-$G292)/2*COS(PI()*(12-VLOOKUP(MONTH(B292),$O$1:$Q$13,3))/(VLOOKUP(MONTH(B292),$O$1:$Q$13,2)-VLOOKUP(MONTH(B292),$O$1:$Q$13,3))),($F292+$G292)/2-($F292-$G292)/2*COS(PI()*(13-VLOOKUP(MONTH(B292),$O$1:$Q$13,3))/(VLOOKUP(MONTH(B292),$O$1:$Q$13,2)-VLOOKUP(MONTH(B292),$O$1:$Q$13,3))),($F292+$G292)/2-($F292-$G292)/2*COS(PI()*(14-VLOOKUP(MONTH(B292),$O$1:$Q$13,3))/(VLOOKUP(MONTH(B292),$O$1:$Q$13,2)-VLOOKUP(MONTH(B292),$O$1:$Q$13,3))))</f>
        <v/>
      </c>
      <c r="M292" s="1">
        <f t="array" ref="M292">IF(AND(A292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,A292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),IF(L292&lt;_xlfn.IFNA(INDEX(_xlfn.ANCHORARRAY(Sintesi!$C$17)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,1,IF(L292&gt;=_xlfn.IFNA(INDEX(_xlfn.ANCHORARRAY(Sintesi!$C$18)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,0,1-(L292-_xlfn.IFNA(INDEX(_xlfn.ANCHORARRAY(Sintesi!$C$17)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)/(_xlfn.IFNA(INDEX(_xlfn.ANCHORARRAY(Sintesi!$C$18)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-_xlfn.IFNA(INDEX(_xlfn.ANCHORARRAY(Sintesi!$C$17)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))),0)</f>
        <v/>
      </c>
    </row>
    <row r="293">
      <c r="A293" s="1">
        <f>'Paste cell here'!A293</f>
        <v/>
      </c>
      <c r="B293" s="2">
        <f>DATE(Sintesi!$C$4-1,12,31)+A293</f>
        <v/>
      </c>
      <c r="C293" s="34">
        <f t="array" ref="C293">_xlfn.IFNA(MATCH(1,(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)*(_xlfn.ANCHORARRAY(Sintesi!$C$15)&gt;=0)+(_xlfn.ANCHORARRAY(Sintesi!$C$15)&lt;0),0),0)</f>
        <v/>
      </c>
      <c r="D293" s="1">
        <f t="array" ref="D293">IF(ISBLANK($E294),IF(ISNUMBER($E292),IF($C293&gt;0,IF(($E293=INDEX(_xlfn.ANCHORARRAY(Sintesi!$C$14),1,$C293))*(INDEX(_xlfn.ANCHORARRAY(Sintesi!$C$15),1,$C293)&gt;0),0,IF(($E293=INDEX(_xlfn.ANCHORARRAY(Sintesi!$C$14),1,$C293))*(INDEX(_xlfn.ANCHORARRAY(Sintesi!$C$15),1,$C293)&lt;0)+($E293&gt;=$E292)*($E293&lt;=INDEX($E:$E,MATCH(TRUE,INDEX((ISNUMBER($E:$E)),0),0)))*($E293&gt;INDEX(_xlfn.ANCHORARRAY(Sintesi!$C$14),1,$C293))*($E293&lt;=INDEX(_xlfn.ANCHORARRAY(Sintesi!$C$15),1,$C293))*(INDEX(_xlfn.ANCHORARRAY(Sintesi!$C$15),1,$C293)&gt;0),1,IF(($E293&gt;=$E292)*($E293&lt;=INDEX($E:$E,MATCH(TRUE,INDEX((ISNUMBER($E:$E)),0),0)))*($E293&gt;INDEX(_xlfn.ANCHORARRAY(Sintesi!$C$14),1,$C293))*($E293&lt;INDEX(_xlfn.ANCHORARRAY(Sintesi!$C$16),1,$C293))*(INDEX(_xlfn.ANCHORARRAY(Sintesi!$C$15),1,$C293)&lt;0)+($E293&gt;=$E292)*($E293&lt;=INDEX($E:$E,MATCH(TRUE,INDEX((ISNUMBER($E:$E)),0),0)))*($E293&gt;INDEX(_xlfn.ANCHORARRAY(Sintesi!$C$15),1,$C293))*($E293&lt;INDEX(_xlfn.ANCHORARRAY(Sintesi!$C$16),1,$C293))*(INDEX(_xlfn.ANCHORARRAY(Sintesi!$C$15),1,$C293)&gt;0),2,IF($E293=(INDEX(_xlfn.ANCHORARRAY(Sintesi!$C$16),1,$C293)),3,4)))),0),IF($C293&gt;0,IF(($E293=INDEX(_xlfn.ANCHORARRAY(Sintesi!$C$14),1,$C293))*(INDEX(_xlfn.ANCHORARRAY(Sintesi!$C$15),1,$C293)&gt;0),0,IF(($E293=INDEX(_xlfn.ANCHORARRAY(Sintesi!$C$14),1,$C293))*(INDEX(_xlfn.ANCHORARRAY(Sintesi!$C$15),1,$C293)&lt;0)+($E293&gt;=LOOKUP(2,1/($E:$E&lt;&gt;""),$E:$E))*($E293&lt;=INDEX($E:$E,MATCH(TRUE,INDEX((ISNUMBER($E:$E)),0),0)))*($E293&gt;INDEX(_xlfn.ANCHORARRAY(Sintesi!$C$14),1,$C293))*($E293&lt;=INDEX(_xlfn.ANCHORARRAY(Sintesi!$C$15),1,$C293))*(INDEX(_xlfn.ANCHORARRAY(Sintesi!$C$15),1,$C293)&gt;0),1,IF(($E293&gt;=LOOKUP(2,1/($E:$E&lt;&gt;""),$E:$E))*($E293&lt;=INDEX($E:$E,MATCH(TRUE,INDEX((ISNUMBER($E:$E)),0),0)))*($E293&gt;INDEX(_xlfn.ANCHORARRAY(Sintesi!$C$14),1,$C293))*($E293&lt;INDEX(_xlfn.ANCHORARRAY(Sintesi!$C$16),1,$C293))*(INDEX(_xlfn.ANCHORARRAY(Sintesi!$C$15),1,$C293)&lt;0)+($E293&gt;=LOOKUP(2,1/($E:$E&lt;&gt;""),$E:$E))*($E293&lt;=INDEX($E:$E,MATCH(TRUE,INDEX((ISNUMBER($E:$E)),0),0)))*($E293&gt;INDEX(_xlfn.ANCHORARRAY(Sintesi!$C$15),1,$C293))*($E293&lt;INDEX(_xlfn.ANCHORARRAY(Sintesi!$C$16),1,$C293))*(INDEX(_xlfn.ANCHORARRAY(Sintesi!$C$15),1,$C293)&gt;0),2,IF($E293=(INDEX(_xlfn.ANCHORARRAY(Sintesi!$C$16),1,$C293)),3,4)))),0)),IF(ISNUMBER($E292),IF($C293&gt;0,IF(($E293=INDEX(_xlfn.ANCHORARRAY(Sintesi!$C$14),1,$C293))*(INDEX(_xlfn.ANCHORARRAY(Sintesi!$C$15),1,$C293)&gt;0),0,IF(($E293=INDEX(_xlfn.ANCHORARRAY(Sintesi!$C$14),1,$C293))*(INDEX(_xlfn.ANCHORARRAY(Sintesi!$C$15),1,$C293)&lt;0)+($E293&gt;=$E292)*($E293&lt;=$E294)*($E293&gt;INDEX(_xlfn.ANCHORARRAY(Sintesi!$C$14),1,$C293))*($E293&lt;=INDEX(_xlfn.ANCHORARRAY(Sintesi!$C$15),1,$C293))*(INDEX(_xlfn.ANCHORARRAY(Sintesi!$C$15),1,$C293)&gt;0),1,IF(($E293&gt;=$E292)*($E293&lt;=$E294)*($E293&gt;INDEX(_xlfn.ANCHORARRAY(Sintesi!$C$14),1,$C293))*($E293&lt;INDEX(_xlfn.ANCHORARRAY(Sintesi!$C$16),1,$C293))*(INDEX(_xlfn.ANCHORARRAY(Sintesi!$C$15),1,$C293)&lt;0)+($E293&gt;=$E292)*($E293&lt;=$E294)*($E293&gt;INDEX(_xlfn.ANCHORARRAY(Sintesi!$C$15),1,$C293))*($E293&lt;INDEX(_xlfn.ANCHORARRAY(Sintesi!$C$16),1,$C293))*(INDEX(_xlfn.ANCHORARRAY(Sintesi!$C$15),1,$C293)&gt;0),2,IF($E293=(INDEX(_xlfn.ANCHORARRAY(Sintesi!$C$16),1,$C293)),3,4)))),0),IF($C293&gt;0,IF(($E293=INDEX(_xlfn.ANCHORARRAY(Sintesi!$C$14),1,$C293))*(INDEX(_xlfn.ANCHORARRAY(Sintesi!$C$15),1,$C293)&gt;0),0,IF(($E293=INDEX(_xlfn.ANCHORARRAY(Sintesi!$C$14),1,$C293))*(INDEX(_xlfn.ANCHORARRAY(Sintesi!$C$15),1,$C293)&lt;0)+($E293&gt;=LOOKUP(2,1/($E:$E&lt;&gt;""),$E:$E))*($E293&lt;=$E294)*($E293&gt;INDEX(_xlfn.ANCHORARRAY(Sintesi!$C$14),1,$C293))*($E293&lt;=INDEX(_xlfn.ANCHORARRAY(Sintesi!$C$15),1,$C293))*(INDEX(_xlfn.ANCHORARRAY(Sintesi!$C$15),1,$C293)&gt;0),1,IF(($E293&gt;=LOOKUP(2,1/($E:$E&lt;&gt;""),$E:$E))*($E293&lt;=$E294)*($E293&gt;INDEX(_xlfn.ANCHORARRAY(Sintesi!$C$14),1,$C293))*($E293&lt;INDEX(_xlfn.ANCHORARRAY(Sintesi!$C$16),1,$C293))*(INDEX(_xlfn.ANCHORARRAY(Sintesi!$C$15),1,$C293)&lt;0)+($E293&gt;=LOOKUP(2,1/($E:$E&lt;&gt;""),$E:$E))*($E293&lt;=$E294)*($E293&gt;INDEX(_xlfn.ANCHORARRAY(Sintesi!$C$15),1,$C293))*($E293&lt;INDEX(_xlfn.ANCHORARRAY(Sintesi!$C$16),1,$C293))*(INDEX(_xlfn.ANCHORARRAY(Sintesi!$C$15),1,$C293)&gt;0),2,IF($E293=(INDEX(_xlfn.ANCHORARRAY(Sintesi!$C$16),1,$C293)),3,4)))),0)))</f>
        <v/>
      </c>
      <c r="E293" s="1">
        <f>'Paste cell here'!F293</f>
        <v/>
      </c>
      <c r="F293" s="1">
        <f>'Paste cell here'!C293</f>
        <v/>
      </c>
      <c r="G293" s="1">
        <f>'Paste cell here'!D293</f>
        <v/>
      </c>
      <c r="H293" s="1">
        <f>'Paste cell here'!E293</f>
        <v/>
      </c>
      <c r="I293" s="1">
        <f>'Paste cell here'!X293</f>
        <v/>
      </c>
      <c r="J293" s="1">
        <f>'Paste cell here'!Y293+'Paste cell here'!S293</f>
        <v/>
      </c>
      <c r="K293" s="1">
        <f>I293/H293</f>
        <v/>
      </c>
      <c r="L293" s="1">
        <f>AVERAGE(($F293+$G293)/2-($F293-$G293)/2*COS(PI()*(8-VLOOKUP(MONTH(B293),$O$1:$Q$13,3))/(VLOOKUP(MONTH(B293),$O$1:$Q$13,2)-VLOOKUP(MONTH(B293),$O$1:$Q$13,3))),($F293+$G293)/2-($F293-$G293)/2*COS(PI()*(9-VLOOKUP(MONTH(B293),$O$1:$Q$13,3))/(VLOOKUP(MONTH(B293),$O$1:$Q$13,2)-VLOOKUP(MONTH(B293),$O$1:$Q$13,3))),($F293+$G293)/2-($F293-$G293)/2*COS(PI()*(10-VLOOKUP(MONTH(B293),$O$1:$Q$13,3))/(VLOOKUP(MONTH(B293),$O$1:$Q$13,2)-VLOOKUP(MONTH(B293),$O$1:$Q$13,3))),($F293+$G293)/2-($F293-$G293)/2*COS(PI()*(11-VLOOKUP(MONTH(B293),$O$1:$Q$13,3))/(VLOOKUP(MONTH(B293),$O$1:$Q$13,2)-VLOOKUP(MONTH(B293),$O$1:$Q$13,3))),($F293+$G293)/2-($F293-$G293)/2*COS(PI()*(12-VLOOKUP(MONTH(B293),$O$1:$Q$13,3))/(VLOOKUP(MONTH(B293),$O$1:$Q$13,2)-VLOOKUP(MONTH(B293),$O$1:$Q$13,3))),($F293+$G293)/2-($F293-$G293)/2*COS(PI()*(13-VLOOKUP(MONTH(B293),$O$1:$Q$13,3))/(VLOOKUP(MONTH(B293),$O$1:$Q$13,2)-VLOOKUP(MONTH(B293),$O$1:$Q$13,3))),($F293+$G293)/2-($F293-$G293)/2*COS(PI()*(14-VLOOKUP(MONTH(B293),$O$1:$Q$13,3))/(VLOOKUP(MONTH(B293),$O$1:$Q$13,2)-VLOOKUP(MONTH(B293),$O$1:$Q$13,3))))</f>
        <v/>
      </c>
      <c r="M293" s="1">
        <f t="array" ref="M293">IF(AND(A293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,A293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),IF(L293&lt;_xlfn.IFNA(INDEX(_xlfn.ANCHORARRAY(Sintesi!$C$17)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,1,IF(L293&gt;=_xlfn.IFNA(INDEX(_xlfn.ANCHORARRAY(Sintesi!$C$18)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,0,1-(L293-_xlfn.IFNA(INDEX(_xlfn.ANCHORARRAY(Sintesi!$C$17)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)/(_xlfn.IFNA(INDEX(_xlfn.ANCHORARRAY(Sintesi!$C$18)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-_xlfn.IFNA(INDEX(_xlfn.ANCHORARRAY(Sintesi!$C$17)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))),0)</f>
        <v/>
      </c>
    </row>
    <row r="294">
      <c r="A294" s="1">
        <f>'Paste cell here'!A294</f>
        <v/>
      </c>
      <c r="B294" s="2">
        <f>DATE(Sintesi!$C$4-1,12,31)+A294</f>
        <v/>
      </c>
      <c r="C294" s="34">
        <f t="array" ref="C294">_xlfn.IFNA(MATCH(1,(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)*(_xlfn.ANCHORARRAY(Sintesi!$C$15)&gt;=0)+(_xlfn.ANCHORARRAY(Sintesi!$C$15)&lt;0),0),0)</f>
        <v/>
      </c>
      <c r="D294" s="1">
        <f t="array" ref="D294">IF(ISBLANK($E295),IF(ISNUMBER($E293),IF($C294&gt;0,IF(($E294=INDEX(_xlfn.ANCHORARRAY(Sintesi!$C$14),1,$C294))*(INDEX(_xlfn.ANCHORARRAY(Sintesi!$C$15),1,$C294)&gt;0),0,IF(($E294=INDEX(_xlfn.ANCHORARRAY(Sintesi!$C$14),1,$C294))*(INDEX(_xlfn.ANCHORARRAY(Sintesi!$C$15),1,$C294)&lt;0)+($E294&gt;=$E293)*($E294&lt;=INDEX($E:$E,MATCH(TRUE,INDEX((ISNUMBER($E:$E)),0),0)))*($E294&gt;INDEX(_xlfn.ANCHORARRAY(Sintesi!$C$14),1,$C294))*($E294&lt;=INDEX(_xlfn.ANCHORARRAY(Sintesi!$C$15),1,$C294))*(INDEX(_xlfn.ANCHORARRAY(Sintesi!$C$15),1,$C294)&gt;0),1,IF(($E294&gt;=$E293)*($E294&lt;=INDEX($E:$E,MATCH(TRUE,INDEX((ISNUMBER($E:$E)),0),0)))*($E294&gt;INDEX(_xlfn.ANCHORARRAY(Sintesi!$C$14),1,$C294))*($E294&lt;INDEX(_xlfn.ANCHORARRAY(Sintesi!$C$16),1,$C294))*(INDEX(_xlfn.ANCHORARRAY(Sintesi!$C$15),1,$C294)&lt;0)+($E294&gt;=$E293)*($E294&lt;=INDEX($E:$E,MATCH(TRUE,INDEX((ISNUMBER($E:$E)),0),0)))*($E294&gt;INDEX(_xlfn.ANCHORARRAY(Sintesi!$C$15),1,$C294))*($E294&lt;INDEX(_xlfn.ANCHORARRAY(Sintesi!$C$16),1,$C294))*(INDEX(_xlfn.ANCHORARRAY(Sintesi!$C$15),1,$C294)&gt;0),2,IF($E294=(INDEX(_xlfn.ANCHORARRAY(Sintesi!$C$16),1,$C294)),3,4)))),0),IF($C294&gt;0,IF(($E294=INDEX(_xlfn.ANCHORARRAY(Sintesi!$C$14),1,$C294))*(INDEX(_xlfn.ANCHORARRAY(Sintesi!$C$15),1,$C294)&gt;0),0,IF(($E294=INDEX(_xlfn.ANCHORARRAY(Sintesi!$C$14),1,$C294))*(INDEX(_xlfn.ANCHORARRAY(Sintesi!$C$15),1,$C294)&lt;0)+($E294&gt;=LOOKUP(2,1/($E:$E&lt;&gt;""),$E:$E))*($E294&lt;=INDEX($E:$E,MATCH(TRUE,INDEX((ISNUMBER($E:$E)),0),0)))*($E294&gt;INDEX(_xlfn.ANCHORARRAY(Sintesi!$C$14),1,$C294))*($E294&lt;=INDEX(_xlfn.ANCHORARRAY(Sintesi!$C$15),1,$C294))*(INDEX(_xlfn.ANCHORARRAY(Sintesi!$C$15),1,$C294)&gt;0),1,IF(($E294&gt;=LOOKUP(2,1/($E:$E&lt;&gt;""),$E:$E))*($E294&lt;=INDEX($E:$E,MATCH(TRUE,INDEX((ISNUMBER($E:$E)),0),0)))*($E294&gt;INDEX(_xlfn.ANCHORARRAY(Sintesi!$C$14),1,$C294))*($E294&lt;INDEX(_xlfn.ANCHORARRAY(Sintesi!$C$16),1,$C294))*(INDEX(_xlfn.ANCHORARRAY(Sintesi!$C$15),1,$C294)&lt;0)+($E294&gt;=LOOKUP(2,1/($E:$E&lt;&gt;""),$E:$E))*($E294&lt;=INDEX($E:$E,MATCH(TRUE,INDEX((ISNUMBER($E:$E)),0),0)))*($E294&gt;INDEX(_xlfn.ANCHORARRAY(Sintesi!$C$15),1,$C294))*($E294&lt;INDEX(_xlfn.ANCHORARRAY(Sintesi!$C$16),1,$C294))*(INDEX(_xlfn.ANCHORARRAY(Sintesi!$C$15),1,$C294)&gt;0),2,IF($E294=(INDEX(_xlfn.ANCHORARRAY(Sintesi!$C$16),1,$C294)),3,4)))),0)),IF(ISNUMBER($E293),IF($C294&gt;0,IF(($E294=INDEX(_xlfn.ANCHORARRAY(Sintesi!$C$14),1,$C294))*(INDEX(_xlfn.ANCHORARRAY(Sintesi!$C$15),1,$C294)&gt;0),0,IF(($E294=INDEX(_xlfn.ANCHORARRAY(Sintesi!$C$14),1,$C294))*(INDEX(_xlfn.ANCHORARRAY(Sintesi!$C$15),1,$C294)&lt;0)+($E294&gt;=$E293)*($E294&lt;=$E295)*($E294&gt;INDEX(_xlfn.ANCHORARRAY(Sintesi!$C$14),1,$C294))*($E294&lt;=INDEX(_xlfn.ANCHORARRAY(Sintesi!$C$15),1,$C294))*(INDEX(_xlfn.ANCHORARRAY(Sintesi!$C$15),1,$C294)&gt;0),1,IF(($E294&gt;=$E293)*($E294&lt;=$E295)*($E294&gt;INDEX(_xlfn.ANCHORARRAY(Sintesi!$C$14),1,$C294))*($E294&lt;INDEX(_xlfn.ANCHORARRAY(Sintesi!$C$16),1,$C294))*(INDEX(_xlfn.ANCHORARRAY(Sintesi!$C$15),1,$C294)&lt;0)+($E294&gt;=$E293)*($E294&lt;=$E295)*($E294&gt;INDEX(_xlfn.ANCHORARRAY(Sintesi!$C$15),1,$C294))*($E294&lt;INDEX(_xlfn.ANCHORARRAY(Sintesi!$C$16),1,$C294))*(INDEX(_xlfn.ANCHORARRAY(Sintesi!$C$15),1,$C294)&gt;0),2,IF($E294=(INDEX(_xlfn.ANCHORARRAY(Sintesi!$C$16),1,$C294)),3,4)))),0),IF($C294&gt;0,IF(($E294=INDEX(_xlfn.ANCHORARRAY(Sintesi!$C$14),1,$C294))*(INDEX(_xlfn.ANCHORARRAY(Sintesi!$C$15),1,$C294)&gt;0),0,IF(($E294=INDEX(_xlfn.ANCHORARRAY(Sintesi!$C$14),1,$C294))*(INDEX(_xlfn.ANCHORARRAY(Sintesi!$C$15),1,$C294)&lt;0)+($E294&gt;=LOOKUP(2,1/($E:$E&lt;&gt;""),$E:$E))*($E294&lt;=$E295)*($E294&gt;INDEX(_xlfn.ANCHORARRAY(Sintesi!$C$14),1,$C294))*($E294&lt;=INDEX(_xlfn.ANCHORARRAY(Sintesi!$C$15),1,$C294))*(INDEX(_xlfn.ANCHORARRAY(Sintesi!$C$15),1,$C294)&gt;0),1,IF(($E294&gt;=LOOKUP(2,1/($E:$E&lt;&gt;""),$E:$E))*($E294&lt;=$E295)*($E294&gt;INDEX(_xlfn.ANCHORARRAY(Sintesi!$C$14),1,$C294))*($E294&lt;INDEX(_xlfn.ANCHORARRAY(Sintesi!$C$16),1,$C294))*(INDEX(_xlfn.ANCHORARRAY(Sintesi!$C$15),1,$C294)&lt;0)+($E294&gt;=LOOKUP(2,1/($E:$E&lt;&gt;""),$E:$E))*($E294&lt;=$E295)*($E294&gt;INDEX(_xlfn.ANCHORARRAY(Sintesi!$C$15),1,$C294))*($E294&lt;INDEX(_xlfn.ANCHORARRAY(Sintesi!$C$16),1,$C294))*(INDEX(_xlfn.ANCHORARRAY(Sintesi!$C$15),1,$C294)&gt;0),2,IF($E294=(INDEX(_xlfn.ANCHORARRAY(Sintesi!$C$16),1,$C294)),3,4)))),0)))</f>
        <v/>
      </c>
      <c r="E294" s="1">
        <f>'Paste cell here'!F294</f>
        <v/>
      </c>
      <c r="F294" s="1">
        <f>'Paste cell here'!C294</f>
        <v/>
      </c>
      <c r="G294" s="1">
        <f>'Paste cell here'!D294</f>
        <v/>
      </c>
      <c r="H294" s="1">
        <f>'Paste cell here'!E294</f>
        <v/>
      </c>
      <c r="I294" s="1">
        <f>'Paste cell here'!X294</f>
        <v/>
      </c>
      <c r="J294" s="1">
        <f>'Paste cell here'!Y294+'Paste cell here'!S294</f>
        <v/>
      </c>
      <c r="K294" s="1">
        <f>I294/H294</f>
        <v/>
      </c>
      <c r="L294" s="1">
        <f>AVERAGE(($F294+$G294)/2-($F294-$G294)/2*COS(PI()*(8-VLOOKUP(MONTH(B294),$O$1:$Q$13,3))/(VLOOKUP(MONTH(B294),$O$1:$Q$13,2)-VLOOKUP(MONTH(B294),$O$1:$Q$13,3))),($F294+$G294)/2-($F294-$G294)/2*COS(PI()*(9-VLOOKUP(MONTH(B294),$O$1:$Q$13,3))/(VLOOKUP(MONTH(B294),$O$1:$Q$13,2)-VLOOKUP(MONTH(B294),$O$1:$Q$13,3))),($F294+$G294)/2-($F294-$G294)/2*COS(PI()*(10-VLOOKUP(MONTH(B294),$O$1:$Q$13,3))/(VLOOKUP(MONTH(B294),$O$1:$Q$13,2)-VLOOKUP(MONTH(B294),$O$1:$Q$13,3))),($F294+$G294)/2-($F294-$G294)/2*COS(PI()*(11-VLOOKUP(MONTH(B294),$O$1:$Q$13,3))/(VLOOKUP(MONTH(B294),$O$1:$Q$13,2)-VLOOKUP(MONTH(B294),$O$1:$Q$13,3))),($F294+$G294)/2-($F294-$G294)/2*COS(PI()*(12-VLOOKUP(MONTH(B294),$O$1:$Q$13,3))/(VLOOKUP(MONTH(B294),$O$1:$Q$13,2)-VLOOKUP(MONTH(B294),$O$1:$Q$13,3))),($F294+$G294)/2-($F294-$G294)/2*COS(PI()*(13-VLOOKUP(MONTH(B294),$O$1:$Q$13,3))/(VLOOKUP(MONTH(B294),$O$1:$Q$13,2)-VLOOKUP(MONTH(B294),$O$1:$Q$13,3))),($F294+$G294)/2-($F294-$G294)/2*COS(PI()*(14-VLOOKUP(MONTH(B294),$O$1:$Q$13,3))/(VLOOKUP(MONTH(B294),$O$1:$Q$13,2)-VLOOKUP(MONTH(B294),$O$1:$Q$13,3))))</f>
        <v/>
      </c>
      <c r="M294" s="1">
        <f t="array" ref="M294">IF(AND(A294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,A294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),IF(L294&lt;_xlfn.IFNA(INDEX(_xlfn.ANCHORARRAY(Sintesi!$C$17)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,1,IF(L294&gt;=_xlfn.IFNA(INDEX(_xlfn.ANCHORARRAY(Sintesi!$C$18)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,0,1-(L294-_xlfn.IFNA(INDEX(_xlfn.ANCHORARRAY(Sintesi!$C$17)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)/(_xlfn.IFNA(INDEX(_xlfn.ANCHORARRAY(Sintesi!$C$18)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-_xlfn.IFNA(INDEX(_xlfn.ANCHORARRAY(Sintesi!$C$17)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))),0)</f>
        <v/>
      </c>
    </row>
    <row r="295">
      <c r="A295" s="1">
        <f>'Paste cell here'!A295</f>
        <v/>
      </c>
      <c r="B295" s="2">
        <f>DATE(Sintesi!$C$4-1,12,31)+A295</f>
        <v/>
      </c>
      <c r="C295" s="34">
        <f t="array" ref="C295">_xlfn.IFNA(MATCH(1,(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)*(_xlfn.ANCHORARRAY(Sintesi!$C$15)&gt;=0)+(_xlfn.ANCHORARRAY(Sintesi!$C$15)&lt;0),0),0)</f>
        <v/>
      </c>
      <c r="D295" s="1">
        <f t="array" ref="D295">IF(ISBLANK($E296),IF(ISNUMBER($E294),IF($C295&gt;0,IF(($E295=INDEX(_xlfn.ANCHORARRAY(Sintesi!$C$14),1,$C295))*(INDEX(_xlfn.ANCHORARRAY(Sintesi!$C$15),1,$C295)&gt;0),0,IF(($E295=INDEX(_xlfn.ANCHORARRAY(Sintesi!$C$14),1,$C295))*(INDEX(_xlfn.ANCHORARRAY(Sintesi!$C$15),1,$C295)&lt;0)+($E295&gt;=$E294)*($E295&lt;=INDEX($E:$E,MATCH(TRUE,INDEX((ISNUMBER($E:$E)),0),0)))*($E295&gt;INDEX(_xlfn.ANCHORARRAY(Sintesi!$C$14),1,$C295))*($E295&lt;=INDEX(_xlfn.ANCHORARRAY(Sintesi!$C$15),1,$C295))*(INDEX(_xlfn.ANCHORARRAY(Sintesi!$C$15),1,$C295)&gt;0),1,IF(($E295&gt;=$E294)*($E295&lt;=INDEX($E:$E,MATCH(TRUE,INDEX((ISNUMBER($E:$E)),0),0)))*($E295&gt;INDEX(_xlfn.ANCHORARRAY(Sintesi!$C$14),1,$C295))*($E295&lt;INDEX(_xlfn.ANCHORARRAY(Sintesi!$C$16),1,$C295))*(INDEX(_xlfn.ANCHORARRAY(Sintesi!$C$15),1,$C295)&lt;0)+($E295&gt;=$E294)*($E295&lt;=INDEX($E:$E,MATCH(TRUE,INDEX((ISNUMBER($E:$E)),0),0)))*($E295&gt;INDEX(_xlfn.ANCHORARRAY(Sintesi!$C$15),1,$C295))*($E295&lt;INDEX(_xlfn.ANCHORARRAY(Sintesi!$C$16),1,$C295))*(INDEX(_xlfn.ANCHORARRAY(Sintesi!$C$15),1,$C295)&gt;0),2,IF($E295=(INDEX(_xlfn.ANCHORARRAY(Sintesi!$C$16),1,$C295)),3,4)))),0),IF($C295&gt;0,IF(($E295=INDEX(_xlfn.ANCHORARRAY(Sintesi!$C$14),1,$C295))*(INDEX(_xlfn.ANCHORARRAY(Sintesi!$C$15),1,$C295)&gt;0),0,IF(($E295=INDEX(_xlfn.ANCHORARRAY(Sintesi!$C$14),1,$C295))*(INDEX(_xlfn.ANCHORARRAY(Sintesi!$C$15),1,$C295)&lt;0)+($E295&gt;=LOOKUP(2,1/($E:$E&lt;&gt;""),$E:$E))*($E295&lt;=INDEX($E:$E,MATCH(TRUE,INDEX((ISNUMBER($E:$E)),0),0)))*($E295&gt;INDEX(_xlfn.ANCHORARRAY(Sintesi!$C$14),1,$C295))*($E295&lt;=INDEX(_xlfn.ANCHORARRAY(Sintesi!$C$15),1,$C295))*(INDEX(_xlfn.ANCHORARRAY(Sintesi!$C$15),1,$C295)&gt;0),1,IF(($E295&gt;=LOOKUP(2,1/($E:$E&lt;&gt;""),$E:$E))*($E295&lt;=INDEX($E:$E,MATCH(TRUE,INDEX((ISNUMBER($E:$E)),0),0)))*($E295&gt;INDEX(_xlfn.ANCHORARRAY(Sintesi!$C$14),1,$C295))*($E295&lt;INDEX(_xlfn.ANCHORARRAY(Sintesi!$C$16),1,$C295))*(INDEX(_xlfn.ANCHORARRAY(Sintesi!$C$15),1,$C295)&lt;0)+($E295&gt;=LOOKUP(2,1/($E:$E&lt;&gt;""),$E:$E))*($E295&lt;=INDEX($E:$E,MATCH(TRUE,INDEX((ISNUMBER($E:$E)),0),0)))*($E295&gt;INDEX(_xlfn.ANCHORARRAY(Sintesi!$C$15),1,$C295))*($E295&lt;INDEX(_xlfn.ANCHORARRAY(Sintesi!$C$16),1,$C295))*(INDEX(_xlfn.ANCHORARRAY(Sintesi!$C$15),1,$C295)&gt;0),2,IF($E295=(INDEX(_xlfn.ANCHORARRAY(Sintesi!$C$16),1,$C295)),3,4)))),0)),IF(ISNUMBER($E294),IF($C295&gt;0,IF(($E295=INDEX(_xlfn.ANCHORARRAY(Sintesi!$C$14),1,$C295))*(INDEX(_xlfn.ANCHORARRAY(Sintesi!$C$15),1,$C295)&gt;0),0,IF(($E295=INDEX(_xlfn.ANCHORARRAY(Sintesi!$C$14),1,$C295))*(INDEX(_xlfn.ANCHORARRAY(Sintesi!$C$15),1,$C295)&lt;0)+($E295&gt;=$E294)*($E295&lt;=$E296)*($E295&gt;INDEX(_xlfn.ANCHORARRAY(Sintesi!$C$14),1,$C295))*($E295&lt;=INDEX(_xlfn.ANCHORARRAY(Sintesi!$C$15),1,$C295))*(INDEX(_xlfn.ANCHORARRAY(Sintesi!$C$15),1,$C295)&gt;0),1,IF(($E295&gt;=$E294)*($E295&lt;=$E296)*($E295&gt;INDEX(_xlfn.ANCHORARRAY(Sintesi!$C$14),1,$C295))*($E295&lt;INDEX(_xlfn.ANCHORARRAY(Sintesi!$C$16),1,$C295))*(INDEX(_xlfn.ANCHORARRAY(Sintesi!$C$15),1,$C295)&lt;0)+($E295&gt;=$E294)*($E295&lt;=$E296)*($E295&gt;INDEX(_xlfn.ANCHORARRAY(Sintesi!$C$15),1,$C295))*($E295&lt;INDEX(_xlfn.ANCHORARRAY(Sintesi!$C$16),1,$C295))*(INDEX(_xlfn.ANCHORARRAY(Sintesi!$C$15),1,$C295)&gt;0),2,IF($E295=(INDEX(_xlfn.ANCHORARRAY(Sintesi!$C$16),1,$C295)),3,4)))),0),IF($C295&gt;0,IF(($E295=INDEX(_xlfn.ANCHORARRAY(Sintesi!$C$14),1,$C295))*(INDEX(_xlfn.ANCHORARRAY(Sintesi!$C$15),1,$C295)&gt;0),0,IF(($E295=INDEX(_xlfn.ANCHORARRAY(Sintesi!$C$14),1,$C295))*(INDEX(_xlfn.ANCHORARRAY(Sintesi!$C$15),1,$C295)&lt;0)+($E295&gt;=LOOKUP(2,1/($E:$E&lt;&gt;""),$E:$E))*($E295&lt;=$E296)*($E295&gt;INDEX(_xlfn.ANCHORARRAY(Sintesi!$C$14),1,$C295))*($E295&lt;=INDEX(_xlfn.ANCHORARRAY(Sintesi!$C$15),1,$C295))*(INDEX(_xlfn.ANCHORARRAY(Sintesi!$C$15),1,$C295)&gt;0),1,IF(($E295&gt;=LOOKUP(2,1/($E:$E&lt;&gt;""),$E:$E))*($E295&lt;=$E296)*($E295&gt;INDEX(_xlfn.ANCHORARRAY(Sintesi!$C$14),1,$C295))*($E295&lt;INDEX(_xlfn.ANCHORARRAY(Sintesi!$C$16),1,$C295))*(INDEX(_xlfn.ANCHORARRAY(Sintesi!$C$15),1,$C295)&lt;0)+($E295&gt;=LOOKUP(2,1/($E:$E&lt;&gt;""),$E:$E))*($E295&lt;=$E296)*($E295&gt;INDEX(_xlfn.ANCHORARRAY(Sintesi!$C$15),1,$C295))*($E295&lt;INDEX(_xlfn.ANCHORARRAY(Sintesi!$C$16),1,$C295))*(INDEX(_xlfn.ANCHORARRAY(Sintesi!$C$15),1,$C295)&gt;0),2,IF($E295=(INDEX(_xlfn.ANCHORARRAY(Sintesi!$C$16),1,$C295)),3,4)))),0)))</f>
        <v/>
      </c>
      <c r="E295" s="1">
        <f>'Paste cell here'!F295</f>
        <v/>
      </c>
      <c r="F295" s="1">
        <f>'Paste cell here'!C295</f>
        <v/>
      </c>
      <c r="G295" s="1">
        <f>'Paste cell here'!D295</f>
        <v/>
      </c>
      <c r="H295" s="1">
        <f>'Paste cell here'!E295</f>
        <v/>
      </c>
      <c r="I295" s="1">
        <f>'Paste cell here'!X295</f>
        <v/>
      </c>
      <c r="J295" s="1">
        <f>'Paste cell here'!Y295+'Paste cell here'!S295</f>
        <v/>
      </c>
      <c r="K295" s="1">
        <f>I295/H295</f>
        <v/>
      </c>
      <c r="L295" s="1">
        <f>AVERAGE(($F295+$G295)/2-($F295-$G295)/2*COS(PI()*(8-VLOOKUP(MONTH(B295),$O$1:$Q$13,3))/(VLOOKUP(MONTH(B295),$O$1:$Q$13,2)-VLOOKUP(MONTH(B295),$O$1:$Q$13,3))),($F295+$G295)/2-($F295-$G295)/2*COS(PI()*(9-VLOOKUP(MONTH(B295),$O$1:$Q$13,3))/(VLOOKUP(MONTH(B295),$O$1:$Q$13,2)-VLOOKUP(MONTH(B295),$O$1:$Q$13,3))),($F295+$G295)/2-($F295-$G295)/2*COS(PI()*(10-VLOOKUP(MONTH(B295),$O$1:$Q$13,3))/(VLOOKUP(MONTH(B295),$O$1:$Q$13,2)-VLOOKUP(MONTH(B295),$O$1:$Q$13,3))),($F295+$G295)/2-($F295-$G295)/2*COS(PI()*(11-VLOOKUP(MONTH(B295),$O$1:$Q$13,3))/(VLOOKUP(MONTH(B295),$O$1:$Q$13,2)-VLOOKUP(MONTH(B295),$O$1:$Q$13,3))),($F295+$G295)/2-($F295-$G295)/2*COS(PI()*(12-VLOOKUP(MONTH(B295),$O$1:$Q$13,3))/(VLOOKUP(MONTH(B295),$O$1:$Q$13,2)-VLOOKUP(MONTH(B295),$O$1:$Q$13,3))),($F295+$G295)/2-($F295-$G295)/2*COS(PI()*(13-VLOOKUP(MONTH(B295),$O$1:$Q$13,3))/(VLOOKUP(MONTH(B295),$O$1:$Q$13,2)-VLOOKUP(MONTH(B295),$O$1:$Q$13,3))),($F295+$G295)/2-($F295-$G295)/2*COS(PI()*(14-VLOOKUP(MONTH(B295),$O$1:$Q$13,3))/(VLOOKUP(MONTH(B295),$O$1:$Q$13,2)-VLOOKUP(MONTH(B295),$O$1:$Q$13,3))))</f>
        <v/>
      </c>
      <c r="M295" s="1">
        <f t="array" ref="M295">IF(AND(A295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,A295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),IF(L295&lt;_xlfn.IFNA(INDEX(_xlfn.ANCHORARRAY(Sintesi!$C$17)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,1,IF(L295&gt;=_xlfn.IFNA(INDEX(_xlfn.ANCHORARRAY(Sintesi!$C$18)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,0,1-(L295-_xlfn.IFNA(INDEX(_xlfn.ANCHORARRAY(Sintesi!$C$17)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)/(_xlfn.IFNA(INDEX(_xlfn.ANCHORARRAY(Sintesi!$C$18)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-_xlfn.IFNA(INDEX(_xlfn.ANCHORARRAY(Sintesi!$C$17)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))),0)</f>
        <v/>
      </c>
    </row>
    <row r="296">
      <c r="A296" s="1">
        <f>'Paste cell here'!A296</f>
        <v/>
      </c>
      <c r="B296" s="2">
        <f>DATE(Sintesi!$C$4-1,12,31)+A296</f>
        <v/>
      </c>
      <c r="C296" s="34">
        <f t="array" ref="C296">_xlfn.IFNA(MATCH(1,(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)*(_xlfn.ANCHORARRAY(Sintesi!$C$15)&gt;=0)+(_xlfn.ANCHORARRAY(Sintesi!$C$15)&lt;0),0),0)</f>
        <v/>
      </c>
      <c r="D296" s="1">
        <f t="array" ref="D296">IF(ISBLANK($E297),IF(ISNUMBER($E295),IF($C296&gt;0,IF(($E296=INDEX(_xlfn.ANCHORARRAY(Sintesi!$C$14),1,$C296))*(INDEX(_xlfn.ANCHORARRAY(Sintesi!$C$15),1,$C296)&gt;0),0,IF(($E296=INDEX(_xlfn.ANCHORARRAY(Sintesi!$C$14),1,$C296))*(INDEX(_xlfn.ANCHORARRAY(Sintesi!$C$15),1,$C296)&lt;0)+($E296&gt;=$E295)*($E296&lt;=INDEX($E:$E,MATCH(TRUE,INDEX((ISNUMBER($E:$E)),0),0)))*($E296&gt;INDEX(_xlfn.ANCHORARRAY(Sintesi!$C$14),1,$C296))*($E296&lt;=INDEX(_xlfn.ANCHORARRAY(Sintesi!$C$15),1,$C296))*(INDEX(_xlfn.ANCHORARRAY(Sintesi!$C$15),1,$C296)&gt;0),1,IF(($E296&gt;=$E295)*($E296&lt;=INDEX($E:$E,MATCH(TRUE,INDEX((ISNUMBER($E:$E)),0),0)))*($E296&gt;INDEX(_xlfn.ANCHORARRAY(Sintesi!$C$14),1,$C296))*($E296&lt;INDEX(_xlfn.ANCHORARRAY(Sintesi!$C$16),1,$C296))*(INDEX(_xlfn.ANCHORARRAY(Sintesi!$C$15),1,$C296)&lt;0)+($E296&gt;=$E295)*($E296&lt;=INDEX($E:$E,MATCH(TRUE,INDEX((ISNUMBER($E:$E)),0),0)))*($E296&gt;INDEX(_xlfn.ANCHORARRAY(Sintesi!$C$15),1,$C296))*($E296&lt;INDEX(_xlfn.ANCHORARRAY(Sintesi!$C$16),1,$C296))*(INDEX(_xlfn.ANCHORARRAY(Sintesi!$C$15),1,$C296)&gt;0),2,IF($E296=(INDEX(_xlfn.ANCHORARRAY(Sintesi!$C$16),1,$C296)),3,4)))),0),IF($C296&gt;0,IF(($E296=INDEX(_xlfn.ANCHORARRAY(Sintesi!$C$14),1,$C296))*(INDEX(_xlfn.ANCHORARRAY(Sintesi!$C$15),1,$C296)&gt;0),0,IF(($E296=INDEX(_xlfn.ANCHORARRAY(Sintesi!$C$14),1,$C296))*(INDEX(_xlfn.ANCHORARRAY(Sintesi!$C$15),1,$C296)&lt;0)+($E296&gt;=LOOKUP(2,1/($E:$E&lt;&gt;""),$E:$E))*($E296&lt;=INDEX($E:$E,MATCH(TRUE,INDEX((ISNUMBER($E:$E)),0),0)))*($E296&gt;INDEX(_xlfn.ANCHORARRAY(Sintesi!$C$14),1,$C296))*($E296&lt;=INDEX(_xlfn.ANCHORARRAY(Sintesi!$C$15),1,$C296))*(INDEX(_xlfn.ANCHORARRAY(Sintesi!$C$15),1,$C296)&gt;0),1,IF(($E296&gt;=LOOKUP(2,1/($E:$E&lt;&gt;""),$E:$E))*($E296&lt;=INDEX($E:$E,MATCH(TRUE,INDEX((ISNUMBER($E:$E)),0),0)))*($E296&gt;INDEX(_xlfn.ANCHORARRAY(Sintesi!$C$14),1,$C296))*($E296&lt;INDEX(_xlfn.ANCHORARRAY(Sintesi!$C$16),1,$C296))*(INDEX(_xlfn.ANCHORARRAY(Sintesi!$C$15),1,$C296)&lt;0)+($E296&gt;=LOOKUP(2,1/($E:$E&lt;&gt;""),$E:$E))*($E296&lt;=INDEX($E:$E,MATCH(TRUE,INDEX((ISNUMBER($E:$E)),0),0)))*($E296&gt;INDEX(_xlfn.ANCHORARRAY(Sintesi!$C$15),1,$C296))*($E296&lt;INDEX(_xlfn.ANCHORARRAY(Sintesi!$C$16),1,$C296))*(INDEX(_xlfn.ANCHORARRAY(Sintesi!$C$15),1,$C296)&gt;0),2,IF($E296=(INDEX(_xlfn.ANCHORARRAY(Sintesi!$C$16),1,$C296)),3,4)))),0)),IF(ISNUMBER($E295),IF($C296&gt;0,IF(($E296=INDEX(_xlfn.ANCHORARRAY(Sintesi!$C$14),1,$C296))*(INDEX(_xlfn.ANCHORARRAY(Sintesi!$C$15),1,$C296)&gt;0),0,IF(($E296=INDEX(_xlfn.ANCHORARRAY(Sintesi!$C$14),1,$C296))*(INDEX(_xlfn.ANCHORARRAY(Sintesi!$C$15),1,$C296)&lt;0)+($E296&gt;=$E295)*($E296&lt;=$E297)*($E296&gt;INDEX(_xlfn.ANCHORARRAY(Sintesi!$C$14),1,$C296))*($E296&lt;=INDEX(_xlfn.ANCHORARRAY(Sintesi!$C$15),1,$C296))*(INDEX(_xlfn.ANCHORARRAY(Sintesi!$C$15),1,$C296)&gt;0),1,IF(($E296&gt;=$E295)*($E296&lt;=$E297)*($E296&gt;INDEX(_xlfn.ANCHORARRAY(Sintesi!$C$14),1,$C296))*($E296&lt;INDEX(_xlfn.ANCHORARRAY(Sintesi!$C$16),1,$C296))*(INDEX(_xlfn.ANCHORARRAY(Sintesi!$C$15),1,$C296)&lt;0)+($E296&gt;=$E295)*($E296&lt;=$E297)*($E296&gt;INDEX(_xlfn.ANCHORARRAY(Sintesi!$C$15),1,$C296))*($E296&lt;INDEX(_xlfn.ANCHORARRAY(Sintesi!$C$16),1,$C296))*(INDEX(_xlfn.ANCHORARRAY(Sintesi!$C$15),1,$C296)&gt;0),2,IF($E296=(INDEX(_xlfn.ANCHORARRAY(Sintesi!$C$16),1,$C296)),3,4)))),0),IF($C296&gt;0,IF(($E296=INDEX(_xlfn.ANCHORARRAY(Sintesi!$C$14),1,$C296))*(INDEX(_xlfn.ANCHORARRAY(Sintesi!$C$15),1,$C296)&gt;0),0,IF(($E296=INDEX(_xlfn.ANCHORARRAY(Sintesi!$C$14),1,$C296))*(INDEX(_xlfn.ANCHORARRAY(Sintesi!$C$15),1,$C296)&lt;0)+($E296&gt;=LOOKUP(2,1/($E:$E&lt;&gt;""),$E:$E))*($E296&lt;=$E297)*($E296&gt;INDEX(_xlfn.ANCHORARRAY(Sintesi!$C$14),1,$C296))*($E296&lt;=INDEX(_xlfn.ANCHORARRAY(Sintesi!$C$15),1,$C296))*(INDEX(_xlfn.ANCHORARRAY(Sintesi!$C$15),1,$C296)&gt;0),1,IF(($E296&gt;=LOOKUP(2,1/($E:$E&lt;&gt;""),$E:$E))*($E296&lt;=$E297)*($E296&gt;INDEX(_xlfn.ANCHORARRAY(Sintesi!$C$14),1,$C296))*($E296&lt;INDEX(_xlfn.ANCHORARRAY(Sintesi!$C$16),1,$C296))*(INDEX(_xlfn.ANCHORARRAY(Sintesi!$C$15),1,$C296)&lt;0)+($E296&gt;=LOOKUP(2,1/($E:$E&lt;&gt;""),$E:$E))*($E296&lt;=$E297)*($E296&gt;INDEX(_xlfn.ANCHORARRAY(Sintesi!$C$15),1,$C296))*($E296&lt;INDEX(_xlfn.ANCHORARRAY(Sintesi!$C$16),1,$C296))*(INDEX(_xlfn.ANCHORARRAY(Sintesi!$C$15),1,$C296)&gt;0),2,IF($E296=(INDEX(_xlfn.ANCHORARRAY(Sintesi!$C$16),1,$C296)),3,4)))),0)))</f>
        <v/>
      </c>
      <c r="E296" s="1">
        <f>'Paste cell here'!F296</f>
        <v/>
      </c>
      <c r="F296" s="1">
        <f>'Paste cell here'!C296</f>
        <v/>
      </c>
      <c r="G296" s="1">
        <f>'Paste cell here'!D296</f>
        <v/>
      </c>
      <c r="H296" s="1">
        <f>'Paste cell here'!E296</f>
        <v/>
      </c>
      <c r="I296" s="1">
        <f>'Paste cell here'!X296</f>
        <v/>
      </c>
      <c r="J296" s="1">
        <f>'Paste cell here'!Y296+'Paste cell here'!S296</f>
        <v/>
      </c>
      <c r="K296" s="1">
        <f>I296/H296</f>
        <v/>
      </c>
      <c r="L296" s="1">
        <f>AVERAGE(($F296+$G296)/2-($F296-$G296)/2*COS(PI()*(8-VLOOKUP(MONTH(B296),$O$1:$Q$13,3))/(VLOOKUP(MONTH(B296),$O$1:$Q$13,2)-VLOOKUP(MONTH(B296),$O$1:$Q$13,3))),($F296+$G296)/2-($F296-$G296)/2*COS(PI()*(9-VLOOKUP(MONTH(B296),$O$1:$Q$13,3))/(VLOOKUP(MONTH(B296),$O$1:$Q$13,2)-VLOOKUP(MONTH(B296),$O$1:$Q$13,3))),($F296+$G296)/2-($F296-$G296)/2*COS(PI()*(10-VLOOKUP(MONTH(B296),$O$1:$Q$13,3))/(VLOOKUP(MONTH(B296),$O$1:$Q$13,2)-VLOOKUP(MONTH(B296),$O$1:$Q$13,3))),($F296+$G296)/2-($F296-$G296)/2*COS(PI()*(11-VLOOKUP(MONTH(B296),$O$1:$Q$13,3))/(VLOOKUP(MONTH(B296),$O$1:$Q$13,2)-VLOOKUP(MONTH(B296),$O$1:$Q$13,3))),($F296+$G296)/2-($F296-$G296)/2*COS(PI()*(12-VLOOKUP(MONTH(B296),$O$1:$Q$13,3))/(VLOOKUP(MONTH(B296),$O$1:$Q$13,2)-VLOOKUP(MONTH(B296),$O$1:$Q$13,3))),($F296+$G296)/2-($F296-$G296)/2*COS(PI()*(13-VLOOKUP(MONTH(B296),$O$1:$Q$13,3))/(VLOOKUP(MONTH(B296),$O$1:$Q$13,2)-VLOOKUP(MONTH(B296),$O$1:$Q$13,3))),($F296+$G296)/2-($F296-$G296)/2*COS(PI()*(14-VLOOKUP(MONTH(B296),$O$1:$Q$13,3))/(VLOOKUP(MONTH(B296),$O$1:$Q$13,2)-VLOOKUP(MONTH(B296),$O$1:$Q$13,3))))</f>
        <v/>
      </c>
      <c r="M296" s="1">
        <f t="array" ref="M296">IF(AND(A296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,A296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),IF(L296&lt;_xlfn.IFNA(INDEX(_xlfn.ANCHORARRAY(Sintesi!$C$17)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,1,IF(L296&gt;=_xlfn.IFNA(INDEX(_xlfn.ANCHORARRAY(Sintesi!$C$18)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,0,1-(L296-_xlfn.IFNA(INDEX(_xlfn.ANCHORARRAY(Sintesi!$C$17)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)/(_xlfn.IFNA(INDEX(_xlfn.ANCHORARRAY(Sintesi!$C$18)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-_xlfn.IFNA(INDEX(_xlfn.ANCHORARRAY(Sintesi!$C$17)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))),0)</f>
        <v/>
      </c>
    </row>
    <row r="297">
      <c r="A297" s="1">
        <f>'Paste cell here'!A297</f>
        <v/>
      </c>
      <c r="B297" s="2">
        <f>DATE(Sintesi!$C$4-1,12,31)+A297</f>
        <v/>
      </c>
      <c r="C297" s="34">
        <f t="array" ref="C297">_xlfn.IFNA(MATCH(1,(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)*(_xlfn.ANCHORARRAY(Sintesi!$C$15)&gt;=0)+(_xlfn.ANCHORARRAY(Sintesi!$C$15)&lt;0),0),0)</f>
        <v/>
      </c>
      <c r="D297" s="1">
        <f t="array" ref="D297">IF(ISBLANK($E298),IF(ISNUMBER($E296),IF($C297&gt;0,IF(($E297=INDEX(_xlfn.ANCHORARRAY(Sintesi!$C$14),1,$C297))*(INDEX(_xlfn.ANCHORARRAY(Sintesi!$C$15),1,$C297)&gt;0),0,IF(($E297=INDEX(_xlfn.ANCHORARRAY(Sintesi!$C$14),1,$C297))*(INDEX(_xlfn.ANCHORARRAY(Sintesi!$C$15),1,$C297)&lt;0)+($E297&gt;=$E296)*($E297&lt;=INDEX($E:$E,MATCH(TRUE,INDEX((ISNUMBER($E:$E)),0),0)))*($E297&gt;INDEX(_xlfn.ANCHORARRAY(Sintesi!$C$14),1,$C297))*($E297&lt;=INDEX(_xlfn.ANCHORARRAY(Sintesi!$C$15),1,$C297))*(INDEX(_xlfn.ANCHORARRAY(Sintesi!$C$15),1,$C297)&gt;0),1,IF(($E297&gt;=$E296)*($E297&lt;=INDEX($E:$E,MATCH(TRUE,INDEX((ISNUMBER($E:$E)),0),0)))*($E297&gt;INDEX(_xlfn.ANCHORARRAY(Sintesi!$C$14),1,$C297))*($E297&lt;INDEX(_xlfn.ANCHORARRAY(Sintesi!$C$16),1,$C297))*(INDEX(_xlfn.ANCHORARRAY(Sintesi!$C$15),1,$C297)&lt;0)+($E297&gt;=$E296)*($E297&lt;=INDEX($E:$E,MATCH(TRUE,INDEX((ISNUMBER($E:$E)),0),0)))*($E297&gt;INDEX(_xlfn.ANCHORARRAY(Sintesi!$C$15),1,$C297))*($E297&lt;INDEX(_xlfn.ANCHORARRAY(Sintesi!$C$16),1,$C297))*(INDEX(_xlfn.ANCHORARRAY(Sintesi!$C$15),1,$C297)&gt;0),2,IF($E297=(INDEX(_xlfn.ANCHORARRAY(Sintesi!$C$16),1,$C297)),3,4)))),0),IF($C297&gt;0,IF(($E297=INDEX(_xlfn.ANCHORARRAY(Sintesi!$C$14),1,$C297))*(INDEX(_xlfn.ANCHORARRAY(Sintesi!$C$15),1,$C297)&gt;0),0,IF(($E297=INDEX(_xlfn.ANCHORARRAY(Sintesi!$C$14),1,$C297))*(INDEX(_xlfn.ANCHORARRAY(Sintesi!$C$15),1,$C297)&lt;0)+($E297&gt;=LOOKUP(2,1/($E:$E&lt;&gt;""),$E:$E))*($E297&lt;=INDEX($E:$E,MATCH(TRUE,INDEX((ISNUMBER($E:$E)),0),0)))*($E297&gt;INDEX(_xlfn.ANCHORARRAY(Sintesi!$C$14),1,$C297))*($E297&lt;=INDEX(_xlfn.ANCHORARRAY(Sintesi!$C$15),1,$C297))*(INDEX(_xlfn.ANCHORARRAY(Sintesi!$C$15),1,$C297)&gt;0),1,IF(($E297&gt;=LOOKUP(2,1/($E:$E&lt;&gt;""),$E:$E))*($E297&lt;=INDEX($E:$E,MATCH(TRUE,INDEX((ISNUMBER($E:$E)),0),0)))*($E297&gt;INDEX(_xlfn.ANCHORARRAY(Sintesi!$C$14),1,$C297))*($E297&lt;INDEX(_xlfn.ANCHORARRAY(Sintesi!$C$16),1,$C297))*(INDEX(_xlfn.ANCHORARRAY(Sintesi!$C$15),1,$C297)&lt;0)+($E297&gt;=LOOKUP(2,1/($E:$E&lt;&gt;""),$E:$E))*($E297&lt;=INDEX($E:$E,MATCH(TRUE,INDEX((ISNUMBER($E:$E)),0),0)))*($E297&gt;INDEX(_xlfn.ANCHORARRAY(Sintesi!$C$15),1,$C297))*($E297&lt;INDEX(_xlfn.ANCHORARRAY(Sintesi!$C$16),1,$C297))*(INDEX(_xlfn.ANCHORARRAY(Sintesi!$C$15),1,$C297)&gt;0),2,IF($E297=(INDEX(_xlfn.ANCHORARRAY(Sintesi!$C$16),1,$C297)),3,4)))),0)),IF(ISNUMBER($E296),IF($C297&gt;0,IF(($E297=INDEX(_xlfn.ANCHORARRAY(Sintesi!$C$14),1,$C297))*(INDEX(_xlfn.ANCHORARRAY(Sintesi!$C$15),1,$C297)&gt;0),0,IF(($E297=INDEX(_xlfn.ANCHORARRAY(Sintesi!$C$14),1,$C297))*(INDEX(_xlfn.ANCHORARRAY(Sintesi!$C$15),1,$C297)&lt;0)+($E297&gt;=$E296)*($E297&lt;=$E298)*($E297&gt;INDEX(_xlfn.ANCHORARRAY(Sintesi!$C$14),1,$C297))*($E297&lt;=INDEX(_xlfn.ANCHORARRAY(Sintesi!$C$15),1,$C297))*(INDEX(_xlfn.ANCHORARRAY(Sintesi!$C$15),1,$C297)&gt;0),1,IF(($E297&gt;=$E296)*($E297&lt;=$E298)*($E297&gt;INDEX(_xlfn.ANCHORARRAY(Sintesi!$C$14),1,$C297))*($E297&lt;INDEX(_xlfn.ANCHORARRAY(Sintesi!$C$16),1,$C297))*(INDEX(_xlfn.ANCHORARRAY(Sintesi!$C$15),1,$C297)&lt;0)+($E297&gt;=$E296)*($E297&lt;=$E298)*($E297&gt;INDEX(_xlfn.ANCHORARRAY(Sintesi!$C$15),1,$C297))*($E297&lt;INDEX(_xlfn.ANCHORARRAY(Sintesi!$C$16),1,$C297))*(INDEX(_xlfn.ANCHORARRAY(Sintesi!$C$15),1,$C297)&gt;0),2,IF($E297=(INDEX(_xlfn.ANCHORARRAY(Sintesi!$C$16),1,$C297)),3,4)))),0),IF($C297&gt;0,IF(($E297=INDEX(_xlfn.ANCHORARRAY(Sintesi!$C$14),1,$C297))*(INDEX(_xlfn.ANCHORARRAY(Sintesi!$C$15),1,$C297)&gt;0),0,IF(($E297=INDEX(_xlfn.ANCHORARRAY(Sintesi!$C$14),1,$C297))*(INDEX(_xlfn.ANCHORARRAY(Sintesi!$C$15),1,$C297)&lt;0)+($E297&gt;=LOOKUP(2,1/($E:$E&lt;&gt;""),$E:$E))*($E297&lt;=$E298)*($E297&gt;INDEX(_xlfn.ANCHORARRAY(Sintesi!$C$14),1,$C297))*($E297&lt;=INDEX(_xlfn.ANCHORARRAY(Sintesi!$C$15),1,$C297))*(INDEX(_xlfn.ANCHORARRAY(Sintesi!$C$15),1,$C297)&gt;0),1,IF(($E297&gt;=LOOKUP(2,1/($E:$E&lt;&gt;""),$E:$E))*($E297&lt;=$E298)*($E297&gt;INDEX(_xlfn.ANCHORARRAY(Sintesi!$C$14),1,$C297))*($E297&lt;INDEX(_xlfn.ANCHORARRAY(Sintesi!$C$16),1,$C297))*(INDEX(_xlfn.ANCHORARRAY(Sintesi!$C$15),1,$C297)&lt;0)+($E297&gt;=LOOKUP(2,1/($E:$E&lt;&gt;""),$E:$E))*($E297&lt;=$E298)*($E297&gt;INDEX(_xlfn.ANCHORARRAY(Sintesi!$C$15),1,$C297))*($E297&lt;INDEX(_xlfn.ANCHORARRAY(Sintesi!$C$16),1,$C297))*(INDEX(_xlfn.ANCHORARRAY(Sintesi!$C$15),1,$C297)&gt;0),2,IF($E297=(INDEX(_xlfn.ANCHORARRAY(Sintesi!$C$16),1,$C297)),3,4)))),0)))</f>
        <v/>
      </c>
      <c r="E297" s="1">
        <f>'Paste cell here'!F297</f>
        <v/>
      </c>
      <c r="F297" s="1">
        <f>'Paste cell here'!C297</f>
        <v/>
      </c>
      <c r="G297" s="1">
        <f>'Paste cell here'!D297</f>
        <v/>
      </c>
      <c r="H297" s="1">
        <f>'Paste cell here'!E297</f>
        <v/>
      </c>
      <c r="I297" s="1">
        <f>'Paste cell here'!X297</f>
        <v/>
      </c>
      <c r="J297" s="1">
        <f>'Paste cell here'!Y297+'Paste cell here'!S297</f>
        <v/>
      </c>
      <c r="K297" s="1">
        <f>I297/H297</f>
        <v/>
      </c>
      <c r="L297" s="1">
        <f>AVERAGE(($F297+$G297)/2-($F297-$G297)/2*COS(PI()*(8-VLOOKUP(MONTH(B297),$O$1:$Q$13,3))/(VLOOKUP(MONTH(B297),$O$1:$Q$13,2)-VLOOKUP(MONTH(B297),$O$1:$Q$13,3))),($F297+$G297)/2-($F297-$G297)/2*COS(PI()*(9-VLOOKUP(MONTH(B297),$O$1:$Q$13,3))/(VLOOKUP(MONTH(B297),$O$1:$Q$13,2)-VLOOKUP(MONTH(B297),$O$1:$Q$13,3))),($F297+$G297)/2-($F297-$G297)/2*COS(PI()*(10-VLOOKUP(MONTH(B297),$O$1:$Q$13,3))/(VLOOKUP(MONTH(B297),$O$1:$Q$13,2)-VLOOKUP(MONTH(B297),$O$1:$Q$13,3))),($F297+$G297)/2-($F297-$G297)/2*COS(PI()*(11-VLOOKUP(MONTH(B297),$O$1:$Q$13,3))/(VLOOKUP(MONTH(B297),$O$1:$Q$13,2)-VLOOKUP(MONTH(B297),$O$1:$Q$13,3))),($F297+$G297)/2-($F297-$G297)/2*COS(PI()*(12-VLOOKUP(MONTH(B297),$O$1:$Q$13,3))/(VLOOKUP(MONTH(B297),$O$1:$Q$13,2)-VLOOKUP(MONTH(B297),$O$1:$Q$13,3))),($F297+$G297)/2-($F297-$G297)/2*COS(PI()*(13-VLOOKUP(MONTH(B297),$O$1:$Q$13,3))/(VLOOKUP(MONTH(B297),$O$1:$Q$13,2)-VLOOKUP(MONTH(B297),$O$1:$Q$13,3))),($F297+$G297)/2-($F297-$G297)/2*COS(PI()*(14-VLOOKUP(MONTH(B297),$O$1:$Q$13,3))/(VLOOKUP(MONTH(B297),$O$1:$Q$13,2)-VLOOKUP(MONTH(B297),$O$1:$Q$13,3))))</f>
        <v/>
      </c>
      <c r="M297" s="1">
        <f t="array" ref="M297">IF(AND(A297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,A297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),IF(L297&lt;_xlfn.IFNA(INDEX(_xlfn.ANCHORARRAY(Sintesi!$C$17)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,1,IF(L297&gt;=_xlfn.IFNA(INDEX(_xlfn.ANCHORARRAY(Sintesi!$C$18)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,0,1-(L297-_xlfn.IFNA(INDEX(_xlfn.ANCHORARRAY(Sintesi!$C$17)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)/(_xlfn.IFNA(INDEX(_xlfn.ANCHORARRAY(Sintesi!$C$18)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-_xlfn.IFNA(INDEX(_xlfn.ANCHORARRAY(Sintesi!$C$17)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))),0)</f>
        <v/>
      </c>
    </row>
    <row r="298">
      <c r="A298" s="1">
        <f>'Paste cell here'!A298</f>
        <v/>
      </c>
      <c r="B298" s="2">
        <f>DATE(Sintesi!$C$4-1,12,31)+A298</f>
        <v/>
      </c>
      <c r="C298" s="34">
        <f t="array" ref="C298">_xlfn.IFNA(MATCH(1,(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)*(_xlfn.ANCHORARRAY(Sintesi!$C$15)&gt;=0)+(_xlfn.ANCHORARRAY(Sintesi!$C$15)&lt;0),0),0)</f>
        <v/>
      </c>
      <c r="D298" s="1">
        <f t="array" ref="D298">IF(ISBLANK($E299),IF(ISNUMBER($E297),IF($C298&gt;0,IF(($E298=INDEX(_xlfn.ANCHORARRAY(Sintesi!$C$14),1,$C298))*(INDEX(_xlfn.ANCHORARRAY(Sintesi!$C$15),1,$C298)&gt;0),0,IF(($E298=INDEX(_xlfn.ANCHORARRAY(Sintesi!$C$14),1,$C298))*(INDEX(_xlfn.ANCHORARRAY(Sintesi!$C$15),1,$C298)&lt;0)+($E298&gt;=$E297)*($E298&lt;=INDEX($E:$E,MATCH(TRUE,INDEX((ISNUMBER($E:$E)),0),0)))*($E298&gt;INDEX(_xlfn.ANCHORARRAY(Sintesi!$C$14),1,$C298))*($E298&lt;=INDEX(_xlfn.ANCHORARRAY(Sintesi!$C$15),1,$C298))*(INDEX(_xlfn.ANCHORARRAY(Sintesi!$C$15),1,$C298)&gt;0),1,IF(($E298&gt;=$E297)*($E298&lt;=INDEX($E:$E,MATCH(TRUE,INDEX((ISNUMBER($E:$E)),0),0)))*($E298&gt;INDEX(_xlfn.ANCHORARRAY(Sintesi!$C$14),1,$C298))*($E298&lt;INDEX(_xlfn.ANCHORARRAY(Sintesi!$C$16),1,$C298))*(INDEX(_xlfn.ANCHORARRAY(Sintesi!$C$15),1,$C298)&lt;0)+($E298&gt;=$E297)*($E298&lt;=INDEX($E:$E,MATCH(TRUE,INDEX((ISNUMBER($E:$E)),0),0)))*($E298&gt;INDEX(_xlfn.ANCHORARRAY(Sintesi!$C$15),1,$C298))*($E298&lt;INDEX(_xlfn.ANCHORARRAY(Sintesi!$C$16),1,$C298))*(INDEX(_xlfn.ANCHORARRAY(Sintesi!$C$15),1,$C298)&gt;0),2,IF($E298=(INDEX(_xlfn.ANCHORARRAY(Sintesi!$C$16),1,$C298)),3,4)))),0),IF($C298&gt;0,IF(($E298=INDEX(_xlfn.ANCHORARRAY(Sintesi!$C$14),1,$C298))*(INDEX(_xlfn.ANCHORARRAY(Sintesi!$C$15),1,$C298)&gt;0),0,IF(($E298=INDEX(_xlfn.ANCHORARRAY(Sintesi!$C$14),1,$C298))*(INDEX(_xlfn.ANCHORARRAY(Sintesi!$C$15),1,$C298)&lt;0)+($E298&gt;=LOOKUP(2,1/($E:$E&lt;&gt;""),$E:$E))*($E298&lt;=INDEX($E:$E,MATCH(TRUE,INDEX((ISNUMBER($E:$E)),0),0)))*($E298&gt;INDEX(_xlfn.ANCHORARRAY(Sintesi!$C$14),1,$C298))*($E298&lt;=INDEX(_xlfn.ANCHORARRAY(Sintesi!$C$15),1,$C298))*(INDEX(_xlfn.ANCHORARRAY(Sintesi!$C$15),1,$C298)&gt;0),1,IF(($E298&gt;=LOOKUP(2,1/($E:$E&lt;&gt;""),$E:$E))*($E298&lt;=INDEX($E:$E,MATCH(TRUE,INDEX((ISNUMBER($E:$E)),0),0)))*($E298&gt;INDEX(_xlfn.ANCHORARRAY(Sintesi!$C$14),1,$C298))*($E298&lt;INDEX(_xlfn.ANCHORARRAY(Sintesi!$C$16),1,$C298))*(INDEX(_xlfn.ANCHORARRAY(Sintesi!$C$15),1,$C298)&lt;0)+($E298&gt;=LOOKUP(2,1/($E:$E&lt;&gt;""),$E:$E))*($E298&lt;=INDEX($E:$E,MATCH(TRUE,INDEX((ISNUMBER($E:$E)),0),0)))*($E298&gt;INDEX(_xlfn.ANCHORARRAY(Sintesi!$C$15),1,$C298))*($E298&lt;INDEX(_xlfn.ANCHORARRAY(Sintesi!$C$16),1,$C298))*(INDEX(_xlfn.ANCHORARRAY(Sintesi!$C$15),1,$C298)&gt;0),2,IF($E298=(INDEX(_xlfn.ANCHORARRAY(Sintesi!$C$16),1,$C298)),3,4)))),0)),IF(ISNUMBER($E297),IF($C298&gt;0,IF(($E298=INDEX(_xlfn.ANCHORARRAY(Sintesi!$C$14),1,$C298))*(INDEX(_xlfn.ANCHORARRAY(Sintesi!$C$15),1,$C298)&gt;0),0,IF(($E298=INDEX(_xlfn.ANCHORARRAY(Sintesi!$C$14),1,$C298))*(INDEX(_xlfn.ANCHORARRAY(Sintesi!$C$15),1,$C298)&lt;0)+($E298&gt;=$E297)*($E298&lt;=$E299)*($E298&gt;INDEX(_xlfn.ANCHORARRAY(Sintesi!$C$14),1,$C298))*($E298&lt;=INDEX(_xlfn.ANCHORARRAY(Sintesi!$C$15),1,$C298))*(INDEX(_xlfn.ANCHORARRAY(Sintesi!$C$15),1,$C298)&gt;0),1,IF(($E298&gt;=$E297)*($E298&lt;=$E299)*($E298&gt;INDEX(_xlfn.ANCHORARRAY(Sintesi!$C$14),1,$C298))*($E298&lt;INDEX(_xlfn.ANCHORARRAY(Sintesi!$C$16),1,$C298))*(INDEX(_xlfn.ANCHORARRAY(Sintesi!$C$15),1,$C298)&lt;0)+($E298&gt;=$E297)*($E298&lt;=$E299)*($E298&gt;INDEX(_xlfn.ANCHORARRAY(Sintesi!$C$15),1,$C298))*($E298&lt;INDEX(_xlfn.ANCHORARRAY(Sintesi!$C$16),1,$C298))*(INDEX(_xlfn.ANCHORARRAY(Sintesi!$C$15),1,$C298)&gt;0),2,IF($E298=(INDEX(_xlfn.ANCHORARRAY(Sintesi!$C$16),1,$C298)),3,4)))),0),IF($C298&gt;0,IF(($E298=INDEX(_xlfn.ANCHORARRAY(Sintesi!$C$14),1,$C298))*(INDEX(_xlfn.ANCHORARRAY(Sintesi!$C$15),1,$C298)&gt;0),0,IF(($E298=INDEX(_xlfn.ANCHORARRAY(Sintesi!$C$14),1,$C298))*(INDEX(_xlfn.ANCHORARRAY(Sintesi!$C$15),1,$C298)&lt;0)+($E298&gt;=LOOKUP(2,1/($E:$E&lt;&gt;""),$E:$E))*($E298&lt;=$E299)*($E298&gt;INDEX(_xlfn.ANCHORARRAY(Sintesi!$C$14),1,$C298))*($E298&lt;=INDEX(_xlfn.ANCHORARRAY(Sintesi!$C$15),1,$C298))*(INDEX(_xlfn.ANCHORARRAY(Sintesi!$C$15),1,$C298)&gt;0),1,IF(($E298&gt;=LOOKUP(2,1/($E:$E&lt;&gt;""),$E:$E))*($E298&lt;=$E299)*($E298&gt;INDEX(_xlfn.ANCHORARRAY(Sintesi!$C$14),1,$C298))*($E298&lt;INDEX(_xlfn.ANCHORARRAY(Sintesi!$C$16),1,$C298))*(INDEX(_xlfn.ANCHORARRAY(Sintesi!$C$15),1,$C298)&lt;0)+($E298&gt;=LOOKUP(2,1/($E:$E&lt;&gt;""),$E:$E))*($E298&lt;=$E299)*($E298&gt;INDEX(_xlfn.ANCHORARRAY(Sintesi!$C$15),1,$C298))*($E298&lt;INDEX(_xlfn.ANCHORARRAY(Sintesi!$C$16),1,$C298))*(INDEX(_xlfn.ANCHORARRAY(Sintesi!$C$15),1,$C298)&gt;0),2,IF($E298=(INDEX(_xlfn.ANCHORARRAY(Sintesi!$C$16),1,$C298)),3,4)))),0)))</f>
        <v/>
      </c>
      <c r="E298" s="1">
        <f>'Paste cell here'!F298</f>
        <v/>
      </c>
      <c r="F298" s="1">
        <f>'Paste cell here'!C298</f>
        <v/>
      </c>
      <c r="G298" s="1">
        <f>'Paste cell here'!D298</f>
        <v/>
      </c>
      <c r="H298" s="1">
        <f>'Paste cell here'!E298</f>
        <v/>
      </c>
      <c r="I298" s="1">
        <f>'Paste cell here'!X298</f>
        <v/>
      </c>
      <c r="J298" s="1">
        <f>'Paste cell here'!Y298+'Paste cell here'!S298</f>
        <v/>
      </c>
      <c r="K298" s="1">
        <f>I298/H298</f>
        <v/>
      </c>
      <c r="L298" s="1">
        <f>AVERAGE(($F298+$G298)/2-($F298-$G298)/2*COS(PI()*(8-VLOOKUP(MONTH(B298),$O$1:$Q$13,3))/(VLOOKUP(MONTH(B298),$O$1:$Q$13,2)-VLOOKUP(MONTH(B298),$O$1:$Q$13,3))),($F298+$G298)/2-($F298-$G298)/2*COS(PI()*(9-VLOOKUP(MONTH(B298),$O$1:$Q$13,3))/(VLOOKUP(MONTH(B298),$O$1:$Q$13,2)-VLOOKUP(MONTH(B298),$O$1:$Q$13,3))),($F298+$G298)/2-($F298-$G298)/2*COS(PI()*(10-VLOOKUP(MONTH(B298),$O$1:$Q$13,3))/(VLOOKUP(MONTH(B298),$O$1:$Q$13,2)-VLOOKUP(MONTH(B298),$O$1:$Q$13,3))),($F298+$G298)/2-($F298-$G298)/2*COS(PI()*(11-VLOOKUP(MONTH(B298),$O$1:$Q$13,3))/(VLOOKUP(MONTH(B298),$O$1:$Q$13,2)-VLOOKUP(MONTH(B298),$O$1:$Q$13,3))),($F298+$G298)/2-($F298-$G298)/2*COS(PI()*(12-VLOOKUP(MONTH(B298),$O$1:$Q$13,3))/(VLOOKUP(MONTH(B298),$O$1:$Q$13,2)-VLOOKUP(MONTH(B298),$O$1:$Q$13,3))),($F298+$G298)/2-($F298-$G298)/2*COS(PI()*(13-VLOOKUP(MONTH(B298),$O$1:$Q$13,3))/(VLOOKUP(MONTH(B298),$O$1:$Q$13,2)-VLOOKUP(MONTH(B298),$O$1:$Q$13,3))),($F298+$G298)/2-($F298-$G298)/2*COS(PI()*(14-VLOOKUP(MONTH(B298),$O$1:$Q$13,3))/(VLOOKUP(MONTH(B298),$O$1:$Q$13,2)-VLOOKUP(MONTH(B298),$O$1:$Q$13,3))))</f>
        <v/>
      </c>
      <c r="M298" s="1">
        <f t="array" ref="M298">IF(AND(A298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,A298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),IF(L298&lt;_xlfn.IFNA(INDEX(_xlfn.ANCHORARRAY(Sintesi!$C$17)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,1,IF(L298&gt;=_xlfn.IFNA(INDEX(_xlfn.ANCHORARRAY(Sintesi!$C$18)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,0,1-(L298-_xlfn.IFNA(INDEX(_xlfn.ANCHORARRAY(Sintesi!$C$17)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)/(_xlfn.IFNA(INDEX(_xlfn.ANCHORARRAY(Sintesi!$C$18)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-_xlfn.IFNA(INDEX(_xlfn.ANCHORARRAY(Sintesi!$C$17)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))),0)</f>
        <v/>
      </c>
    </row>
    <row r="299">
      <c r="A299" s="1">
        <f>'Paste cell here'!A299</f>
        <v/>
      </c>
      <c r="B299" s="2">
        <f>DATE(Sintesi!$C$4-1,12,31)+A299</f>
        <v/>
      </c>
      <c r="C299" s="34">
        <f t="array" ref="C299">_xlfn.IFNA(MATCH(1,(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)*(_xlfn.ANCHORARRAY(Sintesi!$C$15)&gt;=0)+(_xlfn.ANCHORARRAY(Sintesi!$C$15)&lt;0),0),0)</f>
        <v/>
      </c>
      <c r="D299" s="1">
        <f t="array" ref="D299">IF(ISBLANK($E300),IF(ISNUMBER($E298),IF($C299&gt;0,IF(($E299=INDEX(_xlfn.ANCHORARRAY(Sintesi!$C$14),1,$C299))*(INDEX(_xlfn.ANCHORARRAY(Sintesi!$C$15),1,$C299)&gt;0),0,IF(($E299=INDEX(_xlfn.ANCHORARRAY(Sintesi!$C$14),1,$C299))*(INDEX(_xlfn.ANCHORARRAY(Sintesi!$C$15),1,$C299)&lt;0)+($E299&gt;=$E298)*($E299&lt;=INDEX($E:$E,MATCH(TRUE,INDEX((ISNUMBER($E:$E)),0),0)))*($E299&gt;INDEX(_xlfn.ANCHORARRAY(Sintesi!$C$14),1,$C299))*($E299&lt;=INDEX(_xlfn.ANCHORARRAY(Sintesi!$C$15),1,$C299))*(INDEX(_xlfn.ANCHORARRAY(Sintesi!$C$15),1,$C299)&gt;0),1,IF(($E299&gt;=$E298)*($E299&lt;=INDEX($E:$E,MATCH(TRUE,INDEX((ISNUMBER($E:$E)),0),0)))*($E299&gt;INDEX(_xlfn.ANCHORARRAY(Sintesi!$C$14),1,$C299))*($E299&lt;INDEX(_xlfn.ANCHORARRAY(Sintesi!$C$16),1,$C299))*(INDEX(_xlfn.ANCHORARRAY(Sintesi!$C$15),1,$C299)&lt;0)+($E299&gt;=$E298)*($E299&lt;=INDEX($E:$E,MATCH(TRUE,INDEX((ISNUMBER($E:$E)),0),0)))*($E299&gt;INDEX(_xlfn.ANCHORARRAY(Sintesi!$C$15),1,$C299))*($E299&lt;INDEX(_xlfn.ANCHORARRAY(Sintesi!$C$16),1,$C299))*(INDEX(_xlfn.ANCHORARRAY(Sintesi!$C$15),1,$C299)&gt;0),2,IF($E299=(INDEX(_xlfn.ANCHORARRAY(Sintesi!$C$16),1,$C299)),3,4)))),0),IF($C299&gt;0,IF(($E299=INDEX(_xlfn.ANCHORARRAY(Sintesi!$C$14),1,$C299))*(INDEX(_xlfn.ANCHORARRAY(Sintesi!$C$15),1,$C299)&gt;0),0,IF(($E299=INDEX(_xlfn.ANCHORARRAY(Sintesi!$C$14),1,$C299))*(INDEX(_xlfn.ANCHORARRAY(Sintesi!$C$15),1,$C299)&lt;0)+($E299&gt;=LOOKUP(2,1/($E:$E&lt;&gt;""),$E:$E))*($E299&lt;=INDEX($E:$E,MATCH(TRUE,INDEX((ISNUMBER($E:$E)),0),0)))*($E299&gt;INDEX(_xlfn.ANCHORARRAY(Sintesi!$C$14),1,$C299))*($E299&lt;=INDEX(_xlfn.ANCHORARRAY(Sintesi!$C$15),1,$C299))*(INDEX(_xlfn.ANCHORARRAY(Sintesi!$C$15),1,$C299)&gt;0),1,IF(($E299&gt;=LOOKUP(2,1/($E:$E&lt;&gt;""),$E:$E))*($E299&lt;=INDEX($E:$E,MATCH(TRUE,INDEX((ISNUMBER($E:$E)),0),0)))*($E299&gt;INDEX(_xlfn.ANCHORARRAY(Sintesi!$C$14),1,$C299))*($E299&lt;INDEX(_xlfn.ANCHORARRAY(Sintesi!$C$16),1,$C299))*(INDEX(_xlfn.ANCHORARRAY(Sintesi!$C$15),1,$C299)&lt;0)+($E299&gt;=LOOKUP(2,1/($E:$E&lt;&gt;""),$E:$E))*($E299&lt;=INDEX($E:$E,MATCH(TRUE,INDEX((ISNUMBER($E:$E)),0),0)))*($E299&gt;INDEX(_xlfn.ANCHORARRAY(Sintesi!$C$15),1,$C299))*($E299&lt;INDEX(_xlfn.ANCHORARRAY(Sintesi!$C$16),1,$C299))*(INDEX(_xlfn.ANCHORARRAY(Sintesi!$C$15),1,$C299)&gt;0),2,IF($E299=(INDEX(_xlfn.ANCHORARRAY(Sintesi!$C$16),1,$C299)),3,4)))),0)),IF(ISNUMBER($E298),IF($C299&gt;0,IF(($E299=INDEX(_xlfn.ANCHORARRAY(Sintesi!$C$14),1,$C299))*(INDEX(_xlfn.ANCHORARRAY(Sintesi!$C$15),1,$C299)&gt;0),0,IF(($E299=INDEX(_xlfn.ANCHORARRAY(Sintesi!$C$14),1,$C299))*(INDEX(_xlfn.ANCHORARRAY(Sintesi!$C$15),1,$C299)&lt;0)+($E299&gt;=$E298)*($E299&lt;=$E300)*($E299&gt;INDEX(_xlfn.ANCHORARRAY(Sintesi!$C$14),1,$C299))*($E299&lt;=INDEX(_xlfn.ANCHORARRAY(Sintesi!$C$15),1,$C299))*(INDEX(_xlfn.ANCHORARRAY(Sintesi!$C$15),1,$C299)&gt;0),1,IF(($E299&gt;=$E298)*($E299&lt;=$E300)*($E299&gt;INDEX(_xlfn.ANCHORARRAY(Sintesi!$C$14),1,$C299))*($E299&lt;INDEX(_xlfn.ANCHORARRAY(Sintesi!$C$16),1,$C299))*(INDEX(_xlfn.ANCHORARRAY(Sintesi!$C$15),1,$C299)&lt;0)+($E299&gt;=$E298)*($E299&lt;=$E300)*($E299&gt;INDEX(_xlfn.ANCHORARRAY(Sintesi!$C$15),1,$C299))*($E299&lt;INDEX(_xlfn.ANCHORARRAY(Sintesi!$C$16),1,$C299))*(INDEX(_xlfn.ANCHORARRAY(Sintesi!$C$15),1,$C299)&gt;0),2,IF($E299=(INDEX(_xlfn.ANCHORARRAY(Sintesi!$C$16),1,$C299)),3,4)))),0),IF($C299&gt;0,IF(($E299=INDEX(_xlfn.ANCHORARRAY(Sintesi!$C$14),1,$C299))*(INDEX(_xlfn.ANCHORARRAY(Sintesi!$C$15),1,$C299)&gt;0),0,IF(($E299=INDEX(_xlfn.ANCHORARRAY(Sintesi!$C$14),1,$C299))*(INDEX(_xlfn.ANCHORARRAY(Sintesi!$C$15),1,$C299)&lt;0)+($E299&gt;=LOOKUP(2,1/($E:$E&lt;&gt;""),$E:$E))*($E299&lt;=$E300)*($E299&gt;INDEX(_xlfn.ANCHORARRAY(Sintesi!$C$14),1,$C299))*($E299&lt;=INDEX(_xlfn.ANCHORARRAY(Sintesi!$C$15),1,$C299))*(INDEX(_xlfn.ANCHORARRAY(Sintesi!$C$15),1,$C299)&gt;0),1,IF(($E299&gt;=LOOKUP(2,1/($E:$E&lt;&gt;""),$E:$E))*($E299&lt;=$E300)*($E299&gt;INDEX(_xlfn.ANCHORARRAY(Sintesi!$C$14),1,$C299))*($E299&lt;INDEX(_xlfn.ANCHORARRAY(Sintesi!$C$16),1,$C299))*(INDEX(_xlfn.ANCHORARRAY(Sintesi!$C$15),1,$C299)&lt;0)+($E299&gt;=LOOKUP(2,1/($E:$E&lt;&gt;""),$E:$E))*($E299&lt;=$E300)*($E299&gt;INDEX(_xlfn.ANCHORARRAY(Sintesi!$C$15),1,$C299))*($E299&lt;INDEX(_xlfn.ANCHORARRAY(Sintesi!$C$16),1,$C299))*(INDEX(_xlfn.ANCHORARRAY(Sintesi!$C$15),1,$C299)&gt;0),2,IF($E299=(INDEX(_xlfn.ANCHORARRAY(Sintesi!$C$16),1,$C299)),3,4)))),0)))</f>
        <v/>
      </c>
      <c r="E299" s="1">
        <f>'Paste cell here'!F299</f>
        <v/>
      </c>
      <c r="F299" s="1">
        <f>'Paste cell here'!C299</f>
        <v/>
      </c>
      <c r="G299" s="1">
        <f>'Paste cell here'!D299</f>
        <v/>
      </c>
      <c r="H299" s="1">
        <f>'Paste cell here'!E299</f>
        <v/>
      </c>
      <c r="I299" s="1">
        <f>'Paste cell here'!X299</f>
        <v/>
      </c>
      <c r="J299" s="1">
        <f>'Paste cell here'!Y299+'Paste cell here'!S299</f>
        <v/>
      </c>
      <c r="K299" s="1">
        <f>I299/H299</f>
        <v/>
      </c>
      <c r="L299" s="1">
        <f>AVERAGE(($F299+$G299)/2-($F299-$G299)/2*COS(PI()*(8-VLOOKUP(MONTH(B299),$O$1:$Q$13,3))/(VLOOKUP(MONTH(B299),$O$1:$Q$13,2)-VLOOKUP(MONTH(B299),$O$1:$Q$13,3))),($F299+$G299)/2-($F299-$G299)/2*COS(PI()*(9-VLOOKUP(MONTH(B299),$O$1:$Q$13,3))/(VLOOKUP(MONTH(B299),$O$1:$Q$13,2)-VLOOKUP(MONTH(B299),$O$1:$Q$13,3))),($F299+$G299)/2-($F299-$G299)/2*COS(PI()*(10-VLOOKUP(MONTH(B299),$O$1:$Q$13,3))/(VLOOKUP(MONTH(B299),$O$1:$Q$13,2)-VLOOKUP(MONTH(B299),$O$1:$Q$13,3))),($F299+$G299)/2-($F299-$G299)/2*COS(PI()*(11-VLOOKUP(MONTH(B299),$O$1:$Q$13,3))/(VLOOKUP(MONTH(B299),$O$1:$Q$13,2)-VLOOKUP(MONTH(B299),$O$1:$Q$13,3))),($F299+$G299)/2-($F299-$G299)/2*COS(PI()*(12-VLOOKUP(MONTH(B299),$O$1:$Q$13,3))/(VLOOKUP(MONTH(B299),$O$1:$Q$13,2)-VLOOKUP(MONTH(B299),$O$1:$Q$13,3))),($F299+$G299)/2-($F299-$G299)/2*COS(PI()*(13-VLOOKUP(MONTH(B299),$O$1:$Q$13,3))/(VLOOKUP(MONTH(B299),$O$1:$Q$13,2)-VLOOKUP(MONTH(B299),$O$1:$Q$13,3))),($F299+$G299)/2-($F299-$G299)/2*COS(PI()*(14-VLOOKUP(MONTH(B299),$O$1:$Q$13,3))/(VLOOKUP(MONTH(B299),$O$1:$Q$13,2)-VLOOKUP(MONTH(B299),$O$1:$Q$13,3))))</f>
        <v/>
      </c>
      <c r="M299" s="1">
        <f t="array" ref="M299">IF(AND(A299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,A299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),IF(L299&lt;_xlfn.IFNA(INDEX(_xlfn.ANCHORARRAY(Sintesi!$C$17)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,1,IF(L299&gt;=_xlfn.IFNA(INDEX(_xlfn.ANCHORARRAY(Sintesi!$C$18)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,0,1-(L299-_xlfn.IFNA(INDEX(_xlfn.ANCHORARRAY(Sintesi!$C$17)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)/(_xlfn.IFNA(INDEX(_xlfn.ANCHORARRAY(Sintesi!$C$18)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-_xlfn.IFNA(INDEX(_xlfn.ANCHORARRAY(Sintesi!$C$17)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))),0)</f>
        <v/>
      </c>
    </row>
    <row r="300">
      <c r="A300" s="1">
        <f>'Paste cell here'!A300</f>
        <v/>
      </c>
      <c r="B300" s="2">
        <f>DATE(Sintesi!$C$4-1,12,31)+A300</f>
        <v/>
      </c>
      <c r="C300" s="34">
        <f t="array" ref="C300">_xlfn.IFNA(MATCH(1,(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)*(_xlfn.ANCHORARRAY(Sintesi!$C$15)&gt;=0)+(_xlfn.ANCHORARRAY(Sintesi!$C$15)&lt;0),0),0)</f>
        <v/>
      </c>
      <c r="D300" s="1">
        <f t="array" ref="D300">IF(ISBLANK($E301),IF(ISNUMBER($E299),IF($C300&gt;0,IF(($E300=INDEX(_xlfn.ANCHORARRAY(Sintesi!$C$14),1,$C300))*(INDEX(_xlfn.ANCHORARRAY(Sintesi!$C$15),1,$C300)&gt;0),0,IF(($E300=INDEX(_xlfn.ANCHORARRAY(Sintesi!$C$14),1,$C300))*(INDEX(_xlfn.ANCHORARRAY(Sintesi!$C$15),1,$C300)&lt;0)+($E300&gt;=$E299)*($E300&lt;=INDEX($E:$E,MATCH(TRUE,INDEX((ISNUMBER($E:$E)),0),0)))*($E300&gt;INDEX(_xlfn.ANCHORARRAY(Sintesi!$C$14),1,$C300))*($E300&lt;=INDEX(_xlfn.ANCHORARRAY(Sintesi!$C$15),1,$C300))*(INDEX(_xlfn.ANCHORARRAY(Sintesi!$C$15),1,$C300)&gt;0),1,IF(($E300&gt;=$E299)*($E300&lt;=INDEX($E:$E,MATCH(TRUE,INDEX((ISNUMBER($E:$E)),0),0)))*($E300&gt;INDEX(_xlfn.ANCHORARRAY(Sintesi!$C$14),1,$C300))*($E300&lt;INDEX(_xlfn.ANCHORARRAY(Sintesi!$C$16),1,$C300))*(INDEX(_xlfn.ANCHORARRAY(Sintesi!$C$15),1,$C300)&lt;0)+($E300&gt;=$E299)*($E300&lt;=INDEX($E:$E,MATCH(TRUE,INDEX((ISNUMBER($E:$E)),0),0)))*($E300&gt;INDEX(_xlfn.ANCHORARRAY(Sintesi!$C$15),1,$C300))*($E300&lt;INDEX(_xlfn.ANCHORARRAY(Sintesi!$C$16),1,$C300))*(INDEX(_xlfn.ANCHORARRAY(Sintesi!$C$15),1,$C300)&gt;0),2,IF($E300=(INDEX(_xlfn.ANCHORARRAY(Sintesi!$C$16),1,$C300)),3,4)))),0),IF($C300&gt;0,IF(($E300=INDEX(_xlfn.ANCHORARRAY(Sintesi!$C$14),1,$C300))*(INDEX(_xlfn.ANCHORARRAY(Sintesi!$C$15),1,$C300)&gt;0),0,IF(($E300=INDEX(_xlfn.ANCHORARRAY(Sintesi!$C$14),1,$C300))*(INDEX(_xlfn.ANCHORARRAY(Sintesi!$C$15),1,$C300)&lt;0)+($E300&gt;=LOOKUP(2,1/($E:$E&lt;&gt;""),$E:$E))*($E300&lt;=INDEX($E:$E,MATCH(TRUE,INDEX((ISNUMBER($E:$E)),0),0)))*($E300&gt;INDEX(_xlfn.ANCHORARRAY(Sintesi!$C$14),1,$C300))*($E300&lt;=INDEX(_xlfn.ANCHORARRAY(Sintesi!$C$15),1,$C300))*(INDEX(_xlfn.ANCHORARRAY(Sintesi!$C$15),1,$C300)&gt;0),1,IF(($E300&gt;=LOOKUP(2,1/($E:$E&lt;&gt;""),$E:$E))*($E300&lt;=INDEX($E:$E,MATCH(TRUE,INDEX((ISNUMBER($E:$E)),0),0)))*($E300&gt;INDEX(_xlfn.ANCHORARRAY(Sintesi!$C$14),1,$C300))*($E300&lt;INDEX(_xlfn.ANCHORARRAY(Sintesi!$C$16),1,$C300))*(INDEX(_xlfn.ANCHORARRAY(Sintesi!$C$15),1,$C300)&lt;0)+($E300&gt;=LOOKUP(2,1/($E:$E&lt;&gt;""),$E:$E))*($E300&lt;=INDEX($E:$E,MATCH(TRUE,INDEX((ISNUMBER($E:$E)),0),0)))*($E300&gt;INDEX(_xlfn.ANCHORARRAY(Sintesi!$C$15),1,$C300))*($E300&lt;INDEX(_xlfn.ANCHORARRAY(Sintesi!$C$16),1,$C300))*(INDEX(_xlfn.ANCHORARRAY(Sintesi!$C$15),1,$C300)&gt;0),2,IF($E300=(INDEX(_xlfn.ANCHORARRAY(Sintesi!$C$16),1,$C300)),3,4)))),0)),IF(ISNUMBER($E299),IF($C300&gt;0,IF(($E300=INDEX(_xlfn.ANCHORARRAY(Sintesi!$C$14),1,$C300))*(INDEX(_xlfn.ANCHORARRAY(Sintesi!$C$15),1,$C300)&gt;0),0,IF(($E300=INDEX(_xlfn.ANCHORARRAY(Sintesi!$C$14),1,$C300))*(INDEX(_xlfn.ANCHORARRAY(Sintesi!$C$15),1,$C300)&lt;0)+($E300&gt;=$E299)*($E300&lt;=$E301)*($E300&gt;INDEX(_xlfn.ANCHORARRAY(Sintesi!$C$14),1,$C300))*($E300&lt;=INDEX(_xlfn.ANCHORARRAY(Sintesi!$C$15),1,$C300))*(INDEX(_xlfn.ANCHORARRAY(Sintesi!$C$15),1,$C300)&gt;0),1,IF(($E300&gt;=$E299)*($E300&lt;=$E301)*($E300&gt;INDEX(_xlfn.ANCHORARRAY(Sintesi!$C$14),1,$C300))*($E300&lt;INDEX(_xlfn.ANCHORARRAY(Sintesi!$C$16),1,$C300))*(INDEX(_xlfn.ANCHORARRAY(Sintesi!$C$15),1,$C300)&lt;0)+($E300&gt;=$E299)*($E300&lt;=$E301)*($E300&gt;INDEX(_xlfn.ANCHORARRAY(Sintesi!$C$15),1,$C300))*($E300&lt;INDEX(_xlfn.ANCHORARRAY(Sintesi!$C$16),1,$C300))*(INDEX(_xlfn.ANCHORARRAY(Sintesi!$C$15),1,$C300)&gt;0),2,IF($E300=(INDEX(_xlfn.ANCHORARRAY(Sintesi!$C$16),1,$C300)),3,4)))),0),IF($C300&gt;0,IF(($E300=INDEX(_xlfn.ANCHORARRAY(Sintesi!$C$14),1,$C300))*(INDEX(_xlfn.ANCHORARRAY(Sintesi!$C$15),1,$C300)&gt;0),0,IF(($E300=INDEX(_xlfn.ANCHORARRAY(Sintesi!$C$14),1,$C300))*(INDEX(_xlfn.ANCHORARRAY(Sintesi!$C$15),1,$C300)&lt;0)+($E300&gt;=LOOKUP(2,1/($E:$E&lt;&gt;""),$E:$E))*($E300&lt;=$E301)*($E300&gt;INDEX(_xlfn.ANCHORARRAY(Sintesi!$C$14),1,$C300))*($E300&lt;=INDEX(_xlfn.ANCHORARRAY(Sintesi!$C$15),1,$C300))*(INDEX(_xlfn.ANCHORARRAY(Sintesi!$C$15),1,$C300)&gt;0),1,IF(($E300&gt;=LOOKUP(2,1/($E:$E&lt;&gt;""),$E:$E))*($E300&lt;=$E301)*($E300&gt;INDEX(_xlfn.ANCHORARRAY(Sintesi!$C$14),1,$C300))*($E300&lt;INDEX(_xlfn.ANCHORARRAY(Sintesi!$C$16),1,$C300))*(INDEX(_xlfn.ANCHORARRAY(Sintesi!$C$15),1,$C300)&lt;0)+($E300&gt;=LOOKUP(2,1/($E:$E&lt;&gt;""),$E:$E))*($E300&lt;=$E301)*($E300&gt;INDEX(_xlfn.ANCHORARRAY(Sintesi!$C$15),1,$C300))*($E300&lt;INDEX(_xlfn.ANCHORARRAY(Sintesi!$C$16),1,$C300))*(INDEX(_xlfn.ANCHORARRAY(Sintesi!$C$15),1,$C300)&gt;0),2,IF($E300=(INDEX(_xlfn.ANCHORARRAY(Sintesi!$C$16),1,$C300)),3,4)))),0)))</f>
        <v/>
      </c>
      <c r="E300" s="1">
        <f>'Paste cell here'!F300</f>
        <v/>
      </c>
      <c r="F300" s="1">
        <f>'Paste cell here'!C300</f>
        <v/>
      </c>
      <c r="G300" s="1">
        <f>'Paste cell here'!D300</f>
        <v/>
      </c>
      <c r="H300" s="1">
        <f>'Paste cell here'!E300</f>
        <v/>
      </c>
      <c r="I300" s="1">
        <f>'Paste cell here'!X300</f>
        <v/>
      </c>
      <c r="J300" s="1">
        <f>'Paste cell here'!Y300+'Paste cell here'!S300</f>
        <v/>
      </c>
      <c r="K300" s="1">
        <f>I300/H300</f>
        <v/>
      </c>
      <c r="L300" s="1">
        <f>AVERAGE(($F300+$G300)/2-($F300-$G300)/2*COS(PI()*(8-VLOOKUP(MONTH(B300),$O$1:$Q$13,3))/(VLOOKUP(MONTH(B300),$O$1:$Q$13,2)-VLOOKUP(MONTH(B300),$O$1:$Q$13,3))),($F300+$G300)/2-($F300-$G300)/2*COS(PI()*(9-VLOOKUP(MONTH(B300),$O$1:$Q$13,3))/(VLOOKUP(MONTH(B300),$O$1:$Q$13,2)-VLOOKUP(MONTH(B300),$O$1:$Q$13,3))),($F300+$G300)/2-($F300-$G300)/2*COS(PI()*(10-VLOOKUP(MONTH(B300),$O$1:$Q$13,3))/(VLOOKUP(MONTH(B300),$O$1:$Q$13,2)-VLOOKUP(MONTH(B300),$O$1:$Q$13,3))),($F300+$G300)/2-($F300-$G300)/2*COS(PI()*(11-VLOOKUP(MONTH(B300),$O$1:$Q$13,3))/(VLOOKUP(MONTH(B300),$O$1:$Q$13,2)-VLOOKUP(MONTH(B300),$O$1:$Q$13,3))),($F300+$G300)/2-($F300-$G300)/2*COS(PI()*(12-VLOOKUP(MONTH(B300),$O$1:$Q$13,3))/(VLOOKUP(MONTH(B300),$O$1:$Q$13,2)-VLOOKUP(MONTH(B300),$O$1:$Q$13,3))),($F300+$G300)/2-($F300-$G300)/2*COS(PI()*(13-VLOOKUP(MONTH(B300),$O$1:$Q$13,3))/(VLOOKUP(MONTH(B300),$O$1:$Q$13,2)-VLOOKUP(MONTH(B300),$O$1:$Q$13,3))),($F300+$G300)/2-($F300-$G300)/2*COS(PI()*(14-VLOOKUP(MONTH(B300),$O$1:$Q$13,3))/(VLOOKUP(MONTH(B300),$O$1:$Q$13,2)-VLOOKUP(MONTH(B300),$O$1:$Q$13,3))))</f>
        <v/>
      </c>
      <c r="M300" s="1">
        <f t="array" ref="M300">IF(AND(A300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,A300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),IF(L300&lt;_xlfn.IFNA(INDEX(_xlfn.ANCHORARRAY(Sintesi!$C$17)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,1,IF(L300&gt;=_xlfn.IFNA(INDEX(_xlfn.ANCHORARRAY(Sintesi!$C$18)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,0,1-(L300-_xlfn.IFNA(INDEX(_xlfn.ANCHORARRAY(Sintesi!$C$17)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)/(_xlfn.IFNA(INDEX(_xlfn.ANCHORARRAY(Sintesi!$C$18)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-_xlfn.IFNA(INDEX(_xlfn.ANCHORARRAY(Sintesi!$C$17)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))),0)</f>
        <v/>
      </c>
    </row>
    <row r="301">
      <c r="A301" s="1">
        <f>'Paste cell here'!A301</f>
        <v/>
      </c>
      <c r="B301" s="2">
        <f>DATE(Sintesi!$C$4-1,12,31)+A301</f>
        <v/>
      </c>
      <c r="C301" s="34">
        <f t="array" ref="C301">_xlfn.IFNA(MATCH(1,(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)*(_xlfn.ANCHORARRAY(Sintesi!$C$15)&gt;=0)+(_xlfn.ANCHORARRAY(Sintesi!$C$15)&lt;0),0),0)</f>
        <v/>
      </c>
      <c r="D301" s="1">
        <f t="array" ref="D301">IF(ISBLANK($E302),IF(ISNUMBER($E300),IF($C301&gt;0,IF(($E301=INDEX(_xlfn.ANCHORARRAY(Sintesi!$C$14),1,$C301))*(INDEX(_xlfn.ANCHORARRAY(Sintesi!$C$15),1,$C301)&gt;0),0,IF(($E301=INDEX(_xlfn.ANCHORARRAY(Sintesi!$C$14),1,$C301))*(INDEX(_xlfn.ANCHORARRAY(Sintesi!$C$15),1,$C301)&lt;0)+($E301&gt;=$E300)*($E301&lt;=INDEX($E:$E,MATCH(TRUE,INDEX((ISNUMBER($E:$E)),0),0)))*($E301&gt;INDEX(_xlfn.ANCHORARRAY(Sintesi!$C$14),1,$C301))*($E301&lt;=INDEX(_xlfn.ANCHORARRAY(Sintesi!$C$15),1,$C301))*(INDEX(_xlfn.ANCHORARRAY(Sintesi!$C$15),1,$C301)&gt;0),1,IF(($E301&gt;=$E300)*($E301&lt;=INDEX($E:$E,MATCH(TRUE,INDEX((ISNUMBER($E:$E)),0),0)))*($E301&gt;INDEX(_xlfn.ANCHORARRAY(Sintesi!$C$14),1,$C301))*($E301&lt;INDEX(_xlfn.ANCHORARRAY(Sintesi!$C$16),1,$C301))*(INDEX(_xlfn.ANCHORARRAY(Sintesi!$C$15),1,$C301)&lt;0)+($E301&gt;=$E300)*($E301&lt;=INDEX($E:$E,MATCH(TRUE,INDEX((ISNUMBER($E:$E)),0),0)))*($E301&gt;INDEX(_xlfn.ANCHORARRAY(Sintesi!$C$15),1,$C301))*($E301&lt;INDEX(_xlfn.ANCHORARRAY(Sintesi!$C$16),1,$C301))*(INDEX(_xlfn.ANCHORARRAY(Sintesi!$C$15),1,$C301)&gt;0),2,IF($E301=(INDEX(_xlfn.ANCHORARRAY(Sintesi!$C$16),1,$C301)),3,4)))),0),IF($C301&gt;0,IF(($E301=INDEX(_xlfn.ANCHORARRAY(Sintesi!$C$14),1,$C301))*(INDEX(_xlfn.ANCHORARRAY(Sintesi!$C$15),1,$C301)&gt;0),0,IF(($E301=INDEX(_xlfn.ANCHORARRAY(Sintesi!$C$14),1,$C301))*(INDEX(_xlfn.ANCHORARRAY(Sintesi!$C$15),1,$C301)&lt;0)+($E301&gt;=LOOKUP(2,1/($E:$E&lt;&gt;""),$E:$E))*($E301&lt;=INDEX($E:$E,MATCH(TRUE,INDEX((ISNUMBER($E:$E)),0),0)))*($E301&gt;INDEX(_xlfn.ANCHORARRAY(Sintesi!$C$14),1,$C301))*($E301&lt;=INDEX(_xlfn.ANCHORARRAY(Sintesi!$C$15),1,$C301))*(INDEX(_xlfn.ANCHORARRAY(Sintesi!$C$15),1,$C301)&gt;0),1,IF(($E301&gt;=LOOKUP(2,1/($E:$E&lt;&gt;""),$E:$E))*($E301&lt;=INDEX($E:$E,MATCH(TRUE,INDEX((ISNUMBER($E:$E)),0),0)))*($E301&gt;INDEX(_xlfn.ANCHORARRAY(Sintesi!$C$14),1,$C301))*($E301&lt;INDEX(_xlfn.ANCHORARRAY(Sintesi!$C$16),1,$C301))*(INDEX(_xlfn.ANCHORARRAY(Sintesi!$C$15),1,$C301)&lt;0)+($E301&gt;=LOOKUP(2,1/($E:$E&lt;&gt;""),$E:$E))*($E301&lt;=INDEX($E:$E,MATCH(TRUE,INDEX((ISNUMBER($E:$E)),0),0)))*($E301&gt;INDEX(_xlfn.ANCHORARRAY(Sintesi!$C$15),1,$C301))*($E301&lt;INDEX(_xlfn.ANCHORARRAY(Sintesi!$C$16),1,$C301))*(INDEX(_xlfn.ANCHORARRAY(Sintesi!$C$15),1,$C301)&gt;0),2,IF($E301=(INDEX(_xlfn.ANCHORARRAY(Sintesi!$C$16),1,$C301)),3,4)))),0)),IF(ISNUMBER($E300),IF($C301&gt;0,IF(($E301=INDEX(_xlfn.ANCHORARRAY(Sintesi!$C$14),1,$C301))*(INDEX(_xlfn.ANCHORARRAY(Sintesi!$C$15),1,$C301)&gt;0),0,IF(($E301=INDEX(_xlfn.ANCHORARRAY(Sintesi!$C$14),1,$C301))*(INDEX(_xlfn.ANCHORARRAY(Sintesi!$C$15),1,$C301)&lt;0)+($E301&gt;=$E300)*($E301&lt;=$E302)*($E301&gt;INDEX(_xlfn.ANCHORARRAY(Sintesi!$C$14),1,$C301))*($E301&lt;=INDEX(_xlfn.ANCHORARRAY(Sintesi!$C$15),1,$C301))*(INDEX(_xlfn.ANCHORARRAY(Sintesi!$C$15),1,$C301)&gt;0),1,IF(($E301&gt;=$E300)*($E301&lt;=$E302)*($E301&gt;INDEX(_xlfn.ANCHORARRAY(Sintesi!$C$14),1,$C301))*($E301&lt;INDEX(_xlfn.ANCHORARRAY(Sintesi!$C$16),1,$C301))*(INDEX(_xlfn.ANCHORARRAY(Sintesi!$C$15),1,$C301)&lt;0)+($E301&gt;=$E300)*($E301&lt;=$E302)*($E301&gt;INDEX(_xlfn.ANCHORARRAY(Sintesi!$C$15),1,$C301))*($E301&lt;INDEX(_xlfn.ANCHORARRAY(Sintesi!$C$16),1,$C301))*(INDEX(_xlfn.ANCHORARRAY(Sintesi!$C$15),1,$C301)&gt;0),2,IF($E301=(INDEX(_xlfn.ANCHORARRAY(Sintesi!$C$16),1,$C301)),3,4)))),0),IF($C301&gt;0,IF(($E301=INDEX(_xlfn.ANCHORARRAY(Sintesi!$C$14),1,$C301))*(INDEX(_xlfn.ANCHORARRAY(Sintesi!$C$15),1,$C301)&gt;0),0,IF(($E301=INDEX(_xlfn.ANCHORARRAY(Sintesi!$C$14),1,$C301))*(INDEX(_xlfn.ANCHORARRAY(Sintesi!$C$15),1,$C301)&lt;0)+($E301&gt;=LOOKUP(2,1/($E:$E&lt;&gt;""),$E:$E))*($E301&lt;=$E302)*($E301&gt;INDEX(_xlfn.ANCHORARRAY(Sintesi!$C$14),1,$C301))*($E301&lt;=INDEX(_xlfn.ANCHORARRAY(Sintesi!$C$15),1,$C301))*(INDEX(_xlfn.ANCHORARRAY(Sintesi!$C$15),1,$C301)&gt;0),1,IF(($E301&gt;=LOOKUP(2,1/($E:$E&lt;&gt;""),$E:$E))*($E301&lt;=$E302)*($E301&gt;INDEX(_xlfn.ANCHORARRAY(Sintesi!$C$14),1,$C301))*($E301&lt;INDEX(_xlfn.ANCHORARRAY(Sintesi!$C$16),1,$C301))*(INDEX(_xlfn.ANCHORARRAY(Sintesi!$C$15),1,$C301)&lt;0)+($E301&gt;=LOOKUP(2,1/($E:$E&lt;&gt;""),$E:$E))*($E301&lt;=$E302)*($E301&gt;INDEX(_xlfn.ANCHORARRAY(Sintesi!$C$15),1,$C301))*($E301&lt;INDEX(_xlfn.ANCHORARRAY(Sintesi!$C$16),1,$C301))*(INDEX(_xlfn.ANCHORARRAY(Sintesi!$C$15),1,$C301)&gt;0),2,IF($E301=(INDEX(_xlfn.ANCHORARRAY(Sintesi!$C$16),1,$C301)),3,4)))),0)))</f>
        <v/>
      </c>
      <c r="E301" s="1">
        <f>'Paste cell here'!F301</f>
        <v/>
      </c>
      <c r="F301" s="1">
        <f>'Paste cell here'!C301</f>
        <v/>
      </c>
      <c r="G301" s="1">
        <f>'Paste cell here'!D301</f>
        <v/>
      </c>
      <c r="H301" s="1">
        <f>'Paste cell here'!E301</f>
        <v/>
      </c>
      <c r="I301" s="1">
        <f>'Paste cell here'!X301</f>
        <v/>
      </c>
      <c r="J301" s="1">
        <f>'Paste cell here'!Y301+'Paste cell here'!S301</f>
        <v/>
      </c>
      <c r="K301" s="1">
        <f>I301/H301</f>
        <v/>
      </c>
      <c r="L301" s="1">
        <f>AVERAGE(($F301+$G301)/2-($F301-$G301)/2*COS(PI()*(8-VLOOKUP(MONTH(B301),$O$1:$Q$13,3))/(VLOOKUP(MONTH(B301),$O$1:$Q$13,2)-VLOOKUP(MONTH(B301),$O$1:$Q$13,3))),($F301+$G301)/2-($F301-$G301)/2*COS(PI()*(9-VLOOKUP(MONTH(B301),$O$1:$Q$13,3))/(VLOOKUP(MONTH(B301),$O$1:$Q$13,2)-VLOOKUP(MONTH(B301),$O$1:$Q$13,3))),($F301+$G301)/2-($F301-$G301)/2*COS(PI()*(10-VLOOKUP(MONTH(B301),$O$1:$Q$13,3))/(VLOOKUP(MONTH(B301),$O$1:$Q$13,2)-VLOOKUP(MONTH(B301),$O$1:$Q$13,3))),($F301+$G301)/2-($F301-$G301)/2*COS(PI()*(11-VLOOKUP(MONTH(B301),$O$1:$Q$13,3))/(VLOOKUP(MONTH(B301),$O$1:$Q$13,2)-VLOOKUP(MONTH(B301),$O$1:$Q$13,3))),($F301+$G301)/2-($F301-$G301)/2*COS(PI()*(12-VLOOKUP(MONTH(B301),$O$1:$Q$13,3))/(VLOOKUP(MONTH(B301),$O$1:$Q$13,2)-VLOOKUP(MONTH(B301),$O$1:$Q$13,3))),($F301+$G301)/2-($F301-$G301)/2*COS(PI()*(13-VLOOKUP(MONTH(B301),$O$1:$Q$13,3))/(VLOOKUP(MONTH(B301),$O$1:$Q$13,2)-VLOOKUP(MONTH(B301),$O$1:$Q$13,3))),($F301+$G301)/2-($F301-$G301)/2*COS(PI()*(14-VLOOKUP(MONTH(B301),$O$1:$Q$13,3))/(VLOOKUP(MONTH(B301),$O$1:$Q$13,2)-VLOOKUP(MONTH(B301),$O$1:$Q$13,3))))</f>
        <v/>
      </c>
      <c r="M301" s="1">
        <f t="array" ref="M301">IF(AND(A301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,A301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),IF(L301&lt;_xlfn.IFNA(INDEX(_xlfn.ANCHORARRAY(Sintesi!$C$17)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,1,IF(L301&gt;=_xlfn.IFNA(INDEX(_xlfn.ANCHORARRAY(Sintesi!$C$18)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,0,1-(L301-_xlfn.IFNA(INDEX(_xlfn.ANCHORARRAY(Sintesi!$C$17)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)/(_xlfn.IFNA(INDEX(_xlfn.ANCHORARRAY(Sintesi!$C$18)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-_xlfn.IFNA(INDEX(_xlfn.ANCHORARRAY(Sintesi!$C$17)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))),0)</f>
        <v/>
      </c>
    </row>
    <row r="302">
      <c r="A302" s="1">
        <f>'Paste cell here'!A302</f>
        <v/>
      </c>
      <c r="B302" s="2">
        <f>DATE(Sintesi!$C$4-1,12,31)+A302</f>
        <v/>
      </c>
      <c r="C302" s="34">
        <f t="array" ref="C302">_xlfn.IFNA(MATCH(1,(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)*(_xlfn.ANCHORARRAY(Sintesi!$C$15)&gt;=0)+(_xlfn.ANCHORARRAY(Sintesi!$C$15)&lt;0),0),0)</f>
        <v/>
      </c>
      <c r="D302" s="1">
        <f t="array" ref="D302">IF(ISBLANK($E303),IF(ISNUMBER($E301),IF($C302&gt;0,IF(($E302=INDEX(_xlfn.ANCHORARRAY(Sintesi!$C$14),1,$C302))*(INDEX(_xlfn.ANCHORARRAY(Sintesi!$C$15),1,$C302)&gt;0),0,IF(($E302=INDEX(_xlfn.ANCHORARRAY(Sintesi!$C$14),1,$C302))*(INDEX(_xlfn.ANCHORARRAY(Sintesi!$C$15),1,$C302)&lt;0)+($E302&gt;=$E301)*($E302&lt;=INDEX($E:$E,MATCH(TRUE,INDEX((ISNUMBER($E:$E)),0),0)))*($E302&gt;INDEX(_xlfn.ANCHORARRAY(Sintesi!$C$14),1,$C302))*($E302&lt;=INDEX(_xlfn.ANCHORARRAY(Sintesi!$C$15),1,$C302))*(INDEX(_xlfn.ANCHORARRAY(Sintesi!$C$15),1,$C302)&gt;0),1,IF(($E302&gt;=$E301)*($E302&lt;=INDEX($E:$E,MATCH(TRUE,INDEX((ISNUMBER($E:$E)),0),0)))*($E302&gt;INDEX(_xlfn.ANCHORARRAY(Sintesi!$C$14),1,$C302))*($E302&lt;INDEX(_xlfn.ANCHORARRAY(Sintesi!$C$16),1,$C302))*(INDEX(_xlfn.ANCHORARRAY(Sintesi!$C$15),1,$C302)&lt;0)+($E302&gt;=$E301)*($E302&lt;=INDEX($E:$E,MATCH(TRUE,INDEX((ISNUMBER($E:$E)),0),0)))*($E302&gt;INDEX(_xlfn.ANCHORARRAY(Sintesi!$C$15),1,$C302))*($E302&lt;INDEX(_xlfn.ANCHORARRAY(Sintesi!$C$16),1,$C302))*(INDEX(_xlfn.ANCHORARRAY(Sintesi!$C$15),1,$C302)&gt;0),2,IF($E302=(INDEX(_xlfn.ANCHORARRAY(Sintesi!$C$16),1,$C302)),3,4)))),0),IF($C302&gt;0,IF(($E302=INDEX(_xlfn.ANCHORARRAY(Sintesi!$C$14),1,$C302))*(INDEX(_xlfn.ANCHORARRAY(Sintesi!$C$15),1,$C302)&gt;0),0,IF(($E302=INDEX(_xlfn.ANCHORARRAY(Sintesi!$C$14),1,$C302))*(INDEX(_xlfn.ANCHORARRAY(Sintesi!$C$15),1,$C302)&lt;0)+($E302&gt;=LOOKUP(2,1/($E:$E&lt;&gt;""),$E:$E))*($E302&lt;=INDEX($E:$E,MATCH(TRUE,INDEX((ISNUMBER($E:$E)),0),0)))*($E302&gt;INDEX(_xlfn.ANCHORARRAY(Sintesi!$C$14),1,$C302))*($E302&lt;=INDEX(_xlfn.ANCHORARRAY(Sintesi!$C$15),1,$C302))*(INDEX(_xlfn.ANCHORARRAY(Sintesi!$C$15),1,$C302)&gt;0),1,IF(($E302&gt;=LOOKUP(2,1/($E:$E&lt;&gt;""),$E:$E))*($E302&lt;=INDEX($E:$E,MATCH(TRUE,INDEX((ISNUMBER($E:$E)),0),0)))*($E302&gt;INDEX(_xlfn.ANCHORARRAY(Sintesi!$C$14),1,$C302))*($E302&lt;INDEX(_xlfn.ANCHORARRAY(Sintesi!$C$16),1,$C302))*(INDEX(_xlfn.ANCHORARRAY(Sintesi!$C$15),1,$C302)&lt;0)+($E302&gt;=LOOKUP(2,1/($E:$E&lt;&gt;""),$E:$E))*($E302&lt;=INDEX($E:$E,MATCH(TRUE,INDEX((ISNUMBER($E:$E)),0),0)))*($E302&gt;INDEX(_xlfn.ANCHORARRAY(Sintesi!$C$15),1,$C302))*($E302&lt;INDEX(_xlfn.ANCHORARRAY(Sintesi!$C$16),1,$C302))*(INDEX(_xlfn.ANCHORARRAY(Sintesi!$C$15),1,$C302)&gt;0),2,IF($E302=(INDEX(_xlfn.ANCHORARRAY(Sintesi!$C$16),1,$C302)),3,4)))),0)),IF(ISNUMBER($E301),IF($C302&gt;0,IF(($E302=INDEX(_xlfn.ANCHORARRAY(Sintesi!$C$14),1,$C302))*(INDEX(_xlfn.ANCHORARRAY(Sintesi!$C$15),1,$C302)&gt;0),0,IF(($E302=INDEX(_xlfn.ANCHORARRAY(Sintesi!$C$14),1,$C302))*(INDEX(_xlfn.ANCHORARRAY(Sintesi!$C$15),1,$C302)&lt;0)+($E302&gt;=$E301)*($E302&lt;=$E303)*($E302&gt;INDEX(_xlfn.ANCHORARRAY(Sintesi!$C$14),1,$C302))*($E302&lt;=INDEX(_xlfn.ANCHORARRAY(Sintesi!$C$15),1,$C302))*(INDEX(_xlfn.ANCHORARRAY(Sintesi!$C$15),1,$C302)&gt;0),1,IF(($E302&gt;=$E301)*($E302&lt;=$E303)*($E302&gt;INDEX(_xlfn.ANCHORARRAY(Sintesi!$C$14),1,$C302))*($E302&lt;INDEX(_xlfn.ANCHORARRAY(Sintesi!$C$16),1,$C302))*(INDEX(_xlfn.ANCHORARRAY(Sintesi!$C$15),1,$C302)&lt;0)+($E302&gt;=$E301)*($E302&lt;=$E303)*($E302&gt;INDEX(_xlfn.ANCHORARRAY(Sintesi!$C$15),1,$C302))*($E302&lt;INDEX(_xlfn.ANCHORARRAY(Sintesi!$C$16),1,$C302))*(INDEX(_xlfn.ANCHORARRAY(Sintesi!$C$15),1,$C302)&gt;0),2,IF($E302=(INDEX(_xlfn.ANCHORARRAY(Sintesi!$C$16),1,$C302)),3,4)))),0),IF($C302&gt;0,IF(($E302=INDEX(_xlfn.ANCHORARRAY(Sintesi!$C$14),1,$C302))*(INDEX(_xlfn.ANCHORARRAY(Sintesi!$C$15),1,$C302)&gt;0),0,IF(($E302=INDEX(_xlfn.ANCHORARRAY(Sintesi!$C$14),1,$C302))*(INDEX(_xlfn.ANCHORARRAY(Sintesi!$C$15),1,$C302)&lt;0)+($E302&gt;=LOOKUP(2,1/($E:$E&lt;&gt;""),$E:$E))*($E302&lt;=$E303)*($E302&gt;INDEX(_xlfn.ANCHORARRAY(Sintesi!$C$14),1,$C302))*($E302&lt;=INDEX(_xlfn.ANCHORARRAY(Sintesi!$C$15),1,$C302))*(INDEX(_xlfn.ANCHORARRAY(Sintesi!$C$15),1,$C302)&gt;0),1,IF(($E302&gt;=LOOKUP(2,1/($E:$E&lt;&gt;""),$E:$E))*($E302&lt;=$E303)*($E302&gt;INDEX(_xlfn.ANCHORARRAY(Sintesi!$C$14),1,$C302))*($E302&lt;INDEX(_xlfn.ANCHORARRAY(Sintesi!$C$16),1,$C302))*(INDEX(_xlfn.ANCHORARRAY(Sintesi!$C$15),1,$C302)&lt;0)+($E302&gt;=LOOKUP(2,1/($E:$E&lt;&gt;""),$E:$E))*($E302&lt;=$E303)*($E302&gt;INDEX(_xlfn.ANCHORARRAY(Sintesi!$C$15),1,$C302))*($E302&lt;INDEX(_xlfn.ANCHORARRAY(Sintesi!$C$16),1,$C302))*(INDEX(_xlfn.ANCHORARRAY(Sintesi!$C$15),1,$C302)&gt;0),2,IF($E302=(INDEX(_xlfn.ANCHORARRAY(Sintesi!$C$16),1,$C302)),3,4)))),0)))</f>
        <v/>
      </c>
      <c r="E302" s="1">
        <f>'Paste cell here'!F302</f>
        <v/>
      </c>
      <c r="F302" s="1">
        <f>'Paste cell here'!C302</f>
        <v/>
      </c>
      <c r="G302" s="1">
        <f>'Paste cell here'!D302</f>
        <v/>
      </c>
      <c r="H302" s="1">
        <f>'Paste cell here'!E302</f>
        <v/>
      </c>
      <c r="I302" s="1">
        <f>'Paste cell here'!X302</f>
        <v/>
      </c>
      <c r="J302" s="1">
        <f>'Paste cell here'!Y302+'Paste cell here'!S302</f>
        <v/>
      </c>
      <c r="K302" s="1">
        <f>I302/H302</f>
        <v/>
      </c>
      <c r="L302" s="1">
        <f>AVERAGE(($F302+$G302)/2-($F302-$G302)/2*COS(PI()*(8-VLOOKUP(MONTH(B302),$O$1:$Q$13,3))/(VLOOKUP(MONTH(B302),$O$1:$Q$13,2)-VLOOKUP(MONTH(B302),$O$1:$Q$13,3))),($F302+$G302)/2-($F302-$G302)/2*COS(PI()*(9-VLOOKUP(MONTH(B302),$O$1:$Q$13,3))/(VLOOKUP(MONTH(B302),$O$1:$Q$13,2)-VLOOKUP(MONTH(B302),$O$1:$Q$13,3))),($F302+$G302)/2-($F302-$G302)/2*COS(PI()*(10-VLOOKUP(MONTH(B302),$O$1:$Q$13,3))/(VLOOKUP(MONTH(B302),$O$1:$Q$13,2)-VLOOKUP(MONTH(B302),$O$1:$Q$13,3))),($F302+$G302)/2-($F302-$G302)/2*COS(PI()*(11-VLOOKUP(MONTH(B302),$O$1:$Q$13,3))/(VLOOKUP(MONTH(B302),$O$1:$Q$13,2)-VLOOKUP(MONTH(B302),$O$1:$Q$13,3))),($F302+$G302)/2-($F302-$G302)/2*COS(PI()*(12-VLOOKUP(MONTH(B302),$O$1:$Q$13,3))/(VLOOKUP(MONTH(B302),$O$1:$Q$13,2)-VLOOKUP(MONTH(B302),$O$1:$Q$13,3))),($F302+$G302)/2-($F302-$G302)/2*COS(PI()*(13-VLOOKUP(MONTH(B302),$O$1:$Q$13,3))/(VLOOKUP(MONTH(B302),$O$1:$Q$13,2)-VLOOKUP(MONTH(B302),$O$1:$Q$13,3))),($F302+$G302)/2-($F302-$G302)/2*COS(PI()*(14-VLOOKUP(MONTH(B302),$O$1:$Q$13,3))/(VLOOKUP(MONTH(B302),$O$1:$Q$13,2)-VLOOKUP(MONTH(B302),$O$1:$Q$13,3))))</f>
        <v/>
      </c>
      <c r="M302" s="1">
        <f t="array" ref="M302">IF(AND(A302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,A302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),IF(L302&lt;_xlfn.IFNA(INDEX(_xlfn.ANCHORARRAY(Sintesi!$C$17)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,1,IF(L302&gt;=_xlfn.IFNA(INDEX(_xlfn.ANCHORARRAY(Sintesi!$C$18)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,0,1-(L302-_xlfn.IFNA(INDEX(_xlfn.ANCHORARRAY(Sintesi!$C$17)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)/(_xlfn.IFNA(INDEX(_xlfn.ANCHORARRAY(Sintesi!$C$18)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-_xlfn.IFNA(INDEX(_xlfn.ANCHORARRAY(Sintesi!$C$17)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))),0)</f>
        <v/>
      </c>
    </row>
    <row r="303">
      <c r="A303" s="1">
        <f>'Paste cell here'!A303</f>
        <v/>
      </c>
      <c r="B303" s="2">
        <f>DATE(Sintesi!$C$4-1,12,31)+A303</f>
        <v/>
      </c>
      <c r="C303" s="34">
        <f t="array" ref="C303">_xlfn.IFNA(MATCH(1,(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)*(_xlfn.ANCHORARRAY(Sintesi!$C$15)&gt;=0)+(_xlfn.ANCHORARRAY(Sintesi!$C$15)&lt;0),0),0)</f>
        <v/>
      </c>
      <c r="D303" s="1">
        <f t="array" ref="D303">IF(ISBLANK($E304),IF(ISNUMBER($E302),IF($C303&gt;0,IF(($E303=INDEX(_xlfn.ANCHORARRAY(Sintesi!$C$14),1,$C303))*(INDEX(_xlfn.ANCHORARRAY(Sintesi!$C$15),1,$C303)&gt;0),0,IF(($E303=INDEX(_xlfn.ANCHORARRAY(Sintesi!$C$14),1,$C303))*(INDEX(_xlfn.ANCHORARRAY(Sintesi!$C$15),1,$C303)&lt;0)+($E303&gt;=$E302)*($E303&lt;=INDEX($E:$E,MATCH(TRUE,INDEX((ISNUMBER($E:$E)),0),0)))*($E303&gt;INDEX(_xlfn.ANCHORARRAY(Sintesi!$C$14),1,$C303))*($E303&lt;=INDEX(_xlfn.ANCHORARRAY(Sintesi!$C$15),1,$C303))*(INDEX(_xlfn.ANCHORARRAY(Sintesi!$C$15),1,$C303)&gt;0),1,IF(($E303&gt;=$E302)*($E303&lt;=INDEX($E:$E,MATCH(TRUE,INDEX((ISNUMBER($E:$E)),0),0)))*($E303&gt;INDEX(_xlfn.ANCHORARRAY(Sintesi!$C$14),1,$C303))*($E303&lt;INDEX(_xlfn.ANCHORARRAY(Sintesi!$C$16),1,$C303))*(INDEX(_xlfn.ANCHORARRAY(Sintesi!$C$15),1,$C303)&lt;0)+($E303&gt;=$E302)*($E303&lt;=INDEX($E:$E,MATCH(TRUE,INDEX((ISNUMBER($E:$E)),0),0)))*($E303&gt;INDEX(_xlfn.ANCHORARRAY(Sintesi!$C$15),1,$C303))*($E303&lt;INDEX(_xlfn.ANCHORARRAY(Sintesi!$C$16),1,$C303))*(INDEX(_xlfn.ANCHORARRAY(Sintesi!$C$15),1,$C303)&gt;0),2,IF($E303=(INDEX(_xlfn.ANCHORARRAY(Sintesi!$C$16),1,$C303)),3,4)))),0),IF($C303&gt;0,IF(($E303=INDEX(_xlfn.ANCHORARRAY(Sintesi!$C$14),1,$C303))*(INDEX(_xlfn.ANCHORARRAY(Sintesi!$C$15),1,$C303)&gt;0),0,IF(($E303=INDEX(_xlfn.ANCHORARRAY(Sintesi!$C$14),1,$C303))*(INDEX(_xlfn.ANCHORARRAY(Sintesi!$C$15),1,$C303)&lt;0)+($E303&gt;=LOOKUP(2,1/($E:$E&lt;&gt;""),$E:$E))*($E303&lt;=INDEX($E:$E,MATCH(TRUE,INDEX((ISNUMBER($E:$E)),0),0)))*($E303&gt;INDEX(_xlfn.ANCHORARRAY(Sintesi!$C$14),1,$C303))*($E303&lt;=INDEX(_xlfn.ANCHORARRAY(Sintesi!$C$15),1,$C303))*(INDEX(_xlfn.ANCHORARRAY(Sintesi!$C$15),1,$C303)&gt;0),1,IF(($E303&gt;=LOOKUP(2,1/($E:$E&lt;&gt;""),$E:$E))*($E303&lt;=INDEX($E:$E,MATCH(TRUE,INDEX((ISNUMBER($E:$E)),0),0)))*($E303&gt;INDEX(_xlfn.ANCHORARRAY(Sintesi!$C$14),1,$C303))*($E303&lt;INDEX(_xlfn.ANCHORARRAY(Sintesi!$C$16),1,$C303))*(INDEX(_xlfn.ANCHORARRAY(Sintesi!$C$15),1,$C303)&lt;0)+($E303&gt;=LOOKUP(2,1/($E:$E&lt;&gt;""),$E:$E))*($E303&lt;=INDEX($E:$E,MATCH(TRUE,INDEX((ISNUMBER($E:$E)),0),0)))*($E303&gt;INDEX(_xlfn.ANCHORARRAY(Sintesi!$C$15),1,$C303))*($E303&lt;INDEX(_xlfn.ANCHORARRAY(Sintesi!$C$16),1,$C303))*(INDEX(_xlfn.ANCHORARRAY(Sintesi!$C$15),1,$C303)&gt;0),2,IF($E303=(INDEX(_xlfn.ANCHORARRAY(Sintesi!$C$16),1,$C303)),3,4)))),0)),IF(ISNUMBER($E302),IF($C303&gt;0,IF(($E303=INDEX(_xlfn.ANCHORARRAY(Sintesi!$C$14),1,$C303))*(INDEX(_xlfn.ANCHORARRAY(Sintesi!$C$15),1,$C303)&gt;0),0,IF(($E303=INDEX(_xlfn.ANCHORARRAY(Sintesi!$C$14),1,$C303))*(INDEX(_xlfn.ANCHORARRAY(Sintesi!$C$15),1,$C303)&lt;0)+($E303&gt;=$E302)*($E303&lt;=$E304)*($E303&gt;INDEX(_xlfn.ANCHORARRAY(Sintesi!$C$14),1,$C303))*($E303&lt;=INDEX(_xlfn.ANCHORARRAY(Sintesi!$C$15),1,$C303))*(INDEX(_xlfn.ANCHORARRAY(Sintesi!$C$15),1,$C303)&gt;0),1,IF(($E303&gt;=$E302)*($E303&lt;=$E304)*($E303&gt;INDEX(_xlfn.ANCHORARRAY(Sintesi!$C$14),1,$C303))*($E303&lt;INDEX(_xlfn.ANCHORARRAY(Sintesi!$C$16),1,$C303))*(INDEX(_xlfn.ANCHORARRAY(Sintesi!$C$15),1,$C303)&lt;0)+($E303&gt;=$E302)*($E303&lt;=$E304)*($E303&gt;INDEX(_xlfn.ANCHORARRAY(Sintesi!$C$15),1,$C303))*($E303&lt;INDEX(_xlfn.ANCHORARRAY(Sintesi!$C$16),1,$C303))*(INDEX(_xlfn.ANCHORARRAY(Sintesi!$C$15),1,$C303)&gt;0),2,IF($E303=(INDEX(_xlfn.ANCHORARRAY(Sintesi!$C$16),1,$C303)),3,4)))),0),IF($C303&gt;0,IF(($E303=INDEX(_xlfn.ANCHORARRAY(Sintesi!$C$14),1,$C303))*(INDEX(_xlfn.ANCHORARRAY(Sintesi!$C$15),1,$C303)&gt;0),0,IF(($E303=INDEX(_xlfn.ANCHORARRAY(Sintesi!$C$14),1,$C303))*(INDEX(_xlfn.ANCHORARRAY(Sintesi!$C$15),1,$C303)&lt;0)+($E303&gt;=LOOKUP(2,1/($E:$E&lt;&gt;""),$E:$E))*($E303&lt;=$E304)*($E303&gt;INDEX(_xlfn.ANCHORARRAY(Sintesi!$C$14),1,$C303))*($E303&lt;=INDEX(_xlfn.ANCHORARRAY(Sintesi!$C$15),1,$C303))*(INDEX(_xlfn.ANCHORARRAY(Sintesi!$C$15),1,$C303)&gt;0),1,IF(($E303&gt;=LOOKUP(2,1/($E:$E&lt;&gt;""),$E:$E))*($E303&lt;=$E304)*($E303&gt;INDEX(_xlfn.ANCHORARRAY(Sintesi!$C$14),1,$C303))*($E303&lt;INDEX(_xlfn.ANCHORARRAY(Sintesi!$C$16),1,$C303))*(INDEX(_xlfn.ANCHORARRAY(Sintesi!$C$15),1,$C303)&lt;0)+($E303&gt;=LOOKUP(2,1/($E:$E&lt;&gt;""),$E:$E))*($E303&lt;=$E304)*($E303&gt;INDEX(_xlfn.ANCHORARRAY(Sintesi!$C$15),1,$C303))*($E303&lt;INDEX(_xlfn.ANCHORARRAY(Sintesi!$C$16),1,$C303))*(INDEX(_xlfn.ANCHORARRAY(Sintesi!$C$15),1,$C303)&gt;0),2,IF($E303=(INDEX(_xlfn.ANCHORARRAY(Sintesi!$C$16),1,$C303)),3,4)))),0)))</f>
        <v/>
      </c>
      <c r="E303" s="1">
        <f>'Paste cell here'!F303</f>
        <v/>
      </c>
      <c r="F303" s="1">
        <f>'Paste cell here'!C303</f>
        <v/>
      </c>
      <c r="G303" s="1">
        <f>'Paste cell here'!D303</f>
        <v/>
      </c>
      <c r="H303" s="1">
        <f>'Paste cell here'!E303</f>
        <v/>
      </c>
      <c r="I303" s="1">
        <f>'Paste cell here'!X303</f>
        <v/>
      </c>
      <c r="J303" s="1">
        <f>'Paste cell here'!Y303+'Paste cell here'!S303</f>
        <v/>
      </c>
      <c r="K303" s="1">
        <f>I303/H303</f>
        <v/>
      </c>
      <c r="L303" s="1">
        <f>AVERAGE(($F303+$G303)/2-($F303-$G303)/2*COS(PI()*(8-VLOOKUP(MONTH(B303),$O$1:$Q$13,3))/(VLOOKUP(MONTH(B303),$O$1:$Q$13,2)-VLOOKUP(MONTH(B303),$O$1:$Q$13,3))),($F303+$G303)/2-($F303-$G303)/2*COS(PI()*(9-VLOOKUP(MONTH(B303),$O$1:$Q$13,3))/(VLOOKUP(MONTH(B303),$O$1:$Q$13,2)-VLOOKUP(MONTH(B303),$O$1:$Q$13,3))),($F303+$G303)/2-($F303-$G303)/2*COS(PI()*(10-VLOOKUP(MONTH(B303),$O$1:$Q$13,3))/(VLOOKUP(MONTH(B303),$O$1:$Q$13,2)-VLOOKUP(MONTH(B303),$O$1:$Q$13,3))),($F303+$G303)/2-($F303-$G303)/2*COS(PI()*(11-VLOOKUP(MONTH(B303),$O$1:$Q$13,3))/(VLOOKUP(MONTH(B303),$O$1:$Q$13,2)-VLOOKUP(MONTH(B303),$O$1:$Q$13,3))),($F303+$G303)/2-($F303-$G303)/2*COS(PI()*(12-VLOOKUP(MONTH(B303),$O$1:$Q$13,3))/(VLOOKUP(MONTH(B303),$O$1:$Q$13,2)-VLOOKUP(MONTH(B303),$O$1:$Q$13,3))),($F303+$G303)/2-($F303-$G303)/2*COS(PI()*(13-VLOOKUP(MONTH(B303),$O$1:$Q$13,3))/(VLOOKUP(MONTH(B303),$O$1:$Q$13,2)-VLOOKUP(MONTH(B303),$O$1:$Q$13,3))),($F303+$G303)/2-($F303-$G303)/2*COS(PI()*(14-VLOOKUP(MONTH(B303),$O$1:$Q$13,3))/(VLOOKUP(MONTH(B303),$O$1:$Q$13,2)-VLOOKUP(MONTH(B303),$O$1:$Q$13,3))))</f>
        <v/>
      </c>
      <c r="M303" s="1">
        <f t="array" ref="M303">IF(AND(A303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,A303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),IF(L303&lt;_xlfn.IFNA(INDEX(_xlfn.ANCHORARRAY(Sintesi!$C$17)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,1,IF(L303&gt;=_xlfn.IFNA(INDEX(_xlfn.ANCHORARRAY(Sintesi!$C$18)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,0,1-(L303-_xlfn.IFNA(INDEX(_xlfn.ANCHORARRAY(Sintesi!$C$17)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)/(_xlfn.IFNA(INDEX(_xlfn.ANCHORARRAY(Sintesi!$C$18)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-_xlfn.IFNA(INDEX(_xlfn.ANCHORARRAY(Sintesi!$C$17)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))),0)</f>
        <v/>
      </c>
    </row>
    <row r="304">
      <c r="A304" s="1">
        <f>'Paste cell here'!A304</f>
        <v/>
      </c>
      <c r="B304" s="2">
        <f>DATE(Sintesi!$C$4-1,12,31)+A304</f>
        <v/>
      </c>
      <c r="C304" s="34">
        <f t="array" ref="C304">_xlfn.IFNA(MATCH(1,(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)*(_xlfn.ANCHORARRAY(Sintesi!$C$15)&gt;=0)+(_xlfn.ANCHORARRAY(Sintesi!$C$15)&lt;0),0),0)</f>
        <v/>
      </c>
      <c r="D304" s="1">
        <f t="array" ref="D304">IF(ISBLANK($E305),IF(ISNUMBER($E303),IF($C304&gt;0,IF(($E304=INDEX(_xlfn.ANCHORARRAY(Sintesi!$C$14),1,$C304))*(INDEX(_xlfn.ANCHORARRAY(Sintesi!$C$15),1,$C304)&gt;0),0,IF(($E304=INDEX(_xlfn.ANCHORARRAY(Sintesi!$C$14),1,$C304))*(INDEX(_xlfn.ANCHORARRAY(Sintesi!$C$15),1,$C304)&lt;0)+($E304&gt;=$E303)*($E304&lt;=INDEX($E:$E,MATCH(TRUE,INDEX((ISNUMBER($E:$E)),0),0)))*($E304&gt;INDEX(_xlfn.ANCHORARRAY(Sintesi!$C$14),1,$C304))*($E304&lt;=INDEX(_xlfn.ANCHORARRAY(Sintesi!$C$15),1,$C304))*(INDEX(_xlfn.ANCHORARRAY(Sintesi!$C$15),1,$C304)&gt;0),1,IF(($E304&gt;=$E303)*($E304&lt;=INDEX($E:$E,MATCH(TRUE,INDEX((ISNUMBER($E:$E)),0),0)))*($E304&gt;INDEX(_xlfn.ANCHORARRAY(Sintesi!$C$14),1,$C304))*($E304&lt;INDEX(_xlfn.ANCHORARRAY(Sintesi!$C$16),1,$C304))*(INDEX(_xlfn.ANCHORARRAY(Sintesi!$C$15),1,$C304)&lt;0)+($E304&gt;=$E303)*($E304&lt;=INDEX($E:$E,MATCH(TRUE,INDEX((ISNUMBER($E:$E)),0),0)))*($E304&gt;INDEX(_xlfn.ANCHORARRAY(Sintesi!$C$15),1,$C304))*($E304&lt;INDEX(_xlfn.ANCHORARRAY(Sintesi!$C$16),1,$C304))*(INDEX(_xlfn.ANCHORARRAY(Sintesi!$C$15),1,$C304)&gt;0),2,IF($E304=(INDEX(_xlfn.ANCHORARRAY(Sintesi!$C$16),1,$C304)),3,4)))),0),IF($C304&gt;0,IF(($E304=INDEX(_xlfn.ANCHORARRAY(Sintesi!$C$14),1,$C304))*(INDEX(_xlfn.ANCHORARRAY(Sintesi!$C$15),1,$C304)&gt;0),0,IF(($E304=INDEX(_xlfn.ANCHORARRAY(Sintesi!$C$14),1,$C304))*(INDEX(_xlfn.ANCHORARRAY(Sintesi!$C$15),1,$C304)&lt;0)+($E304&gt;=LOOKUP(2,1/($E:$E&lt;&gt;""),$E:$E))*($E304&lt;=INDEX($E:$E,MATCH(TRUE,INDEX((ISNUMBER($E:$E)),0),0)))*($E304&gt;INDEX(_xlfn.ANCHORARRAY(Sintesi!$C$14),1,$C304))*($E304&lt;=INDEX(_xlfn.ANCHORARRAY(Sintesi!$C$15),1,$C304))*(INDEX(_xlfn.ANCHORARRAY(Sintesi!$C$15),1,$C304)&gt;0),1,IF(($E304&gt;=LOOKUP(2,1/($E:$E&lt;&gt;""),$E:$E))*($E304&lt;=INDEX($E:$E,MATCH(TRUE,INDEX((ISNUMBER($E:$E)),0),0)))*($E304&gt;INDEX(_xlfn.ANCHORARRAY(Sintesi!$C$14),1,$C304))*($E304&lt;INDEX(_xlfn.ANCHORARRAY(Sintesi!$C$16),1,$C304))*(INDEX(_xlfn.ANCHORARRAY(Sintesi!$C$15),1,$C304)&lt;0)+($E304&gt;=LOOKUP(2,1/($E:$E&lt;&gt;""),$E:$E))*($E304&lt;=INDEX($E:$E,MATCH(TRUE,INDEX((ISNUMBER($E:$E)),0),0)))*($E304&gt;INDEX(_xlfn.ANCHORARRAY(Sintesi!$C$15),1,$C304))*($E304&lt;INDEX(_xlfn.ANCHORARRAY(Sintesi!$C$16),1,$C304))*(INDEX(_xlfn.ANCHORARRAY(Sintesi!$C$15),1,$C304)&gt;0),2,IF($E304=(INDEX(_xlfn.ANCHORARRAY(Sintesi!$C$16),1,$C304)),3,4)))),0)),IF(ISNUMBER($E303),IF($C304&gt;0,IF(($E304=INDEX(_xlfn.ANCHORARRAY(Sintesi!$C$14),1,$C304))*(INDEX(_xlfn.ANCHORARRAY(Sintesi!$C$15),1,$C304)&gt;0),0,IF(($E304=INDEX(_xlfn.ANCHORARRAY(Sintesi!$C$14),1,$C304))*(INDEX(_xlfn.ANCHORARRAY(Sintesi!$C$15),1,$C304)&lt;0)+($E304&gt;=$E303)*($E304&lt;=$E305)*($E304&gt;INDEX(_xlfn.ANCHORARRAY(Sintesi!$C$14),1,$C304))*($E304&lt;=INDEX(_xlfn.ANCHORARRAY(Sintesi!$C$15),1,$C304))*(INDEX(_xlfn.ANCHORARRAY(Sintesi!$C$15),1,$C304)&gt;0),1,IF(($E304&gt;=$E303)*($E304&lt;=$E305)*($E304&gt;INDEX(_xlfn.ANCHORARRAY(Sintesi!$C$14),1,$C304))*($E304&lt;INDEX(_xlfn.ANCHORARRAY(Sintesi!$C$16),1,$C304))*(INDEX(_xlfn.ANCHORARRAY(Sintesi!$C$15),1,$C304)&lt;0)+($E304&gt;=$E303)*($E304&lt;=$E305)*($E304&gt;INDEX(_xlfn.ANCHORARRAY(Sintesi!$C$15),1,$C304))*($E304&lt;INDEX(_xlfn.ANCHORARRAY(Sintesi!$C$16),1,$C304))*(INDEX(_xlfn.ANCHORARRAY(Sintesi!$C$15),1,$C304)&gt;0),2,IF($E304=(INDEX(_xlfn.ANCHORARRAY(Sintesi!$C$16),1,$C304)),3,4)))),0),IF($C304&gt;0,IF(($E304=INDEX(_xlfn.ANCHORARRAY(Sintesi!$C$14),1,$C304))*(INDEX(_xlfn.ANCHORARRAY(Sintesi!$C$15),1,$C304)&gt;0),0,IF(($E304=INDEX(_xlfn.ANCHORARRAY(Sintesi!$C$14),1,$C304))*(INDEX(_xlfn.ANCHORARRAY(Sintesi!$C$15),1,$C304)&lt;0)+($E304&gt;=LOOKUP(2,1/($E:$E&lt;&gt;""),$E:$E))*($E304&lt;=$E305)*($E304&gt;INDEX(_xlfn.ANCHORARRAY(Sintesi!$C$14),1,$C304))*($E304&lt;=INDEX(_xlfn.ANCHORARRAY(Sintesi!$C$15),1,$C304))*(INDEX(_xlfn.ANCHORARRAY(Sintesi!$C$15),1,$C304)&gt;0),1,IF(($E304&gt;=LOOKUP(2,1/($E:$E&lt;&gt;""),$E:$E))*($E304&lt;=$E305)*($E304&gt;INDEX(_xlfn.ANCHORARRAY(Sintesi!$C$14),1,$C304))*($E304&lt;INDEX(_xlfn.ANCHORARRAY(Sintesi!$C$16),1,$C304))*(INDEX(_xlfn.ANCHORARRAY(Sintesi!$C$15),1,$C304)&lt;0)+($E304&gt;=LOOKUP(2,1/($E:$E&lt;&gt;""),$E:$E))*($E304&lt;=$E305)*($E304&gt;INDEX(_xlfn.ANCHORARRAY(Sintesi!$C$15),1,$C304))*($E304&lt;INDEX(_xlfn.ANCHORARRAY(Sintesi!$C$16),1,$C304))*(INDEX(_xlfn.ANCHORARRAY(Sintesi!$C$15),1,$C304)&gt;0),2,IF($E304=(INDEX(_xlfn.ANCHORARRAY(Sintesi!$C$16),1,$C304)),3,4)))),0)))</f>
        <v/>
      </c>
      <c r="E304" s="1">
        <f>'Paste cell here'!F304</f>
        <v/>
      </c>
      <c r="F304" s="1">
        <f>'Paste cell here'!C304</f>
        <v/>
      </c>
      <c r="G304" s="1">
        <f>'Paste cell here'!D304</f>
        <v/>
      </c>
      <c r="H304" s="1">
        <f>'Paste cell here'!E304</f>
        <v/>
      </c>
      <c r="I304" s="1">
        <f>'Paste cell here'!X304</f>
        <v/>
      </c>
      <c r="J304" s="1">
        <f>'Paste cell here'!Y304+'Paste cell here'!S304</f>
        <v/>
      </c>
      <c r="K304" s="1">
        <f>I304/H304</f>
        <v/>
      </c>
      <c r="L304" s="1">
        <f>AVERAGE(($F304+$G304)/2-($F304-$G304)/2*COS(PI()*(8-VLOOKUP(MONTH(B304),$O$1:$Q$13,3))/(VLOOKUP(MONTH(B304),$O$1:$Q$13,2)-VLOOKUP(MONTH(B304),$O$1:$Q$13,3))),($F304+$G304)/2-($F304-$G304)/2*COS(PI()*(9-VLOOKUP(MONTH(B304),$O$1:$Q$13,3))/(VLOOKUP(MONTH(B304),$O$1:$Q$13,2)-VLOOKUP(MONTH(B304),$O$1:$Q$13,3))),($F304+$G304)/2-($F304-$G304)/2*COS(PI()*(10-VLOOKUP(MONTH(B304),$O$1:$Q$13,3))/(VLOOKUP(MONTH(B304),$O$1:$Q$13,2)-VLOOKUP(MONTH(B304),$O$1:$Q$13,3))),($F304+$G304)/2-($F304-$G304)/2*COS(PI()*(11-VLOOKUP(MONTH(B304),$O$1:$Q$13,3))/(VLOOKUP(MONTH(B304),$O$1:$Q$13,2)-VLOOKUP(MONTH(B304),$O$1:$Q$13,3))),($F304+$G304)/2-($F304-$G304)/2*COS(PI()*(12-VLOOKUP(MONTH(B304),$O$1:$Q$13,3))/(VLOOKUP(MONTH(B304),$O$1:$Q$13,2)-VLOOKUP(MONTH(B304),$O$1:$Q$13,3))),($F304+$G304)/2-($F304-$G304)/2*COS(PI()*(13-VLOOKUP(MONTH(B304),$O$1:$Q$13,3))/(VLOOKUP(MONTH(B304),$O$1:$Q$13,2)-VLOOKUP(MONTH(B304),$O$1:$Q$13,3))),($F304+$G304)/2-($F304-$G304)/2*COS(PI()*(14-VLOOKUP(MONTH(B304),$O$1:$Q$13,3))/(VLOOKUP(MONTH(B304),$O$1:$Q$13,2)-VLOOKUP(MONTH(B304),$O$1:$Q$13,3))))</f>
        <v/>
      </c>
      <c r="M304" s="1">
        <f t="array" ref="M304">IF(AND(A304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,A304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),IF(L304&lt;_xlfn.IFNA(INDEX(_xlfn.ANCHORARRAY(Sintesi!$C$17)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,1,IF(L304&gt;=_xlfn.IFNA(INDEX(_xlfn.ANCHORARRAY(Sintesi!$C$18)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,0,1-(L304-_xlfn.IFNA(INDEX(_xlfn.ANCHORARRAY(Sintesi!$C$17)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)/(_xlfn.IFNA(INDEX(_xlfn.ANCHORARRAY(Sintesi!$C$18)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-_xlfn.IFNA(INDEX(_xlfn.ANCHORARRAY(Sintesi!$C$17)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))),0)</f>
        <v/>
      </c>
    </row>
    <row r="305">
      <c r="A305" s="1">
        <f>'Paste cell here'!A305</f>
        <v/>
      </c>
      <c r="B305" s="2">
        <f>DATE(Sintesi!$C$4-1,12,31)+A305</f>
        <v/>
      </c>
      <c r="C305" s="34">
        <f t="array" ref="C305">_xlfn.IFNA(MATCH(1,(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)*(_xlfn.ANCHORARRAY(Sintesi!$C$15)&gt;=0)+(_xlfn.ANCHORARRAY(Sintesi!$C$15)&lt;0),0),0)</f>
        <v/>
      </c>
      <c r="D305" s="1">
        <f t="array" ref="D305">IF(ISBLANK($E306),IF(ISNUMBER($E304),IF($C305&gt;0,IF(($E305=INDEX(_xlfn.ANCHORARRAY(Sintesi!$C$14),1,$C305))*(INDEX(_xlfn.ANCHORARRAY(Sintesi!$C$15),1,$C305)&gt;0),0,IF(($E305=INDEX(_xlfn.ANCHORARRAY(Sintesi!$C$14),1,$C305))*(INDEX(_xlfn.ANCHORARRAY(Sintesi!$C$15),1,$C305)&lt;0)+($E305&gt;=$E304)*($E305&lt;=INDEX($E:$E,MATCH(TRUE,INDEX((ISNUMBER($E:$E)),0),0)))*($E305&gt;INDEX(_xlfn.ANCHORARRAY(Sintesi!$C$14),1,$C305))*($E305&lt;=INDEX(_xlfn.ANCHORARRAY(Sintesi!$C$15),1,$C305))*(INDEX(_xlfn.ANCHORARRAY(Sintesi!$C$15),1,$C305)&gt;0),1,IF(($E305&gt;=$E304)*($E305&lt;=INDEX($E:$E,MATCH(TRUE,INDEX((ISNUMBER($E:$E)),0),0)))*($E305&gt;INDEX(_xlfn.ANCHORARRAY(Sintesi!$C$14),1,$C305))*($E305&lt;INDEX(_xlfn.ANCHORARRAY(Sintesi!$C$16),1,$C305))*(INDEX(_xlfn.ANCHORARRAY(Sintesi!$C$15),1,$C305)&lt;0)+($E305&gt;=$E304)*($E305&lt;=INDEX($E:$E,MATCH(TRUE,INDEX((ISNUMBER($E:$E)),0),0)))*($E305&gt;INDEX(_xlfn.ANCHORARRAY(Sintesi!$C$15),1,$C305))*($E305&lt;INDEX(_xlfn.ANCHORARRAY(Sintesi!$C$16),1,$C305))*(INDEX(_xlfn.ANCHORARRAY(Sintesi!$C$15),1,$C305)&gt;0),2,IF($E305=(INDEX(_xlfn.ANCHORARRAY(Sintesi!$C$16),1,$C305)),3,4)))),0),IF($C305&gt;0,IF(($E305=INDEX(_xlfn.ANCHORARRAY(Sintesi!$C$14),1,$C305))*(INDEX(_xlfn.ANCHORARRAY(Sintesi!$C$15),1,$C305)&gt;0),0,IF(($E305=INDEX(_xlfn.ANCHORARRAY(Sintesi!$C$14),1,$C305))*(INDEX(_xlfn.ANCHORARRAY(Sintesi!$C$15),1,$C305)&lt;0)+($E305&gt;=LOOKUP(2,1/($E:$E&lt;&gt;""),$E:$E))*($E305&lt;=INDEX($E:$E,MATCH(TRUE,INDEX((ISNUMBER($E:$E)),0),0)))*($E305&gt;INDEX(_xlfn.ANCHORARRAY(Sintesi!$C$14),1,$C305))*($E305&lt;=INDEX(_xlfn.ANCHORARRAY(Sintesi!$C$15),1,$C305))*(INDEX(_xlfn.ANCHORARRAY(Sintesi!$C$15),1,$C305)&gt;0),1,IF(($E305&gt;=LOOKUP(2,1/($E:$E&lt;&gt;""),$E:$E))*($E305&lt;=INDEX($E:$E,MATCH(TRUE,INDEX((ISNUMBER($E:$E)),0),0)))*($E305&gt;INDEX(_xlfn.ANCHORARRAY(Sintesi!$C$14),1,$C305))*($E305&lt;INDEX(_xlfn.ANCHORARRAY(Sintesi!$C$16),1,$C305))*(INDEX(_xlfn.ANCHORARRAY(Sintesi!$C$15),1,$C305)&lt;0)+($E305&gt;=LOOKUP(2,1/($E:$E&lt;&gt;""),$E:$E))*($E305&lt;=INDEX($E:$E,MATCH(TRUE,INDEX((ISNUMBER($E:$E)),0),0)))*($E305&gt;INDEX(_xlfn.ANCHORARRAY(Sintesi!$C$15),1,$C305))*($E305&lt;INDEX(_xlfn.ANCHORARRAY(Sintesi!$C$16),1,$C305))*(INDEX(_xlfn.ANCHORARRAY(Sintesi!$C$15),1,$C305)&gt;0),2,IF($E305=(INDEX(_xlfn.ANCHORARRAY(Sintesi!$C$16),1,$C305)),3,4)))),0)),IF(ISNUMBER($E304),IF($C305&gt;0,IF(($E305=INDEX(_xlfn.ANCHORARRAY(Sintesi!$C$14),1,$C305))*(INDEX(_xlfn.ANCHORARRAY(Sintesi!$C$15),1,$C305)&gt;0),0,IF(($E305=INDEX(_xlfn.ANCHORARRAY(Sintesi!$C$14),1,$C305))*(INDEX(_xlfn.ANCHORARRAY(Sintesi!$C$15),1,$C305)&lt;0)+($E305&gt;=$E304)*($E305&lt;=$E306)*($E305&gt;INDEX(_xlfn.ANCHORARRAY(Sintesi!$C$14),1,$C305))*($E305&lt;=INDEX(_xlfn.ANCHORARRAY(Sintesi!$C$15),1,$C305))*(INDEX(_xlfn.ANCHORARRAY(Sintesi!$C$15),1,$C305)&gt;0),1,IF(($E305&gt;=$E304)*($E305&lt;=$E306)*($E305&gt;INDEX(_xlfn.ANCHORARRAY(Sintesi!$C$14),1,$C305))*($E305&lt;INDEX(_xlfn.ANCHORARRAY(Sintesi!$C$16),1,$C305))*(INDEX(_xlfn.ANCHORARRAY(Sintesi!$C$15),1,$C305)&lt;0)+($E305&gt;=$E304)*($E305&lt;=$E306)*($E305&gt;INDEX(_xlfn.ANCHORARRAY(Sintesi!$C$15),1,$C305))*($E305&lt;INDEX(_xlfn.ANCHORARRAY(Sintesi!$C$16),1,$C305))*(INDEX(_xlfn.ANCHORARRAY(Sintesi!$C$15),1,$C305)&gt;0),2,IF($E305=(INDEX(_xlfn.ANCHORARRAY(Sintesi!$C$16),1,$C305)),3,4)))),0),IF($C305&gt;0,IF(($E305=INDEX(_xlfn.ANCHORARRAY(Sintesi!$C$14),1,$C305))*(INDEX(_xlfn.ANCHORARRAY(Sintesi!$C$15),1,$C305)&gt;0),0,IF(($E305=INDEX(_xlfn.ANCHORARRAY(Sintesi!$C$14),1,$C305))*(INDEX(_xlfn.ANCHORARRAY(Sintesi!$C$15),1,$C305)&lt;0)+($E305&gt;=LOOKUP(2,1/($E:$E&lt;&gt;""),$E:$E))*($E305&lt;=$E306)*($E305&gt;INDEX(_xlfn.ANCHORARRAY(Sintesi!$C$14),1,$C305))*($E305&lt;=INDEX(_xlfn.ANCHORARRAY(Sintesi!$C$15),1,$C305))*(INDEX(_xlfn.ANCHORARRAY(Sintesi!$C$15),1,$C305)&gt;0),1,IF(($E305&gt;=LOOKUP(2,1/($E:$E&lt;&gt;""),$E:$E))*($E305&lt;=$E306)*($E305&gt;INDEX(_xlfn.ANCHORARRAY(Sintesi!$C$14),1,$C305))*($E305&lt;INDEX(_xlfn.ANCHORARRAY(Sintesi!$C$16),1,$C305))*(INDEX(_xlfn.ANCHORARRAY(Sintesi!$C$15),1,$C305)&lt;0)+($E305&gt;=LOOKUP(2,1/($E:$E&lt;&gt;""),$E:$E))*($E305&lt;=$E306)*($E305&gt;INDEX(_xlfn.ANCHORARRAY(Sintesi!$C$15),1,$C305))*($E305&lt;INDEX(_xlfn.ANCHORARRAY(Sintesi!$C$16),1,$C305))*(INDEX(_xlfn.ANCHORARRAY(Sintesi!$C$15),1,$C305)&gt;0),2,IF($E305=(INDEX(_xlfn.ANCHORARRAY(Sintesi!$C$16),1,$C305)),3,4)))),0)))</f>
        <v/>
      </c>
      <c r="E305" s="1">
        <f>'Paste cell here'!F305</f>
        <v/>
      </c>
      <c r="F305" s="1">
        <f>'Paste cell here'!C305</f>
        <v/>
      </c>
      <c r="G305" s="1">
        <f>'Paste cell here'!D305</f>
        <v/>
      </c>
      <c r="H305" s="1">
        <f>'Paste cell here'!E305</f>
        <v/>
      </c>
      <c r="I305" s="1">
        <f>'Paste cell here'!X305</f>
        <v/>
      </c>
      <c r="J305" s="1">
        <f>'Paste cell here'!Y305+'Paste cell here'!S305</f>
        <v/>
      </c>
      <c r="K305" s="1">
        <f>I305/H305</f>
        <v/>
      </c>
      <c r="L305" s="1">
        <f>AVERAGE(($F305+$G305)/2-($F305-$G305)/2*COS(PI()*(8-VLOOKUP(MONTH(B305),$O$1:$Q$13,3))/(VLOOKUP(MONTH(B305),$O$1:$Q$13,2)-VLOOKUP(MONTH(B305),$O$1:$Q$13,3))),($F305+$G305)/2-($F305-$G305)/2*COS(PI()*(9-VLOOKUP(MONTH(B305),$O$1:$Q$13,3))/(VLOOKUP(MONTH(B305),$O$1:$Q$13,2)-VLOOKUP(MONTH(B305),$O$1:$Q$13,3))),($F305+$G305)/2-($F305-$G305)/2*COS(PI()*(10-VLOOKUP(MONTH(B305),$O$1:$Q$13,3))/(VLOOKUP(MONTH(B305),$O$1:$Q$13,2)-VLOOKUP(MONTH(B305),$O$1:$Q$13,3))),($F305+$G305)/2-($F305-$G305)/2*COS(PI()*(11-VLOOKUP(MONTH(B305),$O$1:$Q$13,3))/(VLOOKUP(MONTH(B305),$O$1:$Q$13,2)-VLOOKUP(MONTH(B305),$O$1:$Q$13,3))),($F305+$G305)/2-($F305-$G305)/2*COS(PI()*(12-VLOOKUP(MONTH(B305),$O$1:$Q$13,3))/(VLOOKUP(MONTH(B305),$O$1:$Q$13,2)-VLOOKUP(MONTH(B305),$O$1:$Q$13,3))),($F305+$G305)/2-($F305-$G305)/2*COS(PI()*(13-VLOOKUP(MONTH(B305),$O$1:$Q$13,3))/(VLOOKUP(MONTH(B305),$O$1:$Q$13,2)-VLOOKUP(MONTH(B305),$O$1:$Q$13,3))),($F305+$G305)/2-($F305-$G305)/2*COS(PI()*(14-VLOOKUP(MONTH(B305),$O$1:$Q$13,3))/(VLOOKUP(MONTH(B305),$O$1:$Q$13,2)-VLOOKUP(MONTH(B305),$O$1:$Q$13,3))))</f>
        <v/>
      </c>
      <c r="M305" s="1">
        <f t="array" ref="M305">IF(AND(A305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,A305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),IF(L305&lt;_xlfn.IFNA(INDEX(_xlfn.ANCHORARRAY(Sintesi!$C$17)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,1,IF(L305&gt;=_xlfn.IFNA(INDEX(_xlfn.ANCHORARRAY(Sintesi!$C$18)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,0,1-(L305-_xlfn.IFNA(INDEX(_xlfn.ANCHORARRAY(Sintesi!$C$17)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)/(_xlfn.IFNA(INDEX(_xlfn.ANCHORARRAY(Sintesi!$C$18)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-_xlfn.IFNA(INDEX(_xlfn.ANCHORARRAY(Sintesi!$C$17)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))),0)</f>
        <v/>
      </c>
    </row>
    <row r="306">
      <c r="A306" s="1">
        <f>'Paste cell here'!A306</f>
        <v/>
      </c>
      <c r="B306" s="2">
        <f>DATE(Sintesi!$C$4-1,12,31)+A306</f>
        <v/>
      </c>
      <c r="C306" s="34">
        <f t="array" ref="C306">_xlfn.IFNA(MATCH(1,(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)*(_xlfn.ANCHORARRAY(Sintesi!$C$15)&gt;=0)+(_xlfn.ANCHORARRAY(Sintesi!$C$15)&lt;0),0),0)</f>
        <v/>
      </c>
      <c r="D306" s="1">
        <f t="array" ref="D306">IF(ISBLANK($E307),IF(ISNUMBER($E305),IF($C306&gt;0,IF(($E306=INDEX(_xlfn.ANCHORARRAY(Sintesi!$C$14),1,$C306))*(INDEX(_xlfn.ANCHORARRAY(Sintesi!$C$15),1,$C306)&gt;0),0,IF(($E306=INDEX(_xlfn.ANCHORARRAY(Sintesi!$C$14),1,$C306))*(INDEX(_xlfn.ANCHORARRAY(Sintesi!$C$15),1,$C306)&lt;0)+($E306&gt;=$E305)*($E306&lt;=INDEX($E:$E,MATCH(TRUE,INDEX((ISNUMBER($E:$E)),0),0)))*($E306&gt;INDEX(_xlfn.ANCHORARRAY(Sintesi!$C$14),1,$C306))*($E306&lt;=INDEX(_xlfn.ANCHORARRAY(Sintesi!$C$15),1,$C306))*(INDEX(_xlfn.ANCHORARRAY(Sintesi!$C$15),1,$C306)&gt;0),1,IF(($E306&gt;=$E305)*($E306&lt;=INDEX($E:$E,MATCH(TRUE,INDEX((ISNUMBER($E:$E)),0),0)))*($E306&gt;INDEX(_xlfn.ANCHORARRAY(Sintesi!$C$14),1,$C306))*($E306&lt;INDEX(_xlfn.ANCHORARRAY(Sintesi!$C$16),1,$C306))*(INDEX(_xlfn.ANCHORARRAY(Sintesi!$C$15),1,$C306)&lt;0)+($E306&gt;=$E305)*($E306&lt;=INDEX($E:$E,MATCH(TRUE,INDEX((ISNUMBER($E:$E)),0),0)))*($E306&gt;INDEX(_xlfn.ANCHORARRAY(Sintesi!$C$15),1,$C306))*($E306&lt;INDEX(_xlfn.ANCHORARRAY(Sintesi!$C$16),1,$C306))*(INDEX(_xlfn.ANCHORARRAY(Sintesi!$C$15),1,$C306)&gt;0),2,IF($E306=(INDEX(_xlfn.ANCHORARRAY(Sintesi!$C$16),1,$C306)),3,4)))),0),IF($C306&gt;0,IF(($E306=INDEX(_xlfn.ANCHORARRAY(Sintesi!$C$14),1,$C306))*(INDEX(_xlfn.ANCHORARRAY(Sintesi!$C$15),1,$C306)&gt;0),0,IF(($E306=INDEX(_xlfn.ANCHORARRAY(Sintesi!$C$14),1,$C306))*(INDEX(_xlfn.ANCHORARRAY(Sintesi!$C$15),1,$C306)&lt;0)+($E306&gt;=LOOKUP(2,1/($E:$E&lt;&gt;""),$E:$E))*($E306&lt;=INDEX($E:$E,MATCH(TRUE,INDEX((ISNUMBER($E:$E)),0),0)))*($E306&gt;INDEX(_xlfn.ANCHORARRAY(Sintesi!$C$14),1,$C306))*($E306&lt;=INDEX(_xlfn.ANCHORARRAY(Sintesi!$C$15),1,$C306))*(INDEX(_xlfn.ANCHORARRAY(Sintesi!$C$15),1,$C306)&gt;0),1,IF(($E306&gt;=LOOKUP(2,1/($E:$E&lt;&gt;""),$E:$E))*($E306&lt;=INDEX($E:$E,MATCH(TRUE,INDEX((ISNUMBER($E:$E)),0),0)))*($E306&gt;INDEX(_xlfn.ANCHORARRAY(Sintesi!$C$14),1,$C306))*($E306&lt;INDEX(_xlfn.ANCHORARRAY(Sintesi!$C$16),1,$C306))*(INDEX(_xlfn.ANCHORARRAY(Sintesi!$C$15),1,$C306)&lt;0)+($E306&gt;=LOOKUP(2,1/($E:$E&lt;&gt;""),$E:$E))*($E306&lt;=INDEX($E:$E,MATCH(TRUE,INDEX((ISNUMBER($E:$E)),0),0)))*($E306&gt;INDEX(_xlfn.ANCHORARRAY(Sintesi!$C$15),1,$C306))*($E306&lt;INDEX(_xlfn.ANCHORARRAY(Sintesi!$C$16),1,$C306))*(INDEX(_xlfn.ANCHORARRAY(Sintesi!$C$15),1,$C306)&gt;0),2,IF($E306=(INDEX(_xlfn.ANCHORARRAY(Sintesi!$C$16),1,$C306)),3,4)))),0)),IF(ISNUMBER($E305),IF($C306&gt;0,IF(($E306=INDEX(_xlfn.ANCHORARRAY(Sintesi!$C$14),1,$C306))*(INDEX(_xlfn.ANCHORARRAY(Sintesi!$C$15),1,$C306)&gt;0),0,IF(($E306=INDEX(_xlfn.ANCHORARRAY(Sintesi!$C$14),1,$C306))*(INDEX(_xlfn.ANCHORARRAY(Sintesi!$C$15),1,$C306)&lt;0)+($E306&gt;=$E305)*($E306&lt;=$E307)*($E306&gt;INDEX(_xlfn.ANCHORARRAY(Sintesi!$C$14),1,$C306))*($E306&lt;=INDEX(_xlfn.ANCHORARRAY(Sintesi!$C$15),1,$C306))*(INDEX(_xlfn.ANCHORARRAY(Sintesi!$C$15),1,$C306)&gt;0),1,IF(($E306&gt;=$E305)*($E306&lt;=$E307)*($E306&gt;INDEX(_xlfn.ANCHORARRAY(Sintesi!$C$14),1,$C306))*($E306&lt;INDEX(_xlfn.ANCHORARRAY(Sintesi!$C$16),1,$C306))*(INDEX(_xlfn.ANCHORARRAY(Sintesi!$C$15),1,$C306)&lt;0)+($E306&gt;=$E305)*($E306&lt;=$E307)*($E306&gt;INDEX(_xlfn.ANCHORARRAY(Sintesi!$C$15),1,$C306))*($E306&lt;INDEX(_xlfn.ANCHORARRAY(Sintesi!$C$16),1,$C306))*(INDEX(_xlfn.ANCHORARRAY(Sintesi!$C$15),1,$C306)&gt;0),2,IF($E306=(INDEX(_xlfn.ANCHORARRAY(Sintesi!$C$16),1,$C306)),3,4)))),0),IF($C306&gt;0,IF(($E306=INDEX(_xlfn.ANCHORARRAY(Sintesi!$C$14),1,$C306))*(INDEX(_xlfn.ANCHORARRAY(Sintesi!$C$15),1,$C306)&gt;0),0,IF(($E306=INDEX(_xlfn.ANCHORARRAY(Sintesi!$C$14),1,$C306))*(INDEX(_xlfn.ANCHORARRAY(Sintesi!$C$15),1,$C306)&lt;0)+($E306&gt;=LOOKUP(2,1/($E:$E&lt;&gt;""),$E:$E))*($E306&lt;=$E307)*($E306&gt;INDEX(_xlfn.ANCHORARRAY(Sintesi!$C$14),1,$C306))*($E306&lt;=INDEX(_xlfn.ANCHORARRAY(Sintesi!$C$15),1,$C306))*(INDEX(_xlfn.ANCHORARRAY(Sintesi!$C$15),1,$C306)&gt;0),1,IF(($E306&gt;=LOOKUP(2,1/($E:$E&lt;&gt;""),$E:$E))*($E306&lt;=$E307)*($E306&gt;INDEX(_xlfn.ANCHORARRAY(Sintesi!$C$14),1,$C306))*($E306&lt;INDEX(_xlfn.ANCHORARRAY(Sintesi!$C$16),1,$C306))*(INDEX(_xlfn.ANCHORARRAY(Sintesi!$C$15),1,$C306)&lt;0)+($E306&gt;=LOOKUP(2,1/($E:$E&lt;&gt;""),$E:$E))*($E306&lt;=$E307)*($E306&gt;INDEX(_xlfn.ANCHORARRAY(Sintesi!$C$15),1,$C306))*($E306&lt;INDEX(_xlfn.ANCHORARRAY(Sintesi!$C$16),1,$C306))*(INDEX(_xlfn.ANCHORARRAY(Sintesi!$C$15),1,$C306)&gt;0),2,IF($E306=(INDEX(_xlfn.ANCHORARRAY(Sintesi!$C$16),1,$C306)),3,4)))),0)))</f>
        <v/>
      </c>
      <c r="E306" s="1">
        <f>'Paste cell here'!F306</f>
        <v/>
      </c>
      <c r="F306" s="1">
        <f>'Paste cell here'!C306</f>
        <v/>
      </c>
      <c r="G306" s="1">
        <f>'Paste cell here'!D306</f>
        <v/>
      </c>
      <c r="H306" s="1">
        <f>'Paste cell here'!E306</f>
        <v/>
      </c>
      <c r="I306" s="1">
        <f>'Paste cell here'!X306</f>
        <v/>
      </c>
      <c r="J306" s="1">
        <f>'Paste cell here'!Y306+'Paste cell here'!S306</f>
        <v/>
      </c>
      <c r="K306" s="1">
        <f>I306/H306</f>
        <v/>
      </c>
      <c r="L306" s="1">
        <f>AVERAGE(($F306+$G306)/2-($F306-$G306)/2*COS(PI()*(8-VLOOKUP(MONTH(B306),$O$1:$Q$13,3))/(VLOOKUP(MONTH(B306),$O$1:$Q$13,2)-VLOOKUP(MONTH(B306),$O$1:$Q$13,3))),($F306+$G306)/2-($F306-$G306)/2*COS(PI()*(9-VLOOKUP(MONTH(B306),$O$1:$Q$13,3))/(VLOOKUP(MONTH(B306),$O$1:$Q$13,2)-VLOOKUP(MONTH(B306),$O$1:$Q$13,3))),($F306+$G306)/2-($F306-$G306)/2*COS(PI()*(10-VLOOKUP(MONTH(B306),$O$1:$Q$13,3))/(VLOOKUP(MONTH(B306),$O$1:$Q$13,2)-VLOOKUP(MONTH(B306),$O$1:$Q$13,3))),($F306+$G306)/2-($F306-$G306)/2*COS(PI()*(11-VLOOKUP(MONTH(B306),$O$1:$Q$13,3))/(VLOOKUP(MONTH(B306),$O$1:$Q$13,2)-VLOOKUP(MONTH(B306),$O$1:$Q$13,3))),($F306+$G306)/2-($F306-$G306)/2*COS(PI()*(12-VLOOKUP(MONTH(B306),$O$1:$Q$13,3))/(VLOOKUP(MONTH(B306),$O$1:$Q$13,2)-VLOOKUP(MONTH(B306),$O$1:$Q$13,3))),($F306+$G306)/2-($F306-$G306)/2*COS(PI()*(13-VLOOKUP(MONTH(B306),$O$1:$Q$13,3))/(VLOOKUP(MONTH(B306),$O$1:$Q$13,2)-VLOOKUP(MONTH(B306),$O$1:$Q$13,3))),($F306+$G306)/2-($F306-$G306)/2*COS(PI()*(14-VLOOKUP(MONTH(B306),$O$1:$Q$13,3))/(VLOOKUP(MONTH(B306),$O$1:$Q$13,2)-VLOOKUP(MONTH(B306),$O$1:$Q$13,3))))</f>
        <v/>
      </c>
      <c r="M306" s="1">
        <f t="array" ref="M306">IF(AND(A306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,A306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),IF(L306&lt;_xlfn.IFNA(INDEX(_xlfn.ANCHORARRAY(Sintesi!$C$17)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,1,IF(L306&gt;=_xlfn.IFNA(INDEX(_xlfn.ANCHORARRAY(Sintesi!$C$18)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,0,1-(L306-_xlfn.IFNA(INDEX(_xlfn.ANCHORARRAY(Sintesi!$C$17)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)/(_xlfn.IFNA(INDEX(_xlfn.ANCHORARRAY(Sintesi!$C$18)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-_xlfn.IFNA(INDEX(_xlfn.ANCHORARRAY(Sintesi!$C$17)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))),0)</f>
        <v/>
      </c>
    </row>
    <row r="307">
      <c r="A307" s="1">
        <f>'Paste cell here'!A307</f>
        <v/>
      </c>
      <c r="B307" s="2">
        <f>DATE(Sintesi!$C$4-1,12,31)+A307</f>
        <v/>
      </c>
      <c r="C307" s="34">
        <f t="array" ref="C307">_xlfn.IFNA(MATCH(1,(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)*(_xlfn.ANCHORARRAY(Sintesi!$C$15)&gt;=0)+(_xlfn.ANCHORARRAY(Sintesi!$C$15)&lt;0),0),0)</f>
        <v/>
      </c>
      <c r="D307" s="1">
        <f t="array" ref="D307">IF(ISBLANK($E308),IF(ISNUMBER($E306),IF($C307&gt;0,IF(($E307=INDEX(_xlfn.ANCHORARRAY(Sintesi!$C$14),1,$C307))*(INDEX(_xlfn.ANCHORARRAY(Sintesi!$C$15),1,$C307)&gt;0),0,IF(($E307=INDEX(_xlfn.ANCHORARRAY(Sintesi!$C$14),1,$C307))*(INDEX(_xlfn.ANCHORARRAY(Sintesi!$C$15),1,$C307)&lt;0)+($E307&gt;=$E306)*($E307&lt;=INDEX($E:$E,MATCH(TRUE,INDEX((ISNUMBER($E:$E)),0),0)))*($E307&gt;INDEX(_xlfn.ANCHORARRAY(Sintesi!$C$14),1,$C307))*($E307&lt;=INDEX(_xlfn.ANCHORARRAY(Sintesi!$C$15),1,$C307))*(INDEX(_xlfn.ANCHORARRAY(Sintesi!$C$15),1,$C307)&gt;0),1,IF(($E307&gt;=$E306)*($E307&lt;=INDEX($E:$E,MATCH(TRUE,INDEX((ISNUMBER($E:$E)),0),0)))*($E307&gt;INDEX(_xlfn.ANCHORARRAY(Sintesi!$C$14),1,$C307))*($E307&lt;INDEX(_xlfn.ANCHORARRAY(Sintesi!$C$16),1,$C307))*(INDEX(_xlfn.ANCHORARRAY(Sintesi!$C$15),1,$C307)&lt;0)+($E307&gt;=$E306)*($E307&lt;=INDEX($E:$E,MATCH(TRUE,INDEX((ISNUMBER($E:$E)),0),0)))*($E307&gt;INDEX(_xlfn.ANCHORARRAY(Sintesi!$C$15),1,$C307))*($E307&lt;INDEX(_xlfn.ANCHORARRAY(Sintesi!$C$16),1,$C307))*(INDEX(_xlfn.ANCHORARRAY(Sintesi!$C$15),1,$C307)&gt;0),2,IF($E307=(INDEX(_xlfn.ANCHORARRAY(Sintesi!$C$16),1,$C307)),3,4)))),0),IF($C307&gt;0,IF(($E307=INDEX(_xlfn.ANCHORARRAY(Sintesi!$C$14),1,$C307))*(INDEX(_xlfn.ANCHORARRAY(Sintesi!$C$15),1,$C307)&gt;0),0,IF(($E307=INDEX(_xlfn.ANCHORARRAY(Sintesi!$C$14),1,$C307))*(INDEX(_xlfn.ANCHORARRAY(Sintesi!$C$15),1,$C307)&lt;0)+($E307&gt;=LOOKUP(2,1/($E:$E&lt;&gt;""),$E:$E))*($E307&lt;=INDEX($E:$E,MATCH(TRUE,INDEX((ISNUMBER($E:$E)),0),0)))*($E307&gt;INDEX(_xlfn.ANCHORARRAY(Sintesi!$C$14),1,$C307))*($E307&lt;=INDEX(_xlfn.ANCHORARRAY(Sintesi!$C$15),1,$C307))*(INDEX(_xlfn.ANCHORARRAY(Sintesi!$C$15),1,$C307)&gt;0),1,IF(($E307&gt;=LOOKUP(2,1/($E:$E&lt;&gt;""),$E:$E))*($E307&lt;=INDEX($E:$E,MATCH(TRUE,INDEX((ISNUMBER($E:$E)),0),0)))*($E307&gt;INDEX(_xlfn.ANCHORARRAY(Sintesi!$C$14),1,$C307))*($E307&lt;INDEX(_xlfn.ANCHORARRAY(Sintesi!$C$16),1,$C307))*(INDEX(_xlfn.ANCHORARRAY(Sintesi!$C$15),1,$C307)&lt;0)+($E307&gt;=LOOKUP(2,1/($E:$E&lt;&gt;""),$E:$E))*($E307&lt;=INDEX($E:$E,MATCH(TRUE,INDEX((ISNUMBER($E:$E)),0),0)))*($E307&gt;INDEX(_xlfn.ANCHORARRAY(Sintesi!$C$15),1,$C307))*($E307&lt;INDEX(_xlfn.ANCHORARRAY(Sintesi!$C$16),1,$C307))*(INDEX(_xlfn.ANCHORARRAY(Sintesi!$C$15),1,$C307)&gt;0),2,IF($E307=(INDEX(_xlfn.ANCHORARRAY(Sintesi!$C$16),1,$C307)),3,4)))),0)),IF(ISNUMBER($E306),IF($C307&gt;0,IF(($E307=INDEX(_xlfn.ANCHORARRAY(Sintesi!$C$14),1,$C307))*(INDEX(_xlfn.ANCHORARRAY(Sintesi!$C$15),1,$C307)&gt;0),0,IF(($E307=INDEX(_xlfn.ANCHORARRAY(Sintesi!$C$14),1,$C307))*(INDEX(_xlfn.ANCHORARRAY(Sintesi!$C$15),1,$C307)&lt;0)+($E307&gt;=$E306)*($E307&lt;=$E308)*($E307&gt;INDEX(_xlfn.ANCHORARRAY(Sintesi!$C$14),1,$C307))*($E307&lt;=INDEX(_xlfn.ANCHORARRAY(Sintesi!$C$15),1,$C307))*(INDEX(_xlfn.ANCHORARRAY(Sintesi!$C$15),1,$C307)&gt;0),1,IF(($E307&gt;=$E306)*($E307&lt;=$E308)*($E307&gt;INDEX(_xlfn.ANCHORARRAY(Sintesi!$C$14),1,$C307))*($E307&lt;INDEX(_xlfn.ANCHORARRAY(Sintesi!$C$16),1,$C307))*(INDEX(_xlfn.ANCHORARRAY(Sintesi!$C$15),1,$C307)&lt;0)+($E307&gt;=$E306)*($E307&lt;=$E308)*($E307&gt;INDEX(_xlfn.ANCHORARRAY(Sintesi!$C$15),1,$C307))*($E307&lt;INDEX(_xlfn.ANCHORARRAY(Sintesi!$C$16),1,$C307))*(INDEX(_xlfn.ANCHORARRAY(Sintesi!$C$15),1,$C307)&gt;0),2,IF($E307=(INDEX(_xlfn.ANCHORARRAY(Sintesi!$C$16),1,$C307)),3,4)))),0),IF($C307&gt;0,IF(($E307=INDEX(_xlfn.ANCHORARRAY(Sintesi!$C$14),1,$C307))*(INDEX(_xlfn.ANCHORARRAY(Sintesi!$C$15),1,$C307)&gt;0),0,IF(($E307=INDEX(_xlfn.ANCHORARRAY(Sintesi!$C$14),1,$C307))*(INDEX(_xlfn.ANCHORARRAY(Sintesi!$C$15),1,$C307)&lt;0)+($E307&gt;=LOOKUP(2,1/($E:$E&lt;&gt;""),$E:$E))*($E307&lt;=$E308)*($E307&gt;INDEX(_xlfn.ANCHORARRAY(Sintesi!$C$14),1,$C307))*($E307&lt;=INDEX(_xlfn.ANCHORARRAY(Sintesi!$C$15),1,$C307))*(INDEX(_xlfn.ANCHORARRAY(Sintesi!$C$15),1,$C307)&gt;0),1,IF(($E307&gt;=LOOKUP(2,1/($E:$E&lt;&gt;""),$E:$E))*($E307&lt;=$E308)*($E307&gt;INDEX(_xlfn.ANCHORARRAY(Sintesi!$C$14),1,$C307))*($E307&lt;INDEX(_xlfn.ANCHORARRAY(Sintesi!$C$16),1,$C307))*(INDEX(_xlfn.ANCHORARRAY(Sintesi!$C$15),1,$C307)&lt;0)+($E307&gt;=LOOKUP(2,1/($E:$E&lt;&gt;""),$E:$E))*($E307&lt;=$E308)*($E307&gt;INDEX(_xlfn.ANCHORARRAY(Sintesi!$C$15),1,$C307))*($E307&lt;INDEX(_xlfn.ANCHORARRAY(Sintesi!$C$16),1,$C307))*(INDEX(_xlfn.ANCHORARRAY(Sintesi!$C$15),1,$C307)&gt;0),2,IF($E307=(INDEX(_xlfn.ANCHORARRAY(Sintesi!$C$16),1,$C307)),3,4)))),0)))</f>
        <v/>
      </c>
      <c r="E307" s="1">
        <f>'Paste cell here'!F307</f>
        <v/>
      </c>
      <c r="F307" s="1">
        <f>'Paste cell here'!C307</f>
        <v/>
      </c>
      <c r="G307" s="1">
        <f>'Paste cell here'!D307</f>
        <v/>
      </c>
      <c r="H307" s="1">
        <f>'Paste cell here'!E307</f>
        <v/>
      </c>
      <c r="I307" s="1">
        <f>'Paste cell here'!X307</f>
        <v/>
      </c>
      <c r="J307" s="1">
        <f>'Paste cell here'!Y307+'Paste cell here'!S307</f>
        <v/>
      </c>
      <c r="K307" s="1">
        <f>I307/H307</f>
        <v/>
      </c>
      <c r="L307" s="1">
        <f>AVERAGE(($F307+$G307)/2-($F307-$G307)/2*COS(PI()*(8-VLOOKUP(MONTH(B307),$O$1:$Q$13,3))/(VLOOKUP(MONTH(B307),$O$1:$Q$13,2)-VLOOKUP(MONTH(B307),$O$1:$Q$13,3))),($F307+$G307)/2-($F307-$G307)/2*COS(PI()*(9-VLOOKUP(MONTH(B307),$O$1:$Q$13,3))/(VLOOKUP(MONTH(B307),$O$1:$Q$13,2)-VLOOKUP(MONTH(B307),$O$1:$Q$13,3))),($F307+$G307)/2-($F307-$G307)/2*COS(PI()*(10-VLOOKUP(MONTH(B307),$O$1:$Q$13,3))/(VLOOKUP(MONTH(B307),$O$1:$Q$13,2)-VLOOKUP(MONTH(B307),$O$1:$Q$13,3))),($F307+$G307)/2-($F307-$G307)/2*COS(PI()*(11-VLOOKUP(MONTH(B307),$O$1:$Q$13,3))/(VLOOKUP(MONTH(B307),$O$1:$Q$13,2)-VLOOKUP(MONTH(B307),$O$1:$Q$13,3))),($F307+$G307)/2-($F307-$G307)/2*COS(PI()*(12-VLOOKUP(MONTH(B307),$O$1:$Q$13,3))/(VLOOKUP(MONTH(B307),$O$1:$Q$13,2)-VLOOKUP(MONTH(B307),$O$1:$Q$13,3))),($F307+$G307)/2-($F307-$G307)/2*COS(PI()*(13-VLOOKUP(MONTH(B307),$O$1:$Q$13,3))/(VLOOKUP(MONTH(B307),$O$1:$Q$13,2)-VLOOKUP(MONTH(B307),$O$1:$Q$13,3))),($F307+$G307)/2-($F307-$G307)/2*COS(PI()*(14-VLOOKUP(MONTH(B307),$O$1:$Q$13,3))/(VLOOKUP(MONTH(B307),$O$1:$Q$13,2)-VLOOKUP(MONTH(B307),$O$1:$Q$13,3))))</f>
        <v/>
      </c>
      <c r="M307" s="1">
        <f t="array" ref="M307">IF(AND(A307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,A307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),IF(L307&lt;_xlfn.IFNA(INDEX(_xlfn.ANCHORARRAY(Sintesi!$C$17)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,1,IF(L307&gt;=_xlfn.IFNA(INDEX(_xlfn.ANCHORARRAY(Sintesi!$C$18)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,0,1-(L307-_xlfn.IFNA(INDEX(_xlfn.ANCHORARRAY(Sintesi!$C$17)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)/(_xlfn.IFNA(INDEX(_xlfn.ANCHORARRAY(Sintesi!$C$18)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-_xlfn.IFNA(INDEX(_xlfn.ANCHORARRAY(Sintesi!$C$17)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))),0)</f>
        <v/>
      </c>
    </row>
    <row r="308">
      <c r="A308" s="1">
        <f>'Paste cell here'!A308</f>
        <v/>
      </c>
      <c r="B308" s="2">
        <f>DATE(Sintesi!$C$4-1,12,31)+A308</f>
        <v/>
      </c>
      <c r="C308" s="34">
        <f t="array" ref="C308">_xlfn.IFNA(MATCH(1,(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)*(_xlfn.ANCHORARRAY(Sintesi!$C$15)&gt;=0)+(_xlfn.ANCHORARRAY(Sintesi!$C$15)&lt;0),0),0)</f>
        <v/>
      </c>
      <c r="D308" s="1">
        <f t="array" ref="D308">IF(ISBLANK($E309),IF(ISNUMBER($E307),IF($C308&gt;0,IF(($E308=INDEX(_xlfn.ANCHORARRAY(Sintesi!$C$14),1,$C308))*(INDEX(_xlfn.ANCHORARRAY(Sintesi!$C$15),1,$C308)&gt;0),0,IF(($E308=INDEX(_xlfn.ANCHORARRAY(Sintesi!$C$14),1,$C308))*(INDEX(_xlfn.ANCHORARRAY(Sintesi!$C$15),1,$C308)&lt;0)+($E308&gt;=$E307)*($E308&lt;=INDEX($E:$E,MATCH(TRUE,INDEX((ISNUMBER($E:$E)),0),0)))*($E308&gt;INDEX(_xlfn.ANCHORARRAY(Sintesi!$C$14),1,$C308))*($E308&lt;=INDEX(_xlfn.ANCHORARRAY(Sintesi!$C$15),1,$C308))*(INDEX(_xlfn.ANCHORARRAY(Sintesi!$C$15),1,$C308)&gt;0),1,IF(($E308&gt;=$E307)*($E308&lt;=INDEX($E:$E,MATCH(TRUE,INDEX((ISNUMBER($E:$E)),0),0)))*($E308&gt;INDEX(_xlfn.ANCHORARRAY(Sintesi!$C$14),1,$C308))*($E308&lt;INDEX(_xlfn.ANCHORARRAY(Sintesi!$C$16),1,$C308))*(INDEX(_xlfn.ANCHORARRAY(Sintesi!$C$15),1,$C308)&lt;0)+($E308&gt;=$E307)*($E308&lt;=INDEX($E:$E,MATCH(TRUE,INDEX((ISNUMBER($E:$E)),0),0)))*($E308&gt;INDEX(_xlfn.ANCHORARRAY(Sintesi!$C$15),1,$C308))*($E308&lt;INDEX(_xlfn.ANCHORARRAY(Sintesi!$C$16),1,$C308))*(INDEX(_xlfn.ANCHORARRAY(Sintesi!$C$15),1,$C308)&gt;0),2,IF($E308=(INDEX(_xlfn.ANCHORARRAY(Sintesi!$C$16),1,$C308)),3,4)))),0),IF($C308&gt;0,IF(($E308=INDEX(_xlfn.ANCHORARRAY(Sintesi!$C$14),1,$C308))*(INDEX(_xlfn.ANCHORARRAY(Sintesi!$C$15),1,$C308)&gt;0),0,IF(($E308=INDEX(_xlfn.ANCHORARRAY(Sintesi!$C$14),1,$C308))*(INDEX(_xlfn.ANCHORARRAY(Sintesi!$C$15),1,$C308)&lt;0)+($E308&gt;=LOOKUP(2,1/($E:$E&lt;&gt;""),$E:$E))*($E308&lt;=INDEX($E:$E,MATCH(TRUE,INDEX((ISNUMBER($E:$E)),0),0)))*($E308&gt;INDEX(_xlfn.ANCHORARRAY(Sintesi!$C$14),1,$C308))*($E308&lt;=INDEX(_xlfn.ANCHORARRAY(Sintesi!$C$15),1,$C308))*(INDEX(_xlfn.ANCHORARRAY(Sintesi!$C$15),1,$C308)&gt;0),1,IF(($E308&gt;=LOOKUP(2,1/($E:$E&lt;&gt;""),$E:$E))*($E308&lt;=INDEX($E:$E,MATCH(TRUE,INDEX((ISNUMBER($E:$E)),0),0)))*($E308&gt;INDEX(_xlfn.ANCHORARRAY(Sintesi!$C$14),1,$C308))*($E308&lt;INDEX(_xlfn.ANCHORARRAY(Sintesi!$C$16),1,$C308))*(INDEX(_xlfn.ANCHORARRAY(Sintesi!$C$15),1,$C308)&lt;0)+($E308&gt;=LOOKUP(2,1/($E:$E&lt;&gt;""),$E:$E))*($E308&lt;=INDEX($E:$E,MATCH(TRUE,INDEX((ISNUMBER($E:$E)),0),0)))*($E308&gt;INDEX(_xlfn.ANCHORARRAY(Sintesi!$C$15),1,$C308))*($E308&lt;INDEX(_xlfn.ANCHORARRAY(Sintesi!$C$16),1,$C308))*(INDEX(_xlfn.ANCHORARRAY(Sintesi!$C$15),1,$C308)&gt;0),2,IF($E308=(INDEX(_xlfn.ANCHORARRAY(Sintesi!$C$16),1,$C308)),3,4)))),0)),IF(ISNUMBER($E307),IF($C308&gt;0,IF(($E308=INDEX(_xlfn.ANCHORARRAY(Sintesi!$C$14),1,$C308))*(INDEX(_xlfn.ANCHORARRAY(Sintesi!$C$15),1,$C308)&gt;0),0,IF(($E308=INDEX(_xlfn.ANCHORARRAY(Sintesi!$C$14),1,$C308))*(INDEX(_xlfn.ANCHORARRAY(Sintesi!$C$15),1,$C308)&lt;0)+($E308&gt;=$E307)*($E308&lt;=$E309)*($E308&gt;INDEX(_xlfn.ANCHORARRAY(Sintesi!$C$14),1,$C308))*($E308&lt;=INDEX(_xlfn.ANCHORARRAY(Sintesi!$C$15),1,$C308))*(INDEX(_xlfn.ANCHORARRAY(Sintesi!$C$15),1,$C308)&gt;0),1,IF(($E308&gt;=$E307)*($E308&lt;=$E309)*($E308&gt;INDEX(_xlfn.ANCHORARRAY(Sintesi!$C$14),1,$C308))*($E308&lt;INDEX(_xlfn.ANCHORARRAY(Sintesi!$C$16),1,$C308))*(INDEX(_xlfn.ANCHORARRAY(Sintesi!$C$15),1,$C308)&lt;0)+($E308&gt;=$E307)*($E308&lt;=$E309)*($E308&gt;INDEX(_xlfn.ANCHORARRAY(Sintesi!$C$15),1,$C308))*($E308&lt;INDEX(_xlfn.ANCHORARRAY(Sintesi!$C$16),1,$C308))*(INDEX(_xlfn.ANCHORARRAY(Sintesi!$C$15),1,$C308)&gt;0),2,IF($E308=(INDEX(_xlfn.ANCHORARRAY(Sintesi!$C$16),1,$C308)),3,4)))),0),IF($C308&gt;0,IF(($E308=INDEX(_xlfn.ANCHORARRAY(Sintesi!$C$14),1,$C308))*(INDEX(_xlfn.ANCHORARRAY(Sintesi!$C$15),1,$C308)&gt;0),0,IF(($E308=INDEX(_xlfn.ANCHORARRAY(Sintesi!$C$14),1,$C308))*(INDEX(_xlfn.ANCHORARRAY(Sintesi!$C$15),1,$C308)&lt;0)+($E308&gt;=LOOKUP(2,1/($E:$E&lt;&gt;""),$E:$E))*($E308&lt;=$E309)*($E308&gt;INDEX(_xlfn.ANCHORARRAY(Sintesi!$C$14),1,$C308))*($E308&lt;=INDEX(_xlfn.ANCHORARRAY(Sintesi!$C$15),1,$C308))*(INDEX(_xlfn.ANCHORARRAY(Sintesi!$C$15),1,$C308)&gt;0),1,IF(($E308&gt;=LOOKUP(2,1/($E:$E&lt;&gt;""),$E:$E))*($E308&lt;=$E309)*($E308&gt;INDEX(_xlfn.ANCHORARRAY(Sintesi!$C$14),1,$C308))*($E308&lt;INDEX(_xlfn.ANCHORARRAY(Sintesi!$C$16),1,$C308))*(INDEX(_xlfn.ANCHORARRAY(Sintesi!$C$15),1,$C308)&lt;0)+($E308&gt;=LOOKUP(2,1/($E:$E&lt;&gt;""),$E:$E))*($E308&lt;=$E309)*($E308&gt;INDEX(_xlfn.ANCHORARRAY(Sintesi!$C$15),1,$C308))*($E308&lt;INDEX(_xlfn.ANCHORARRAY(Sintesi!$C$16),1,$C308))*(INDEX(_xlfn.ANCHORARRAY(Sintesi!$C$15),1,$C308)&gt;0),2,IF($E308=(INDEX(_xlfn.ANCHORARRAY(Sintesi!$C$16),1,$C308)),3,4)))),0)))</f>
        <v/>
      </c>
      <c r="E308" s="1">
        <f>'Paste cell here'!F308</f>
        <v/>
      </c>
      <c r="F308" s="1">
        <f>'Paste cell here'!C308</f>
        <v/>
      </c>
      <c r="G308" s="1">
        <f>'Paste cell here'!D308</f>
        <v/>
      </c>
      <c r="H308" s="1">
        <f>'Paste cell here'!E308</f>
        <v/>
      </c>
      <c r="I308" s="1">
        <f>'Paste cell here'!X308</f>
        <v/>
      </c>
      <c r="J308" s="1">
        <f>'Paste cell here'!Y308+'Paste cell here'!S308</f>
        <v/>
      </c>
      <c r="K308" s="1">
        <f>I308/H308</f>
        <v/>
      </c>
      <c r="L308" s="1">
        <f>AVERAGE(($F308+$G308)/2-($F308-$G308)/2*COS(PI()*(8-VLOOKUP(MONTH(B308),$O$1:$Q$13,3))/(VLOOKUP(MONTH(B308),$O$1:$Q$13,2)-VLOOKUP(MONTH(B308),$O$1:$Q$13,3))),($F308+$G308)/2-($F308-$G308)/2*COS(PI()*(9-VLOOKUP(MONTH(B308),$O$1:$Q$13,3))/(VLOOKUP(MONTH(B308),$O$1:$Q$13,2)-VLOOKUP(MONTH(B308),$O$1:$Q$13,3))),($F308+$G308)/2-($F308-$G308)/2*COS(PI()*(10-VLOOKUP(MONTH(B308),$O$1:$Q$13,3))/(VLOOKUP(MONTH(B308),$O$1:$Q$13,2)-VLOOKUP(MONTH(B308),$O$1:$Q$13,3))),($F308+$G308)/2-($F308-$G308)/2*COS(PI()*(11-VLOOKUP(MONTH(B308),$O$1:$Q$13,3))/(VLOOKUP(MONTH(B308),$O$1:$Q$13,2)-VLOOKUP(MONTH(B308),$O$1:$Q$13,3))),($F308+$G308)/2-($F308-$G308)/2*COS(PI()*(12-VLOOKUP(MONTH(B308),$O$1:$Q$13,3))/(VLOOKUP(MONTH(B308),$O$1:$Q$13,2)-VLOOKUP(MONTH(B308),$O$1:$Q$13,3))),($F308+$G308)/2-($F308-$G308)/2*COS(PI()*(13-VLOOKUP(MONTH(B308),$O$1:$Q$13,3))/(VLOOKUP(MONTH(B308),$O$1:$Q$13,2)-VLOOKUP(MONTH(B308),$O$1:$Q$13,3))),($F308+$G308)/2-($F308-$G308)/2*COS(PI()*(14-VLOOKUP(MONTH(B308),$O$1:$Q$13,3))/(VLOOKUP(MONTH(B308),$O$1:$Q$13,2)-VLOOKUP(MONTH(B308),$O$1:$Q$13,3))))</f>
        <v/>
      </c>
      <c r="M308" s="1">
        <f t="array" ref="M308">IF(AND(A308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,A308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),IF(L308&lt;_xlfn.IFNA(INDEX(_xlfn.ANCHORARRAY(Sintesi!$C$17)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,1,IF(L308&gt;=_xlfn.IFNA(INDEX(_xlfn.ANCHORARRAY(Sintesi!$C$18)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,0,1-(L308-_xlfn.IFNA(INDEX(_xlfn.ANCHORARRAY(Sintesi!$C$17)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)/(_xlfn.IFNA(INDEX(_xlfn.ANCHORARRAY(Sintesi!$C$18)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-_xlfn.IFNA(INDEX(_xlfn.ANCHORARRAY(Sintesi!$C$17)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))),0)</f>
        <v/>
      </c>
    </row>
    <row r="309">
      <c r="A309" s="1">
        <f>'Paste cell here'!A309</f>
        <v/>
      </c>
      <c r="B309" s="2">
        <f>DATE(Sintesi!$C$4-1,12,31)+A309</f>
        <v/>
      </c>
      <c r="C309" s="34">
        <f t="array" ref="C309">_xlfn.IFNA(MATCH(1,(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)*(_xlfn.ANCHORARRAY(Sintesi!$C$15)&gt;=0)+(_xlfn.ANCHORARRAY(Sintesi!$C$15)&lt;0),0),0)</f>
        <v/>
      </c>
      <c r="D309" s="1">
        <f t="array" ref="D309">IF(ISBLANK($E310),IF(ISNUMBER($E308),IF($C309&gt;0,IF(($E309=INDEX(_xlfn.ANCHORARRAY(Sintesi!$C$14),1,$C309))*(INDEX(_xlfn.ANCHORARRAY(Sintesi!$C$15),1,$C309)&gt;0),0,IF(($E309=INDEX(_xlfn.ANCHORARRAY(Sintesi!$C$14),1,$C309))*(INDEX(_xlfn.ANCHORARRAY(Sintesi!$C$15),1,$C309)&lt;0)+($E309&gt;=$E308)*($E309&lt;=INDEX($E:$E,MATCH(TRUE,INDEX((ISNUMBER($E:$E)),0),0)))*($E309&gt;INDEX(_xlfn.ANCHORARRAY(Sintesi!$C$14),1,$C309))*($E309&lt;=INDEX(_xlfn.ANCHORARRAY(Sintesi!$C$15),1,$C309))*(INDEX(_xlfn.ANCHORARRAY(Sintesi!$C$15),1,$C309)&gt;0),1,IF(($E309&gt;=$E308)*($E309&lt;=INDEX($E:$E,MATCH(TRUE,INDEX((ISNUMBER($E:$E)),0),0)))*($E309&gt;INDEX(_xlfn.ANCHORARRAY(Sintesi!$C$14),1,$C309))*($E309&lt;INDEX(_xlfn.ANCHORARRAY(Sintesi!$C$16),1,$C309))*(INDEX(_xlfn.ANCHORARRAY(Sintesi!$C$15),1,$C309)&lt;0)+($E309&gt;=$E308)*($E309&lt;=INDEX($E:$E,MATCH(TRUE,INDEX((ISNUMBER($E:$E)),0),0)))*($E309&gt;INDEX(_xlfn.ANCHORARRAY(Sintesi!$C$15),1,$C309))*($E309&lt;INDEX(_xlfn.ANCHORARRAY(Sintesi!$C$16),1,$C309))*(INDEX(_xlfn.ANCHORARRAY(Sintesi!$C$15),1,$C309)&gt;0),2,IF($E309=(INDEX(_xlfn.ANCHORARRAY(Sintesi!$C$16),1,$C309)),3,4)))),0),IF($C309&gt;0,IF(($E309=INDEX(_xlfn.ANCHORARRAY(Sintesi!$C$14),1,$C309))*(INDEX(_xlfn.ANCHORARRAY(Sintesi!$C$15),1,$C309)&gt;0),0,IF(($E309=INDEX(_xlfn.ANCHORARRAY(Sintesi!$C$14),1,$C309))*(INDEX(_xlfn.ANCHORARRAY(Sintesi!$C$15),1,$C309)&lt;0)+($E309&gt;=LOOKUP(2,1/($E:$E&lt;&gt;""),$E:$E))*($E309&lt;=INDEX($E:$E,MATCH(TRUE,INDEX((ISNUMBER($E:$E)),0),0)))*($E309&gt;INDEX(_xlfn.ANCHORARRAY(Sintesi!$C$14),1,$C309))*($E309&lt;=INDEX(_xlfn.ANCHORARRAY(Sintesi!$C$15),1,$C309))*(INDEX(_xlfn.ANCHORARRAY(Sintesi!$C$15),1,$C309)&gt;0),1,IF(($E309&gt;=LOOKUP(2,1/($E:$E&lt;&gt;""),$E:$E))*($E309&lt;=INDEX($E:$E,MATCH(TRUE,INDEX((ISNUMBER($E:$E)),0),0)))*($E309&gt;INDEX(_xlfn.ANCHORARRAY(Sintesi!$C$14),1,$C309))*($E309&lt;INDEX(_xlfn.ANCHORARRAY(Sintesi!$C$16),1,$C309))*(INDEX(_xlfn.ANCHORARRAY(Sintesi!$C$15),1,$C309)&lt;0)+($E309&gt;=LOOKUP(2,1/($E:$E&lt;&gt;""),$E:$E))*($E309&lt;=INDEX($E:$E,MATCH(TRUE,INDEX((ISNUMBER($E:$E)),0),0)))*($E309&gt;INDEX(_xlfn.ANCHORARRAY(Sintesi!$C$15),1,$C309))*($E309&lt;INDEX(_xlfn.ANCHORARRAY(Sintesi!$C$16),1,$C309))*(INDEX(_xlfn.ANCHORARRAY(Sintesi!$C$15),1,$C309)&gt;0),2,IF($E309=(INDEX(_xlfn.ANCHORARRAY(Sintesi!$C$16),1,$C309)),3,4)))),0)),IF(ISNUMBER($E308),IF($C309&gt;0,IF(($E309=INDEX(_xlfn.ANCHORARRAY(Sintesi!$C$14),1,$C309))*(INDEX(_xlfn.ANCHORARRAY(Sintesi!$C$15),1,$C309)&gt;0),0,IF(($E309=INDEX(_xlfn.ANCHORARRAY(Sintesi!$C$14),1,$C309))*(INDEX(_xlfn.ANCHORARRAY(Sintesi!$C$15),1,$C309)&lt;0)+($E309&gt;=$E308)*($E309&lt;=$E310)*($E309&gt;INDEX(_xlfn.ANCHORARRAY(Sintesi!$C$14),1,$C309))*($E309&lt;=INDEX(_xlfn.ANCHORARRAY(Sintesi!$C$15),1,$C309))*(INDEX(_xlfn.ANCHORARRAY(Sintesi!$C$15),1,$C309)&gt;0),1,IF(($E309&gt;=$E308)*($E309&lt;=$E310)*($E309&gt;INDEX(_xlfn.ANCHORARRAY(Sintesi!$C$14),1,$C309))*($E309&lt;INDEX(_xlfn.ANCHORARRAY(Sintesi!$C$16),1,$C309))*(INDEX(_xlfn.ANCHORARRAY(Sintesi!$C$15),1,$C309)&lt;0)+($E309&gt;=$E308)*($E309&lt;=$E310)*($E309&gt;INDEX(_xlfn.ANCHORARRAY(Sintesi!$C$15),1,$C309))*($E309&lt;INDEX(_xlfn.ANCHORARRAY(Sintesi!$C$16),1,$C309))*(INDEX(_xlfn.ANCHORARRAY(Sintesi!$C$15),1,$C309)&gt;0),2,IF($E309=(INDEX(_xlfn.ANCHORARRAY(Sintesi!$C$16),1,$C309)),3,4)))),0),IF($C309&gt;0,IF(($E309=INDEX(_xlfn.ANCHORARRAY(Sintesi!$C$14),1,$C309))*(INDEX(_xlfn.ANCHORARRAY(Sintesi!$C$15),1,$C309)&gt;0),0,IF(($E309=INDEX(_xlfn.ANCHORARRAY(Sintesi!$C$14),1,$C309))*(INDEX(_xlfn.ANCHORARRAY(Sintesi!$C$15),1,$C309)&lt;0)+($E309&gt;=LOOKUP(2,1/($E:$E&lt;&gt;""),$E:$E))*($E309&lt;=$E310)*($E309&gt;INDEX(_xlfn.ANCHORARRAY(Sintesi!$C$14),1,$C309))*($E309&lt;=INDEX(_xlfn.ANCHORARRAY(Sintesi!$C$15),1,$C309))*(INDEX(_xlfn.ANCHORARRAY(Sintesi!$C$15),1,$C309)&gt;0),1,IF(($E309&gt;=LOOKUP(2,1/($E:$E&lt;&gt;""),$E:$E))*($E309&lt;=$E310)*($E309&gt;INDEX(_xlfn.ANCHORARRAY(Sintesi!$C$14),1,$C309))*($E309&lt;INDEX(_xlfn.ANCHORARRAY(Sintesi!$C$16),1,$C309))*(INDEX(_xlfn.ANCHORARRAY(Sintesi!$C$15),1,$C309)&lt;0)+($E309&gt;=LOOKUP(2,1/($E:$E&lt;&gt;""),$E:$E))*($E309&lt;=$E310)*($E309&gt;INDEX(_xlfn.ANCHORARRAY(Sintesi!$C$15),1,$C309))*($E309&lt;INDEX(_xlfn.ANCHORARRAY(Sintesi!$C$16),1,$C309))*(INDEX(_xlfn.ANCHORARRAY(Sintesi!$C$15),1,$C309)&gt;0),2,IF($E309=(INDEX(_xlfn.ANCHORARRAY(Sintesi!$C$16),1,$C309)),3,4)))),0)))</f>
        <v/>
      </c>
      <c r="E309" s="1">
        <f>'Paste cell here'!F309</f>
        <v/>
      </c>
      <c r="F309" s="1">
        <f>'Paste cell here'!C309</f>
        <v/>
      </c>
      <c r="G309" s="1">
        <f>'Paste cell here'!D309</f>
        <v/>
      </c>
      <c r="H309" s="1">
        <f>'Paste cell here'!E309</f>
        <v/>
      </c>
      <c r="I309" s="1">
        <f>'Paste cell here'!X309</f>
        <v/>
      </c>
      <c r="J309" s="1">
        <f>'Paste cell here'!Y309+'Paste cell here'!S309</f>
        <v/>
      </c>
      <c r="K309" s="1">
        <f>I309/H309</f>
        <v/>
      </c>
      <c r="L309" s="1">
        <f>AVERAGE(($F309+$G309)/2-($F309-$G309)/2*COS(PI()*(8-VLOOKUP(MONTH(B309),$O$1:$Q$13,3))/(VLOOKUP(MONTH(B309),$O$1:$Q$13,2)-VLOOKUP(MONTH(B309),$O$1:$Q$13,3))),($F309+$G309)/2-($F309-$G309)/2*COS(PI()*(9-VLOOKUP(MONTH(B309),$O$1:$Q$13,3))/(VLOOKUP(MONTH(B309),$O$1:$Q$13,2)-VLOOKUP(MONTH(B309),$O$1:$Q$13,3))),($F309+$G309)/2-($F309-$G309)/2*COS(PI()*(10-VLOOKUP(MONTH(B309),$O$1:$Q$13,3))/(VLOOKUP(MONTH(B309),$O$1:$Q$13,2)-VLOOKUP(MONTH(B309),$O$1:$Q$13,3))),($F309+$G309)/2-($F309-$G309)/2*COS(PI()*(11-VLOOKUP(MONTH(B309),$O$1:$Q$13,3))/(VLOOKUP(MONTH(B309),$O$1:$Q$13,2)-VLOOKUP(MONTH(B309),$O$1:$Q$13,3))),($F309+$G309)/2-($F309-$G309)/2*COS(PI()*(12-VLOOKUP(MONTH(B309),$O$1:$Q$13,3))/(VLOOKUP(MONTH(B309),$O$1:$Q$13,2)-VLOOKUP(MONTH(B309),$O$1:$Q$13,3))),($F309+$G309)/2-($F309-$G309)/2*COS(PI()*(13-VLOOKUP(MONTH(B309),$O$1:$Q$13,3))/(VLOOKUP(MONTH(B309),$O$1:$Q$13,2)-VLOOKUP(MONTH(B309),$O$1:$Q$13,3))),($F309+$G309)/2-($F309-$G309)/2*COS(PI()*(14-VLOOKUP(MONTH(B309),$O$1:$Q$13,3))/(VLOOKUP(MONTH(B309),$O$1:$Q$13,2)-VLOOKUP(MONTH(B309),$O$1:$Q$13,3))))</f>
        <v/>
      </c>
      <c r="M309" s="1">
        <f t="array" ref="M309">IF(AND(A309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,A309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),IF(L309&lt;_xlfn.IFNA(INDEX(_xlfn.ANCHORARRAY(Sintesi!$C$17)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,1,IF(L309&gt;=_xlfn.IFNA(INDEX(_xlfn.ANCHORARRAY(Sintesi!$C$18)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,0,1-(L309-_xlfn.IFNA(INDEX(_xlfn.ANCHORARRAY(Sintesi!$C$17)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)/(_xlfn.IFNA(INDEX(_xlfn.ANCHORARRAY(Sintesi!$C$18)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-_xlfn.IFNA(INDEX(_xlfn.ANCHORARRAY(Sintesi!$C$17)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))),0)</f>
        <v/>
      </c>
    </row>
    <row r="310">
      <c r="A310" s="1">
        <f>'Paste cell here'!A310</f>
        <v/>
      </c>
      <c r="B310" s="2">
        <f>DATE(Sintesi!$C$4-1,12,31)+A310</f>
        <v/>
      </c>
      <c r="C310" s="34">
        <f t="array" ref="C310">_xlfn.IFNA(MATCH(1,(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)*(_xlfn.ANCHORARRAY(Sintesi!$C$15)&gt;=0)+(_xlfn.ANCHORARRAY(Sintesi!$C$15)&lt;0),0),0)</f>
        <v/>
      </c>
      <c r="D310" s="1">
        <f t="array" ref="D310">IF(ISBLANK($E311),IF(ISNUMBER($E309),IF($C310&gt;0,IF(($E310=INDEX(_xlfn.ANCHORARRAY(Sintesi!$C$14),1,$C310))*(INDEX(_xlfn.ANCHORARRAY(Sintesi!$C$15),1,$C310)&gt;0),0,IF(($E310=INDEX(_xlfn.ANCHORARRAY(Sintesi!$C$14),1,$C310))*(INDEX(_xlfn.ANCHORARRAY(Sintesi!$C$15),1,$C310)&lt;0)+($E310&gt;=$E309)*($E310&lt;=INDEX($E:$E,MATCH(TRUE,INDEX((ISNUMBER($E:$E)),0),0)))*($E310&gt;INDEX(_xlfn.ANCHORARRAY(Sintesi!$C$14),1,$C310))*($E310&lt;=INDEX(_xlfn.ANCHORARRAY(Sintesi!$C$15),1,$C310))*(INDEX(_xlfn.ANCHORARRAY(Sintesi!$C$15),1,$C310)&gt;0),1,IF(($E310&gt;=$E309)*($E310&lt;=INDEX($E:$E,MATCH(TRUE,INDEX((ISNUMBER($E:$E)),0),0)))*($E310&gt;INDEX(_xlfn.ANCHORARRAY(Sintesi!$C$14),1,$C310))*($E310&lt;INDEX(_xlfn.ANCHORARRAY(Sintesi!$C$16),1,$C310))*(INDEX(_xlfn.ANCHORARRAY(Sintesi!$C$15),1,$C310)&lt;0)+($E310&gt;=$E309)*($E310&lt;=INDEX($E:$E,MATCH(TRUE,INDEX((ISNUMBER($E:$E)),0),0)))*($E310&gt;INDEX(_xlfn.ANCHORARRAY(Sintesi!$C$15),1,$C310))*($E310&lt;INDEX(_xlfn.ANCHORARRAY(Sintesi!$C$16),1,$C310))*(INDEX(_xlfn.ANCHORARRAY(Sintesi!$C$15),1,$C310)&gt;0),2,IF($E310=(INDEX(_xlfn.ANCHORARRAY(Sintesi!$C$16),1,$C310)),3,4)))),0),IF($C310&gt;0,IF(($E310=INDEX(_xlfn.ANCHORARRAY(Sintesi!$C$14),1,$C310))*(INDEX(_xlfn.ANCHORARRAY(Sintesi!$C$15),1,$C310)&gt;0),0,IF(($E310=INDEX(_xlfn.ANCHORARRAY(Sintesi!$C$14),1,$C310))*(INDEX(_xlfn.ANCHORARRAY(Sintesi!$C$15),1,$C310)&lt;0)+($E310&gt;=LOOKUP(2,1/($E:$E&lt;&gt;""),$E:$E))*($E310&lt;=INDEX($E:$E,MATCH(TRUE,INDEX((ISNUMBER($E:$E)),0),0)))*($E310&gt;INDEX(_xlfn.ANCHORARRAY(Sintesi!$C$14),1,$C310))*($E310&lt;=INDEX(_xlfn.ANCHORARRAY(Sintesi!$C$15),1,$C310))*(INDEX(_xlfn.ANCHORARRAY(Sintesi!$C$15),1,$C310)&gt;0),1,IF(($E310&gt;=LOOKUP(2,1/($E:$E&lt;&gt;""),$E:$E))*($E310&lt;=INDEX($E:$E,MATCH(TRUE,INDEX((ISNUMBER($E:$E)),0),0)))*($E310&gt;INDEX(_xlfn.ANCHORARRAY(Sintesi!$C$14),1,$C310))*($E310&lt;INDEX(_xlfn.ANCHORARRAY(Sintesi!$C$16),1,$C310))*(INDEX(_xlfn.ANCHORARRAY(Sintesi!$C$15),1,$C310)&lt;0)+($E310&gt;=LOOKUP(2,1/($E:$E&lt;&gt;""),$E:$E))*($E310&lt;=INDEX($E:$E,MATCH(TRUE,INDEX((ISNUMBER($E:$E)),0),0)))*($E310&gt;INDEX(_xlfn.ANCHORARRAY(Sintesi!$C$15),1,$C310))*($E310&lt;INDEX(_xlfn.ANCHORARRAY(Sintesi!$C$16),1,$C310))*(INDEX(_xlfn.ANCHORARRAY(Sintesi!$C$15),1,$C310)&gt;0),2,IF($E310=(INDEX(_xlfn.ANCHORARRAY(Sintesi!$C$16),1,$C310)),3,4)))),0)),IF(ISNUMBER($E309),IF($C310&gt;0,IF(($E310=INDEX(_xlfn.ANCHORARRAY(Sintesi!$C$14),1,$C310))*(INDEX(_xlfn.ANCHORARRAY(Sintesi!$C$15),1,$C310)&gt;0),0,IF(($E310=INDEX(_xlfn.ANCHORARRAY(Sintesi!$C$14),1,$C310))*(INDEX(_xlfn.ANCHORARRAY(Sintesi!$C$15),1,$C310)&lt;0)+($E310&gt;=$E309)*($E310&lt;=$E311)*($E310&gt;INDEX(_xlfn.ANCHORARRAY(Sintesi!$C$14),1,$C310))*($E310&lt;=INDEX(_xlfn.ANCHORARRAY(Sintesi!$C$15),1,$C310))*(INDEX(_xlfn.ANCHORARRAY(Sintesi!$C$15),1,$C310)&gt;0),1,IF(($E310&gt;=$E309)*($E310&lt;=$E311)*($E310&gt;INDEX(_xlfn.ANCHORARRAY(Sintesi!$C$14),1,$C310))*($E310&lt;INDEX(_xlfn.ANCHORARRAY(Sintesi!$C$16),1,$C310))*(INDEX(_xlfn.ANCHORARRAY(Sintesi!$C$15),1,$C310)&lt;0)+($E310&gt;=$E309)*($E310&lt;=$E311)*($E310&gt;INDEX(_xlfn.ANCHORARRAY(Sintesi!$C$15),1,$C310))*($E310&lt;INDEX(_xlfn.ANCHORARRAY(Sintesi!$C$16),1,$C310))*(INDEX(_xlfn.ANCHORARRAY(Sintesi!$C$15),1,$C310)&gt;0),2,IF($E310=(INDEX(_xlfn.ANCHORARRAY(Sintesi!$C$16),1,$C310)),3,4)))),0),IF($C310&gt;0,IF(($E310=INDEX(_xlfn.ANCHORARRAY(Sintesi!$C$14),1,$C310))*(INDEX(_xlfn.ANCHORARRAY(Sintesi!$C$15),1,$C310)&gt;0),0,IF(($E310=INDEX(_xlfn.ANCHORARRAY(Sintesi!$C$14),1,$C310))*(INDEX(_xlfn.ANCHORARRAY(Sintesi!$C$15),1,$C310)&lt;0)+($E310&gt;=LOOKUP(2,1/($E:$E&lt;&gt;""),$E:$E))*($E310&lt;=$E311)*($E310&gt;INDEX(_xlfn.ANCHORARRAY(Sintesi!$C$14),1,$C310))*($E310&lt;=INDEX(_xlfn.ANCHORARRAY(Sintesi!$C$15),1,$C310))*(INDEX(_xlfn.ANCHORARRAY(Sintesi!$C$15),1,$C310)&gt;0),1,IF(($E310&gt;=LOOKUP(2,1/($E:$E&lt;&gt;""),$E:$E))*($E310&lt;=$E311)*($E310&gt;INDEX(_xlfn.ANCHORARRAY(Sintesi!$C$14),1,$C310))*($E310&lt;INDEX(_xlfn.ANCHORARRAY(Sintesi!$C$16),1,$C310))*(INDEX(_xlfn.ANCHORARRAY(Sintesi!$C$15),1,$C310)&lt;0)+($E310&gt;=LOOKUP(2,1/($E:$E&lt;&gt;""),$E:$E))*($E310&lt;=$E311)*($E310&gt;INDEX(_xlfn.ANCHORARRAY(Sintesi!$C$15),1,$C310))*($E310&lt;INDEX(_xlfn.ANCHORARRAY(Sintesi!$C$16),1,$C310))*(INDEX(_xlfn.ANCHORARRAY(Sintesi!$C$15),1,$C310)&gt;0),2,IF($E310=(INDEX(_xlfn.ANCHORARRAY(Sintesi!$C$16),1,$C310)),3,4)))),0)))</f>
        <v/>
      </c>
      <c r="E310" s="1">
        <f>'Paste cell here'!F310</f>
        <v/>
      </c>
      <c r="F310" s="1">
        <f>'Paste cell here'!C310</f>
        <v/>
      </c>
      <c r="G310" s="1">
        <f>'Paste cell here'!D310</f>
        <v/>
      </c>
      <c r="H310" s="1">
        <f>'Paste cell here'!E310</f>
        <v/>
      </c>
      <c r="I310" s="1">
        <f>'Paste cell here'!X310</f>
        <v/>
      </c>
      <c r="J310" s="1">
        <f>'Paste cell here'!Y310+'Paste cell here'!S310</f>
        <v/>
      </c>
      <c r="K310" s="1">
        <f>I310/H310</f>
        <v/>
      </c>
      <c r="L310" s="1">
        <f>AVERAGE(($F310+$G310)/2-($F310-$G310)/2*COS(PI()*(8-VLOOKUP(MONTH(B310),$O$1:$Q$13,3))/(VLOOKUP(MONTH(B310),$O$1:$Q$13,2)-VLOOKUP(MONTH(B310),$O$1:$Q$13,3))),($F310+$G310)/2-($F310-$G310)/2*COS(PI()*(9-VLOOKUP(MONTH(B310),$O$1:$Q$13,3))/(VLOOKUP(MONTH(B310),$O$1:$Q$13,2)-VLOOKUP(MONTH(B310),$O$1:$Q$13,3))),($F310+$G310)/2-($F310-$G310)/2*COS(PI()*(10-VLOOKUP(MONTH(B310),$O$1:$Q$13,3))/(VLOOKUP(MONTH(B310),$O$1:$Q$13,2)-VLOOKUP(MONTH(B310),$O$1:$Q$13,3))),($F310+$G310)/2-($F310-$G310)/2*COS(PI()*(11-VLOOKUP(MONTH(B310),$O$1:$Q$13,3))/(VLOOKUP(MONTH(B310),$O$1:$Q$13,2)-VLOOKUP(MONTH(B310),$O$1:$Q$13,3))),($F310+$G310)/2-($F310-$G310)/2*COS(PI()*(12-VLOOKUP(MONTH(B310),$O$1:$Q$13,3))/(VLOOKUP(MONTH(B310),$O$1:$Q$13,2)-VLOOKUP(MONTH(B310),$O$1:$Q$13,3))),($F310+$G310)/2-($F310-$G310)/2*COS(PI()*(13-VLOOKUP(MONTH(B310),$O$1:$Q$13,3))/(VLOOKUP(MONTH(B310),$O$1:$Q$13,2)-VLOOKUP(MONTH(B310),$O$1:$Q$13,3))),($F310+$G310)/2-($F310-$G310)/2*COS(PI()*(14-VLOOKUP(MONTH(B310),$O$1:$Q$13,3))/(VLOOKUP(MONTH(B310),$O$1:$Q$13,2)-VLOOKUP(MONTH(B310),$O$1:$Q$13,3))))</f>
        <v/>
      </c>
      <c r="M310" s="1">
        <f t="array" ref="M310">IF(AND(A310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,A310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),IF(L310&lt;_xlfn.IFNA(INDEX(_xlfn.ANCHORARRAY(Sintesi!$C$17)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,1,IF(L310&gt;=_xlfn.IFNA(INDEX(_xlfn.ANCHORARRAY(Sintesi!$C$18)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,0,1-(L310-_xlfn.IFNA(INDEX(_xlfn.ANCHORARRAY(Sintesi!$C$17)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)/(_xlfn.IFNA(INDEX(_xlfn.ANCHORARRAY(Sintesi!$C$18)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-_xlfn.IFNA(INDEX(_xlfn.ANCHORARRAY(Sintesi!$C$17)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))),0)</f>
        <v/>
      </c>
    </row>
    <row r="311">
      <c r="A311" s="1">
        <f>'Paste cell here'!A311</f>
        <v/>
      </c>
      <c r="B311" s="2">
        <f>DATE(Sintesi!$C$4-1,12,31)+A311</f>
        <v/>
      </c>
      <c r="C311" s="34">
        <f t="array" ref="C311">_xlfn.IFNA(MATCH(1,(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)*(_xlfn.ANCHORARRAY(Sintesi!$C$15)&gt;=0)+(_xlfn.ANCHORARRAY(Sintesi!$C$15)&lt;0),0),0)</f>
        <v/>
      </c>
      <c r="D311" s="1">
        <f t="array" ref="D311">IF(ISBLANK($E312),IF(ISNUMBER($E310),IF($C311&gt;0,IF(($E311=INDEX(_xlfn.ANCHORARRAY(Sintesi!$C$14),1,$C311))*(INDEX(_xlfn.ANCHORARRAY(Sintesi!$C$15),1,$C311)&gt;0),0,IF(($E311=INDEX(_xlfn.ANCHORARRAY(Sintesi!$C$14),1,$C311))*(INDEX(_xlfn.ANCHORARRAY(Sintesi!$C$15),1,$C311)&lt;0)+($E311&gt;=$E310)*($E311&lt;=INDEX($E:$E,MATCH(TRUE,INDEX((ISNUMBER($E:$E)),0),0)))*($E311&gt;INDEX(_xlfn.ANCHORARRAY(Sintesi!$C$14),1,$C311))*($E311&lt;=INDEX(_xlfn.ANCHORARRAY(Sintesi!$C$15),1,$C311))*(INDEX(_xlfn.ANCHORARRAY(Sintesi!$C$15),1,$C311)&gt;0),1,IF(($E311&gt;=$E310)*($E311&lt;=INDEX($E:$E,MATCH(TRUE,INDEX((ISNUMBER($E:$E)),0),0)))*($E311&gt;INDEX(_xlfn.ANCHORARRAY(Sintesi!$C$14),1,$C311))*($E311&lt;INDEX(_xlfn.ANCHORARRAY(Sintesi!$C$16),1,$C311))*(INDEX(_xlfn.ANCHORARRAY(Sintesi!$C$15),1,$C311)&lt;0)+($E311&gt;=$E310)*($E311&lt;=INDEX($E:$E,MATCH(TRUE,INDEX((ISNUMBER($E:$E)),0),0)))*($E311&gt;INDEX(_xlfn.ANCHORARRAY(Sintesi!$C$15),1,$C311))*($E311&lt;INDEX(_xlfn.ANCHORARRAY(Sintesi!$C$16),1,$C311))*(INDEX(_xlfn.ANCHORARRAY(Sintesi!$C$15),1,$C311)&gt;0),2,IF($E311=(INDEX(_xlfn.ANCHORARRAY(Sintesi!$C$16),1,$C311)),3,4)))),0),IF($C311&gt;0,IF(($E311=INDEX(_xlfn.ANCHORARRAY(Sintesi!$C$14),1,$C311))*(INDEX(_xlfn.ANCHORARRAY(Sintesi!$C$15),1,$C311)&gt;0),0,IF(($E311=INDEX(_xlfn.ANCHORARRAY(Sintesi!$C$14),1,$C311))*(INDEX(_xlfn.ANCHORARRAY(Sintesi!$C$15),1,$C311)&lt;0)+($E311&gt;=LOOKUP(2,1/($E:$E&lt;&gt;""),$E:$E))*($E311&lt;=INDEX($E:$E,MATCH(TRUE,INDEX((ISNUMBER($E:$E)),0),0)))*($E311&gt;INDEX(_xlfn.ANCHORARRAY(Sintesi!$C$14),1,$C311))*($E311&lt;=INDEX(_xlfn.ANCHORARRAY(Sintesi!$C$15),1,$C311))*(INDEX(_xlfn.ANCHORARRAY(Sintesi!$C$15),1,$C311)&gt;0),1,IF(($E311&gt;=LOOKUP(2,1/($E:$E&lt;&gt;""),$E:$E))*($E311&lt;=INDEX($E:$E,MATCH(TRUE,INDEX((ISNUMBER($E:$E)),0),0)))*($E311&gt;INDEX(_xlfn.ANCHORARRAY(Sintesi!$C$14),1,$C311))*($E311&lt;INDEX(_xlfn.ANCHORARRAY(Sintesi!$C$16),1,$C311))*(INDEX(_xlfn.ANCHORARRAY(Sintesi!$C$15),1,$C311)&lt;0)+($E311&gt;=LOOKUP(2,1/($E:$E&lt;&gt;""),$E:$E))*($E311&lt;=INDEX($E:$E,MATCH(TRUE,INDEX((ISNUMBER($E:$E)),0),0)))*($E311&gt;INDEX(_xlfn.ANCHORARRAY(Sintesi!$C$15),1,$C311))*($E311&lt;INDEX(_xlfn.ANCHORARRAY(Sintesi!$C$16),1,$C311))*(INDEX(_xlfn.ANCHORARRAY(Sintesi!$C$15),1,$C311)&gt;0),2,IF($E311=(INDEX(_xlfn.ANCHORARRAY(Sintesi!$C$16),1,$C311)),3,4)))),0)),IF(ISNUMBER($E310),IF($C311&gt;0,IF(($E311=INDEX(_xlfn.ANCHORARRAY(Sintesi!$C$14),1,$C311))*(INDEX(_xlfn.ANCHORARRAY(Sintesi!$C$15),1,$C311)&gt;0),0,IF(($E311=INDEX(_xlfn.ANCHORARRAY(Sintesi!$C$14),1,$C311))*(INDEX(_xlfn.ANCHORARRAY(Sintesi!$C$15),1,$C311)&lt;0)+($E311&gt;=$E310)*($E311&lt;=$E312)*($E311&gt;INDEX(_xlfn.ANCHORARRAY(Sintesi!$C$14),1,$C311))*($E311&lt;=INDEX(_xlfn.ANCHORARRAY(Sintesi!$C$15),1,$C311))*(INDEX(_xlfn.ANCHORARRAY(Sintesi!$C$15),1,$C311)&gt;0),1,IF(($E311&gt;=$E310)*($E311&lt;=$E312)*($E311&gt;INDEX(_xlfn.ANCHORARRAY(Sintesi!$C$14),1,$C311))*($E311&lt;INDEX(_xlfn.ANCHORARRAY(Sintesi!$C$16),1,$C311))*(INDEX(_xlfn.ANCHORARRAY(Sintesi!$C$15),1,$C311)&lt;0)+($E311&gt;=$E310)*($E311&lt;=$E312)*($E311&gt;INDEX(_xlfn.ANCHORARRAY(Sintesi!$C$15),1,$C311))*($E311&lt;INDEX(_xlfn.ANCHORARRAY(Sintesi!$C$16),1,$C311))*(INDEX(_xlfn.ANCHORARRAY(Sintesi!$C$15),1,$C311)&gt;0),2,IF($E311=(INDEX(_xlfn.ANCHORARRAY(Sintesi!$C$16),1,$C311)),3,4)))),0),IF($C311&gt;0,IF(($E311=INDEX(_xlfn.ANCHORARRAY(Sintesi!$C$14),1,$C311))*(INDEX(_xlfn.ANCHORARRAY(Sintesi!$C$15),1,$C311)&gt;0),0,IF(($E311=INDEX(_xlfn.ANCHORARRAY(Sintesi!$C$14),1,$C311))*(INDEX(_xlfn.ANCHORARRAY(Sintesi!$C$15),1,$C311)&lt;0)+($E311&gt;=LOOKUP(2,1/($E:$E&lt;&gt;""),$E:$E))*($E311&lt;=$E312)*($E311&gt;INDEX(_xlfn.ANCHORARRAY(Sintesi!$C$14),1,$C311))*($E311&lt;=INDEX(_xlfn.ANCHORARRAY(Sintesi!$C$15),1,$C311))*(INDEX(_xlfn.ANCHORARRAY(Sintesi!$C$15),1,$C311)&gt;0),1,IF(($E311&gt;=LOOKUP(2,1/($E:$E&lt;&gt;""),$E:$E))*($E311&lt;=$E312)*($E311&gt;INDEX(_xlfn.ANCHORARRAY(Sintesi!$C$14),1,$C311))*($E311&lt;INDEX(_xlfn.ANCHORARRAY(Sintesi!$C$16),1,$C311))*(INDEX(_xlfn.ANCHORARRAY(Sintesi!$C$15),1,$C311)&lt;0)+($E311&gt;=LOOKUP(2,1/($E:$E&lt;&gt;""),$E:$E))*($E311&lt;=$E312)*($E311&gt;INDEX(_xlfn.ANCHORARRAY(Sintesi!$C$15),1,$C311))*($E311&lt;INDEX(_xlfn.ANCHORARRAY(Sintesi!$C$16),1,$C311))*(INDEX(_xlfn.ANCHORARRAY(Sintesi!$C$15),1,$C311)&gt;0),2,IF($E311=(INDEX(_xlfn.ANCHORARRAY(Sintesi!$C$16),1,$C311)),3,4)))),0)))</f>
        <v/>
      </c>
      <c r="E311" s="1">
        <f>'Paste cell here'!F311</f>
        <v/>
      </c>
      <c r="F311" s="1">
        <f>'Paste cell here'!C311</f>
        <v/>
      </c>
      <c r="G311" s="1">
        <f>'Paste cell here'!D311</f>
        <v/>
      </c>
      <c r="H311" s="1">
        <f>'Paste cell here'!E311</f>
        <v/>
      </c>
      <c r="I311" s="1">
        <f>'Paste cell here'!X311</f>
        <v/>
      </c>
      <c r="J311" s="1">
        <f>'Paste cell here'!Y311+'Paste cell here'!S311</f>
        <v/>
      </c>
      <c r="K311" s="1">
        <f>I311/H311</f>
        <v/>
      </c>
      <c r="L311" s="1">
        <f>AVERAGE(($F311+$G311)/2-($F311-$G311)/2*COS(PI()*(8-VLOOKUP(MONTH(B311),$O$1:$Q$13,3))/(VLOOKUP(MONTH(B311),$O$1:$Q$13,2)-VLOOKUP(MONTH(B311),$O$1:$Q$13,3))),($F311+$G311)/2-($F311-$G311)/2*COS(PI()*(9-VLOOKUP(MONTH(B311),$O$1:$Q$13,3))/(VLOOKUP(MONTH(B311),$O$1:$Q$13,2)-VLOOKUP(MONTH(B311),$O$1:$Q$13,3))),($F311+$G311)/2-($F311-$G311)/2*COS(PI()*(10-VLOOKUP(MONTH(B311),$O$1:$Q$13,3))/(VLOOKUP(MONTH(B311),$O$1:$Q$13,2)-VLOOKUP(MONTH(B311),$O$1:$Q$13,3))),($F311+$G311)/2-($F311-$G311)/2*COS(PI()*(11-VLOOKUP(MONTH(B311),$O$1:$Q$13,3))/(VLOOKUP(MONTH(B311),$O$1:$Q$13,2)-VLOOKUP(MONTH(B311),$O$1:$Q$13,3))),($F311+$G311)/2-($F311-$G311)/2*COS(PI()*(12-VLOOKUP(MONTH(B311),$O$1:$Q$13,3))/(VLOOKUP(MONTH(B311),$O$1:$Q$13,2)-VLOOKUP(MONTH(B311),$O$1:$Q$13,3))),($F311+$G311)/2-($F311-$G311)/2*COS(PI()*(13-VLOOKUP(MONTH(B311),$O$1:$Q$13,3))/(VLOOKUP(MONTH(B311),$O$1:$Q$13,2)-VLOOKUP(MONTH(B311),$O$1:$Q$13,3))),($F311+$G311)/2-($F311-$G311)/2*COS(PI()*(14-VLOOKUP(MONTH(B311),$O$1:$Q$13,3))/(VLOOKUP(MONTH(B311),$O$1:$Q$13,2)-VLOOKUP(MONTH(B311),$O$1:$Q$13,3))))</f>
        <v/>
      </c>
      <c r="M311" s="1">
        <f t="array" ref="M311">IF(AND(A311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,A311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),IF(L311&lt;_xlfn.IFNA(INDEX(_xlfn.ANCHORARRAY(Sintesi!$C$17)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,1,IF(L311&gt;=_xlfn.IFNA(INDEX(_xlfn.ANCHORARRAY(Sintesi!$C$18)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,0,1-(L311-_xlfn.IFNA(INDEX(_xlfn.ANCHORARRAY(Sintesi!$C$17)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)/(_xlfn.IFNA(INDEX(_xlfn.ANCHORARRAY(Sintesi!$C$18)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-_xlfn.IFNA(INDEX(_xlfn.ANCHORARRAY(Sintesi!$C$17)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))),0)</f>
        <v/>
      </c>
    </row>
    <row r="312">
      <c r="A312" s="1">
        <f>'Paste cell here'!A312</f>
        <v/>
      </c>
      <c r="B312" s="2">
        <f>DATE(Sintesi!$C$4-1,12,31)+A312</f>
        <v/>
      </c>
      <c r="C312" s="34">
        <f t="array" ref="C312">_xlfn.IFNA(MATCH(1,(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)*(_xlfn.ANCHORARRAY(Sintesi!$C$15)&gt;=0)+(_xlfn.ANCHORARRAY(Sintesi!$C$15)&lt;0),0),0)</f>
        <v/>
      </c>
      <c r="D312" s="1">
        <f t="array" ref="D312">IF(ISBLANK($E313),IF(ISNUMBER($E311),IF($C312&gt;0,IF(($E312=INDEX(_xlfn.ANCHORARRAY(Sintesi!$C$14),1,$C312))*(INDEX(_xlfn.ANCHORARRAY(Sintesi!$C$15),1,$C312)&gt;0),0,IF(($E312=INDEX(_xlfn.ANCHORARRAY(Sintesi!$C$14),1,$C312))*(INDEX(_xlfn.ANCHORARRAY(Sintesi!$C$15),1,$C312)&lt;0)+($E312&gt;=$E311)*($E312&lt;=INDEX($E:$E,MATCH(TRUE,INDEX((ISNUMBER($E:$E)),0),0)))*($E312&gt;INDEX(_xlfn.ANCHORARRAY(Sintesi!$C$14),1,$C312))*($E312&lt;=INDEX(_xlfn.ANCHORARRAY(Sintesi!$C$15),1,$C312))*(INDEX(_xlfn.ANCHORARRAY(Sintesi!$C$15),1,$C312)&gt;0),1,IF(($E312&gt;=$E311)*($E312&lt;=INDEX($E:$E,MATCH(TRUE,INDEX((ISNUMBER($E:$E)),0),0)))*($E312&gt;INDEX(_xlfn.ANCHORARRAY(Sintesi!$C$14),1,$C312))*($E312&lt;INDEX(_xlfn.ANCHORARRAY(Sintesi!$C$16),1,$C312))*(INDEX(_xlfn.ANCHORARRAY(Sintesi!$C$15),1,$C312)&lt;0)+($E312&gt;=$E311)*($E312&lt;=INDEX($E:$E,MATCH(TRUE,INDEX((ISNUMBER($E:$E)),0),0)))*($E312&gt;INDEX(_xlfn.ANCHORARRAY(Sintesi!$C$15),1,$C312))*($E312&lt;INDEX(_xlfn.ANCHORARRAY(Sintesi!$C$16),1,$C312))*(INDEX(_xlfn.ANCHORARRAY(Sintesi!$C$15),1,$C312)&gt;0),2,IF($E312=(INDEX(_xlfn.ANCHORARRAY(Sintesi!$C$16),1,$C312)),3,4)))),0),IF($C312&gt;0,IF(($E312=INDEX(_xlfn.ANCHORARRAY(Sintesi!$C$14),1,$C312))*(INDEX(_xlfn.ANCHORARRAY(Sintesi!$C$15),1,$C312)&gt;0),0,IF(($E312=INDEX(_xlfn.ANCHORARRAY(Sintesi!$C$14),1,$C312))*(INDEX(_xlfn.ANCHORARRAY(Sintesi!$C$15),1,$C312)&lt;0)+($E312&gt;=LOOKUP(2,1/($E:$E&lt;&gt;""),$E:$E))*($E312&lt;=INDEX($E:$E,MATCH(TRUE,INDEX((ISNUMBER($E:$E)),0),0)))*($E312&gt;INDEX(_xlfn.ANCHORARRAY(Sintesi!$C$14),1,$C312))*($E312&lt;=INDEX(_xlfn.ANCHORARRAY(Sintesi!$C$15),1,$C312))*(INDEX(_xlfn.ANCHORARRAY(Sintesi!$C$15),1,$C312)&gt;0),1,IF(($E312&gt;=LOOKUP(2,1/($E:$E&lt;&gt;""),$E:$E))*($E312&lt;=INDEX($E:$E,MATCH(TRUE,INDEX((ISNUMBER($E:$E)),0),0)))*($E312&gt;INDEX(_xlfn.ANCHORARRAY(Sintesi!$C$14),1,$C312))*($E312&lt;INDEX(_xlfn.ANCHORARRAY(Sintesi!$C$16),1,$C312))*(INDEX(_xlfn.ANCHORARRAY(Sintesi!$C$15),1,$C312)&lt;0)+($E312&gt;=LOOKUP(2,1/($E:$E&lt;&gt;""),$E:$E))*($E312&lt;=INDEX($E:$E,MATCH(TRUE,INDEX((ISNUMBER($E:$E)),0),0)))*($E312&gt;INDEX(_xlfn.ANCHORARRAY(Sintesi!$C$15),1,$C312))*($E312&lt;INDEX(_xlfn.ANCHORARRAY(Sintesi!$C$16),1,$C312))*(INDEX(_xlfn.ANCHORARRAY(Sintesi!$C$15),1,$C312)&gt;0),2,IF($E312=(INDEX(_xlfn.ANCHORARRAY(Sintesi!$C$16),1,$C312)),3,4)))),0)),IF(ISNUMBER($E311),IF($C312&gt;0,IF(($E312=INDEX(_xlfn.ANCHORARRAY(Sintesi!$C$14),1,$C312))*(INDEX(_xlfn.ANCHORARRAY(Sintesi!$C$15),1,$C312)&gt;0),0,IF(($E312=INDEX(_xlfn.ANCHORARRAY(Sintesi!$C$14),1,$C312))*(INDEX(_xlfn.ANCHORARRAY(Sintesi!$C$15),1,$C312)&lt;0)+($E312&gt;=$E311)*($E312&lt;=$E313)*($E312&gt;INDEX(_xlfn.ANCHORARRAY(Sintesi!$C$14),1,$C312))*($E312&lt;=INDEX(_xlfn.ANCHORARRAY(Sintesi!$C$15),1,$C312))*(INDEX(_xlfn.ANCHORARRAY(Sintesi!$C$15),1,$C312)&gt;0),1,IF(($E312&gt;=$E311)*($E312&lt;=$E313)*($E312&gt;INDEX(_xlfn.ANCHORARRAY(Sintesi!$C$14),1,$C312))*($E312&lt;INDEX(_xlfn.ANCHORARRAY(Sintesi!$C$16),1,$C312))*(INDEX(_xlfn.ANCHORARRAY(Sintesi!$C$15),1,$C312)&lt;0)+($E312&gt;=$E311)*($E312&lt;=$E313)*($E312&gt;INDEX(_xlfn.ANCHORARRAY(Sintesi!$C$15),1,$C312))*($E312&lt;INDEX(_xlfn.ANCHORARRAY(Sintesi!$C$16),1,$C312))*(INDEX(_xlfn.ANCHORARRAY(Sintesi!$C$15),1,$C312)&gt;0),2,IF($E312=(INDEX(_xlfn.ANCHORARRAY(Sintesi!$C$16),1,$C312)),3,4)))),0),IF($C312&gt;0,IF(($E312=INDEX(_xlfn.ANCHORARRAY(Sintesi!$C$14),1,$C312))*(INDEX(_xlfn.ANCHORARRAY(Sintesi!$C$15),1,$C312)&gt;0),0,IF(($E312=INDEX(_xlfn.ANCHORARRAY(Sintesi!$C$14),1,$C312))*(INDEX(_xlfn.ANCHORARRAY(Sintesi!$C$15),1,$C312)&lt;0)+($E312&gt;=LOOKUP(2,1/($E:$E&lt;&gt;""),$E:$E))*($E312&lt;=$E313)*($E312&gt;INDEX(_xlfn.ANCHORARRAY(Sintesi!$C$14),1,$C312))*($E312&lt;=INDEX(_xlfn.ANCHORARRAY(Sintesi!$C$15),1,$C312))*(INDEX(_xlfn.ANCHORARRAY(Sintesi!$C$15),1,$C312)&gt;0),1,IF(($E312&gt;=LOOKUP(2,1/($E:$E&lt;&gt;""),$E:$E))*($E312&lt;=$E313)*($E312&gt;INDEX(_xlfn.ANCHORARRAY(Sintesi!$C$14),1,$C312))*($E312&lt;INDEX(_xlfn.ANCHORARRAY(Sintesi!$C$16),1,$C312))*(INDEX(_xlfn.ANCHORARRAY(Sintesi!$C$15),1,$C312)&lt;0)+($E312&gt;=LOOKUP(2,1/($E:$E&lt;&gt;""),$E:$E))*($E312&lt;=$E313)*($E312&gt;INDEX(_xlfn.ANCHORARRAY(Sintesi!$C$15),1,$C312))*($E312&lt;INDEX(_xlfn.ANCHORARRAY(Sintesi!$C$16),1,$C312))*(INDEX(_xlfn.ANCHORARRAY(Sintesi!$C$15),1,$C312)&gt;0),2,IF($E312=(INDEX(_xlfn.ANCHORARRAY(Sintesi!$C$16),1,$C312)),3,4)))),0)))</f>
        <v/>
      </c>
      <c r="E312" s="1">
        <f>'Paste cell here'!F312</f>
        <v/>
      </c>
      <c r="F312" s="1">
        <f>'Paste cell here'!C312</f>
        <v/>
      </c>
      <c r="G312" s="1">
        <f>'Paste cell here'!D312</f>
        <v/>
      </c>
      <c r="H312" s="1">
        <f>'Paste cell here'!E312</f>
        <v/>
      </c>
      <c r="I312" s="1">
        <f>'Paste cell here'!X312</f>
        <v/>
      </c>
      <c r="J312" s="1">
        <f>'Paste cell here'!Y312+'Paste cell here'!S312</f>
        <v/>
      </c>
      <c r="K312" s="1">
        <f>I312/H312</f>
        <v/>
      </c>
      <c r="L312" s="1">
        <f>AVERAGE(($F312+$G312)/2-($F312-$G312)/2*COS(PI()*(8-VLOOKUP(MONTH(B312),$O$1:$Q$13,3))/(VLOOKUP(MONTH(B312),$O$1:$Q$13,2)-VLOOKUP(MONTH(B312),$O$1:$Q$13,3))),($F312+$G312)/2-($F312-$G312)/2*COS(PI()*(9-VLOOKUP(MONTH(B312),$O$1:$Q$13,3))/(VLOOKUP(MONTH(B312),$O$1:$Q$13,2)-VLOOKUP(MONTH(B312),$O$1:$Q$13,3))),($F312+$G312)/2-($F312-$G312)/2*COS(PI()*(10-VLOOKUP(MONTH(B312),$O$1:$Q$13,3))/(VLOOKUP(MONTH(B312),$O$1:$Q$13,2)-VLOOKUP(MONTH(B312),$O$1:$Q$13,3))),($F312+$G312)/2-($F312-$G312)/2*COS(PI()*(11-VLOOKUP(MONTH(B312),$O$1:$Q$13,3))/(VLOOKUP(MONTH(B312),$O$1:$Q$13,2)-VLOOKUP(MONTH(B312),$O$1:$Q$13,3))),($F312+$G312)/2-($F312-$G312)/2*COS(PI()*(12-VLOOKUP(MONTH(B312),$O$1:$Q$13,3))/(VLOOKUP(MONTH(B312),$O$1:$Q$13,2)-VLOOKUP(MONTH(B312),$O$1:$Q$13,3))),($F312+$G312)/2-($F312-$G312)/2*COS(PI()*(13-VLOOKUP(MONTH(B312),$O$1:$Q$13,3))/(VLOOKUP(MONTH(B312),$O$1:$Q$13,2)-VLOOKUP(MONTH(B312),$O$1:$Q$13,3))),($F312+$G312)/2-($F312-$G312)/2*COS(PI()*(14-VLOOKUP(MONTH(B312),$O$1:$Q$13,3))/(VLOOKUP(MONTH(B312),$O$1:$Q$13,2)-VLOOKUP(MONTH(B312),$O$1:$Q$13,3))))</f>
        <v/>
      </c>
      <c r="M312" s="1">
        <f t="array" ref="M312">IF(AND(A312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,A312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),IF(L312&lt;_xlfn.IFNA(INDEX(_xlfn.ANCHORARRAY(Sintesi!$C$17)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,1,IF(L312&gt;=_xlfn.IFNA(INDEX(_xlfn.ANCHORARRAY(Sintesi!$C$18)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,0,1-(L312-_xlfn.IFNA(INDEX(_xlfn.ANCHORARRAY(Sintesi!$C$17)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)/(_xlfn.IFNA(INDEX(_xlfn.ANCHORARRAY(Sintesi!$C$18)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-_xlfn.IFNA(INDEX(_xlfn.ANCHORARRAY(Sintesi!$C$17)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))),0)</f>
        <v/>
      </c>
    </row>
    <row r="313">
      <c r="A313" s="1">
        <f>'Paste cell here'!A313</f>
        <v/>
      </c>
      <c r="B313" s="2">
        <f>DATE(Sintesi!$C$4-1,12,31)+A313</f>
        <v/>
      </c>
      <c r="C313" s="34">
        <f t="array" ref="C313">_xlfn.IFNA(MATCH(1,(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)*(_xlfn.ANCHORARRAY(Sintesi!$C$15)&gt;=0)+(_xlfn.ANCHORARRAY(Sintesi!$C$15)&lt;0),0),0)</f>
        <v/>
      </c>
      <c r="D313" s="1">
        <f t="array" ref="D313">IF(ISBLANK($E314),IF(ISNUMBER($E312),IF($C313&gt;0,IF(($E313=INDEX(_xlfn.ANCHORARRAY(Sintesi!$C$14),1,$C313))*(INDEX(_xlfn.ANCHORARRAY(Sintesi!$C$15),1,$C313)&gt;0),0,IF(($E313=INDEX(_xlfn.ANCHORARRAY(Sintesi!$C$14),1,$C313))*(INDEX(_xlfn.ANCHORARRAY(Sintesi!$C$15),1,$C313)&lt;0)+($E313&gt;=$E312)*($E313&lt;=INDEX($E:$E,MATCH(TRUE,INDEX((ISNUMBER($E:$E)),0),0)))*($E313&gt;INDEX(_xlfn.ANCHORARRAY(Sintesi!$C$14),1,$C313))*($E313&lt;=INDEX(_xlfn.ANCHORARRAY(Sintesi!$C$15),1,$C313))*(INDEX(_xlfn.ANCHORARRAY(Sintesi!$C$15),1,$C313)&gt;0),1,IF(($E313&gt;=$E312)*($E313&lt;=INDEX($E:$E,MATCH(TRUE,INDEX((ISNUMBER($E:$E)),0),0)))*($E313&gt;INDEX(_xlfn.ANCHORARRAY(Sintesi!$C$14),1,$C313))*($E313&lt;INDEX(_xlfn.ANCHORARRAY(Sintesi!$C$16),1,$C313))*(INDEX(_xlfn.ANCHORARRAY(Sintesi!$C$15),1,$C313)&lt;0)+($E313&gt;=$E312)*($E313&lt;=INDEX($E:$E,MATCH(TRUE,INDEX((ISNUMBER($E:$E)),0),0)))*($E313&gt;INDEX(_xlfn.ANCHORARRAY(Sintesi!$C$15),1,$C313))*($E313&lt;INDEX(_xlfn.ANCHORARRAY(Sintesi!$C$16),1,$C313))*(INDEX(_xlfn.ANCHORARRAY(Sintesi!$C$15),1,$C313)&gt;0),2,IF($E313=(INDEX(_xlfn.ANCHORARRAY(Sintesi!$C$16),1,$C313)),3,4)))),0),IF($C313&gt;0,IF(($E313=INDEX(_xlfn.ANCHORARRAY(Sintesi!$C$14),1,$C313))*(INDEX(_xlfn.ANCHORARRAY(Sintesi!$C$15),1,$C313)&gt;0),0,IF(($E313=INDEX(_xlfn.ANCHORARRAY(Sintesi!$C$14),1,$C313))*(INDEX(_xlfn.ANCHORARRAY(Sintesi!$C$15),1,$C313)&lt;0)+($E313&gt;=LOOKUP(2,1/($E:$E&lt;&gt;""),$E:$E))*($E313&lt;=INDEX($E:$E,MATCH(TRUE,INDEX((ISNUMBER($E:$E)),0),0)))*($E313&gt;INDEX(_xlfn.ANCHORARRAY(Sintesi!$C$14),1,$C313))*($E313&lt;=INDEX(_xlfn.ANCHORARRAY(Sintesi!$C$15),1,$C313))*(INDEX(_xlfn.ANCHORARRAY(Sintesi!$C$15),1,$C313)&gt;0),1,IF(($E313&gt;=LOOKUP(2,1/($E:$E&lt;&gt;""),$E:$E))*($E313&lt;=INDEX($E:$E,MATCH(TRUE,INDEX((ISNUMBER($E:$E)),0),0)))*($E313&gt;INDEX(_xlfn.ANCHORARRAY(Sintesi!$C$14),1,$C313))*($E313&lt;INDEX(_xlfn.ANCHORARRAY(Sintesi!$C$16),1,$C313))*(INDEX(_xlfn.ANCHORARRAY(Sintesi!$C$15),1,$C313)&lt;0)+($E313&gt;=LOOKUP(2,1/($E:$E&lt;&gt;""),$E:$E))*($E313&lt;=INDEX($E:$E,MATCH(TRUE,INDEX((ISNUMBER($E:$E)),0),0)))*($E313&gt;INDEX(_xlfn.ANCHORARRAY(Sintesi!$C$15),1,$C313))*($E313&lt;INDEX(_xlfn.ANCHORARRAY(Sintesi!$C$16),1,$C313))*(INDEX(_xlfn.ANCHORARRAY(Sintesi!$C$15),1,$C313)&gt;0),2,IF($E313=(INDEX(_xlfn.ANCHORARRAY(Sintesi!$C$16),1,$C313)),3,4)))),0)),IF(ISNUMBER($E312),IF($C313&gt;0,IF(($E313=INDEX(_xlfn.ANCHORARRAY(Sintesi!$C$14),1,$C313))*(INDEX(_xlfn.ANCHORARRAY(Sintesi!$C$15),1,$C313)&gt;0),0,IF(($E313=INDEX(_xlfn.ANCHORARRAY(Sintesi!$C$14),1,$C313))*(INDEX(_xlfn.ANCHORARRAY(Sintesi!$C$15),1,$C313)&lt;0)+($E313&gt;=$E312)*($E313&lt;=$E314)*($E313&gt;INDEX(_xlfn.ANCHORARRAY(Sintesi!$C$14),1,$C313))*($E313&lt;=INDEX(_xlfn.ANCHORARRAY(Sintesi!$C$15),1,$C313))*(INDEX(_xlfn.ANCHORARRAY(Sintesi!$C$15),1,$C313)&gt;0),1,IF(($E313&gt;=$E312)*($E313&lt;=$E314)*($E313&gt;INDEX(_xlfn.ANCHORARRAY(Sintesi!$C$14),1,$C313))*($E313&lt;INDEX(_xlfn.ANCHORARRAY(Sintesi!$C$16),1,$C313))*(INDEX(_xlfn.ANCHORARRAY(Sintesi!$C$15),1,$C313)&lt;0)+($E313&gt;=$E312)*($E313&lt;=$E314)*($E313&gt;INDEX(_xlfn.ANCHORARRAY(Sintesi!$C$15),1,$C313))*($E313&lt;INDEX(_xlfn.ANCHORARRAY(Sintesi!$C$16),1,$C313))*(INDEX(_xlfn.ANCHORARRAY(Sintesi!$C$15),1,$C313)&gt;0),2,IF($E313=(INDEX(_xlfn.ANCHORARRAY(Sintesi!$C$16),1,$C313)),3,4)))),0),IF($C313&gt;0,IF(($E313=INDEX(_xlfn.ANCHORARRAY(Sintesi!$C$14),1,$C313))*(INDEX(_xlfn.ANCHORARRAY(Sintesi!$C$15),1,$C313)&gt;0),0,IF(($E313=INDEX(_xlfn.ANCHORARRAY(Sintesi!$C$14),1,$C313))*(INDEX(_xlfn.ANCHORARRAY(Sintesi!$C$15),1,$C313)&lt;0)+($E313&gt;=LOOKUP(2,1/($E:$E&lt;&gt;""),$E:$E))*($E313&lt;=$E314)*($E313&gt;INDEX(_xlfn.ANCHORARRAY(Sintesi!$C$14),1,$C313))*($E313&lt;=INDEX(_xlfn.ANCHORARRAY(Sintesi!$C$15),1,$C313))*(INDEX(_xlfn.ANCHORARRAY(Sintesi!$C$15),1,$C313)&gt;0),1,IF(($E313&gt;=LOOKUP(2,1/($E:$E&lt;&gt;""),$E:$E))*($E313&lt;=$E314)*($E313&gt;INDEX(_xlfn.ANCHORARRAY(Sintesi!$C$14),1,$C313))*($E313&lt;INDEX(_xlfn.ANCHORARRAY(Sintesi!$C$16),1,$C313))*(INDEX(_xlfn.ANCHORARRAY(Sintesi!$C$15),1,$C313)&lt;0)+($E313&gt;=LOOKUP(2,1/($E:$E&lt;&gt;""),$E:$E))*($E313&lt;=$E314)*($E313&gt;INDEX(_xlfn.ANCHORARRAY(Sintesi!$C$15),1,$C313))*($E313&lt;INDEX(_xlfn.ANCHORARRAY(Sintesi!$C$16),1,$C313))*(INDEX(_xlfn.ANCHORARRAY(Sintesi!$C$15),1,$C313)&gt;0),2,IF($E313=(INDEX(_xlfn.ANCHORARRAY(Sintesi!$C$16),1,$C313)),3,4)))),0)))</f>
        <v/>
      </c>
      <c r="E313" s="1">
        <f>'Paste cell here'!F313</f>
        <v/>
      </c>
      <c r="F313" s="1">
        <f>'Paste cell here'!C313</f>
        <v/>
      </c>
      <c r="G313" s="1">
        <f>'Paste cell here'!D313</f>
        <v/>
      </c>
      <c r="H313" s="1">
        <f>'Paste cell here'!E313</f>
        <v/>
      </c>
      <c r="I313" s="1">
        <f>'Paste cell here'!X313</f>
        <v/>
      </c>
      <c r="J313" s="1">
        <f>'Paste cell here'!Y313+'Paste cell here'!S313</f>
        <v/>
      </c>
      <c r="K313" s="1">
        <f>I313/H313</f>
        <v/>
      </c>
      <c r="L313" s="1">
        <f>AVERAGE(($F313+$G313)/2-($F313-$G313)/2*COS(PI()*(8-VLOOKUP(MONTH(B313),$O$1:$Q$13,3))/(VLOOKUP(MONTH(B313),$O$1:$Q$13,2)-VLOOKUP(MONTH(B313),$O$1:$Q$13,3))),($F313+$G313)/2-($F313-$G313)/2*COS(PI()*(9-VLOOKUP(MONTH(B313),$O$1:$Q$13,3))/(VLOOKUP(MONTH(B313),$O$1:$Q$13,2)-VLOOKUP(MONTH(B313),$O$1:$Q$13,3))),($F313+$G313)/2-($F313-$G313)/2*COS(PI()*(10-VLOOKUP(MONTH(B313),$O$1:$Q$13,3))/(VLOOKUP(MONTH(B313),$O$1:$Q$13,2)-VLOOKUP(MONTH(B313),$O$1:$Q$13,3))),($F313+$G313)/2-($F313-$G313)/2*COS(PI()*(11-VLOOKUP(MONTH(B313),$O$1:$Q$13,3))/(VLOOKUP(MONTH(B313),$O$1:$Q$13,2)-VLOOKUP(MONTH(B313),$O$1:$Q$13,3))),($F313+$G313)/2-($F313-$G313)/2*COS(PI()*(12-VLOOKUP(MONTH(B313),$O$1:$Q$13,3))/(VLOOKUP(MONTH(B313),$O$1:$Q$13,2)-VLOOKUP(MONTH(B313),$O$1:$Q$13,3))),($F313+$G313)/2-($F313-$G313)/2*COS(PI()*(13-VLOOKUP(MONTH(B313),$O$1:$Q$13,3))/(VLOOKUP(MONTH(B313),$O$1:$Q$13,2)-VLOOKUP(MONTH(B313),$O$1:$Q$13,3))),($F313+$G313)/2-($F313-$G313)/2*COS(PI()*(14-VLOOKUP(MONTH(B313),$O$1:$Q$13,3))/(VLOOKUP(MONTH(B313),$O$1:$Q$13,2)-VLOOKUP(MONTH(B313),$O$1:$Q$13,3))))</f>
        <v/>
      </c>
      <c r="M313" s="1">
        <f t="array" ref="M313">IF(AND(A313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,A313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),IF(L313&lt;_xlfn.IFNA(INDEX(_xlfn.ANCHORARRAY(Sintesi!$C$17)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,1,IF(L313&gt;=_xlfn.IFNA(INDEX(_xlfn.ANCHORARRAY(Sintesi!$C$18)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,0,1-(L313-_xlfn.IFNA(INDEX(_xlfn.ANCHORARRAY(Sintesi!$C$17)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)/(_xlfn.IFNA(INDEX(_xlfn.ANCHORARRAY(Sintesi!$C$18)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-_xlfn.IFNA(INDEX(_xlfn.ANCHORARRAY(Sintesi!$C$17)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))),0)</f>
        <v/>
      </c>
    </row>
    <row r="314">
      <c r="A314" s="1">
        <f>'Paste cell here'!A314</f>
        <v/>
      </c>
      <c r="B314" s="2">
        <f>DATE(Sintesi!$C$4-1,12,31)+A314</f>
        <v/>
      </c>
      <c r="C314" s="34">
        <f t="array" ref="C314">_xlfn.IFNA(MATCH(1,(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)*(_xlfn.ANCHORARRAY(Sintesi!$C$15)&gt;=0)+(_xlfn.ANCHORARRAY(Sintesi!$C$15)&lt;0),0),0)</f>
        <v/>
      </c>
      <c r="D314" s="1">
        <f t="array" ref="D314">IF(ISBLANK($E315),IF(ISNUMBER($E313),IF($C314&gt;0,IF(($E314=INDEX(_xlfn.ANCHORARRAY(Sintesi!$C$14),1,$C314))*(INDEX(_xlfn.ANCHORARRAY(Sintesi!$C$15),1,$C314)&gt;0),0,IF(($E314=INDEX(_xlfn.ANCHORARRAY(Sintesi!$C$14),1,$C314))*(INDEX(_xlfn.ANCHORARRAY(Sintesi!$C$15),1,$C314)&lt;0)+($E314&gt;=$E313)*($E314&lt;=INDEX($E:$E,MATCH(TRUE,INDEX((ISNUMBER($E:$E)),0),0)))*($E314&gt;INDEX(_xlfn.ANCHORARRAY(Sintesi!$C$14),1,$C314))*($E314&lt;=INDEX(_xlfn.ANCHORARRAY(Sintesi!$C$15),1,$C314))*(INDEX(_xlfn.ANCHORARRAY(Sintesi!$C$15),1,$C314)&gt;0),1,IF(($E314&gt;=$E313)*($E314&lt;=INDEX($E:$E,MATCH(TRUE,INDEX((ISNUMBER($E:$E)),0),0)))*($E314&gt;INDEX(_xlfn.ANCHORARRAY(Sintesi!$C$14),1,$C314))*($E314&lt;INDEX(_xlfn.ANCHORARRAY(Sintesi!$C$16),1,$C314))*(INDEX(_xlfn.ANCHORARRAY(Sintesi!$C$15),1,$C314)&lt;0)+($E314&gt;=$E313)*($E314&lt;=INDEX($E:$E,MATCH(TRUE,INDEX((ISNUMBER($E:$E)),0),0)))*($E314&gt;INDEX(_xlfn.ANCHORARRAY(Sintesi!$C$15),1,$C314))*($E314&lt;INDEX(_xlfn.ANCHORARRAY(Sintesi!$C$16),1,$C314))*(INDEX(_xlfn.ANCHORARRAY(Sintesi!$C$15),1,$C314)&gt;0),2,IF($E314=(INDEX(_xlfn.ANCHORARRAY(Sintesi!$C$16),1,$C314)),3,4)))),0),IF($C314&gt;0,IF(($E314=INDEX(_xlfn.ANCHORARRAY(Sintesi!$C$14),1,$C314))*(INDEX(_xlfn.ANCHORARRAY(Sintesi!$C$15),1,$C314)&gt;0),0,IF(($E314=INDEX(_xlfn.ANCHORARRAY(Sintesi!$C$14),1,$C314))*(INDEX(_xlfn.ANCHORARRAY(Sintesi!$C$15),1,$C314)&lt;0)+($E314&gt;=LOOKUP(2,1/($E:$E&lt;&gt;""),$E:$E))*($E314&lt;=INDEX($E:$E,MATCH(TRUE,INDEX((ISNUMBER($E:$E)),0),0)))*($E314&gt;INDEX(_xlfn.ANCHORARRAY(Sintesi!$C$14),1,$C314))*($E314&lt;=INDEX(_xlfn.ANCHORARRAY(Sintesi!$C$15),1,$C314))*(INDEX(_xlfn.ANCHORARRAY(Sintesi!$C$15),1,$C314)&gt;0),1,IF(($E314&gt;=LOOKUP(2,1/($E:$E&lt;&gt;""),$E:$E))*($E314&lt;=INDEX($E:$E,MATCH(TRUE,INDEX((ISNUMBER($E:$E)),0),0)))*($E314&gt;INDEX(_xlfn.ANCHORARRAY(Sintesi!$C$14),1,$C314))*($E314&lt;INDEX(_xlfn.ANCHORARRAY(Sintesi!$C$16),1,$C314))*(INDEX(_xlfn.ANCHORARRAY(Sintesi!$C$15),1,$C314)&lt;0)+($E314&gt;=LOOKUP(2,1/($E:$E&lt;&gt;""),$E:$E))*($E314&lt;=INDEX($E:$E,MATCH(TRUE,INDEX((ISNUMBER($E:$E)),0),0)))*($E314&gt;INDEX(_xlfn.ANCHORARRAY(Sintesi!$C$15),1,$C314))*($E314&lt;INDEX(_xlfn.ANCHORARRAY(Sintesi!$C$16),1,$C314))*(INDEX(_xlfn.ANCHORARRAY(Sintesi!$C$15),1,$C314)&gt;0),2,IF($E314=(INDEX(_xlfn.ANCHORARRAY(Sintesi!$C$16),1,$C314)),3,4)))),0)),IF(ISNUMBER($E313),IF($C314&gt;0,IF(($E314=INDEX(_xlfn.ANCHORARRAY(Sintesi!$C$14),1,$C314))*(INDEX(_xlfn.ANCHORARRAY(Sintesi!$C$15),1,$C314)&gt;0),0,IF(($E314=INDEX(_xlfn.ANCHORARRAY(Sintesi!$C$14),1,$C314))*(INDEX(_xlfn.ANCHORARRAY(Sintesi!$C$15),1,$C314)&lt;0)+($E314&gt;=$E313)*($E314&lt;=$E315)*($E314&gt;INDEX(_xlfn.ANCHORARRAY(Sintesi!$C$14),1,$C314))*($E314&lt;=INDEX(_xlfn.ANCHORARRAY(Sintesi!$C$15),1,$C314))*(INDEX(_xlfn.ANCHORARRAY(Sintesi!$C$15),1,$C314)&gt;0),1,IF(($E314&gt;=$E313)*($E314&lt;=$E315)*($E314&gt;INDEX(_xlfn.ANCHORARRAY(Sintesi!$C$14),1,$C314))*($E314&lt;INDEX(_xlfn.ANCHORARRAY(Sintesi!$C$16),1,$C314))*(INDEX(_xlfn.ANCHORARRAY(Sintesi!$C$15),1,$C314)&lt;0)+($E314&gt;=$E313)*($E314&lt;=$E315)*($E314&gt;INDEX(_xlfn.ANCHORARRAY(Sintesi!$C$15),1,$C314))*($E314&lt;INDEX(_xlfn.ANCHORARRAY(Sintesi!$C$16),1,$C314))*(INDEX(_xlfn.ANCHORARRAY(Sintesi!$C$15),1,$C314)&gt;0),2,IF($E314=(INDEX(_xlfn.ANCHORARRAY(Sintesi!$C$16),1,$C314)),3,4)))),0),IF($C314&gt;0,IF(($E314=INDEX(_xlfn.ANCHORARRAY(Sintesi!$C$14),1,$C314))*(INDEX(_xlfn.ANCHORARRAY(Sintesi!$C$15),1,$C314)&gt;0),0,IF(($E314=INDEX(_xlfn.ANCHORARRAY(Sintesi!$C$14),1,$C314))*(INDEX(_xlfn.ANCHORARRAY(Sintesi!$C$15),1,$C314)&lt;0)+($E314&gt;=LOOKUP(2,1/($E:$E&lt;&gt;""),$E:$E))*($E314&lt;=$E315)*($E314&gt;INDEX(_xlfn.ANCHORARRAY(Sintesi!$C$14),1,$C314))*($E314&lt;=INDEX(_xlfn.ANCHORARRAY(Sintesi!$C$15),1,$C314))*(INDEX(_xlfn.ANCHORARRAY(Sintesi!$C$15),1,$C314)&gt;0),1,IF(($E314&gt;=LOOKUP(2,1/($E:$E&lt;&gt;""),$E:$E))*($E314&lt;=$E315)*($E314&gt;INDEX(_xlfn.ANCHORARRAY(Sintesi!$C$14),1,$C314))*($E314&lt;INDEX(_xlfn.ANCHORARRAY(Sintesi!$C$16),1,$C314))*(INDEX(_xlfn.ANCHORARRAY(Sintesi!$C$15),1,$C314)&lt;0)+($E314&gt;=LOOKUP(2,1/($E:$E&lt;&gt;""),$E:$E))*($E314&lt;=$E315)*($E314&gt;INDEX(_xlfn.ANCHORARRAY(Sintesi!$C$15),1,$C314))*($E314&lt;INDEX(_xlfn.ANCHORARRAY(Sintesi!$C$16),1,$C314))*(INDEX(_xlfn.ANCHORARRAY(Sintesi!$C$15),1,$C314)&gt;0),2,IF($E314=(INDEX(_xlfn.ANCHORARRAY(Sintesi!$C$16),1,$C314)),3,4)))),0)))</f>
        <v/>
      </c>
      <c r="E314" s="1">
        <f>'Paste cell here'!F314</f>
        <v/>
      </c>
      <c r="F314" s="1">
        <f>'Paste cell here'!C314</f>
        <v/>
      </c>
      <c r="G314" s="1">
        <f>'Paste cell here'!D314</f>
        <v/>
      </c>
      <c r="H314" s="1">
        <f>'Paste cell here'!E314</f>
        <v/>
      </c>
      <c r="I314" s="1">
        <f>'Paste cell here'!X314</f>
        <v/>
      </c>
      <c r="J314" s="1">
        <f>'Paste cell here'!Y314+'Paste cell here'!S314</f>
        <v/>
      </c>
      <c r="K314" s="1">
        <f>I314/H314</f>
        <v/>
      </c>
      <c r="L314" s="1">
        <f>AVERAGE(($F314+$G314)/2-($F314-$G314)/2*COS(PI()*(8-VLOOKUP(MONTH(B314),$O$1:$Q$13,3))/(VLOOKUP(MONTH(B314),$O$1:$Q$13,2)-VLOOKUP(MONTH(B314),$O$1:$Q$13,3))),($F314+$G314)/2-($F314-$G314)/2*COS(PI()*(9-VLOOKUP(MONTH(B314),$O$1:$Q$13,3))/(VLOOKUP(MONTH(B314),$O$1:$Q$13,2)-VLOOKUP(MONTH(B314),$O$1:$Q$13,3))),($F314+$G314)/2-($F314-$G314)/2*COS(PI()*(10-VLOOKUP(MONTH(B314),$O$1:$Q$13,3))/(VLOOKUP(MONTH(B314),$O$1:$Q$13,2)-VLOOKUP(MONTH(B314),$O$1:$Q$13,3))),($F314+$G314)/2-($F314-$G314)/2*COS(PI()*(11-VLOOKUP(MONTH(B314),$O$1:$Q$13,3))/(VLOOKUP(MONTH(B314),$O$1:$Q$13,2)-VLOOKUP(MONTH(B314),$O$1:$Q$13,3))),($F314+$G314)/2-($F314-$G314)/2*COS(PI()*(12-VLOOKUP(MONTH(B314),$O$1:$Q$13,3))/(VLOOKUP(MONTH(B314),$O$1:$Q$13,2)-VLOOKUP(MONTH(B314),$O$1:$Q$13,3))),($F314+$G314)/2-($F314-$G314)/2*COS(PI()*(13-VLOOKUP(MONTH(B314),$O$1:$Q$13,3))/(VLOOKUP(MONTH(B314),$O$1:$Q$13,2)-VLOOKUP(MONTH(B314),$O$1:$Q$13,3))),($F314+$G314)/2-($F314-$G314)/2*COS(PI()*(14-VLOOKUP(MONTH(B314),$O$1:$Q$13,3))/(VLOOKUP(MONTH(B314),$O$1:$Q$13,2)-VLOOKUP(MONTH(B314),$O$1:$Q$13,3))))</f>
        <v/>
      </c>
      <c r="M314" s="1">
        <f t="array" ref="M314">IF(AND(A314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,A314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),IF(L314&lt;_xlfn.IFNA(INDEX(_xlfn.ANCHORARRAY(Sintesi!$C$17)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,1,IF(L314&gt;=_xlfn.IFNA(INDEX(_xlfn.ANCHORARRAY(Sintesi!$C$18)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,0,1-(L314-_xlfn.IFNA(INDEX(_xlfn.ANCHORARRAY(Sintesi!$C$17)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)/(_xlfn.IFNA(INDEX(_xlfn.ANCHORARRAY(Sintesi!$C$18)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-_xlfn.IFNA(INDEX(_xlfn.ANCHORARRAY(Sintesi!$C$17)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))),0)</f>
        <v/>
      </c>
    </row>
    <row r="315">
      <c r="A315" s="1">
        <f>'Paste cell here'!A315</f>
        <v/>
      </c>
      <c r="B315" s="2">
        <f>DATE(Sintesi!$C$4-1,12,31)+A315</f>
        <v/>
      </c>
      <c r="C315" s="34">
        <f t="array" ref="C315">_xlfn.IFNA(MATCH(1,(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)*(_xlfn.ANCHORARRAY(Sintesi!$C$15)&gt;=0)+(_xlfn.ANCHORARRAY(Sintesi!$C$15)&lt;0),0),0)</f>
        <v/>
      </c>
      <c r="D315" s="1">
        <f t="array" ref="D315">IF(ISBLANK($E316),IF(ISNUMBER($E314),IF($C315&gt;0,IF(($E315=INDEX(_xlfn.ANCHORARRAY(Sintesi!$C$14),1,$C315))*(INDEX(_xlfn.ANCHORARRAY(Sintesi!$C$15),1,$C315)&gt;0),0,IF(($E315=INDEX(_xlfn.ANCHORARRAY(Sintesi!$C$14),1,$C315))*(INDEX(_xlfn.ANCHORARRAY(Sintesi!$C$15),1,$C315)&lt;0)+($E315&gt;=$E314)*($E315&lt;=INDEX($E:$E,MATCH(TRUE,INDEX((ISNUMBER($E:$E)),0),0)))*($E315&gt;INDEX(_xlfn.ANCHORARRAY(Sintesi!$C$14),1,$C315))*($E315&lt;=INDEX(_xlfn.ANCHORARRAY(Sintesi!$C$15),1,$C315))*(INDEX(_xlfn.ANCHORARRAY(Sintesi!$C$15),1,$C315)&gt;0),1,IF(($E315&gt;=$E314)*($E315&lt;=INDEX($E:$E,MATCH(TRUE,INDEX((ISNUMBER($E:$E)),0),0)))*($E315&gt;INDEX(_xlfn.ANCHORARRAY(Sintesi!$C$14),1,$C315))*($E315&lt;INDEX(_xlfn.ANCHORARRAY(Sintesi!$C$16),1,$C315))*(INDEX(_xlfn.ANCHORARRAY(Sintesi!$C$15),1,$C315)&lt;0)+($E315&gt;=$E314)*($E315&lt;=INDEX($E:$E,MATCH(TRUE,INDEX((ISNUMBER($E:$E)),0),0)))*($E315&gt;INDEX(_xlfn.ANCHORARRAY(Sintesi!$C$15),1,$C315))*($E315&lt;INDEX(_xlfn.ANCHORARRAY(Sintesi!$C$16),1,$C315))*(INDEX(_xlfn.ANCHORARRAY(Sintesi!$C$15),1,$C315)&gt;0),2,IF($E315=(INDEX(_xlfn.ANCHORARRAY(Sintesi!$C$16),1,$C315)),3,4)))),0),IF($C315&gt;0,IF(($E315=INDEX(_xlfn.ANCHORARRAY(Sintesi!$C$14),1,$C315))*(INDEX(_xlfn.ANCHORARRAY(Sintesi!$C$15),1,$C315)&gt;0),0,IF(($E315=INDEX(_xlfn.ANCHORARRAY(Sintesi!$C$14),1,$C315))*(INDEX(_xlfn.ANCHORARRAY(Sintesi!$C$15),1,$C315)&lt;0)+($E315&gt;=LOOKUP(2,1/($E:$E&lt;&gt;""),$E:$E))*($E315&lt;=INDEX($E:$E,MATCH(TRUE,INDEX((ISNUMBER($E:$E)),0),0)))*($E315&gt;INDEX(_xlfn.ANCHORARRAY(Sintesi!$C$14),1,$C315))*($E315&lt;=INDEX(_xlfn.ANCHORARRAY(Sintesi!$C$15),1,$C315))*(INDEX(_xlfn.ANCHORARRAY(Sintesi!$C$15),1,$C315)&gt;0),1,IF(($E315&gt;=LOOKUP(2,1/($E:$E&lt;&gt;""),$E:$E))*($E315&lt;=INDEX($E:$E,MATCH(TRUE,INDEX((ISNUMBER($E:$E)),0),0)))*($E315&gt;INDEX(_xlfn.ANCHORARRAY(Sintesi!$C$14),1,$C315))*($E315&lt;INDEX(_xlfn.ANCHORARRAY(Sintesi!$C$16),1,$C315))*(INDEX(_xlfn.ANCHORARRAY(Sintesi!$C$15),1,$C315)&lt;0)+($E315&gt;=LOOKUP(2,1/($E:$E&lt;&gt;""),$E:$E))*($E315&lt;=INDEX($E:$E,MATCH(TRUE,INDEX((ISNUMBER($E:$E)),0),0)))*($E315&gt;INDEX(_xlfn.ANCHORARRAY(Sintesi!$C$15),1,$C315))*($E315&lt;INDEX(_xlfn.ANCHORARRAY(Sintesi!$C$16),1,$C315))*(INDEX(_xlfn.ANCHORARRAY(Sintesi!$C$15),1,$C315)&gt;0),2,IF($E315=(INDEX(_xlfn.ANCHORARRAY(Sintesi!$C$16),1,$C315)),3,4)))),0)),IF(ISNUMBER($E314),IF($C315&gt;0,IF(($E315=INDEX(_xlfn.ANCHORARRAY(Sintesi!$C$14),1,$C315))*(INDEX(_xlfn.ANCHORARRAY(Sintesi!$C$15),1,$C315)&gt;0),0,IF(($E315=INDEX(_xlfn.ANCHORARRAY(Sintesi!$C$14),1,$C315))*(INDEX(_xlfn.ANCHORARRAY(Sintesi!$C$15),1,$C315)&lt;0)+($E315&gt;=$E314)*($E315&lt;=$E316)*($E315&gt;INDEX(_xlfn.ANCHORARRAY(Sintesi!$C$14),1,$C315))*($E315&lt;=INDEX(_xlfn.ANCHORARRAY(Sintesi!$C$15),1,$C315))*(INDEX(_xlfn.ANCHORARRAY(Sintesi!$C$15),1,$C315)&gt;0),1,IF(($E315&gt;=$E314)*($E315&lt;=$E316)*($E315&gt;INDEX(_xlfn.ANCHORARRAY(Sintesi!$C$14),1,$C315))*($E315&lt;INDEX(_xlfn.ANCHORARRAY(Sintesi!$C$16),1,$C315))*(INDEX(_xlfn.ANCHORARRAY(Sintesi!$C$15),1,$C315)&lt;0)+($E315&gt;=$E314)*($E315&lt;=$E316)*($E315&gt;INDEX(_xlfn.ANCHORARRAY(Sintesi!$C$15),1,$C315))*($E315&lt;INDEX(_xlfn.ANCHORARRAY(Sintesi!$C$16),1,$C315))*(INDEX(_xlfn.ANCHORARRAY(Sintesi!$C$15),1,$C315)&gt;0),2,IF($E315=(INDEX(_xlfn.ANCHORARRAY(Sintesi!$C$16),1,$C315)),3,4)))),0),IF($C315&gt;0,IF(($E315=INDEX(_xlfn.ANCHORARRAY(Sintesi!$C$14),1,$C315))*(INDEX(_xlfn.ANCHORARRAY(Sintesi!$C$15),1,$C315)&gt;0),0,IF(($E315=INDEX(_xlfn.ANCHORARRAY(Sintesi!$C$14),1,$C315))*(INDEX(_xlfn.ANCHORARRAY(Sintesi!$C$15),1,$C315)&lt;0)+($E315&gt;=LOOKUP(2,1/($E:$E&lt;&gt;""),$E:$E))*($E315&lt;=$E316)*($E315&gt;INDEX(_xlfn.ANCHORARRAY(Sintesi!$C$14),1,$C315))*($E315&lt;=INDEX(_xlfn.ANCHORARRAY(Sintesi!$C$15),1,$C315))*(INDEX(_xlfn.ANCHORARRAY(Sintesi!$C$15),1,$C315)&gt;0),1,IF(($E315&gt;=LOOKUP(2,1/($E:$E&lt;&gt;""),$E:$E))*($E315&lt;=$E316)*($E315&gt;INDEX(_xlfn.ANCHORARRAY(Sintesi!$C$14),1,$C315))*($E315&lt;INDEX(_xlfn.ANCHORARRAY(Sintesi!$C$16),1,$C315))*(INDEX(_xlfn.ANCHORARRAY(Sintesi!$C$15),1,$C315)&lt;0)+($E315&gt;=LOOKUP(2,1/($E:$E&lt;&gt;""),$E:$E))*($E315&lt;=$E316)*($E315&gt;INDEX(_xlfn.ANCHORARRAY(Sintesi!$C$15),1,$C315))*($E315&lt;INDEX(_xlfn.ANCHORARRAY(Sintesi!$C$16),1,$C315))*(INDEX(_xlfn.ANCHORARRAY(Sintesi!$C$15),1,$C315)&gt;0),2,IF($E315=(INDEX(_xlfn.ANCHORARRAY(Sintesi!$C$16),1,$C315)),3,4)))),0)))</f>
        <v/>
      </c>
      <c r="E315" s="1">
        <f>'Paste cell here'!F315</f>
        <v/>
      </c>
      <c r="F315" s="1">
        <f>'Paste cell here'!C315</f>
        <v/>
      </c>
      <c r="G315" s="1">
        <f>'Paste cell here'!D315</f>
        <v/>
      </c>
      <c r="H315" s="1">
        <f>'Paste cell here'!E315</f>
        <v/>
      </c>
      <c r="I315" s="1">
        <f>'Paste cell here'!X315</f>
        <v/>
      </c>
      <c r="J315" s="1">
        <f>'Paste cell here'!Y315+'Paste cell here'!S315</f>
        <v/>
      </c>
      <c r="K315" s="1">
        <f>I315/H315</f>
        <v/>
      </c>
      <c r="L315" s="1">
        <f>AVERAGE(($F315+$G315)/2-($F315-$G315)/2*COS(PI()*(8-VLOOKUP(MONTH(B315),$O$1:$Q$13,3))/(VLOOKUP(MONTH(B315),$O$1:$Q$13,2)-VLOOKUP(MONTH(B315),$O$1:$Q$13,3))),($F315+$G315)/2-($F315-$G315)/2*COS(PI()*(9-VLOOKUP(MONTH(B315),$O$1:$Q$13,3))/(VLOOKUP(MONTH(B315),$O$1:$Q$13,2)-VLOOKUP(MONTH(B315),$O$1:$Q$13,3))),($F315+$G315)/2-($F315-$G315)/2*COS(PI()*(10-VLOOKUP(MONTH(B315),$O$1:$Q$13,3))/(VLOOKUP(MONTH(B315),$O$1:$Q$13,2)-VLOOKUP(MONTH(B315),$O$1:$Q$13,3))),($F315+$G315)/2-($F315-$G315)/2*COS(PI()*(11-VLOOKUP(MONTH(B315),$O$1:$Q$13,3))/(VLOOKUP(MONTH(B315),$O$1:$Q$13,2)-VLOOKUP(MONTH(B315),$O$1:$Q$13,3))),($F315+$G315)/2-($F315-$G315)/2*COS(PI()*(12-VLOOKUP(MONTH(B315),$O$1:$Q$13,3))/(VLOOKUP(MONTH(B315),$O$1:$Q$13,2)-VLOOKUP(MONTH(B315),$O$1:$Q$13,3))),($F315+$G315)/2-($F315-$G315)/2*COS(PI()*(13-VLOOKUP(MONTH(B315),$O$1:$Q$13,3))/(VLOOKUP(MONTH(B315),$O$1:$Q$13,2)-VLOOKUP(MONTH(B315),$O$1:$Q$13,3))),($F315+$G315)/2-($F315-$G315)/2*COS(PI()*(14-VLOOKUP(MONTH(B315),$O$1:$Q$13,3))/(VLOOKUP(MONTH(B315),$O$1:$Q$13,2)-VLOOKUP(MONTH(B315),$O$1:$Q$13,3))))</f>
        <v/>
      </c>
      <c r="M315" s="1">
        <f t="array" ref="M315">IF(AND(A315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,A315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),IF(L315&lt;_xlfn.IFNA(INDEX(_xlfn.ANCHORARRAY(Sintesi!$C$17)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,1,IF(L315&gt;=_xlfn.IFNA(INDEX(_xlfn.ANCHORARRAY(Sintesi!$C$18)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,0,1-(L315-_xlfn.IFNA(INDEX(_xlfn.ANCHORARRAY(Sintesi!$C$17)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)/(_xlfn.IFNA(INDEX(_xlfn.ANCHORARRAY(Sintesi!$C$18)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-_xlfn.IFNA(INDEX(_xlfn.ANCHORARRAY(Sintesi!$C$17)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))),0)</f>
        <v/>
      </c>
    </row>
    <row r="316">
      <c r="A316" s="1">
        <f>'Paste cell here'!A316</f>
        <v/>
      </c>
      <c r="B316" s="2">
        <f>DATE(Sintesi!$C$4-1,12,31)+A316</f>
        <v/>
      </c>
      <c r="C316" s="34">
        <f t="array" ref="C316">_xlfn.IFNA(MATCH(1,(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)*(_xlfn.ANCHORARRAY(Sintesi!$C$15)&gt;=0)+(_xlfn.ANCHORARRAY(Sintesi!$C$15)&lt;0),0),0)</f>
        <v/>
      </c>
      <c r="D316" s="1">
        <f t="array" ref="D316">IF(ISBLANK($E317),IF(ISNUMBER($E315),IF($C316&gt;0,IF(($E316=INDEX(_xlfn.ANCHORARRAY(Sintesi!$C$14),1,$C316))*(INDEX(_xlfn.ANCHORARRAY(Sintesi!$C$15),1,$C316)&gt;0),0,IF(($E316=INDEX(_xlfn.ANCHORARRAY(Sintesi!$C$14),1,$C316))*(INDEX(_xlfn.ANCHORARRAY(Sintesi!$C$15),1,$C316)&lt;0)+($E316&gt;=$E315)*($E316&lt;=INDEX($E:$E,MATCH(TRUE,INDEX((ISNUMBER($E:$E)),0),0)))*($E316&gt;INDEX(_xlfn.ANCHORARRAY(Sintesi!$C$14),1,$C316))*($E316&lt;=INDEX(_xlfn.ANCHORARRAY(Sintesi!$C$15),1,$C316))*(INDEX(_xlfn.ANCHORARRAY(Sintesi!$C$15),1,$C316)&gt;0),1,IF(($E316&gt;=$E315)*($E316&lt;=INDEX($E:$E,MATCH(TRUE,INDEX((ISNUMBER($E:$E)),0),0)))*($E316&gt;INDEX(_xlfn.ANCHORARRAY(Sintesi!$C$14),1,$C316))*($E316&lt;INDEX(_xlfn.ANCHORARRAY(Sintesi!$C$16),1,$C316))*(INDEX(_xlfn.ANCHORARRAY(Sintesi!$C$15),1,$C316)&lt;0)+($E316&gt;=$E315)*($E316&lt;=INDEX($E:$E,MATCH(TRUE,INDEX((ISNUMBER($E:$E)),0),0)))*($E316&gt;INDEX(_xlfn.ANCHORARRAY(Sintesi!$C$15),1,$C316))*($E316&lt;INDEX(_xlfn.ANCHORARRAY(Sintesi!$C$16),1,$C316))*(INDEX(_xlfn.ANCHORARRAY(Sintesi!$C$15),1,$C316)&gt;0),2,IF($E316=(INDEX(_xlfn.ANCHORARRAY(Sintesi!$C$16),1,$C316)),3,4)))),0),IF($C316&gt;0,IF(($E316=INDEX(_xlfn.ANCHORARRAY(Sintesi!$C$14),1,$C316))*(INDEX(_xlfn.ANCHORARRAY(Sintesi!$C$15),1,$C316)&gt;0),0,IF(($E316=INDEX(_xlfn.ANCHORARRAY(Sintesi!$C$14),1,$C316))*(INDEX(_xlfn.ANCHORARRAY(Sintesi!$C$15),1,$C316)&lt;0)+($E316&gt;=LOOKUP(2,1/($E:$E&lt;&gt;""),$E:$E))*($E316&lt;=INDEX($E:$E,MATCH(TRUE,INDEX((ISNUMBER($E:$E)),0),0)))*($E316&gt;INDEX(_xlfn.ANCHORARRAY(Sintesi!$C$14),1,$C316))*($E316&lt;=INDEX(_xlfn.ANCHORARRAY(Sintesi!$C$15),1,$C316))*(INDEX(_xlfn.ANCHORARRAY(Sintesi!$C$15),1,$C316)&gt;0),1,IF(($E316&gt;=LOOKUP(2,1/($E:$E&lt;&gt;""),$E:$E))*($E316&lt;=INDEX($E:$E,MATCH(TRUE,INDEX((ISNUMBER($E:$E)),0),0)))*($E316&gt;INDEX(_xlfn.ANCHORARRAY(Sintesi!$C$14),1,$C316))*($E316&lt;INDEX(_xlfn.ANCHORARRAY(Sintesi!$C$16),1,$C316))*(INDEX(_xlfn.ANCHORARRAY(Sintesi!$C$15),1,$C316)&lt;0)+($E316&gt;=LOOKUP(2,1/($E:$E&lt;&gt;""),$E:$E))*($E316&lt;=INDEX($E:$E,MATCH(TRUE,INDEX((ISNUMBER($E:$E)),0),0)))*($E316&gt;INDEX(_xlfn.ANCHORARRAY(Sintesi!$C$15),1,$C316))*($E316&lt;INDEX(_xlfn.ANCHORARRAY(Sintesi!$C$16),1,$C316))*(INDEX(_xlfn.ANCHORARRAY(Sintesi!$C$15),1,$C316)&gt;0),2,IF($E316=(INDEX(_xlfn.ANCHORARRAY(Sintesi!$C$16),1,$C316)),3,4)))),0)),IF(ISNUMBER($E315),IF($C316&gt;0,IF(($E316=INDEX(_xlfn.ANCHORARRAY(Sintesi!$C$14),1,$C316))*(INDEX(_xlfn.ANCHORARRAY(Sintesi!$C$15),1,$C316)&gt;0),0,IF(($E316=INDEX(_xlfn.ANCHORARRAY(Sintesi!$C$14),1,$C316))*(INDEX(_xlfn.ANCHORARRAY(Sintesi!$C$15),1,$C316)&lt;0)+($E316&gt;=$E315)*($E316&lt;=$E317)*($E316&gt;INDEX(_xlfn.ANCHORARRAY(Sintesi!$C$14),1,$C316))*($E316&lt;=INDEX(_xlfn.ANCHORARRAY(Sintesi!$C$15),1,$C316))*(INDEX(_xlfn.ANCHORARRAY(Sintesi!$C$15),1,$C316)&gt;0),1,IF(($E316&gt;=$E315)*($E316&lt;=$E317)*($E316&gt;INDEX(_xlfn.ANCHORARRAY(Sintesi!$C$14),1,$C316))*($E316&lt;INDEX(_xlfn.ANCHORARRAY(Sintesi!$C$16),1,$C316))*(INDEX(_xlfn.ANCHORARRAY(Sintesi!$C$15),1,$C316)&lt;0)+($E316&gt;=$E315)*($E316&lt;=$E317)*($E316&gt;INDEX(_xlfn.ANCHORARRAY(Sintesi!$C$15),1,$C316))*($E316&lt;INDEX(_xlfn.ANCHORARRAY(Sintesi!$C$16),1,$C316))*(INDEX(_xlfn.ANCHORARRAY(Sintesi!$C$15),1,$C316)&gt;0),2,IF($E316=(INDEX(_xlfn.ANCHORARRAY(Sintesi!$C$16),1,$C316)),3,4)))),0),IF($C316&gt;0,IF(($E316=INDEX(_xlfn.ANCHORARRAY(Sintesi!$C$14),1,$C316))*(INDEX(_xlfn.ANCHORARRAY(Sintesi!$C$15),1,$C316)&gt;0),0,IF(($E316=INDEX(_xlfn.ANCHORARRAY(Sintesi!$C$14),1,$C316))*(INDEX(_xlfn.ANCHORARRAY(Sintesi!$C$15),1,$C316)&lt;0)+($E316&gt;=LOOKUP(2,1/($E:$E&lt;&gt;""),$E:$E))*($E316&lt;=$E317)*($E316&gt;INDEX(_xlfn.ANCHORARRAY(Sintesi!$C$14),1,$C316))*($E316&lt;=INDEX(_xlfn.ANCHORARRAY(Sintesi!$C$15),1,$C316))*(INDEX(_xlfn.ANCHORARRAY(Sintesi!$C$15),1,$C316)&gt;0),1,IF(($E316&gt;=LOOKUP(2,1/($E:$E&lt;&gt;""),$E:$E))*($E316&lt;=$E317)*($E316&gt;INDEX(_xlfn.ANCHORARRAY(Sintesi!$C$14),1,$C316))*($E316&lt;INDEX(_xlfn.ANCHORARRAY(Sintesi!$C$16),1,$C316))*(INDEX(_xlfn.ANCHORARRAY(Sintesi!$C$15),1,$C316)&lt;0)+($E316&gt;=LOOKUP(2,1/($E:$E&lt;&gt;""),$E:$E))*($E316&lt;=$E317)*($E316&gt;INDEX(_xlfn.ANCHORARRAY(Sintesi!$C$15),1,$C316))*($E316&lt;INDEX(_xlfn.ANCHORARRAY(Sintesi!$C$16),1,$C316))*(INDEX(_xlfn.ANCHORARRAY(Sintesi!$C$15),1,$C316)&gt;0),2,IF($E316=(INDEX(_xlfn.ANCHORARRAY(Sintesi!$C$16),1,$C316)),3,4)))),0)))</f>
        <v/>
      </c>
      <c r="E316" s="1">
        <f>'Paste cell here'!F316</f>
        <v/>
      </c>
      <c r="F316" s="1">
        <f>'Paste cell here'!C316</f>
        <v/>
      </c>
      <c r="G316" s="1">
        <f>'Paste cell here'!D316</f>
        <v/>
      </c>
      <c r="H316" s="1">
        <f>'Paste cell here'!E316</f>
        <v/>
      </c>
      <c r="I316" s="1">
        <f>'Paste cell here'!X316</f>
        <v/>
      </c>
      <c r="J316" s="1">
        <f>'Paste cell here'!Y316+'Paste cell here'!S316</f>
        <v/>
      </c>
      <c r="K316" s="1">
        <f>I316/H316</f>
        <v/>
      </c>
      <c r="L316" s="1">
        <f>AVERAGE(($F316+$G316)/2-($F316-$G316)/2*COS(PI()*(8-VLOOKUP(MONTH(B316),$O$1:$Q$13,3))/(VLOOKUP(MONTH(B316),$O$1:$Q$13,2)-VLOOKUP(MONTH(B316),$O$1:$Q$13,3))),($F316+$G316)/2-($F316-$G316)/2*COS(PI()*(9-VLOOKUP(MONTH(B316),$O$1:$Q$13,3))/(VLOOKUP(MONTH(B316),$O$1:$Q$13,2)-VLOOKUP(MONTH(B316),$O$1:$Q$13,3))),($F316+$G316)/2-($F316-$G316)/2*COS(PI()*(10-VLOOKUP(MONTH(B316),$O$1:$Q$13,3))/(VLOOKUP(MONTH(B316),$O$1:$Q$13,2)-VLOOKUP(MONTH(B316),$O$1:$Q$13,3))),($F316+$G316)/2-($F316-$G316)/2*COS(PI()*(11-VLOOKUP(MONTH(B316),$O$1:$Q$13,3))/(VLOOKUP(MONTH(B316),$O$1:$Q$13,2)-VLOOKUP(MONTH(B316),$O$1:$Q$13,3))),($F316+$G316)/2-($F316-$G316)/2*COS(PI()*(12-VLOOKUP(MONTH(B316),$O$1:$Q$13,3))/(VLOOKUP(MONTH(B316),$O$1:$Q$13,2)-VLOOKUP(MONTH(B316),$O$1:$Q$13,3))),($F316+$G316)/2-($F316-$G316)/2*COS(PI()*(13-VLOOKUP(MONTH(B316),$O$1:$Q$13,3))/(VLOOKUP(MONTH(B316),$O$1:$Q$13,2)-VLOOKUP(MONTH(B316),$O$1:$Q$13,3))),($F316+$G316)/2-($F316-$G316)/2*COS(PI()*(14-VLOOKUP(MONTH(B316),$O$1:$Q$13,3))/(VLOOKUP(MONTH(B316),$O$1:$Q$13,2)-VLOOKUP(MONTH(B316),$O$1:$Q$13,3))))</f>
        <v/>
      </c>
      <c r="M316" s="1">
        <f t="array" ref="M316">IF(AND(A316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,A316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),IF(L316&lt;_xlfn.IFNA(INDEX(_xlfn.ANCHORARRAY(Sintesi!$C$17)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,1,IF(L316&gt;=_xlfn.IFNA(INDEX(_xlfn.ANCHORARRAY(Sintesi!$C$18)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,0,1-(L316-_xlfn.IFNA(INDEX(_xlfn.ANCHORARRAY(Sintesi!$C$17)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)/(_xlfn.IFNA(INDEX(_xlfn.ANCHORARRAY(Sintesi!$C$18)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-_xlfn.IFNA(INDEX(_xlfn.ANCHORARRAY(Sintesi!$C$17)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))),0)</f>
        <v/>
      </c>
    </row>
    <row r="317">
      <c r="A317" s="1">
        <f>'Paste cell here'!A317</f>
        <v/>
      </c>
      <c r="B317" s="2">
        <f>DATE(Sintesi!$C$4-1,12,31)+A317</f>
        <v/>
      </c>
      <c r="C317" s="34">
        <f t="array" ref="C317">_xlfn.IFNA(MATCH(1,(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)*(_xlfn.ANCHORARRAY(Sintesi!$C$15)&gt;=0)+(_xlfn.ANCHORARRAY(Sintesi!$C$15)&lt;0),0),0)</f>
        <v/>
      </c>
      <c r="D317" s="1">
        <f t="array" ref="D317">IF(ISBLANK($E318),IF(ISNUMBER($E316),IF($C317&gt;0,IF(($E317=INDEX(_xlfn.ANCHORARRAY(Sintesi!$C$14),1,$C317))*(INDEX(_xlfn.ANCHORARRAY(Sintesi!$C$15),1,$C317)&gt;0),0,IF(($E317=INDEX(_xlfn.ANCHORARRAY(Sintesi!$C$14),1,$C317))*(INDEX(_xlfn.ANCHORARRAY(Sintesi!$C$15),1,$C317)&lt;0)+($E317&gt;=$E316)*($E317&lt;=INDEX($E:$E,MATCH(TRUE,INDEX((ISNUMBER($E:$E)),0),0)))*($E317&gt;INDEX(_xlfn.ANCHORARRAY(Sintesi!$C$14),1,$C317))*($E317&lt;=INDEX(_xlfn.ANCHORARRAY(Sintesi!$C$15),1,$C317))*(INDEX(_xlfn.ANCHORARRAY(Sintesi!$C$15),1,$C317)&gt;0),1,IF(($E317&gt;=$E316)*($E317&lt;=INDEX($E:$E,MATCH(TRUE,INDEX((ISNUMBER($E:$E)),0),0)))*($E317&gt;INDEX(_xlfn.ANCHORARRAY(Sintesi!$C$14),1,$C317))*($E317&lt;INDEX(_xlfn.ANCHORARRAY(Sintesi!$C$16),1,$C317))*(INDEX(_xlfn.ANCHORARRAY(Sintesi!$C$15),1,$C317)&lt;0)+($E317&gt;=$E316)*($E317&lt;=INDEX($E:$E,MATCH(TRUE,INDEX((ISNUMBER($E:$E)),0),0)))*($E317&gt;INDEX(_xlfn.ANCHORARRAY(Sintesi!$C$15),1,$C317))*($E317&lt;INDEX(_xlfn.ANCHORARRAY(Sintesi!$C$16),1,$C317))*(INDEX(_xlfn.ANCHORARRAY(Sintesi!$C$15),1,$C317)&gt;0),2,IF($E317=(INDEX(_xlfn.ANCHORARRAY(Sintesi!$C$16),1,$C317)),3,4)))),0),IF($C317&gt;0,IF(($E317=INDEX(_xlfn.ANCHORARRAY(Sintesi!$C$14),1,$C317))*(INDEX(_xlfn.ANCHORARRAY(Sintesi!$C$15),1,$C317)&gt;0),0,IF(($E317=INDEX(_xlfn.ANCHORARRAY(Sintesi!$C$14),1,$C317))*(INDEX(_xlfn.ANCHORARRAY(Sintesi!$C$15),1,$C317)&lt;0)+($E317&gt;=LOOKUP(2,1/($E:$E&lt;&gt;""),$E:$E))*($E317&lt;=INDEX($E:$E,MATCH(TRUE,INDEX((ISNUMBER($E:$E)),0),0)))*($E317&gt;INDEX(_xlfn.ANCHORARRAY(Sintesi!$C$14),1,$C317))*($E317&lt;=INDEX(_xlfn.ANCHORARRAY(Sintesi!$C$15),1,$C317))*(INDEX(_xlfn.ANCHORARRAY(Sintesi!$C$15),1,$C317)&gt;0),1,IF(($E317&gt;=LOOKUP(2,1/($E:$E&lt;&gt;""),$E:$E))*($E317&lt;=INDEX($E:$E,MATCH(TRUE,INDEX((ISNUMBER($E:$E)),0),0)))*($E317&gt;INDEX(_xlfn.ANCHORARRAY(Sintesi!$C$14),1,$C317))*($E317&lt;INDEX(_xlfn.ANCHORARRAY(Sintesi!$C$16),1,$C317))*(INDEX(_xlfn.ANCHORARRAY(Sintesi!$C$15),1,$C317)&lt;0)+($E317&gt;=LOOKUP(2,1/($E:$E&lt;&gt;""),$E:$E))*($E317&lt;=INDEX($E:$E,MATCH(TRUE,INDEX((ISNUMBER($E:$E)),0),0)))*($E317&gt;INDEX(_xlfn.ANCHORARRAY(Sintesi!$C$15),1,$C317))*($E317&lt;INDEX(_xlfn.ANCHORARRAY(Sintesi!$C$16),1,$C317))*(INDEX(_xlfn.ANCHORARRAY(Sintesi!$C$15),1,$C317)&gt;0),2,IF($E317=(INDEX(_xlfn.ANCHORARRAY(Sintesi!$C$16),1,$C317)),3,4)))),0)),IF(ISNUMBER($E316),IF($C317&gt;0,IF(($E317=INDEX(_xlfn.ANCHORARRAY(Sintesi!$C$14),1,$C317))*(INDEX(_xlfn.ANCHORARRAY(Sintesi!$C$15),1,$C317)&gt;0),0,IF(($E317=INDEX(_xlfn.ANCHORARRAY(Sintesi!$C$14),1,$C317))*(INDEX(_xlfn.ANCHORARRAY(Sintesi!$C$15),1,$C317)&lt;0)+($E317&gt;=$E316)*($E317&lt;=$E318)*($E317&gt;INDEX(_xlfn.ANCHORARRAY(Sintesi!$C$14),1,$C317))*($E317&lt;=INDEX(_xlfn.ANCHORARRAY(Sintesi!$C$15),1,$C317))*(INDEX(_xlfn.ANCHORARRAY(Sintesi!$C$15),1,$C317)&gt;0),1,IF(($E317&gt;=$E316)*($E317&lt;=$E318)*($E317&gt;INDEX(_xlfn.ANCHORARRAY(Sintesi!$C$14),1,$C317))*($E317&lt;INDEX(_xlfn.ANCHORARRAY(Sintesi!$C$16),1,$C317))*(INDEX(_xlfn.ANCHORARRAY(Sintesi!$C$15),1,$C317)&lt;0)+($E317&gt;=$E316)*($E317&lt;=$E318)*($E317&gt;INDEX(_xlfn.ANCHORARRAY(Sintesi!$C$15),1,$C317))*($E317&lt;INDEX(_xlfn.ANCHORARRAY(Sintesi!$C$16),1,$C317))*(INDEX(_xlfn.ANCHORARRAY(Sintesi!$C$15),1,$C317)&gt;0),2,IF($E317=(INDEX(_xlfn.ANCHORARRAY(Sintesi!$C$16),1,$C317)),3,4)))),0),IF($C317&gt;0,IF(($E317=INDEX(_xlfn.ANCHORARRAY(Sintesi!$C$14),1,$C317))*(INDEX(_xlfn.ANCHORARRAY(Sintesi!$C$15),1,$C317)&gt;0),0,IF(($E317=INDEX(_xlfn.ANCHORARRAY(Sintesi!$C$14),1,$C317))*(INDEX(_xlfn.ANCHORARRAY(Sintesi!$C$15),1,$C317)&lt;0)+($E317&gt;=LOOKUP(2,1/($E:$E&lt;&gt;""),$E:$E))*($E317&lt;=$E318)*($E317&gt;INDEX(_xlfn.ANCHORARRAY(Sintesi!$C$14),1,$C317))*($E317&lt;=INDEX(_xlfn.ANCHORARRAY(Sintesi!$C$15),1,$C317))*(INDEX(_xlfn.ANCHORARRAY(Sintesi!$C$15),1,$C317)&gt;0),1,IF(($E317&gt;=LOOKUP(2,1/($E:$E&lt;&gt;""),$E:$E))*($E317&lt;=$E318)*($E317&gt;INDEX(_xlfn.ANCHORARRAY(Sintesi!$C$14),1,$C317))*($E317&lt;INDEX(_xlfn.ANCHORARRAY(Sintesi!$C$16),1,$C317))*(INDEX(_xlfn.ANCHORARRAY(Sintesi!$C$15),1,$C317)&lt;0)+($E317&gt;=LOOKUP(2,1/($E:$E&lt;&gt;""),$E:$E))*($E317&lt;=$E318)*($E317&gt;INDEX(_xlfn.ANCHORARRAY(Sintesi!$C$15),1,$C317))*($E317&lt;INDEX(_xlfn.ANCHORARRAY(Sintesi!$C$16),1,$C317))*(INDEX(_xlfn.ANCHORARRAY(Sintesi!$C$15),1,$C317)&gt;0),2,IF($E317=(INDEX(_xlfn.ANCHORARRAY(Sintesi!$C$16),1,$C317)),3,4)))),0)))</f>
        <v/>
      </c>
      <c r="E317" s="1">
        <f>'Paste cell here'!F317</f>
        <v/>
      </c>
      <c r="F317" s="1">
        <f>'Paste cell here'!C317</f>
        <v/>
      </c>
      <c r="G317" s="1">
        <f>'Paste cell here'!D317</f>
        <v/>
      </c>
      <c r="H317" s="1">
        <f>'Paste cell here'!E317</f>
        <v/>
      </c>
      <c r="I317" s="1">
        <f>'Paste cell here'!X317</f>
        <v/>
      </c>
      <c r="J317" s="1">
        <f>'Paste cell here'!Y317+'Paste cell here'!S317</f>
        <v/>
      </c>
      <c r="K317" s="1">
        <f>I317/H317</f>
        <v/>
      </c>
      <c r="L317" s="1">
        <f>AVERAGE(($F317+$G317)/2-($F317-$G317)/2*COS(PI()*(8-VLOOKUP(MONTH(B317),$O$1:$Q$13,3))/(VLOOKUP(MONTH(B317),$O$1:$Q$13,2)-VLOOKUP(MONTH(B317),$O$1:$Q$13,3))),($F317+$G317)/2-($F317-$G317)/2*COS(PI()*(9-VLOOKUP(MONTH(B317),$O$1:$Q$13,3))/(VLOOKUP(MONTH(B317),$O$1:$Q$13,2)-VLOOKUP(MONTH(B317),$O$1:$Q$13,3))),($F317+$G317)/2-($F317-$G317)/2*COS(PI()*(10-VLOOKUP(MONTH(B317),$O$1:$Q$13,3))/(VLOOKUP(MONTH(B317),$O$1:$Q$13,2)-VLOOKUP(MONTH(B317),$O$1:$Q$13,3))),($F317+$G317)/2-($F317-$G317)/2*COS(PI()*(11-VLOOKUP(MONTH(B317),$O$1:$Q$13,3))/(VLOOKUP(MONTH(B317),$O$1:$Q$13,2)-VLOOKUP(MONTH(B317),$O$1:$Q$13,3))),($F317+$G317)/2-($F317-$G317)/2*COS(PI()*(12-VLOOKUP(MONTH(B317),$O$1:$Q$13,3))/(VLOOKUP(MONTH(B317),$O$1:$Q$13,2)-VLOOKUP(MONTH(B317),$O$1:$Q$13,3))),($F317+$G317)/2-($F317-$G317)/2*COS(PI()*(13-VLOOKUP(MONTH(B317),$O$1:$Q$13,3))/(VLOOKUP(MONTH(B317),$O$1:$Q$13,2)-VLOOKUP(MONTH(B317),$O$1:$Q$13,3))),($F317+$G317)/2-($F317-$G317)/2*COS(PI()*(14-VLOOKUP(MONTH(B317),$O$1:$Q$13,3))/(VLOOKUP(MONTH(B317),$O$1:$Q$13,2)-VLOOKUP(MONTH(B317),$O$1:$Q$13,3))))</f>
        <v/>
      </c>
      <c r="M317" s="1">
        <f t="array" ref="M317">IF(AND(A317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,A317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),IF(L317&lt;_xlfn.IFNA(INDEX(_xlfn.ANCHORARRAY(Sintesi!$C$17)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,1,IF(L317&gt;=_xlfn.IFNA(INDEX(_xlfn.ANCHORARRAY(Sintesi!$C$18)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,0,1-(L317-_xlfn.IFNA(INDEX(_xlfn.ANCHORARRAY(Sintesi!$C$17)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)/(_xlfn.IFNA(INDEX(_xlfn.ANCHORARRAY(Sintesi!$C$18)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-_xlfn.IFNA(INDEX(_xlfn.ANCHORARRAY(Sintesi!$C$17)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))),0)</f>
        <v/>
      </c>
    </row>
    <row r="318">
      <c r="A318" s="1">
        <f>'Paste cell here'!A318</f>
        <v/>
      </c>
      <c r="B318" s="2">
        <f>DATE(Sintesi!$C$4-1,12,31)+A318</f>
        <v/>
      </c>
      <c r="C318" s="34">
        <f t="array" ref="C318">_xlfn.IFNA(MATCH(1,(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)*(_xlfn.ANCHORARRAY(Sintesi!$C$15)&gt;=0)+(_xlfn.ANCHORARRAY(Sintesi!$C$15)&lt;0),0),0)</f>
        <v/>
      </c>
      <c r="D318" s="1">
        <f t="array" ref="D318">IF(ISBLANK($E319),IF(ISNUMBER($E317),IF($C318&gt;0,IF(($E318=INDEX(_xlfn.ANCHORARRAY(Sintesi!$C$14),1,$C318))*(INDEX(_xlfn.ANCHORARRAY(Sintesi!$C$15),1,$C318)&gt;0),0,IF(($E318=INDEX(_xlfn.ANCHORARRAY(Sintesi!$C$14),1,$C318))*(INDEX(_xlfn.ANCHORARRAY(Sintesi!$C$15),1,$C318)&lt;0)+($E318&gt;=$E317)*($E318&lt;=INDEX($E:$E,MATCH(TRUE,INDEX((ISNUMBER($E:$E)),0),0)))*($E318&gt;INDEX(_xlfn.ANCHORARRAY(Sintesi!$C$14),1,$C318))*($E318&lt;=INDEX(_xlfn.ANCHORARRAY(Sintesi!$C$15),1,$C318))*(INDEX(_xlfn.ANCHORARRAY(Sintesi!$C$15),1,$C318)&gt;0),1,IF(($E318&gt;=$E317)*($E318&lt;=INDEX($E:$E,MATCH(TRUE,INDEX((ISNUMBER($E:$E)),0),0)))*($E318&gt;INDEX(_xlfn.ANCHORARRAY(Sintesi!$C$14),1,$C318))*($E318&lt;INDEX(_xlfn.ANCHORARRAY(Sintesi!$C$16),1,$C318))*(INDEX(_xlfn.ANCHORARRAY(Sintesi!$C$15),1,$C318)&lt;0)+($E318&gt;=$E317)*($E318&lt;=INDEX($E:$E,MATCH(TRUE,INDEX((ISNUMBER($E:$E)),0),0)))*($E318&gt;INDEX(_xlfn.ANCHORARRAY(Sintesi!$C$15),1,$C318))*($E318&lt;INDEX(_xlfn.ANCHORARRAY(Sintesi!$C$16),1,$C318))*(INDEX(_xlfn.ANCHORARRAY(Sintesi!$C$15),1,$C318)&gt;0),2,IF($E318=(INDEX(_xlfn.ANCHORARRAY(Sintesi!$C$16),1,$C318)),3,4)))),0),IF($C318&gt;0,IF(($E318=INDEX(_xlfn.ANCHORARRAY(Sintesi!$C$14),1,$C318))*(INDEX(_xlfn.ANCHORARRAY(Sintesi!$C$15),1,$C318)&gt;0),0,IF(($E318=INDEX(_xlfn.ANCHORARRAY(Sintesi!$C$14),1,$C318))*(INDEX(_xlfn.ANCHORARRAY(Sintesi!$C$15),1,$C318)&lt;0)+($E318&gt;=LOOKUP(2,1/($E:$E&lt;&gt;""),$E:$E))*($E318&lt;=INDEX($E:$E,MATCH(TRUE,INDEX((ISNUMBER($E:$E)),0),0)))*($E318&gt;INDEX(_xlfn.ANCHORARRAY(Sintesi!$C$14),1,$C318))*($E318&lt;=INDEX(_xlfn.ANCHORARRAY(Sintesi!$C$15),1,$C318))*(INDEX(_xlfn.ANCHORARRAY(Sintesi!$C$15),1,$C318)&gt;0),1,IF(($E318&gt;=LOOKUP(2,1/($E:$E&lt;&gt;""),$E:$E))*($E318&lt;=INDEX($E:$E,MATCH(TRUE,INDEX((ISNUMBER($E:$E)),0),0)))*($E318&gt;INDEX(_xlfn.ANCHORARRAY(Sintesi!$C$14),1,$C318))*($E318&lt;INDEX(_xlfn.ANCHORARRAY(Sintesi!$C$16),1,$C318))*(INDEX(_xlfn.ANCHORARRAY(Sintesi!$C$15),1,$C318)&lt;0)+($E318&gt;=LOOKUP(2,1/($E:$E&lt;&gt;""),$E:$E))*($E318&lt;=INDEX($E:$E,MATCH(TRUE,INDEX((ISNUMBER($E:$E)),0),0)))*($E318&gt;INDEX(_xlfn.ANCHORARRAY(Sintesi!$C$15),1,$C318))*($E318&lt;INDEX(_xlfn.ANCHORARRAY(Sintesi!$C$16),1,$C318))*(INDEX(_xlfn.ANCHORARRAY(Sintesi!$C$15),1,$C318)&gt;0),2,IF($E318=(INDEX(_xlfn.ANCHORARRAY(Sintesi!$C$16),1,$C318)),3,4)))),0)),IF(ISNUMBER($E317),IF($C318&gt;0,IF(($E318=INDEX(_xlfn.ANCHORARRAY(Sintesi!$C$14),1,$C318))*(INDEX(_xlfn.ANCHORARRAY(Sintesi!$C$15),1,$C318)&gt;0),0,IF(($E318=INDEX(_xlfn.ANCHORARRAY(Sintesi!$C$14),1,$C318))*(INDEX(_xlfn.ANCHORARRAY(Sintesi!$C$15),1,$C318)&lt;0)+($E318&gt;=$E317)*($E318&lt;=$E319)*($E318&gt;INDEX(_xlfn.ANCHORARRAY(Sintesi!$C$14),1,$C318))*($E318&lt;=INDEX(_xlfn.ANCHORARRAY(Sintesi!$C$15),1,$C318))*(INDEX(_xlfn.ANCHORARRAY(Sintesi!$C$15),1,$C318)&gt;0),1,IF(($E318&gt;=$E317)*($E318&lt;=$E319)*($E318&gt;INDEX(_xlfn.ANCHORARRAY(Sintesi!$C$14),1,$C318))*($E318&lt;INDEX(_xlfn.ANCHORARRAY(Sintesi!$C$16),1,$C318))*(INDEX(_xlfn.ANCHORARRAY(Sintesi!$C$15),1,$C318)&lt;0)+($E318&gt;=$E317)*($E318&lt;=$E319)*($E318&gt;INDEX(_xlfn.ANCHORARRAY(Sintesi!$C$15),1,$C318))*($E318&lt;INDEX(_xlfn.ANCHORARRAY(Sintesi!$C$16),1,$C318))*(INDEX(_xlfn.ANCHORARRAY(Sintesi!$C$15),1,$C318)&gt;0),2,IF($E318=(INDEX(_xlfn.ANCHORARRAY(Sintesi!$C$16),1,$C318)),3,4)))),0),IF($C318&gt;0,IF(($E318=INDEX(_xlfn.ANCHORARRAY(Sintesi!$C$14),1,$C318))*(INDEX(_xlfn.ANCHORARRAY(Sintesi!$C$15),1,$C318)&gt;0),0,IF(($E318=INDEX(_xlfn.ANCHORARRAY(Sintesi!$C$14),1,$C318))*(INDEX(_xlfn.ANCHORARRAY(Sintesi!$C$15),1,$C318)&lt;0)+($E318&gt;=LOOKUP(2,1/($E:$E&lt;&gt;""),$E:$E))*($E318&lt;=$E319)*($E318&gt;INDEX(_xlfn.ANCHORARRAY(Sintesi!$C$14),1,$C318))*($E318&lt;=INDEX(_xlfn.ANCHORARRAY(Sintesi!$C$15),1,$C318))*(INDEX(_xlfn.ANCHORARRAY(Sintesi!$C$15),1,$C318)&gt;0),1,IF(($E318&gt;=LOOKUP(2,1/($E:$E&lt;&gt;""),$E:$E))*($E318&lt;=$E319)*($E318&gt;INDEX(_xlfn.ANCHORARRAY(Sintesi!$C$14),1,$C318))*($E318&lt;INDEX(_xlfn.ANCHORARRAY(Sintesi!$C$16),1,$C318))*(INDEX(_xlfn.ANCHORARRAY(Sintesi!$C$15),1,$C318)&lt;0)+($E318&gt;=LOOKUP(2,1/($E:$E&lt;&gt;""),$E:$E))*($E318&lt;=$E319)*($E318&gt;INDEX(_xlfn.ANCHORARRAY(Sintesi!$C$15),1,$C318))*($E318&lt;INDEX(_xlfn.ANCHORARRAY(Sintesi!$C$16),1,$C318))*(INDEX(_xlfn.ANCHORARRAY(Sintesi!$C$15),1,$C318)&gt;0),2,IF($E318=(INDEX(_xlfn.ANCHORARRAY(Sintesi!$C$16),1,$C318)),3,4)))),0)))</f>
        <v/>
      </c>
      <c r="E318" s="1">
        <f>'Paste cell here'!F318</f>
        <v/>
      </c>
      <c r="F318" s="1">
        <f>'Paste cell here'!C318</f>
        <v/>
      </c>
      <c r="G318" s="1">
        <f>'Paste cell here'!D318</f>
        <v/>
      </c>
      <c r="H318" s="1">
        <f>'Paste cell here'!E318</f>
        <v/>
      </c>
      <c r="I318" s="1">
        <f>'Paste cell here'!X318</f>
        <v/>
      </c>
      <c r="J318" s="1">
        <f>'Paste cell here'!Y318+'Paste cell here'!S318</f>
        <v/>
      </c>
      <c r="K318" s="1">
        <f>I318/H318</f>
        <v/>
      </c>
      <c r="L318" s="1">
        <f>AVERAGE(($F318+$G318)/2-($F318-$G318)/2*COS(PI()*(8-VLOOKUP(MONTH(B318),$O$1:$Q$13,3))/(VLOOKUP(MONTH(B318),$O$1:$Q$13,2)-VLOOKUP(MONTH(B318),$O$1:$Q$13,3))),($F318+$G318)/2-($F318-$G318)/2*COS(PI()*(9-VLOOKUP(MONTH(B318),$O$1:$Q$13,3))/(VLOOKUP(MONTH(B318),$O$1:$Q$13,2)-VLOOKUP(MONTH(B318),$O$1:$Q$13,3))),($F318+$G318)/2-($F318-$G318)/2*COS(PI()*(10-VLOOKUP(MONTH(B318),$O$1:$Q$13,3))/(VLOOKUP(MONTH(B318),$O$1:$Q$13,2)-VLOOKUP(MONTH(B318),$O$1:$Q$13,3))),($F318+$G318)/2-($F318-$G318)/2*COS(PI()*(11-VLOOKUP(MONTH(B318),$O$1:$Q$13,3))/(VLOOKUP(MONTH(B318),$O$1:$Q$13,2)-VLOOKUP(MONTH(B318),$O$1:$Q$13,3))),($F318+$G318)/2-($F318-$G318)/2*COS(PI()*(12-VLOOKUP(MONTH(B318),$O$1:$Q$13,3))/(VLOOKUP(MONTH(B318),$O$1:$Q$13,2)-VLOOKUP(MONTH(B318),$O$1:$Q$13,3))),($F318+$G318)/2-($F318-$G318)/2*COS(PI()*(13-VLOOKUP(MONTH(B318),$O$1:$Q$13,3))/(VLOOKUP(MONTH(B318),$O$1:$Q$13,2)-VLOOKUP(MONTH(B318),$O$1:$Q$13,3))),($F318+$G318)/2-($F318-$G318)/2*COS(PI()*(14-VLOOKUP(MONTH(B318),$O$1:$Q$13,3))/(VLOOKUP(MONTH(B318),$O$1:$Q$13,2)-VLOOKUP(MONTH(B318),$O$1:$Q$13,3))))</f>
        <v/>
      </c>
      <c r="M318" s="1">
        <f t="array" ref="M318">IF(AND(A318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,A318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),IF(L318&lt;_xlfn.IFNA(INDEX(_xlfn.ANCHORARRAY(Sintesi!$C$17)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,1,IF(L318&gt;=_xlfn.IFNA(INDEX(_xlfn.ANCHORARRAY(Sintesi!$C$18)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,0,1-(L318-_xlfn.IFNA(INDEX(_xlfn.ANCHORARRAY(Sintesi!$C$17)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)/(_xlfn.IFNA(INDEX(_xlfn.ANCHORARRAY(Sintesi!$C$18)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-_xlfn.IFNA(INDEX(_xlfn.ANCHORARRAY(Sintesi!$C$17)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))),0)</f>
        <v/>
      </c>
    </row>
    <row r="319">
      <c r="A319" s="1">
        <f>'Paste cell here'!A319</f>
        <v/>
      </c>
      <c r="B319" s="2">
        <f>DATE(Sintesi!$C$4-1,12,31)+A319</f>
        <v/>
      </c>
      <c r="C319" s="34">
        <f t="array" ref="C319">_xlfn.IFNA(MATCH(1,(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)*(_xlfn.ANCHORARRAY(Sintesi!$C$15)&gt;=0)+(_xlfn.ANCHORARRAY(Sintesi!$C$15)&lt;0),0),0)</f>
        <v/>
      </c>
      <c r="D319" s="1">
        <f t="array" ref="D319">IF(ISBLANK($E320),IF(ISNUMBER($E318),IF($C319&gt;0,IF(($E319=INDEX(_xlfn.ANCHORARRAY(Sintesi!$C$14),1,$C319))*(INDEX(_xlfn.ANCHORARRAY(Sintesi!$C$15),1,$C319)&gt;0),0,IF(($E319=INDEX(_xlfn.ANCHORARRAY(Sintesi!$C$14),1,$C319))*(INDEX(_xlfn.ANCHORARRAY(Sintesi!$C$15),1,$C319)&lt;0)+($E319&gt;=$E318)*($E319&lt;=INDEX($E:$E,MATCH(TRUE,INDEX((ISNUMBER($E:$E)),0),0)))*($E319&gt;INDEX(_xlfn.ANCHORARRAY(Sintesi!$C$14),1,$C319))*($E319&lt;=INDEX(_xlfn.ANCHORARRAY(Sintesi!$C$15),1,$C319))*(INDEX(_xlfn.ANCHORARRAY(Sintesi!$C$15),1,$C319)&gt;0),1,IF(($E319&gt;=$E318)*($E319&lt;=INDEX($E:$E,MATCH(TRUE,INDEX((ISNUMBER($E:$E)),0),0)))*($E319&gt;INDEX(_xlfn.ANCHORARRAY(Sintesi!$C$14),1,$C319))*($E319&lt;INDEX(_xlfn.ANCHORARRAY(Sintesi!$C$16),1,$C319))*(INDEX(_xlfn.ANCHORARRAY(Sintesi!$C$15),1,$C319)&lt;0)+($E319&gt;=$E318)*($E319&lt;=INDEX($E:$E,MATCH(TRUE,INDEX((ISNUMBER($E:$E)),0),0)))*($E319&gt;INDEX(_xlfn.ANCHORARRAY(Sintesi!$C$15),1,$C319))*($E319&lt;INDEX(_xlfn.ANCHORARRAY(Sintesi!$C$16),1,$C319))*(INDEX(_xlfn.ANCHORARRAY(Sintesi!$C$15),1,$C319)&gt;0),2,IF($E319=(INDEX(_xlfn.ANCHORARRAY(Sintesi!$C$16),1,$C319)),3,4)))),0),IF($C319&gt;0,IF(($E319=INDEX(_xlfn.ANCHORARRAY(Sintesi!$C$14),1,$C319))*(INDEX(_xlfn.ANCHORARRAY(Sintesi!$C$15),1,$C319)&gt;0),0,IF(($E319=INDEX(_xlfn.ANCHORARRAY(Sintesi!$C$14),1,$C319))*(INDEX(_xlfn.ANCHORARRAY(Sintesi!$C$15),1,$C319)&lt;0)+($E319&gt;=LOOKUP(2,1/($E:$E&lt;&gt;""),$E:$E))*($E319&lt;=INDEX($E:$E,MATCH(TRUE,INDEX((ISNUMBER($E:$E)),0),0)))*($E319&gt;INDEX(_xlfn.ANCHORARRAY(Sintesi!$C$14),1,$C319))*($E319&lt;=INDEX(_xlfn.ANCHORARRAY(Sintesi!$C$15),1,$C319))*(INDEX(_xlfn.ANCHORARRAY(Sintesi!$C$15),1,$C319)&gt;0),1,IF(($E319&gt;=LOOKUP(2,1/($E:$E&lt;&gt;""),$E:$E))*($E319&lt;=INDEX($E:$E,MATCH(TRUE,INDEX((ISNUMBER($E:$E)),0),0)))*($E319&gt;INDEX(_xlfn.ANCHORARRAY(Sintesi!$C$14),1,$C319))*($E319&lt;INDEX(_xlfn.ANCHORARRAY(Sintesi!$C$16),1,$C319))*(INDEX(_xlfn.ANCHORARRAY(Sintesi!$C$15),1,$C319)&lt;0)+($E319&gt;=LOOKUP(2,1/($E:$E&lt;&gt;""),$E:$E))*($E319&lt;=INDEX($E:$E,MATCH(TRUE,INDEX((ISNUMBER($E:$E)),0),0)))*($E319&gt;INDEX(_xlfn.ANCHORARRAY(Sintesi!$C$15),1,$C319))*($E319&lt;INDEX(_xlfn.ANCHORARRAY(Sintesi!$C$16),1,$C319))*(INDEX(_xlfn.ANCHORARRAY(Sintesi!$C$15),1,$C319)&gt;0),2,IF($E319=(INDEX(_xlfn.ANCHORARRAY(Sintesi!$C$16),1,$C319)),3,4)))),0)),IF(ISNUMBER($E318),IF($C319&gt;0,IF(($E319=INDEX(_xlfn.ANCHORARRAY(Sintesi!$C$14),1,$C319))*(INDEX(_xlfn.ANCHORARRAY(Sintesi!$C$15),1,$C319)&gt;0),0,IF(($E319=INDEX(_xlfn.ANCHORARRAY(Sintesi!$C$14),1,$C319))*(INDEX(_xlfn.ANCHORARRAY(Sintesi!$C$15),1,$C319)&lt;0)+($E319&gt;=$E318)*($E319&lt;=$E320)*($E319&gt;INDEX(_xlfn.ANCHORARRAY(Sintesi!$C$14),1,$C319))*($E319&lt;=INDEX(_xlfn.ANCHORARRAY(Sintesi!$C$15),1,$C319))*(INDEX(_xlfn.ANCHORARRAY(Sintesi!$C$15),1,$C319)&gt;0),1,IF(($E319&gt;=$E318)*($E319&lt;=$E320)*($E319&gt;INDEX(_xlfn.ANCHORARRAY(Sintesi!$C$14),1,$C319))*($E319&lt;INDEX(_xlfn.ANCHORARRAY(Sintesi!$C$16),1,$C319))*(INDEX(_xlfn.ANCHORARRAY(Sintesi!$C$15),1,$C319)&lt;0)+($E319&gt;=$E318)*($E319&lt;=$E320)*($E319&gt;INDEX(_xlfn.ANCHORARRAY(Sintesi!$C$15),1,$C319))*($E319&lt;INDEX(_xlfn.ANCHORARRAY(Sintesi!$C$16),1,$C319))*(INDEX(_xlfn.ANCHORARRAY(Sintesi!$C$15),1,$C319)&gt;0),2,IF($E319=(INDEX(_xlfn.ANCHORARRAY(Sintesi!$C$16),1,$C319)),3,4)))),0),IF($C319&gt;0,IF(($E319=INDEX(_xlfn.ANCHORARRAY(Sintesi!$C$14),1,$C319))*(INDEX(_xlfn.ANCHORARRAY(Sintesi!$C$15),1,$C319)&gt;0),0,IF(($E319=INDEX(_xlfn.ANCHORARRAY(Sintesi!$C$14),1,$C319))*(INDEX(_xlfn.ANCHORARRAY(Sintesi!$C$15),1,$C319)&lt;0)+($E319&gt;=LOOKUP(2,1/($E:$E&lt;&gt;""),$E:$E))*($E319&lt;=$E320)*($E319&gt;INDEX(_xlfn.ANCHORARRAY(Sintesi!$C$14),1,$C319))*($E319&lt;=INDEX(_xlfn.ANCHORARRAY(Sintesi!$C$15),1,$C319))*(INDEX(_xlfn.ANCHORARRAY(Sintesi!$C$15),1,$C319)&gt;0),1,IF(($E319&gt;=LOOKUP(2,1/($E:$E&lt;&gt;""),$E:$E))*($E319&lt;=$E320)*($E319&gt;INDEX(_xlfn.ANCHORARRAY(Sintesi!$C$14),1,$C319))*($E319&lt;INDEX(_xlfn.ANCHORARRAY(Sintesi!$C$16),1,$C319))*(INDEX(_xlfn.ANCHORARRAY(Sintesi!$C$15),1,$C319)&lt;0)+($E319&gt;=LOOKUP(2,1/($E:$E&lt;&gt;""),$E:$E))*($E319&lt;=$E320)*($E319&gt;INDEX(_xlfn.ANCHORARRAY(Sintesi!$C$15),1,$C319))*($E319&lt;INDEX(_xlfn.ANCHORARRAY(Sintesi!$C$16),1,$C319))*(INDEX(_xlfn.ANCHORARRAY(Sintesi!$C$15),1,$C319)&gt;0),2,IF($E319=(INDEX(_xlfn.ANCHORARRAY(Sintesi!$C$16),1,$C319)),3,4)))),0)))</f>
        <v/>
      </c>
      <c r="E319" s="1">
        <f>'Paste cell here'!F319</f>
        <v/>
      </c>
      <c r="F319" s="1">
        <f>'Paste cell here'!C319</f>
        <v/>
      </c>
      <c r="G319" s="1">
        <f>'Paste cell here'!D319</f>
        <v/>
      </c>
      <c r="H319" s="1">
        <f>'Paste cell here'!E319</f>
        <v/>
      </c>
      <c r="I319" s="1">
        <f>'Paste cell here'!X319</f>
        <v/>
      </c>
      <c r="J319" s="1">
        <f>'Paste cell here'!Y319+'Paste cell here'!S319</f>
        <v/>
      </c>
      <c r="K319" s="1">
        <f>I319/H319</f>
        <v/>
      </c>
      <c r="L319" s="1">
        <f>AVERAGE(($F319+$G319)/2-($F319-$G319)/2*COS(PI()*(8-VLOOKUP(MONTH(B319),$O$1:$Q$13,3))/(VLOOKUP(MONTH(B319),$O$1:$Q$13,2)-VLOOKUP(MONTH(B319),$O$1:$Q$13,3))),($F319+$G319)/2-($F319-$G319)/2*COS(PI()*(9-VLOOKUP(MONTH(B319),$O$1:$Q$13,3))/(VLOOKUP(MONTH(B319),$O$1:$Q$13,2)-VLOOKUP(MONTH(B319),$O$1:$Q$13,3))),($F319+$G319)/2-($F319-$G319)/2*COS(PI()*(10-VLOOKUP(MONTH(B319),$O$1:$Q$13,3))/(VLOOKUP(MONTH(B319),$O$1:$Q$13,2)-VLOOKUP(MONTH(B319),$O$1:$Q$13,3))),($F319+$G319)/2-($F319-$G319)/2*COS(PI()*(11-VLOOKUP(MONTH(B319),$O$1:$Q$13,3))/(VLOOKUP(MONTH(B319),$O$1:$Q$13,2)-VLOOKUP(MONTH(B319),$O$1:$Q$13,3))),($F319+$G319)/2-($F319-$G319)/2*COS(PI()*(12-VLOOKUP(MONTH(B319),$O$1:$Q$13,3))/(VLOOKUP(MONTH(B319),$O$1:$Q$13,2)-VLOOKUP(MONTH(B319),$O$1:$Q$13,3))),($F319+$G319)/2-($F319-$G319)/2*COS(PI()*(13-VLOOKUP(MONTH(B319),$O$1:$Q$13,3))/(VLOOKUP(MONTH(B319),$O$1:$Q$13,2)-VLOOKUP(MONTH(B319),$O$1:$Q$13,3))),($F319+$G319)/2-($F319-$G319)/2*COS(PI()*(14-VLOOKUP(MONTH(B319),$O$1:$Q$13,3))/(VLOOKUP(MONTH(B319),$O$1:$Q$13,2)-VLOOKUP(MONTH(B319),$O$1:$Q$13,3))))</f>
        <v/>
      </c>
      <c r="M319" s="1">
        <f t="array" ref="M319">IF(AND(A319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,A319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),IF(L319&lt;_xlfn.IFNA(INDEX(_xlfn.ANCHORARRAY(Sintesi!$C$17)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,1,IF(L319&gt;=_xlfn.IFNA(INDEX(_xlfn.ANCHORARRAY(Sintesi!$C$18)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,0,1-(L319-_xlfn.IFNA(INDEX(_xlfn.ANCHORARRAY(Sintesi!$C$17)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)/(_xlfn.IFNA(INDEX(_xlfn.ANCHORARRAY(Sintesi!$C$18)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-_xlfn.IFNA(INDEX(_xlfn.ANCHORARRAY(Sintesi!$C$17)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))),0)</f>
        <v/>
      </c>
    </row>
    <row r="320">
      <c r="A320" s="1">
        <f>'Paste cell here'!A320</f>
        <v/>
      </c>
      <c r="B320" s="2">
        <f>DATE(Sintesi!$C$4-1,12,31)+A320</f>
        <v/>
      </c>
      <c r="C320" s="34">
        <f t="array" ref="C320">_xlfn.IFNA(MATCH(1,(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)*(_xlfn.ANCHORARRAY(Sintesi!$C$15)&gt;=0)+(_xlfn.ANCHORARRAY(Sintesi!$C$15)&lt;0),0),0)</f>
        <v/>
      </c>
      <c r="D320" s="1">
        <f t="array" ref="D320">IF(ISBLANK($E321),IF(ISNUMBER($E319),IF($C320&gt;0,IF(($E320=INDEX(_xlfn.ANCHORARRAY(Sintesi!$C$14),1,$C320))*(INDEX(_xlfn.ANCHORARRAY(Sintesi!$C$15),1,$C320)&gt;0),0,IF(($E320=INDEX(_xlfn.ANCHORARRAY(Sintesi!$C$14),1,$C320))*(INDEX(_xlfn.ANCHORARRAY(Sintesi!$C$15),1,$C320)&lt;0)+($E320&gt;=$E319)*($E320&lt;=INDEX($E:$E,MATCH(TRUE,INDEX((ISNUMBER($E:$E)),0),0)))*($E320&gt;INDEX(_xlfn.ANCHORARRAY(Sintesi!$C$14),1,$C320))*($E320&lt;=INDEX(_xlfn.ANCHORARRAY(Sintesi!$C$15),1,$C320))*(INDEX(_xlfn.ANCHORARRAY(Sintesi!$C$15),1,$C320)&gt;0),1,IF(($E320&gt;=$E319)*($E320&lt;=INDEX($E:$E,MATCH(TRUE,INDEX((ISNUMBER($E:$E)),0),0)))*($E320&gt;INDEX(_xlfn.ANCHORARRAY(Sintesi!$C$14),1,$C320))*($E320&lt;INDEX(_xlfn.ANCHORARRAY(Sintesi!$C$16),1,$C320))*(INDEX(_xlfn.ANCHORARRAY(Sintesi!$C$15),1,$C320)&lt;0)+($E320&gt;=$E319)*($E320&lt;=INDEX($E:$E,MATCH(TRUE,INDEX((ISNUMBER($E:$E)),0),0)))*($E320&gt;INDEX(_xlfn.ANCHORARRAY(Sintesi!$C$15),1,$C320))*($E320&lt;INDEX(_xlfn.ANCHORARRAY(Sintesi!$C$16),1,$C320))*(INDEX(_xlfn.ANCHORARRAY(Sintesi!$C$15),1,$C320)&gt;0),2,IF($E320=(INDEX(_xlfn.ANCHORARRAY(Sintesi!$C$16),1,$C320)),3,4)))),0),IF($C320&gt;0,IF(($E320=INDEX(_xlfn.ANCHORARRAY(Sintesi!$C$14),1,$C320))*(INDEX(_xlfn.ANCHORARRAY(Sintesi!$C$15),1,$C320)&gt;0),0,IF(($E320=INDEX(_xlfn.ANCHORARRAY(Sintesi!$C$14),1,$C320))*(INDEX(_xlfn.ANCHORARRAY(Sintesi!$C$15),1,$C320)&lt;0)+($E320&gt;=LOOKUP(2,1/($E:$E&lt;&gt;""),$E:$E))*($E320&lt;=INDEX($E:$E,MATCH(TRUE,INDEX((ISNUMBER($E:$E)),0),0)))*($E320&gt;INDEX(_xlfn.ANCHORARRAY(Sintesi!$C$14),1,$C320))*($E320&lt;=INDEX(_xlfn.ANCHORARRAY(Sintesi!$C$15),1,$C320))*(INDEX(_xlfn.ANCHORARRAY(Sintesi!$C$15),1,$C320)&gt;0),1,IF(($E320&gt;=LOOKUP(2,1/($E:$E&lt;&gt;""),$E:$E))*($E320&lt;=INDEX($E:$E,MATCH(TRUE,INDEX((ISNUMBER($E:$E)),0),0)))*($E320&gt;INDEX(_xlfn.ANCHORARRAY(Sintesi!$C$14),1,$C320))*($E320&lt;INDEX(_xlfn.ANCHORARRAY(Sintesi!$C$16),1,$C320))*(INDEX(_xlfn.ANCHORARRAY(Sintesi!$C$15),1,$C320)&lt;0)+($E320&gt;=LOOKUP(2,1/($E:$E&lt;&gt;""),$E:$E))*($E320&lt;=INDEX($E:$E,MATCH(TRUE,INDEX((ISNUMBER($E:$E)),0),0)))*($E320&gt;INDEX(_xlfn.ANCHORARRAY(Sintesi!$C$15),1,$C320))*($E320&lt;INDEX(_xlfn.ANCHORARRAY(Sintesi!$C$16),1,$C320))*(INDEX(_xlfn.ANCHORARRAY(Sintesi!$C$15),1,$C320)&gt;0),2,IF($E320=(INDEX(_xlfn.ANCHORARRAY(Sintesi!$C$16),1,$C320)),3,4)))),0)),IF(ISNUMBER($E319),IF($C320&gt;0,IF(($E320=INDEX(_xlfn.ANCHORARRAY(Sintesi!$C$14),1,$C320))*(INDEX(_xlfn.ANCHORARRAY(Sintesi!$C$15),1,$C320)&gt;0),0,IF(($E320=INDEX(_xlfn.ANCHORARRAY(Sintesi!$C$14),1,$C320))*(INDEX(_xlfn.ANCHORARRAY(Sintesi!$C$15),1,$C320)&lt;0)+($E320&gt;=$E319)*($E320&lt;=$E321)*($E320&gt;INDEX(_xlfn.ANCHORARRAY(Sintesi!$C$14),1,$C320))*($E320&lt;=INDEX(_xlfn.ANCHORARRAY(Sintesi!$C$15),1,$C320))*(INDEX(_xlfn.ANCHORARRAY(Sintesi!$C$15),1,$C320)&gt;0),1,IF(($E320&gt;=$E319)*($E320&lt;=$E321)*($E320&gt;INDEX(_xlfn.ANCHORARRAY(Sintesi!$C$14),1,$C320))*($E320&lt;INDEX(_xlfn.ANCHORARRAY(Sintesi!$C$16),1,$C320))*(INDEX(_xlfn.ANCHORARRAY(Sintesi!$C$15),1,$C320)&lt;0)+($E320&gt;=$E319)*($E320&lt;=$E321)*($E320&gt;INDEX(_xlfn.ANCHORARRAY(Sintesi!$C$15),1,$C320))*($E320&lt;INDEX(_xlfn.ANCHORARRAY(Sintesi!$C$16),1,$C320))*(INDEX(_xlfn.ANCHORARRAY(Sintesi!$C$15),1,$C320)&gt;0),2,IF($E320=(INDEX(_xlfn.ANCHORARRAY(Sintesi!$C$16),1,$C320)),3,4)))),0),IF($C320&gt;0,IF(($E320=INDEX(_xlfn.ANCHORARRAY(Sintesi!$C$14),1,$C320))*(INDEX(_xlfn.ANCHORARRAY(Sintesi!$C$15),1,$C320)&gt;0),0,IF(($E320=INDEX(_xlfn.ANCHORARRAY(Sintesi!$C$14),1,$C320))*(INDEX(_xlfn.ANCHORARRAY(Sintesi!$C$15),1,$C320)&lt;0)+($E320&gt;=LOOKUP(2,1/($E:$E&lt;&gt;""),$E:$E))*($E320&lt;=$E321)*($E320&gt;INDEX(_xlfn.ANCHORARRAY(Sintesi!$C$14),1,$C320))*($E320&lt;=INDEX(_xlfn.ANCHORARRAY(Sintesi!$C$15),1,$C320))*(INDEX(_xlfn.ANCHORARRAY(Sintesi!$C$15),1,$C320)&gt;0),1,IF(($E320&gt;=LOOKUP(2,1/($E:$E&lt;&gt;""),$E:$E))*($E320&lt;=$E321)*($E320&gt;INDEX(_xlfn.ANCHORARRAY(Sintesi!$C$14),1,$C320))*($E320&lt;INDEX(_xlfn.ANCHORARRAY(Sintesi!$C$16),1,$C320))*(INDEX(_xlfn.ANCHORARRAY(Sintesi!$C$15),1,$C320)&lt;0)+($E320&gt;=LOOKUP(2,1/($E:$E&lt;&gt;""),$E:$E))*($E320&lt;=$E321)*($E320&gt;INDEX(_xlfn.ANCHORARRAY(Sintesi!$C$15),1,$C320))*($E320&lt;INDEX(_xlfn.ANCHORARRAY(Sintesi!$C$16),1,$C320))*(INDEX(_xlfn.ANCHORARRAY(Sintesi!$C$15),1,$C320)&gt;0),2,IF($E320=(INDEX(_xlfn.ANCHORARRAY(Sintesi!$C$16),1,$C320)),3,4)))),0)))</f>
        <v/>
      </c>
      <c r="E320" s="1">
        <f>'Paste cell here'!F320</f>
        <v/>
      </c>
      <c r="F320" s="1">
        <f>'Paste cell here'!C320</f>
        <v/>
      </c>
      <c r="G320" s="1">
        <f>'Paste cell here'!D320</f>
        <v/>
      </c>
      <c r="H320" s="1">
        <f>'Paste cell here'!E320</f>
        <v/>
      </c>
      <c r="I320" s="1">
        <f>'Paste cell here'!X320</f>
        <v/>
      </c>
      <c r="J320" s="1">
        <f>'Paste cell here'!Y320+'Paste cell here'!S320</f>
        <v/>
      </c>
      <c r="K320" s="1">
        <f>I320/H320</f>
        <v/>
      </c>
      <c r="L320" s="1">
        <f>AVERAGE(($F320+$G320)/2-($F320-$G320)/2*COS(PI()*(8-VLOOKUP(MONTH(B320),$O$1:$Q$13,3))/(VLOOKUP(MONTH(B320),$O$1:$Q$13,2)-VLOOKUP(MONTH(B320),$O$1:$Q$13,3))),($F320+$G320)/2-($F320-$G320)/2*COS(PI()*(9-VLOOKUP(MONTH(B320),$O$1:$Q$13,3))/(VLOOKUP(MONTH(B320),$O$1:$Q$13,2)-VLOOKUP(MONTH(B320),$O$1:$Q$13,3))),($F320+$G320)/2-($F320-$G320)/2*COS(PI()*(10-VLOOKUP(MONTH(B320),$O$1:$Q$13,3))/(VLOOKUP(MONTH(B320),$O$1:$Q$13,2)-VLOOKUP(MONTH(B320),$O$1:$Q$13,3))),($F320+$G320)/2-($F320-$G320)/2*COS(PI()*(11-VLOOKUP(MONTH(B320),$O$1:$Q$13,3))/(VLOOKUP(MONTH(B320),$O$1:$Q$13,2)-VLOOKUP(MONTH(B320),$O$1:$Q$13,3))),($F320+$G320)/2-($F320-$G320)/2*COS(PI()*(12-VLOOKUP(MONTH(B320),$O$1:$Q$13,3))/(VLOOKUP(MONTH(B320),$O$1:$Q$13,2)-VLOOKUP(MONTH(B320),$O$1:$Q$13,3))),($F320+$G320)/2-($F320-$G320)/2*COS(PI()*(13-VLOOKUP(MONTH(B320),$O$1:$Q$13,3))/(VLOOKUP(MONTH(B320),$O$1:$Q$13,2)-VLOOKUP(MONTH(B320),$O$1:$Q$13,3))),($F320+$G320)/2-($F320-$G320)/2*COS(PI()*(14-VLOOKUP(MONTH(B320),$O$1:$Q$13,3))/(VLOOKUP(MONTH(B320),$O$1:$Q$13,2)-VLOOKUP(MONTH(B320),$O$1:$Q$13,3))))</f>
        <v/>
      </c>
      <c r="M320" s="1">
        <f t="array" ref="M320">IF(AND(A320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,A320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),IF(L320&lt;_xlfn.IFNA(INDEX(_xlfn.ANCHORARRAY(Sintesi!$C$17)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,1,IF(L320&gt;=_xlfn.IFNA(INDEX(_xlfn.ANCHORARRAY(Sintesi!$C$18)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,0,1-(L320-_xlfn.IFNA(INDEX(_xlfn.ANCHORARRAY(Sintesi!$C$17)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)/(_xlfn.IFNA(INDEX(_xlfn.ANCHORARRAY(Sintesi!$C$18)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-_xlfn.IFNA(INDEX(_xlfn.ANCHORARRAY(Sintesi!$C$17)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))),0)</f>
        <v/>
      </c>
    </row>
    <row r="321">
      <c r="A321" s="1">
        <f>'Paste cell here'!A321</f>
        <v/>
      </c>
      <c r="B321" s="2">
        <f>DATE(Sintesi!$C$4-1,12,31)+A321</f>
        <v/>
      </c>
      <c r="C321" s="34">
        <f t="array" ref="C321">_xlfn.IFNA(MATCH(1,(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)*(_xlfn.ANCHORARRAY(Sintesi!$C$15)&gt;=0)+(_xlfn.ANCHORARRAY(Sintesi!$C$15)&lt;0),0),0)</f>
        <v/>
      </c>
      <c r="D321" s="1">
        <f t="array" ref="D321">IF(ISBLANK($E322),IF(ISNUMBER($E320),IF($C321&gt;0,IF(($E321=INDEX(_xlfn.ANCHORARRAY(Sintesi!$C$14),1,$C321))*(INDEX(_xlfn.ANCHORARRAY(Sintesi!$C$15),1,$C321)&gt;0),0,IF(($E321=INDEX(_xlfn.ANCHORARRAY(Sintesi!$C$14),1,$C321))*(INDEX(_xlfn.ANCHORARRAY(Sintesi!$C$15),1,$C321)&lt;0)+($E321&gt;=$E320)*($E321&lt;=INDEX($E:$E,MATCH(TRUE,INDEX((ISNUMBER($E:$E)),0),0)))*($E321&gt;INDEX(_xlfn.ANCHORARRAY(Sintesi!$C$14),1,$C321))*($E321&lt;=INDEX(_xlfn.ANCHORARRAY(Sintesi!$C$15),1,$C321))*(INDEX(_xlfn.ANCHORARRAY(Sintesi!$C$15),1,$C321)&gt;0),1,IF(($E321&gt;=$E320)*($E321&lt;=INDEX($E:$E,MATCH(TRUE,INDEX((ISNUMBER($E:$E)),0),0)))*($E321&gt;INDEX(_xlfn.ANCHORARRAY(Sintesi!$C$14),1,$C321))*($E321&lt;INDEX(_xlfn.ANCHORARRAY(Sintesi!$C$16),1,$C321))*(INDEX(_xlfn.ANCHORARRAY(Sintesi!$C$15),1,$C321)&lt;0)+($E321&gt;=$E320)*($E321&lt;=INDEX($E:$E,MATCH(TRUE,INDEX((ISNUMBER($E:$E)),0),0)))*($E321&gt;INDEX(_xlfn.ANCHORARRAY(Sintesi!$C$15),1,$C321))*($E321&lt;INDEX(_xlfn.ANCHORARRAY(Sintesi!$C$16),1,$C321))*(INDEX(_xlfn.ANCHORARRAY(Sintesi!$C$15),1,$C321)&gt;0),2,IF($E321=(INDEX(_xlfn.ANCHORARRAY(Sintesi!$C$16),1,$C321)),3,4)))),0),IF($C321&gt;0,IF(($E321=INDEX(_xlfn.ANCHORARRAY(Sintesi!$C$14),1,$C321))*(INDEX(_xlfn.ANCHORARRAY(Sintesi!$C$15),1,$C321)&gt;0),0,IF(($E321=INDEX(_xlfn.ANCHORARRAY(Sintesi!$C$14),1,$C321))*(INDEX(_xlfn.ANCHORARRAY(Sintesi!$C$15),1,$C321)&lt;0)+($E321&gt;=LOOKUP(2,1/($E:$E&lt;&gt;""),$E:$E))*($E321&lt;=INDEX($E:$E,MATCH(TRUE,INDEX((ISNUMBER($E:$E)),0),0)))*($E321&gt;INDEX(_xlfn.ANCHORARRAY(Sintesi!$C$14),1,$C321))*($E321&lt;=INDEX(_xlfn.ANCHORARRAY(Sintesi!$C$15),1,$C321))*(INDEX(_xlfn.ANCHORARRAY(Sintesi!$C$15),1,$C321)&gt;0),1,IF(($E321&gt;=LOOKUP(2,1/($E:$E&lt;&gt;""),$E:$E))*($E321&lt;=INDEX($E:$E,MATCH(TRUE,INDEX((ISNUMBER($E:$E)),0),0)))*($E321&gt;INDEX(_xlfn.ANCHORARRAY(Sintesi!$C$14),1,$C321))*($E321&lt;INDEX(_xlfn.ANCHORARRAY(Sintesi!$C$16),1,$C321))*(INDEX(_xlfn.ANCHORARRAY(Sintesi!$C$15),1,$C321)&lt;0)+($E321&gt;=LOOKUP(2,1/($E:$E&lt;&gt;""),$E:$E))*($E321&lt;=INDEX($E:$E,MATCH(TRUE,INDEX((ISNUMBER($E:$E)),0),0)))*($E321&gt;INDEX(_xlfn.ANCHORARRAY(Sintesi!$C$15),1,$C321))*($E321&lt;INDEX(_xlfn.ANCHORARRAY(Sintesi!$C$16),1,$C321))*(INDEX(_xlfn.ANCHORARRAY(Sintesi!$C$15),1,$C321)&gt;0),2,IF($E321=(INDEX(_xlfn.ANCHORARRAY(Sintesi!$C$16),1,$C321)),3,4)))),0)),IF(ISNUMBER($E320),IF($C321&gt;0,IF(($E321=INDEX(_xlfn.ANCHORARRAY(Sintesi!$C$14),1,$C321))*(INDEX(_xlfn.ANCHORARRAY(Sintesi!$C$15),1,$C321)&gt;0),0,IF(($E321=INDEX(_xlfn.ANCHORARRAY(Sintesi!$C$14),1,$C321))*(INDEX(_xlfn.ANCHORARRAY(Sintesi!$C$15),1,$C321)&lt;0)+($E321&gt;=$E320)*($E321&lt;=$E322)*($E321&gt;INDEX(_xlfn.ANCHORARRAY(Sintesi!$C$14),1,$C321))*($E321&lt;=INDEX(_xlfn.ANCHORARRAY(Sintesi!$C$15),1,$C321))*(INDEX(_xlfn.ANCHORARRAY(Sintesi!$C$15),1,$C321)&gt;0),1,IF(($E321&gt;=$E320)*($E321&lt;=$E322)*($E321&gt;INDEX(_xlfn.ANCHORARRAY(Sintesi!$C$14),1,$C321))*($E321&lt;INDEX(_xlfn.ANCHORARRAY(Sintesi!$C$16),1,$C321))*(INDEX(_xlfn.ANCHORARRAY(Sintesi!$C$15),1,$C321)&lt;0)+($E321&gt;=$E320)*($E321&lt;=$E322)*($E321&gt;INDEX(_xlfn.ANCHORARRAY(Sintesi!$C$15),1,$C321))*($E321&lt;INDEX(_xlfn.ANCHORARRAY(Sintesi!$C$16),1,$C321))*(INDEX(_xlfn.ANCHORARRAY(Sintesi!$C$15),1,$C321)&gt;0),2,IF($E321=(INDEX(_xlfn.ANCHORARRAY(Sintesi!$C$16),1,$C321)),3,4)))),0),IF($C321&gt;0,IF(($E321=INDEX(_xlfn.ANCHORARRAY(Sintesi!$C$14),1,$C321))*(INDEX(_xlfn.ANCHORARRAY(Sintesi!$C$15),1,$C321)&gt;0),0,IF(($E321=INDEX(_xlfn.ANCHORARRAY(Sintesi!$C$14),1,$C321))*(INDEX(_xlfn.ANCHORARRAY(Sintesi!$C$15),1,$C321)&lt;0)+($E321&gt;=LOOKUP(2,1/($E:$E&lt;&gt;""),$E:$E))*($E321&lt;=$E322)*($E321&gt;INDEX(_xlfn.ANCHORARRAY(Sintesi!$C$14),1,$C321))*($E321&lt;=INDEX(_xlfn.ANCHORARRAY(Sintesi!$C$15),1,$C321))*(INDEX(_xlfn.ANCHORARRAY(Sintesi!$C$15),1,$C321)&gt;0),1,IF(($E321&gt;=LOOKUP(2,1/($E:$E&lt;&gt;""),$E:$E))*($E321&lt;=$E322)*($E321&gt;INDEX(_xlfn.ANCHORARRAY(Sintesi!$C$14),1,$C321))*($E321&lt;INDEX(_xlfn.ANCHORARRAY(Sintesi!$C$16),1,$C321))*(INDEX(_xlfn.ANCHORARRAY(Sintesi!$C$15),1,$C321)&lt;0)+($E321&gt;=LOOKUP(2,1/($E:$E&lt;&gt;""),$E:$E))*($E321&lt;=$E322)*($E321&gt;INDEX(_xlfn.ANCHORARRAY(Sintesi!$C$15),1,$C321))*($E321&lt;INDEX(_xlfn.ANCHORARRAY(Sintesi!$C$16),1,$C321))*(INDEX(_xlfn.ANCHORARRAY(Sintesi!$C$15),1,$C321)&gt;0),2,IF($E321=(INDEX(_xlfn.ANCHORARRAY(Sintesi!$C$16),1,$C321)),3,4)))),0)))</f>
        <v/>
      </c>
      <c r="E321" s="1">
        <f>'Paste cell here'!F321</f>
        <v/>
      </c>
      <c r="F321" s="1">
        <f>'Paste cell here'!C321</f>
        <v/>
      </c>
      <c r="G321" s="1">
        <f>'Paste cell here'!D321</f>
        <v/>
      </c>
      <c r="H321" s="1">
        <f>'Paste cell here'!E321</f>
        <v/>
      </c>
      <c r="I321" s="1">
        <f>'Paste cell here'!X321</f>
        <v/>
      </c>
      <c r="J321" s="1">
        <f>'Paste cell here'!Y321+'Paste cell here'!S321</f>
        <v/>
      </c>
      <c r="K321" s="1">
        <f>I321/H321</f>
        <v/>
      </c>
      <c r="L321" s="1">
        <f>AVERAGE(($F321+$G321)/2-($F321-$G321)/2*COS(PI()*(8-VLOOKUP(MONTH(B321),$O$1:$Q$13,3))/(VLOOKUP(MONTH(B321),$O$1:$Q$13,2)-VLOOKUP(MONTH(B321),$O$1:$Q$13,3))),($F321+$G321)/2-($F321-$G321)/2*COS(PI()*(9-VLOOKUP(MONTH(B321),$O$1:$Q$13,3))/(VLOOKUP(MONTH(B321),$O$1:$Q$13,2)-VLOOKUP(MONTH(B321),$O$1:$Q$13,3))),($F321+$G321)/2-($F321-$G321)/2*COS(PI()*(10-VLOOKUP(MONTH(B321),$O$1:$Q$13,3))/(VLOOKUP(MONTH(B321),$O$1:$Q$13,2)-VLOOKUP(MONTH(B321),$O$1:$Q$13,3))),($F321+$G321)/2-($F321-$G321)/2*COS(PI()*(11-VLOOKUP(MONTH(B321),$O$1:$Q$13,3))/(VLOOKUP(MONTH(B321),$O$1:$Q$13,2)-VLOOKUP(MONTH(B321),$O$1:$Q$13,3))),($F321+$G321)/2-($F321-$G321)/2*COS(PI()*(12-VLOOKUP(MONTH(B321),$O$1:$Q$13,3))/(VLOOKUP(MONTH(B321),$O$1:$Q$13,2)-VLOOKUP(MONTH(B321),$O$1:$Q$13,3))),($F321+$G321)/2-($F321-$G321)/2*COS(PI()*(13-VLOOKUP(MONTH(B321),$O$1:$Q$13,3))/(VLOOKUP(MONTH(B321),$O$1:$Q$13,2)-VLOOKUP(MONTH(B321),$O$1:$Q$13,3))),($F321+$G321)/2-($F321-$G321)/2*COS(PI()*(14-VLOOKUP(MONTH(B321),$O$1:$Q$13,3))/(VLOOKUP(MONTH(B321),$O$1:$Q$13,2)-VLOOKUP(MONTH(B321),$O$1:$Q$13,3))))</f>
        <v/>
      </c>
      <c r="M321" s="1">
        <f t="array" ref="M321">IF(AND(A321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,A321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),IF(L321&lt;_xlfn.IFNA(INDEX(_xlfn.ANCHORARRAY(Sintesi!$C$17)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,1,IF(L321&gt;=_xlfn.IFNA(INDEX(_xlfn.ANCHORARRAY(Sintesi!$C$18)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,0,1-(L321-_xlfn.IFNA(INDEX(_xlfn.ANCHORARRAY(Sintesi!$C$17)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)/(_xlfn.IFNA(INDEX(_xlfn.ANCHORARRAY(Sintesi!$C$18)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-_xlfn.IFNA(INDEX(_xlfn.ANCHORARRAY(Sintesi!$C$17)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))),0)</f>
        <v/>
      </c>
    </row>
    <row r="322">
      <c r="A322" s="1">
        <f>'Paste cell here'!A322</f>
        <v/>
      </c>
      <c r="B322" s="2">
        <f>DATE(Sintesi!$C$4-1,12,31)+A322</f>
        <v/>
      </c>
      <c r="C322" s="34">
        <f t="array" ref="C322">_xlfn.IFNA(MATCH(1,(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)*(_xlfn.ANCHORARRAY(Sintesi!$C$15)&gt;=0)+(_xlfn.ANCHORARRAY(Sintesi!$C$15)&lt;0),0),0)</f>
        <v/>
      </c>
      <c r="D322" s="1">
        <f t="array" ref="D322">IF(ISBLANK($E323),IF(ISNUMBER($E321),IF($C322&gt;0,IF(($E322=INDEX(_xlfn.ANCHORARRAY(Sintesi!$C$14),1,$C322))*(INDEX(_xlfn.ANCHORARRAY(Sintesi!$C$15),1,$C322)&gt;0),0,IF(($E322=INDEX(_xlfn.ANCHORARRAY(Sintesi!$C$14),1,$C322))*(INDEX(_xlfn.ANCHORARRAY(Sintesi!$C$15),1,$C322)&lt;0)+($E322&gt;=$E321)*($E322&lt;=INDEX($E:$E,MATCH(TRUE,INDEX((ISNUMBER($E:$E)),0),0)))*($E322&gt;INDEX(_xlfn.ANCHORARRAY(Sintesi!$C$14),1,$C322))*($E322&lt;=INDEX(_xlfn.ANCHORARRAY(Sintesi!$C$15),1,$C322))*(INDEX(_xlfn.ANCHORARRAY(Sintesi!$C$15),1,$C322)&gt;0),1,IF(($E322&gt;=$E321)*($E322&lt;=INDEX($E:$E,MATCH(TRUE,INDEX((ISNUMBER($E:$E)),0),0)))*($E322&gt;INDEX(_xlfn.ANCHORARRAY(Sintesi!$C$14),1,$C322))*($E322&lt;INDEX(_xlfn.ANCHORARRAY(Sintesi!$C$16),1,$C322))*(INDEX(_xlfn.ANCHORARRAY(Sintesi!$C$15),1,$C322)&lt;0)+($E322&gt;=$E321)*($E322&lt;=INDEX($E:$E,MATCH(TRUE,INDEX((ISNUMBER($E:$E)),0),0)))*($E322&gt;INDEX(_xlfn.ANCHORARRAY(Sintesi!$C$15),1,$C322))*($E322&lt;INDEX(_xlfn.ANCHORARRAY(Sintesi!$C$16),1,$C322))*(INDEX(_xlfn.ANCHORARRAY(Sintesi!$C$15),1,$C322)&gt;0),2,IF($E322=(INDEX(_xlfn.ANCHORARRAY(Sintesi!$C$16),1,$C322)),3,4)))),0),IF($C322&gt;0,IF(($E322=INDEX(_xlfn.ANCHORARRAY(Sintesi!$C$14),1,$C322))*(INDEX(_xlfn.ANCHORARRAY(Sintesi!$C$15),1,$C322)&gt;0),0,IF(($E322=INDEX(_xlfn.ANCHORARRAY(Sintesi!$C$14),1,$C322))*(INDEX(_xlfn.ANCHORARRAY(Sintesi!$C$15),1,$C322)&lt;0)+($E322&gt;=LOOKUP(2,1/($E:$E&lt;&gt;""),$E:$E))*($E322&lt;=INDEX($E:$E,MATCH(TRUE,INDEX((ISNUMBER($E:$E)),0),0)))*($E322&gt;INDEX(_xlfn.ANCHORARRAY(Sintesi!$C$14),1,$C322))*($E322&lt;=INDEX(_xlfn.ANCHORARRAY(Sintesi!$C$15),1,$C322))*(INDEX(_xlfn.ANCHORARRAY(Sintesi!$C$15),1,$C322)&gt;0),1,IF(($E322&gt;=LOOKUP(2,1/($E:$E&lt;&gt;""),$E:$E))*($E322&lt;=INDEX($E:$E,MATCH(TRUE,INDEX((ISNUMBER($E:$E)),0),0)))*($E322&gt;INDEX(_xlfn.ANCHORARRAY(Sintesi!$C$14),1,$C322))*($E322&lt;INDEX(_xlfn.ANCHORARRAY(Sintesi!$C$16),1,$C322))*(INDEX(_xlfn.ANCHORARRAY(Sintesi!$C$15),1,$C322)&lt;0)+($E322&gt;=LOOKUP(2,1/($E:$E&lt;&gt;""),$E:$E))*($E322&lt;=INDEX($E:$E,MATCH(TRUE,INDEX((ISNUMBER($E:$E)),0),0)))*($E322&gt;INDEX(_xlfn.ANCHORARRAY(Sintesi!$C$15),1,$C322))*($E322&lt;INDEX(_xlfn.ANCHORARRAY(Sintesi!$C$16),1,$C322))*(INDEX(_xlfn.ANCHORARRAY(Sintesi!$C$15),1,$C322)&gt;0),2,IF($E322=(INDEX(_xlfn.ANCHORARRAY(Sintesi!$C$16),1,$C322)),3,4)))),0)),IF(ISNUMBER($E321),IF($C322&gt;0,IF(($E322=INDEX(_xlfn.ANCHORARRAY(Sintesi!$C$14),1,$C322))*(INDEX(_xlfn.ANCHORARRAY(Sintesi!$C$15),1,$C322)&gt;0),0,IF(($E322=INDEX(_xlfn.ANCHORARRAY(Sintesi!$C$14),1,$C322))*(INDEX(_xlfn.ANCHORARRAY(Sintesi!$C$15),1,$C322)&lt;0)+($E322&gt;=$E321)*($E322&lt;=$E323)*($E322&gt;INDEX(_xlfn.ANCHORARRAY(Sintesi!$C$14),1,$C322))*($E322&lt;=INDEX(_xlfn.ANCHORARRAY(Sintesi!$C$15),1,$C322))*(INDEX(_xlfn.ANCHORARRAY(Sintesi!$C$15),1,$C322)&gt;0),1,IF(($E322&gt;=$E321)*($E322&lt;=$E323)*($E322&gt;INDEX(_xlfn.ANCHORARRAY(Sintesi!$C$14),1,$C322))*($E322&lt;INDEX(_xlfn.ANCHORARRAY(Sintesi!$C$16),1,$C322))*(INDEX(_xlfn.ANCHORARRAY(Sintesi!$C$15),1,$C322)&lt;0)+($E322&gt;=$E321)*($E322&lt;=$E323)*($E322&gt;INDEX(_xlfn.ANCHORARRAY(Sintesi!$C$15),1,$C322))*($E322&lt;INDEX(_xlfn.ANCHORARRAY(Sintesi!$C$16),1,$C322))*(INDEX(_xlfn.ANCHORARRAY(Sintesi!$C$15),1,$C322)&gt;0),2,IF($E322=(INDEX(_xlfn.ANCHORARRAY(Sintesi!$C$16),1,$C322)),3,4)))),0),IF($C322&gt;0,IF(($E322=INDEX(_xlfn.ANCHORARRAY(Sintesi!$C$14),1,$C322))*(INDEX(_xlfn.ANCHORARRAY(Sintesi!$C$15),1,$C322)&gt;0),0,IF(($E322=INDEX(_xlfn.ANCHORARRAY(Sintesi!$C$14),1,$C322))*(INDEX(_xlfn.ANCHORARRAY(Sintesi!$C$15),1,$C322)&lt;0)+($E322&gt;=LOOKUP(2,1/($E:$E&lt;&gt;""),$E:$E))*($E322&lt;=$E323)*($E322&gt;INDEX(_xlfn.ANCHORARRAY(Sintesi!$C$14),1,$C322))*($E322&lt;=INDEX(_xlfn.ANCHORARRAY(Sintesi!$C$15),1,$C322))*(INDEX(_xlfn.ANCHORARRAY(Sintesi!$C$15),1,$C322)&gt;0),1,IF(($E322&gt;=LOOKUP(2,1/($E:$E&lt;&gt;""),$E:$E))*($E322&lt;=$E323)*($E322&gt;INDEX(_xlfn.ANCHORARRAY(Sintesi!$C$14),1,$C322))*($E322&lt;INDEX(_xlfn.ANCHORARRAY(Sintesi!$C$16),1,$C322))*(INDEX(_xlfn.ANCHORARRAY(Sintesi!$C$15),1,$C322)&lt;0)+($E322&gt;=LOOKUP(2,1/($E:$E&lt;&gt;""),$E:$E))*($E322&lt;=$E323)*($E322&gt;INDEX(_xlfn.ANCHORARRAY(Sintesi!$C$15),1,$C322))*($E322&lt;INDEX(_xlfn.ANCHORARRAY(Sintesi!$C$16),1,$C322))*(INDEX(_xlfn.ANCHORARRAY(Sintesi!$C$15),1,$C322)&gt;0),2,IF($E322=(INDEX(_xlfn.ANCHORARRAY(Sintesi!$C$16),1,$C322)),3,4)))),0)))</f>
        <v/>
      </c>
      <c r="E322" s="1">
        <f>'Paste cell here'!F322</f>
        <v/>
      </c>
      <c r="F322" s="1">
        <f>'Paste cell here'!C322</f>
        <v/>
      </c>
      <c r="G322" s="1">
        <f>'Paste cell here'!D322</f>
        <v/>
      </c>
      <c r="H322" s="1">
        <f>'Paste cell here'!E322</f>
        <v/>
      </c>
      <c r="I322" s="1">
        <f>'Paste cell here'!X322</f>
        <v/>
      </c>
      <c r="J322" s="1">
        <f>'Paste cell here'!Y322+'Paste cell here'!S322</f>
        <v/>
      </c>
      <c r="K322" s="1">
        <f>I322/H322</f>
        <v/>
      </c>
      <c r="L322" s="1">
        <f>AVERAGE(($F322+$G322)/2-($F322-$G322)/2*COS(PI()*(8-VLOOKUP(MONTH(B322),$O$1:$Q$13,3))/(VLOOKUP(MONTH(B322),$O$1:$Q$13,2)-VLOOKUP(MONTH(B322),$O$1:$Q$13,3))),($F322+$G322)/2-($F322-$G322)/2*COS(PI()*(9-VLOOKUP(MONTH(B322),$O$1:$Q$13,3))/(VLOOKUP(MONTH(B322),$O$1:$Q$13,2)-VLOOKUP(MONTH(B322),$O$1:$Q$13,3))),($F322+$G322)/2-($F322-$G322)/2*COS(PI()*(10-VLOOKUP(MONTH(B322),$O$1:$Q$13,3))/(VLOOKUP(MONTH(B322),$O$1:$Q$13,2)-VLOOKUP(MONTH(B322),$O$1:$Q$13,3))),($F322+$G322)/2-($F322-$G322)/2*COS(PI()*(11-VLOOKUP(MONTH(B322),$O$1:$Q$13,3))/(VLOOKUP(MONTH(B322),$O$1:$Q$13,2)-VLOOKUP(MONTH(B322),$O$1:$Q$13,3))),($F322+$G322)/2-($F322-$G322)/2*COS(PI()*(12-VLOOKUP(MONTH(B322),$O$1:$Q$13,3))/(VLOOKUP(MONTH(B322),$O$1:$Q$13,2)-VLOOKUP(MONTH(B322),$O$1:$Q$13,3))),($F322+$G322)/2-($F322-$G322)/2*COS(PI()*(13-VLOOKUP(MONTH(B322),$O$1:$Q$13,3))/(VLOOKUP(MONTH(B322),$O$1:$Q$13,2)-VLOOKUP(MONTH(B322),$O$1:$Q$13,3))),($F322+$G322)/2-($F322-$G322)/2*COS(PI()*(14-VLOOKUP(MONTH(B322),$O$1:$Q$13,3))/(VLOOKUP(MONTH(B322),$O$1:$Q$13,2)-VLOOKUP(MONTH(B322),$O$1:$Q$13,3))))</f>
        <v/>
      </c>
      <c r="M322" s="1">
        <f t="array" ref="M322">IF(AND(A322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,A322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),IF(L322&lt;_xlfn.IFNA(INDEX(_xlfn.ANCHORARRAY(Sintesi!$C$17)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,1,IF(L322&gt;=_xlfn.IFNA(INDEX(_xlfn.ANCHORARRAY(Sintesi!$C$18)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,0,1-(L322-_xlfn.IFNA(INDEX(_xlfn.ANCHORARRAY(Sintesi!$C$17)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)/(_xlfn.IFNA(INDEX(_xlfn.ANCHORARRAY(Sintesi!$C$18)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-_xlfn.IFNA(INDEX(_xlfn.ANCHORARRAY(Sintesi!$C$17)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))),0)</f>
        <v/>
      </c>
    </row>
    <row r="323">
      <c r="A323" s="1">
        <f>'Paste cell here'!A323</f>
        <v/>
      </c>
      <c r="B323" s="2">
        <f>DATE(Sintesi!$C$4-1,12,31)+A323</f>
        <v/>
      </c>
      <c r="C323" s="34">
        <f t="array" ref="C323">_xlfn.IFNA(MATCH(1,(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)*(_xlfn.ANCHORARRAY(Sintesi!$C$15)&gt;=0)+(_xlfn.ANCHORARRAY(Sintesi!$C$15)&lt;0),0),0)</f>
        <v/>
      </c>
      <c r="D323" s="1">
        <f t="array" ref="D323">IF(ISBLANK($E324),IF(ISNUMBER($E322),IF($C323&gt;0,IF(($E323=INDEX(_xlfn.ANCHORARRAY(Sintesi!$C$14),1,$C323))*(INDEX(_xlfn.ANCHORARRAY(Sintesi!$C$15),1,$C323)&gt;0),0,IF(($E323=INDEX(_xlfn.ANCHORARRAY(Sintesi!$C$14),1,$C323))*(INDEX(_xlfn.ANCHORARRAY(Sintesi!$C$15),1,$C323)&lt;0)+($E323&gt;=$E322)*($E323&lt;=INDEX($E:$E,MATCH(TRUE,INDEX((ISNUMBER($E:$E)),0),0)))*($E323&gt;INDEX(_xlfn.ANCHORARRAY(Sintesi!$C$14),1,$C323))*($E323&lt;=INDEX(_xlfn.ANCHORARRAY(Sintesi!$C$15),1,$C323))*(INDEX(_xlfn.ANCHORARRAY(Sintesi!$C$15),1,$C323)&gt;0),1,IF(($E323&gt;=$E322)*($E323&lt;=INDEX($E:$E,MATCH(TRUE,INDEX((ISNUMBER($E:$E)),0),0)))*($E323&gt;INDEX(_xlfn.ANCHORARRAY(Sintesi!$C$14),1,$C323))*($E323&lt;INDEX(_xlfn.ANCHORARRAY(Sintesi!$C$16),1,$C323))*(INDEX(_xlfn.ANCHORARRAY(Sintesi!$C$15),1,$C323)&lt;0)+($E323&gt;=$E322)*($E323&lt;=INDEX($E:$E,MATCH(TRUE,INDEX((ISNUMBER($E:$E)),0),0)))*($E323&gt;INDEX(_xlfn.ANCHORARRAY(Sintesi!$C$15),1,$C323))*($E323&lt;INDEX(_xlfn.ANCHORARRAY(Sintesi!$C$16),1,$C323))*(INDEX(_xlfn.ANCHORARRAY(Sintesi!$C$15),1,$C323)&gt;0),2,IF($E323=(INDEX(_xlfn.ANCHORARRAY(Sintesi!$C$16),1,$C323)),3,4)))),0),IF($C323&gt;0,IF(($E323=INDEX(_xlfn.ANCHORARRAY(Sintesi!$C$14),1,$C323))*(INDEX(_xlfn.ANCHORARRAY(Sintesi!$C$15),1,$C323)&gt;0),0,IF(($E323=INDEX(_xlfn.ANCHORARRAY(Sintesi!$C$14),1,$C323))*(INDEX(_xlfn.ANCHORARRAY(Sintesi!$C$15),1,$C323)&lt;0)+($E323&gt;=LOOKUP(2,1/($E:$E&lt;&gt;""),$E:$E))*($E323&lt;=INDEX($E:$E,MATCH(TRUE,INDEX((ISNUMBER($E:$E)),0),0)))*($E323&gt;INDEX(_xlfn.ANCHORARRAY(Sintesi!$C$14),1,$C323))*($E323&lt;=INDEX(_xlfn.ANCHORARRAY(Sintesi!$C$15),1,$C323))*(INDEX(_xlfn.ANCHORARRAY(Sintesi!$C$15),1,$C323)&gt;0),1,IF(($E323&gt;=LOOKUP(2,1/($E:$E&lt;&gt;""),$E:$E))*($E323&lt;=INDEX($E:$E,MATCH(TRUE,INDEX((ISNUMBER($E:$E)),0),0)))*($E323&gt;INDEX(_xlfn.ANCHORARRAY(Sintesi!$C$14),1,$C323))*($E323&lt;INDEX(_xlfn.ANCHORARRAY(Sintesi!$C$16),1,$C323))*(INDEX(_xlfn.ANCHORARRAY(Sintesi!$C$15),1,$C323)&lt;0)+($E323&gt;=LOOKUP(2,1/($E:$E&lt;&gt;""),$E:$E))*($E323&lt;=INDEX($E:$E,MATCH(TRUE,INDEX((ISNUMBER($E:$E)),0),0)))*($E323&gt;INDEX(_xlfn.ANCHORARRAY(Sintesi!$C$15),1,$C323))*($E323&lt;INDEX(_xlfn.ANCHORARRAY(Sintesi!$C$16),1,$C323))*(INDEX(_xlfn.ANCHORARRAY(Sintesi!$C$15),1,$C323)&gt;0),2,IF($E323=(INDEX(_xlfn.ANCHORARRAY(Sintesi!$C$16),1,$C323)),3,4)))),0)),IF(ISNUMBER($E322),IF($C323&gt;0,IF(($E323=INDEX(_xlfn.ANCHORARRAY(Sintesi!$C$14),1,$C323))*(INDEX(_xlfn.ANCHORARRAY(Sintesi!$C$15),1,$C323)&gt;0),0,IF(($E323=INDEX(_xlfn.ANCHORARRAY(Sintesi!$C$14),1,$C323))*(INDEX(_xlfn.ANCHORARRAY(Sintesi!$C$15),1,$C323)&lt;0)+($E323&gt;=$E322)*($E323&lt;=$E324)*($E323&gt;INDEX(_xlfn.ANCHORARRAY(Sintesi!$C$14),1,$C323))*($E323&lt;=INDEX(_xlfn.ANCHORARRAY(Sintesi!$C$15),1,$C323))*(INDEX(_xlfn.ANCHORARRAY(Sintesi!$C$15),1,$C323)&gt;0),1,IF(($E323&gt;=$E322)*($E323&lt;=$E324)*($E323&gt;INDEX(_xlfn.ANCHORARRAY(Sintesi!$C$14),1,$C323))*($E323&lt;INDEX(_xlfn.ANCHORARRAY(Sintesi!$C$16),1,$C323))*(INDEX(_xlfn.ANCHORARRAY(Sintesi!$C$15),1,$C323)&lt;0)+($E323&gt;=$E322)*($E323&lt;=$E324)*($E323&gt;INDEX(_xlfn.ANCHORARRAY(Sintesi!$C$15),1,$C323))*($E323&lt;INDEX(_xlfn.ANCHORARRAY(Sintesi!$C$16),1,$C323))*(INDEX(_xlfn.ANCHORARRAY(Sintesi!$C$15),1,$C323)&gt;0),2,IF($E323=(INDEX(_xlfn.ANCHORARRAY(Sintesi!$C$16),1,$C323)),3,4)))),0),IF($C323&gt;0,IF(($E323=INDEX(_xlfn.ANCHORARRAY(Sintesi!$C$14),1,$C323))*(INDEX(_xlfn.ANCHORARRAY(Sintesi!$C$15),1,$C323)&gt;0),0,IF(($E323=INDEX(_xlfn.ANCHORARRAY(Sintesi!$C$14),1,$C323))*(INDEX(_xlfn.ANCHORARRAY(Sintesi!$C$15),1,$C323)&lt;0)+($E323&gt;=LOOKUP(2,1/($E:$E&lt;&gt;""),$E:$E))*($E323&lt;=$E324)*($E323&gt;INDEX(_xlfn.ANCHORARRAY(Sintesi!$C$14),1,$C323))*($E323&lt;=INDEX(_xlfn.ANCHORARRAY(Sintesi!$C$15),1,$C323))*(INDEX(_xlfn.ANCHORARRAY(Sintesi!$C$15),1,$C323)&gt;0),1,IF(($E323&gt;=LOOKUP(2,1/($E:$E&lt;&gt;""),$E:$E))*($E323&lt;=$E324)*($E323&gt;INDEX(_xlfn.ANCHORARRAY(Sintesi!$C$14),1,$C323))*($E323&lt;INDEX(_xlfn.ANCHORARRAY(Sintesi!$C$16),1,$C323))*(INDEX(_xlfn.ANCHORARRAY(Sintesi!$C$15),1,$C323)&lt;0)+($E323&gt;=LOOKUP(2,1/($E:$E&lt;&gt;""),$E:$E))*($E323&lt;=$E324)*($E323&gt;INDEX(_xlfn.ANCHORARRAY(Sintesi!$C$15),1,$C323))*($E323&lt;INDEX(_xlfn.ANCHORARRAY(Sintesi!$C$16),1,$C323))*(INDEX(_xlfn.ANCHORARRAY(Sintesi!$C$15),1,$C323)&gt;0),2,IF($E323=(INDEX(_xlfn.ANCHORARRAY(Sintesi!$C$16),1,$C323)),3,4)))),0)))</f>
        <v/>
      </c>
      <c r="E323" s="1">
        <f>'Paste cell here'!F323</f>
        <v/>
      </c>
      <c r="F323" s="1">
        <f>'Paste cell here'!C323</f>
        <v/>
      </c>
      <c r="G323" s="1">
        <f>'Paste cell here'!D323</f>
        <v/>
      </c>
      <c r="H323" s="1">
        <f>'Paste cell here'!E323</f>
        <v/>
      </c>
      <c r="I323" s="1">
        <f>'Paste cell here'!X323</f>
        <v/>
      </c>
      <c r="J323" s="1">
        <f>'Paste cell here'!Y323+'Paste cell here'!S323</f>
        <v/>
      </c>
      <c r="K323" s="1">
        <f>I323/H323</f>
        <v/>
      </c>
      <c r="L323" s="1">
        <f>AVERAGE(($F323+$G323)/2-($F323-$G323)/2*COS(PI()*(8-VLOOKUP(MONTH(B323),$O$1:$Q$13,3))/(VLOOKUP(MONTH(B323),$O$1:$Q$13,2)-VLOOKUP(MONTH(B323),$O$1:$Q$13,3))),($F323+$G323)/2-($F323-$G323)/2*COS(PI()*(9-VLOOKUP(MONTH(B323),$O$1:$Q$13,3))/(VLOOKUP(MONTH(B323),$O$1:$Q$13,2)-VLOOKUP(MONTH(B323),$O$1:$Q$13,3))),($F323+$G323)/2-($F323-$G323)/2*COS(PI()*(10-VLOOKUP(MONTH(B323),$O$1:$Q$13,3))/(VLOOKUP(MONTH(B323),$O$1:$Q$13,2)-VLOOKUP(MONTH(B323),$O$1:$Q$13,3))),($F323+$G323)/2-($F323-$G323)/2*COS(PI()*(11-VLOOKUP(MONTH(B323),$O$1:$Q$13,3))/(VLOOKUP(MONTH(B323),$O$1:$Q$13,2)-VLOOKUP(MONTH(B323),$O$1:$Q$13,3))),($F323+$G323)/2-($F323-$G323)/2*COS(PI()*(12-VLOOKUP(MONTH(B323),$O$1:$Q$13,3))/(VLOOKUP(MONTH(B323),$O$1:$Q$13,2)-VLOOKUP(MONTH(B323),$O$1:$Q$13,3))),($F323+$G323)/2-($F323-$G323)/2*COS(PI()*(13-VLOOKUP(MONTH(B323),$O$1:$Q$13,3))/(VLOOKUP(MONTH(B323),$O$1:$Q$13,2)-VLOOKUP(MONTH(B323),$O$1:$Q$13,3))),($F323+$G323)/2-($F323-$G323)/2*COS(PI()*(14-VLOOKUP(MONTH(B323),$O$1:$Q$13,3))/(VLOOKUP(MONTH(B323),$O$1:$Q$13,2)-VLOOKUP(MONTH(B323),$O$1:$Q$13,3))))</f>
        <v/>
      </c>
      <c r="M323" s="1">
        <f t="array" ref="M323">IF(AND(A323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,A323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),IF(L323&lt;_xlfn.IFNA(INDEX(_xlfn.ANCHORARRAY(Sintesi!$C$17)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,1,IF(L323&gt;=_xlfn.IFNA(INDEX(_xlfn.ANCHORARRAY(Sintesi!$C$18)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,0,1-(L323-_xlfn.IFNA(INDEX(_xlfn.ANCHORARRAY(Sintesi!$C$17)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)/(_xlfn.IFNA(INDEX(_xlfn.ANCHORARRAY(Sintesi!$C$18)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-_xlfn.IFNA(INDEX(_xlfn.ANCHORARRAY(Sintesi!$C$17)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))),0)</f>
        <v/>
      </c>
    </row>
    <row r="324">
      <c r="A324" s="1">
        <f>'Paste cell here'!A324</f>
        <v/>
      </c>
      <c r="B324" s="2">
        <f>DATE(Sintesi!$C$4-1,12,31)+A324</f>
        <v/>
      </c>
      <c r="C324" s="34">
        <f t="array" ref="C324">_xlfn.IFNA(MATCH(1,(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)*(_xlfn.ANCHORARRAY(Sintesi!$C$15)&gt;=0)+(_xlfn.ANCHORARRAY(Sintesi!$C$15)&lt;0),0),0)</f>
        <v/>
      </c>
      <c r="D324" s="1">
        <f t="array" ref="D324">IF(ISBLANK($E325),IF(ISNUMBER($E323),IF($C324&gt;0,IF(($E324=INDEX(_xlfn.ANCHORARRAY(Sintesi!$C$14),1,$C324))*(INDEX(_xlfn.ANCHORARRAY(Sintesi!$C$15),1,$C324)&gt;0),0,IF(($E324=INDEX(_xlfn.ANCHORARRAY(Sintesi!$C$14),1,$C324))*(INDEX(_xlfn.ANCHORARRAY(Sintesi!$C$15),1,$C324)&lt;0)+($E324&gt;=$E323)*($E324&lt;=INDEX($E:$E,MATCH(TRUE,INDEX((ISNUMBER($E:$E)),0),0)))*($E324&gt;INDEX(_xlfn.ANCHORARRAY(Sintesi!$C$14),1,$C324))*($E324&lt;=INDEX(_xlfn.ANCHORARRAY(Sintesi!$C$15),1,$C324))*(INDEX(_xlfn.ANCHORARRAY(Sintesi!$C$15),1,$C324)&gt;0),1,IF(($E324&gt;=$E323)*($E324&lt;=INDEX($E:$E,MATCH(TRUE,INDEX((ISNUMBER($E:$E)),0),0)))*($E324&gt;INDEX(_xlfn.ANCHORARRAY(Sintesi!$C$14),1,$C324))*($E324&lt;INDEX(_xlfn.ANCHORARRAY(Sintesi!$C$16),1,$C324))*(INDEX(_xlfn.ANCHORARRAY(Sintesi!$C$15),1,$C324)&lt;0)+($E324&gt;=$E323)*($E324&lt;=INDEX($E:$E,MATCH(TRUE,INDEX((ISNUMBER($E:$E)),0),0)))*($E324&gt;INDEX(_xlfn.ANCHORARRAY(Sintesi!$C$15),1,$C324))*($E324&lt;INDEX(_xlfn.ANCHORARRAY(Sintesi!$C$16),1,$C324))*(INDEX(_xlfn.ANCHORARRAY(Sintesi!$C$15),1,$C324)&gt;0),2,IF($E324=(INDEX(_xlfn.ANCHORARRAY(Sintesi!$C$16),1,$C324)),3,4)))),0),IF($C324&gt;0,IF(($E324=INDEX(_xlfn.ANCHORARRAY(Sintesi!$C$14),1,$C324))*(INDEX(_xlfn.ANCHORARRAY(Sintesi!$C$15),1,$C324)&gt;0),0,IF(($E324=INDEX(_xlfn.ANCHORARRAY(Sintesi!$C$14),1,$C324))*(INDEX(_xlfn.ANCHORARRAY(Sintesi!$C$15),1,$C324)&lt;0)+($E324&gt;=LOOKUP(2,1/($E:$E&lt;&gt;""),$E:$E))*($E324&lt;=INDEX($E:$E,MATCH(TRUE,INDEX((ISNUMBER($E:$E)),0),0)))*($E324&gt;INDEX(_xlfn.ANCHORARRAY(Sintesi!$C$14),1,$C324))*($E324&lt;=INDEX(_xlfn.ANCHORARRAY(Sintesi!$C$15),1,$C324))*(INDEX(_xlfn.ANCHORARRAY(Sintesi!$C$15),1,$C324)&gt;0),1,IF(($E324&gt;=LOOKUP(2,1/($E:$E&lt;&gt;""),$E:$E))*($E324&lt;=INDEX($E:$E,MATCH(TRUE,INDEX((ISNUMBER($E:$E)),0),0)))*($E324&gt;INDEX(_xlfn.ANCHORARRAY(Sintesi!$C$14),1,$C324))*($E324&lt;INDEX(_xlfn.ANCHORARRAY(Sintesi!$C$16),1,$C324))*(INDEX(_xlfn.ANCHORARRAY(Sintesi!$C$15),1,$C324)&lt;0)+($E324&gt;=LOOKUP(2,1/($E:$E&lt;&gt;""),$E:$E))*($E324&lt;=INDEX($E:$E,MATCH(TRUE,INDEX((ISNUMBER($E:$E)),0),0)))*($E324&gt;INDEX(_xlfn.ANCHORARRAY(Sintesi!$C$15),1,$C324))*($E324&lt;INDEX(_xlfn.ANCHORARRAY(Sintesi!$C$16),1,$C324))*(INDEX(_xlfn.ANCHORARRAY(Sintesi!$C$15),1,$C324)&gt;0),2,IF($E324=(INDEX(_xlfn.ANCHORARRAY(Sintesi!$C$16),1,$C324)),3,4)))),0)),IF(ISNUMBER($E323),IF($C324&gt;0,IF(($E324=INDEX(_xlfn.ANCHORARRAY(Sintesi!$C$14),1,$C324))*(INDEX(_xlfn.ANCHORARRAY(Sintesi!$C$15),1,$C324)&gt;0),0,IF(($E324=INDEX(_xlfn.ANCHORARRAY(Sintesi!$C$14),1,$C324))*(INDEX(_xlfn.ANCHORARRAY(Sintesi!$C$15),1,$C324)&lt;0)+($E324&gt;=$E323)*($E324&lt;=$E325)*($E324&gt;INDEX(_xlfn.ANCHORARRAY(Sintesi!$C$14),1,$C324))*($E324&lt;=INDEX(_xlfn.ANCHORARRAY(Sintesi!$C$15),1,$C324))*(INDEX(_xlfn.ANCHORARRAY(Sintesi!$C$15),1,$C324)&gt;0),1,IF(($E324&gt;=$E323)*($E324&lt;=$E325)*($E324&gt;INDEX(_xlfn.ANCHORARRAY(Sintesi!$C$14),1,$C324))*($E324&lt;INDEX(_xlfn.ANCHORARRAY(Sintesi!$C$16),1,$C324))*(INDEX(_xlfn.ANCHORARRAY(Sintesi!$C$15),1,$C324)&lt;0)+($E324&gt;=$E323)*($E324&lt;=$E325)*($E324&gt;INDEX(_xlfn.ANCHORARRAY(Sintesi!$C$15),1,$C324))*($E324&lt;INDEX(_xlfn.ANCHORARRAY(Sintesi!$C$16),1,$C324))*(INDEX(_xlfn.ANCHORARRAY(Sintesi!$C$15),1,$C324)&gt;0),2,IF($E324=(INDEX(_xlfn.ANCHORARRAY(Sintesi!$C$16),1,$C324)),3,4)))),0),IF($C324&gt;0,IF(($E324=INDEX(_xlfn.ANCHORARRAY(Sintesi!$C$14),1,$C324))*(INDEX(_xlfn.ANCHORARRAY(Sintesi!$C$15),1,$C324)&gt;0),0,IF(($E324=INDEX(_xlfn.ANCHORARRAY(Sintesi!$C$14),1,$C324))*(INDEX(_xlfn.ANCHORARRAY(Sintesi!$C$15),1,$C324)&lt;0)+($E324&gt;=LOOKUP(2,1/($E:$E&lt;&gt;""),$E:$E))*($E324&lt;=$E325)*($E324&gt;INDEX(_xlfn.ANCHORARRAY(Sintesi!$C$14),1,$C324))*($E324&lt;=INDEX(_xlfn.ANCHORARRAY(Sintesi!$C$15),1,$C324))*(INDEX(_xlfn.ANCHORARRAY(Sintesi!$C$15),1,$C324)&gt;0),1,IF(($E324&gt;=LOOKUP(2,1/($E:$E&lt;&gt;""),$E:$E))*($E324&lt;=$E325)*($E324&gt;INDEX(_xlfn.ANCHORARRAY(Sintesi!$C$14),1,$C324))*($E324&lt;INDEX(_xlfn.ANCHORARRAY(Sintesi!$C$16),1,$C324))*(INDEX(_xlfn.ANCHORARRAY(Sintesi!$C$15),1,$C324)&lt;0)+($E324&gt;=LOOKUP(2,1/($E:$E&lt;&gt;""),$E:$E))*($E324&lt;=$E325)*($E324&gt;INDEX(_xlfn.ANCHORARRAY(Sintesi!$C$15),1,$C324))*($E324&lt;INDEX(_xlfn.ANCHORARRAY(Sintesi!$C$16),1,$C324))*(INDEX(_xlfn.ANCHORARRAY(Sintesi!$C$15),1,$C324)&gt;0),2,IF($E324=(INDEX(_xlfn.ANCHORARRAY(Sintesi!$C$16),1,$C324)),3,4)))),0)))</f>
        <v/>
      </c>
      <c r="E324" s="1">
        <f>'Paste cell here'!F324</f>
        <v/>
      </c>
      <c r="F324" s="1">
        <f>'Paste cell here'!C324</f>
        <v/>
      </c>
      <c r="G324" s="1">
        <f>'Paste cell here'!D324</f>
        <v/>
      </c>
      <c r="H324" s="1">
        <f>'Paste cell here'!E324</f>
        <v/>
      </c>
      <c r="I324" s="1">
        <f>'Paste cell here'!X324</f>
        <v/>
      </c>
      <c r="J324" s="1">
        <f>'Paste cell here'!Y324+'Paste cell here'!S324</f>
        <v/>
      </c>
      <c r="K324" s="1">
        <f>I324/H324</f>
        <v/>
      </c>
      <c r="L324" s="1">
        <f>AVERAGE(($F324+$G324)/2-($F324-$G324)/2*COS(PI()*(8-VLOOKUP(MONTH(B324),$O$1:$Q$13,3))/(VLOOKUP(MONTH(B324),$O$1:$Q$13,2)-VLOOKUP(MONTH(B324),$O$1:$Q$13,3))),($F324+$G324)/2-($F324-$G324)/2*COS(PI()*(9-VLOOKUP(MONTH(B324),$O$1:$Q$13,3))/(VLOOKUP(MONTH(B324),$O$1:$Q$13,2)-VLOOKUP(MONTH(B324),$O$1:$Q$13,3))),($F324+$G324)/2-($F324-$G324)/2*COS(PI()*(10-VLOOKUP(MONTH(B324),$O$1:$Q$13,3))/(VLOOKUP(MONTH(B324),$O$1:$Q$13,2)-VLOOKUP(MONTH(B324),$O$1:$Q$13,3))),($F324+$G324)/2-($F324-$G324)/2*COS(PI()*(11-VLOOKUP(MONTH(B324),$O$1:$Q$13,3))/(VLOOKUP(MONTH(B324),$O$1:$Q$13,2)-VLOOKUP(MONTH(B324),$O$1:$Q$13,3))),($F324+$G324)/2-($F324-$G324)/2*COS(PI()*(12-VLOOKUP(MONTH(B324),$O$1:$Q$13,3))/(VLOOKUP(MONTH(B324),$O$1:$Q$13,2)-VLOOKUP(MONTH(B324),$O$1:$Q$13,3))),($F324+$G324)/2-($F324-$G324)/2*COS(PI()*(13-VLOOKUP(MONTH(B324),$O$1:$Q$13,3))/(VLOOKUP(MONTH(B324),$O$1:$Q$13,2)-VLOOKUP(MONTH(B324),$O$1:$Q$13,3))),($F324+$G324)/2-($F324-$G324)/2*COS(PI()*(14-VLOOKUP(MONTH(B324),$O$1:$Q$13,3))/(VLOOKUP(MONTH(B324),$O$1:$Q$13,2)-VLOOKUP(MONTH(B324),$O$1:$Q$13,3))))</f>
        <v/>
      </c>
      <c r="M324" s="1">
        <f t="array" ref="M324">IF(AND(A324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,A324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),IF(L324&lt;_xlfn.IFNA(INDEX(_xlfn.ANCHORARRAY(Sintesi!$C$17)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,1,IF(L324&gt;=_xlfn.IFNA(INDEX(_xlfn.ANCHORARRAY(Sintesi!$C$18)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,0,1-(L324-_xlfn.IFNA(INDEX(_xlfn.ANCHORARRAY(Sintesi!$C$17)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)/(_xlfn.IFNA(INDEX(_xlfn.ANCHORARRAY(Sintesi!$C$18)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-_xlfn.IFNA(INDEX(_xlfn.ANCHORARRAY(Sintesi!$C$17)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))),0)</f>
        <v/>
      </c>
    </row>
    <row r="325">
      <c r="A325" s="1">
        <f>'Paste cell here'!A325</f>
        <v/>
      </c>
      <c r="B325" s="2">
        <f>DATE(Sintesi!$C$4-1,12,31)+A325</f>
        <v/>
      </c>
      <c r="C325" s="34">
        <f t="array" ref="C325">_xlfn.IFNA(MATCH(1,(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)*(_xlfn.ANCHORARRAY(Sintesi!$C$15)&gt;=0)+(_xlfn.ANCHORARRAY(Sintesi!$C$15)&lt;0),0),0)</f>
        <v/>
      </c>
      <c r="D325" s="1">
        <f t="array" ref="D325">IF(ISBLANK($E326),IF(ISNUMBER($E324),IF($C325&gt;0,IF(($E325=INDEX(_xlfn.ANCHORARRAY(Sintesi!$C$14),1,$C325))*(INDEX(_xlfn.ANCHORARRAY(Sintesi!$C$15),1,$C325)&gt;0),0,IF(($E325=INDEX(_xlfn.ANCHORARRAY(Sintesi!$C$14),1,$C325))*(INDEX(_xlfn.ANCHORARRAY(Sintesi!$C$15),1,$C325)&lt;0)+($E325&gt;=$E324)*($E325&lt;=INDEX($E:$E,MATCH(TRUE,INDEX((ISNUMBER($E:$E)),0),0)))*($E325&gt;INDEX(_xlfn.ANCHORARRAY(Sintesi!$C$14),1,$C325))*($E325&lt;=INDEX(_xlfn.ANCHORARRAY(Sintesi!$C$15),1,$C325))*(INDEX(_xlfn.ANCHORARRAY(Sintesi!$C$15),1,$C325)&gt;0),1,IF(($E325&gt;=$E324)*($E325&lt;=INDEX($E:$E,MATCH(TRUE,INDEX((ISNUMBER($E:$E)),0),0)))*($E325&gt;INDEX(_xlfn.ANCHORARRAY(Sintesi!$C$14),1,$C325))*($E325&lt;INDEX(_xlfn.ANCHORARRAY(Sintesi!$C$16),1,$C325))*(INDEX(_xlfn.ANCHORARRAY(Sintesi!$C$15),1,$C325)&lt;0)+($E325&gt;=$E324)*($E325&lt;=INDEX($E:$E,MATCH(TRUE,INDEX((ISNUMBER($E:$E)),0),0)))*($E325&gt;INDEX(_xlfn.ANCHORARRAY(Sintesi!$C$15),1,$C325))*($E325&lt;INDEX(_xlfn.ANCHORARRAY(Sintesi!$C$16),1,$C325))*(INDEX(_xlfn.ANCHORARRAY(Sintesi!$C$15),1,$C325)&gt;0),2,IF($E325=(INDEX(_xlfn.ANCHORARRAY(Sintesi!$C$16),1,$C325)),3,4)))),0),IF($C325&gt;0,IF(($E325=INDEX(_xlfn.ANCHORARRAY(Sintesi!$C$14),1,$C325))*(INDEX(_xlfn.ANCHORARRAY(Sintesi!$C$15),1,$C325)&gt;0),0,IF(($E325=INDEX(_xlfn.ANCHORARRAY(Sintesi!$C$14),1,$C325))*(INDEX(_xlfn.ANCHORARRAY(Sintesi!$C$15),1,$C325)&lt;0)+($E325&gt;=LOOKUP(2,1/($E:$E&lt;&gt;""),$E:$E))*($E325&lt;=INDEX($E:$E,MATCH(TRUE,INDEX((ISNUMBER($E:$E)),0),0)))*($E325&gt;INDEX(_xlfn.ANCHORARRAY(Sintesi!$C$14),1,$C325))*($E325&lt;=INDEX(_xlfn.ANCHORARRAY(Sintesi!$C$15),1,$C325))*(INDEX(_xlfn.ANCHORARRAY(Sintesi!$C$15),1,$C325)&gt;0),1,IF(($E325&gt;=LOOKUP(2,1/($E:$E&lt;&gt;""),$E:$E))*($E325&lt;=INDEX($E:$E,MATCH(TRUE,INDEX((ISNUMBER($E:$E)),0),0)))*($E325&gt;INDEX(_xlfn.ANCHORARRAY(Sintesi!$C$14),1,$C325))*($E325&lt;INDEX(_xlfn.ANCHORARRAY(Sintesi!$C$16),1,$C325))*(INDEX(_xlfn.ANCHORARRAY(Sintesi!$C$15),1,$C325)&lt;0)+($E325&gt;=LOOKUP(2,1/($E:$E&lt;&gt;""),$E:$E))*($E325&lt;=INDEX($E:$E,MATCH(TRUE,INDEX((ISNUMBER($E:$E)),0),0)))*($E325&gt;INDEX(_xlfn.ANCHORARRAY(Sintesi!$C$15),1,$C325))*($E325&lt;INDEX(_xlfn.ANCHORARRAY(Sintesi!$C$16),1,$C325))*(INDEX(_xlfn.ANCHORARRAY(Sintesi!$C$15),1,$C325)&gt;0),2,IF($E325=(INDEX(_xlfn.ANCHORARRAY(Sintesi!$C$16),1,$C325)),3,4)))),0)),IF(ISNUMBER($E324),IF($C325&gt;0,IF(($E325=INDEX(_xlfn.ANCHORARRAY(Sintesi!$C$14),1,$C325))*(INDEX(_xlfn.ANCHORARRAY(Sintesi!$C$15),1,$C325)&gt;0),0,IF(($E325=INDEX(_xlfn.ANCHORARRAY(Sintesi!$C$14),1,$C325))*(INDEX(_xlfn.ANCHORARRAY(Sintesi!$C$15),1,$C325)&lt;0)+($E325&gt;=$E324)*($E325&lt;=$E326)*($E325&gt;INDEX(_xlfn.ANCHORARRAY(Sintesi!$C$14),1,$C325))*($E325&lt;=INDEX(_xlfn.ANCHORARRAY(Sintesi!$C$15),1,$C325))*(INDEX(_xlfn.ANCHORARRAY(Sintesi!$C$15),1,$C325)&gt;0),1,IF(($E325&gt;=$E324)*($E325&lt;=$E326)*($E325&gt;INDEX(_xlfn.ANCHORARRAY(Sintesi!$C$14),1,$C325))*($E325&lt;INDEX(_xlfn.ANCHORARRAY(Sintesi!$C$16),1,$C325))*(INDEX(_xlfn.ANCHORARRAY(Sintesi!$C$15),1,$C325)&lt;0)+($E325&gt;=$E324)*($E325&lt;=$E326)*($E325&gt;INDEX(_xlfn.ANCHORARRAY(Sintesi!$C$15),1,$C325))*($E325&lt;INDEX(_xlfn.ANCHORARRAY(Sintesi!$C$16),1,$C325))*(INDEX(_xlfn.ANCHORARRAY(Sintesi!$C$15),1,$C325)&gt;0),2,IF($E325=(INDEX(_xlfn.ANCHORARRAY(Sintesi!$C$16),1,$C325)),3,4)))),0),IF($C325&gt;0,IF(($E325=INDEX(_xlfn.ANCHORARRAY(Sintesi!$C$14),1,$C325))*(INDEX(_xlfn.ANCHORARRAY(Sintesi!$C$15),1,$C325)&gt;0),0,IF(($E325=INDEX(_xlfn.ANCHORARRAY(Sintesi!$C$14),1,$C325))*(INDEX(_xlfn.ANCHORARRAY(Sintesi!$C$15),1,$C325)&lt;0)+($E325&gt;=LOOKUP(2,1/($E:$E&lt;&gt;""),$E:$E))*($E325&lt;=$E326)*($E325&gt;INDEX(_xlfn.ANCHORARRAY(Sintesi!$C$14),1,$C325))*($E325&lt;=INDEX(_xlfn.ANCHORARRAY(Sintesi!$C$15),1,$C325))*(INDEX(_xlfn.ANCHORARRAY(Sintesi!$C$15),1,$C325)&gt;0),1,IF(($E325&gt;=LOOKUP(2,1/($E:$E&lt;&gt;""),$E:$E))*($E325&lt;=$E326)*($E325&gt;INDEX(_xlfn.ANCHORARRAY(Sintesi!$C$14),1,$C325))*($E325&lt;INDEX(_xlfn.ANCHORARRAY(Sintesi!$C$16),1,$C325))*(INDEX(_xlfn.ANCHORARRAY(Sintesi!$C$15),1,$C325)&lt;0)+($E325&gt;=LOOKUP(2,1/($E:$E&lt;&gt;""),$E:$E))*($E325&lt;=$E326)*($E325&gt;INDEX(_xlfn.ANCHORARRAY(Sintesi!$C$15),1,$C325))*($E325&lt;INDEX(_xlfn.ANCHORARRAY(Sintesi!$C$16),1,$C325))*(INDEX(_xlfn.ANCHORARRAY(Sintesi!$C$15),1,$C325)&gt;0),2,IF($E325=(INDEX(_xlfn.ANCHORARRAY(Sintesi!$C$16),1,$C325)),3,4)))),0)))</f>
        <v/>
      </c>
      <c r="E325" s="1">
        <f>'Paste cell here'!F325</f>
        <v/>
      </c>
      <c r="F325" s="1">
        <f>'Paste cell here'!C325</f>
        <v/>
      </c>
      <c r="G325" s="1">
        <f>'Paste cell here'!D325</f>
        <v/>
      </c>
      <c r="H325" s="1">
        <f>'Paste cell here'!E325</f>
        <v/>
      </c>
      <c r="I325" s="1">
        <f>'Paste cell here'!X325</f>
        <v/>
      </c>
      <c r="J325" s="1">
        <f>'Paste cell here'!Y325+'Paste cell here'!S325</f>
        <v/>
      </c>
      <c r="K325" s="1">
        <f>I325/H325</f>
        <v/>
      </c>
      <c r="L325" s="1">
        <f>AVERAGE(($F325+$G325)/2-($F325-$G325)/2*COS(PI()*(8-VLOOKUP(MONTH(B325),$O$1:$Q$13,3))/(VLOOKUP(MONTH(B325),$O$1:$Q$13,2)-VLOOKUP(MONTH(B325),$O$1:$Q$13,3))),($F325+$G325)/2-($F325-$G325)/2*COS(PI()*(9-VLOOKUP(MONTH(B325),$O$1:$Q$13,3))/(VLOOKUP(MONTH(B325),$O$1:$Q$13,2)-VLOOKUP(MONTH(B325),$O$1:$Q$13,3))),($F325+$G325)/2-($F325-$G325)/2*COS(PI()*(10-VLOOKUP(MONTH(B325),$O$1:$Q$13,3))/(VLOOKUP(MONTH(B325),$O$1:$Q$13,2)-VLOOKUP(MONTH(B325),$O$1:$Q$13,3))),($F325+$G325)/2-($F325-$G325)/2*COS(PI()*(11-VLOOKUP(MONTH(B325),$O$1:$Q$13,3))/(VLOOKUP(MONTH(B325),$O$1:$Q$13,2)-VLOOKUP(MONTH(B325),$O$1:$Q$13,3))),($F325+$G325)/2-($F325-$G325)/2*COS(PI()*(12-VLOOKUP(MONTH(B325),$O$1:$Q$13,3))/(VLOOKUP(MONTH(B325),$O$1:$Q$13,2)-VLOOKUP(MONTH(B325),$O$1:$Q$13,3))),($F325+$G325)/2-($F325-$G325)/2*COS(PI()*(13-VLOOKUP(MONTH(B325),$O$1:$Q$13,3))/(VLOOKUP(MONTH(B325),$O$1:$Q$13,2)-VLOOKUP(MONTH(B325),$O$1:$Q$13,3))),($F325+$G325)/2-($F325-$G325)/2*COS(PI()*(14-VLOOKUP(MONTH(B325),$O$1:$Q$13,3))/(VLOOKUP(MONTH(B325),$O$1:$Q$13,2)-VLOOKUP(MONTH(B325),$O$1:$Q$13,3))))</f>
        <v/>
      </c>
      <c r="M325" s="1">
        <f t="array" ref="M325">IF(AND(A325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,A325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),IF(L325&lt;_xlfn.IFNA(INDEX(_xlfn.ANCHORARRAY(Sintesi!$C$17)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,1,IF(L325&gt;=_xlfn.IFNA(INDEX(_xlfn.ANCHORARRAY(Sintesi!$C$18)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,0,1-(L325-_xlfn.IFNA(INDEX(_xlfn.ANCHORARRAY(Sintesi!$C$17)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)/(_xlfn.IFNA(INDEX(_xlfn.ANCHORARRAY(Sintesi!$C$18)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-_xlfn.IFNA(INDEX(_xlfn.ANCHORARRAY(Sintesi!$C$17)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))),0)</f>
        <v/>
      </c>
    </row>
    <row r="326">
      <c r="A326" s="1">
        <f>'Paste cell here'!A326</f>
        <v/>
      </c>
      <c r="B326" s="2">
        <f>DATE(Sintesi!$C$4-1,12,31)+A326</f>
        <v/>
      </c>
      <c r="C326" s="34">
        <f t="array" ref="C326">_xlfn.IFNA(MATCH(1,(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)*(_xlfn.ANCHORARRAY(Sintesi!$C$15)&gt;=0)+(_xlfn.ANCHORARRAY(Sintesi!$C$15)&lt;0),0),0)</f>
        <v/>
      </c>
      <c r="D326" s="1">
        <f t="array" ref="D326">IF(ISBLANK($E327),IF(ISNUMBER($E325),IF($C326&gt;0,IF(($E326=INDEX(_xlfn.ANCHORARRAY(Sintesi!$C$14),1,$C326))*(INDEX(_xlfn.ANCHORARRAY(Sintesi!$C$15),1,$C326)&gt;0),0,IF(($E326=INDEX(_xlfn.ANCHORARRAY(Sintesi!$C$14),1,$C326))*(INDEX(_xlfn.ANCHORARRAY(Sintesi!$C$15),1,$C326)&lt;0)+($E326&gt;=$E325)*($E326&lt;=INDEX($E:$E,MATCH(TRUE,INDEX((ISNUMBER($E:$E)),0),0)))*($E326&gt;INDEX(_xlfn.ANCHORARRAY(Sintesi!$C$14),1,$C326))*($E326&lt;=INDEX(_xlfn.ANCHORARRAY(Sintesi!$C$15),1,$C326))*(INDEX(_xlfn.ANCHORARRAY(Sintesi!$C$15),1,$C326)&gt;0),1,IF(($E326&gt;=$E325)*($E326&lt;=INDEX($E:$E,MATCH(TRUE,INDEX((ISNUMBER($E:$E)),0),0)))*($E326&gt;INDEX(_xlfn.ANCHORARRAY(Sintesi!$C$14),1,$C326))*($E326&lt;INDEX(_xlfn.ANCHORARRAY(Sintesi!$C$16),1,$C326))*(INDEX(_xlfn.ANCHORARRAY(Sintesi!$C$15),1,$C326)&lt;0)+($E326&gt;=$E325)*($E326&lt;=INDEX($E:$E,MATCH(TRUE,INDEX((ISNUMBER($E:$E)),0),0)))*($E326&gt;INDEX(_xlfn.ANCHORARRAY(Sintesi!$C$15),1,$C326))*($E326&lt;INDEX(_xlfn.ANCHORARRAY(Sintesi!$C$16),1,$C326))*(INDEX(_xlfn.ANCHORARRAY(Sintesi!$C$15),1,$C326)&gt;0),2,IF($E326=(INDEX(_xlfn.ANCHORARRAY(Sintesi!$C$16),1,$C326)),3,4)))),0),IF($C326&gt;0,IF(($E326=INDEX(_xlfn.ANCHORARRAY(Sintesi!$C$14),1,$C326))*(INDEX(_xlfn.ANCHORARRAY(Sintesi!$C$15),1,$C326)&gt;0),0,IF(($E326=INDEX(_xlfn.ANCHORARRAY(Sintesi!$C$14),1,$C326))*(INDEX(_xlfn.ANCHORARRAY(Sintesi!$C$15),1,$C326)&lt;0)+($E326&gt;=LOOKUP(2,1/($E:$E&lt;&gt;""),$E:$E))*($E326&lt;=INDEX($E:$E,MATCH(TRUE,INDEX((ISNUMBER($E:$E)),0),0)))*($E326&gt;INDEX(_xlfn.ANCHORARRAY(Sintesi!$C$14),1,$C326))*($E326&lt;=INDEX(_xlfn.ANCHORARRAY(Sintesi!$C$15),1,$C326))*(INDEX(_xlfn.ANCHORARRAY(Sintesi!$C$15),1,$C326)&gt;0),1,IF(($E326&gt;=LOOKUP(2,1/($E:$E&lt;&gt;""),$E:$E))*($E326&lt;=INDEX($E:$E,MATCH(TRUE,INDEX((ISNUMBER($E:$E)),0),0)))*($E326&gt;INDEX(_xlfn.ANCHORARRAY(Sintesi!$C$14),1,$C326))*($E326&lt;INDEX(_xlfn.ANCHORARRAY(Sintesi!$C$16),1,$C326))*(INDEX(_xlfn.ANCHORARRAY(Sintesi!$C$15),1,$C326)&lt;0)+($E326&gt;=LOOKUP(2,1/($E:$E&lt;&gt;""),$E:$E))*($E326&lt;=INDEX($E:$E,MATCH(TRUE,INDEX((ISNUMBER($E:$E)),0),0)))*($E326&gt;INDEX(_xlfn.ANCHORARRAY(Sintesi!$C$15),1,$C326))*($E326&lt;INDEX(_xlfn.ANCHORARRAY(Sintesi!$C$16),1,$C326))*(INDEX(_xlfn.ANCHORARRAY(Sintesi!$C$15),1,$C326)&gt;0),2,IF($E326=(INDEX(_xlfn.ANCHORARRAY(Sintesi!$C$16),1,$C326)),3,4)))),0)),IF(ISNUMBER($E325),IF($C326&gt;0,IF(($E326=INDEX(_xlfn.ANCHORARRAY(Sintesi!$C$14),1,$C326))*(INDEX(_xlfn.ANCHORARRAY(Sintesi!$C$15),1,$C326)&gt;0),0,IF(($E326=INDEX(_xlfn.ANCHORARRAY(Sintesi!$C$14),1,$C326))*(INDEX(_xlfn.ANCHORARRAY(Sintesi!$C$15),1,$C326)&lt;0)+($E326&gt;=$E325)*($E326&lt;=$E327)*($E326&gt;INDEX(_xlfn.ANCHORARRAY(Sintesi!$C$14),1,$C326))*($E326&lt;=INDEX(_xlfn.ANCHORARRAY(Sintesi!$C$15),1,$C326))*(INDEX(_xlfn.ANCHORARRAY(Sintesi!$C$15),1,$C326)&gt;0),1,IF(($E326&gt;=$E325)*($E326&lt;=$E327)*($E326&gt;INDEX(_xlfn.ANCHORARRAY(Sintesi!$C$14),1,$C326))*($E326&lt;INDEX(_xlfn.ANCHORARRAY(Sintesi!$C$16),1,$C326))*(INDEX(_xlfn.ANCHORARRAY(Sintesi!$C$15),1,$C326)&lt;0)+($E326&gt;=$E325)*($E326&lt;=$E327)*($E326&gt;INDEX(_xlfn.ANCHORARRAY(Sintesi!$C$15),1,$C326))*($E326&lt;INDEX(_xlfn.ANCHORARRAY(Sintesi!$C$16),1,$C326))*(INDEX(_xlfn.ANCHORARRAY(Sintesi!$C$15),1,$C326)&gt;0),2,IF($E326=(INDEX(_xlfn.ANCHORARRAY(Sintesi!$C$16),1,$C326)),3,4)))),0),IF($C326&gt;0,IF(($E326=INDEX(_xlfn.ANCHORARRAY(Sintesi!$C$14),1,$C326))*(INDEX(_xlfn.ANCHORARRAY(Sintesi!$C$15),1,$C326)&gt;0),0,IF(($E326=INDEX(_xlfn.ANCHORARRAY(Sintesi!$C$14),1,$C326))*(INDEX(_xlfn.ANCHORARRAY(Sintesi!$C$15),1,$C326)&lt;0)+($E326&gt;=LOOKUP(2,1/($E:$E&lt;&gt;""),$E:$E))*($E326&lt;=$E327)*($E326&gt;INDEX(_xlfn.ANCHORARRAY(Sintesi!$C$14),1,$C326))*($E326&lt;=INDEX(_xlfn.ANCHORARRAY(Sintesi!$C$15),1,$C326))*(INDEX(_xlfn.ANCHORARRAY(Sintesi!$C$15),1,$C326)&gt;0),1,IF(($E326&gt;=LOOKUP(2,1/($E:$E&lt;&gt;""),$E:$E))*($E326&lt;=$E327)*($E326&gt;INDEX(_xlfn.ANCHORARRAY(Sintesi!$C$14),1,$C326))*($E326&lt;INDEX(_xlfn.ANCHORARRAY(Sintesi!$C$16),1,$C326))*(INDEX(_xlfn.ANCHORARRAY(Sintesi!$C$15),1,$C326)&lt;0)+($E326&gt;=LOOKUP(2,1/($E:$E&lt;&gt;""),$E:$E))*($E326&lt;=$E327)*($E326&gt;INDEX(_xlfn.ANCHORARRAY(Sintesi!$C$15),1,$C326))*($E326&lt;INDEX(_xlfn.ANCHORARRAY(Sintesi!$C$16),1,$C326))*(INDEX(_xlfn.ANCHORARRAY(Sintesi!$C$15),1,$C326)&gt;0),2,IF($E326=(INDEX(_xlfn.ANCHORARRAY(Sintesi!$C$16),1,$C326)),3,4)))),0)))</f>
        <v/>
      </c>
      <c r="E326" s="1">
        <f>'Paste cell here'!F326</f>
        <v/>
      </c>
      <c r="F326" s="1">
        <f>'Paste cell here'!C326</f>
        <v/>
      </c>
      <c r="G326" s="1">
        <f>'Paste cell here'!D326</f>
        <v/>
      </c>
      <c r="H326" s="1">
        <f>'Paste cell here'!E326</f>
        <v/>
      </c>
      <c r="I326" s="1">
        <f>'Paste cell here'!X326</f>
        <v/>
      </c>
      <c r="J326" s="1">
        <f>'Paste cell here'!Y326+'Paste cell here'!S326</f>
        <v/>
      </c>
      <c r="K326" s="1">
        <f>I326/H326</f>
        <v/>
      </c>
      <c r="L326" s="1">
        <f>AVERAGE(($F326+$G326)/2-($F326-$G326)/2*COS(PI()*(8-VLOOKUP(MONTH(B326),$O$1:$Q$13,3))/(VLOOKUP(MONTH(B326),$O$1:$Q$13,2)-VLOOKUP(MONTH(B326),$O$1:$Q$13,3))),($F326+$G326)/2-($F326-$G326)/2*COS(PI()*(9-VLOOKUP(MONTH(B326),$O$1:$Q$13,3))/(VLOOKUP(MONTH(B326),$O$1:$Q$13,2)-VLOOKUP(MONTH(B326),$O$1:$Q$13,3))),($F326+$G326)/2-($F326-$G326)/2*COS(PI()*(10-VLOOKUP(MONTH(B326),$O$1:$Q$13,3))/(VLOOKUP(MONTH(B326),$O$1:$Q$13,2)-VLOOKUP(MONTH(B326),$O$1:$Q$13,3))),($F326+$G326)/2-($F326-$G326)/2*COS(PI()*(11-VLOOKUP(MONTH(B326),$O$1:$Q$13,3))/(VLOOKUP(MONTH(B326),$O$1:$Q$13,2)-VLOOKUP(MONTH(B326),$O$1:$Q$13,3))),($F326+$G326)/2-($F326-$G326)/2*COS(PI()*(12-VLOOKUP(MONTH(B326),$O$1:$Q$13,3))/(VLOOKUP(MONTH(B326),$O$1:$Q$13,2)-VLOOKUP(MONTH(B326),$O$1:$Q$13,3))),($F326+$G326)/2-($F326-$G326)/2*COS(PI()*(13-VLOOKUP(MONTH(B326),$O$1:$Q$13,3))/(VLOOKUP(MONTH(B326),$O$1:$Q$13,2)-VLOOKUP(MONTH(B326),$O$1:$Q$13,3))),($F326+$G326)/2-($F326-$G326)/2*COS(PI()*(14-VLOOKUP(MONTH(B326),$O$1:$Q$13,3))/(VLOOKUP(MONTH(B326),$O$1:$Q$13,2)-VLOOKUP(MONTH(B326),$O$1:$Q$13,3))))</f>
        <v/>
      </c>
      <c r="M326" s="1">
        <f t="array" ref="M326">IF(AND(A326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,A326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),IF(L326&lt;_xlfn.IFNA(INDEX(_xlfn.ANCHORARRAY(Sintesi!$C$17)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,1,IF(L326&gt;=_xlfn.IFNA(INDEX(_xlfn.ANCHORARRAY(Sintesi!$C$18)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,0,1-(L326-_xlfn.IFNA(INDEX(_xlfn.ANCHORARRAY(Sintesi!$C$17)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)/(_xlfn.IFNA(INDEX(_xlfn.ANCHORARRAY(Sintesi!$C$18)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-_xlfn.IFNA(INDEX(_xlfn.ANCHORARRAY(Sintesi!$C$17)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))),0)</f>
        <v/>
      </c>
    </row>
    <row r="327">
      <c r="A327" s="1">
        <f>'Paste cell here'!A327</f>
        <v/>
      </c>
      <c r="B327" s="2">
        <f>DATE(Sintesi!$C$4-1,12,31)+A327</f>
        <v/>
      </c>
      <c r="C327" s="34">
        <f t="array" ref="C327">_xlfn.IFNA(MATCH(1,(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)*(_xlfn.ANCHORARRAY(Sintesi!$C$15)&gt;=0)+(_xlfn.ANCHORARRAY(Sintesi!$C$15)&lt;0),0),0)</f>
        <v/>
      </c>
      <c r="D327" s="1">
        <f t="array" ref="D327">IF(ISBLANK($E328),IF(ISNUMBER($E326),IF($C327&gt;0,IF(($E327=INDEX(_xlfn.ANCHORARRAY(Sintesi!$C$14),1,$C327))*(INDEX(_xlfn.ANCHORARRAY(Sintesi!$C$15),1,$C327)&gt;0),0,IF(($E327=INDEX(_xlfn.ANCHORARRAY(Sintesi!$C$14),1,$C327))*(INDEX(_xlfn.ANCHORARRAY(Sintesi!$C$15),1,$C327)&lt;0)+($E327&gt;=$E326)*($E327&lt;=INDEX($E:$E,MATCH(TRUE,INDEX((ISNUMBER($E:$E)),0),0)))*($E327&gt;INDEX(_xlfn.ANCHORARRAY(Sintesi!$C$14),1,$C327))*($E327&lt;=INDEX(_xlfn.ANCHORARRAY(Sintesi!$C$15),1,$C327))*(INDEX(_xlfn.ANCHORARRAY(Sintesi!$C$15),1,$C327)&gt;0),1,IF(($E327&gt;=$E326)*($E327&lt;=INDEX($E:$E,MATCH(TRUE,INDEX((ISNUMBER($E:$E)),0),0)))*($E327&gt;INDEX(_xlfn.ANCHORARRAY(Sintesi!$C$14),1,$C327))*($E327&lt;INDEX(_xlfn.ANCHORARRAY(Sintesi!$C$16),1,$C327))*(INDEX(_xlfn.ANCHORARRAY(Sintesi!$C$15),1,$C327)&lt;0)+($E327&gt;=$E326)*($E327&lt;=INDEX($E:$E,MATCH(TRUE,INDEX((ISNUMBER($E:$E)),0),0)))*($E327&gt;INDEX(_xlfn.ANCHORARRAY(Sintesi!$C$15),1,$C327))*($E327&lt;INDEX(_xlfn.ANCHORARRAY(Sintesi!$C$16),1,$C327))*(INDEX(_xlfn.ANCHORARRAY(Sintesi!$C$15),1,$C327)&gt;0),2,IF($E327=(INDEX(_xlfn.ANCHORARRAY(Sintesi!$C$16),1,$C327)),3,4)))),0),IF($C327&gt;0,IF(($E327=INDEX(_xlfn.ANCHORARRAY(Sintesi!$C$14),1,$C327))*(INDEX(_xlfn.ANCHORARRAY(Sintesi!$C$15),1,$C327)&gt;0),0,IF(($E327=INDEX(_xlfn.ANCHORARRAY(Sintesi!$C$14),1,$C327))*(INDEX(_xlfn.ANCHORARRAY(Sintesi!$C$15),1,$C327)&lt;0)+($E327&gt;=LOOKUP(2,1/($E:$E&lt;&gt;""),$E:$E))*($E327&lt;=INDEX($E:$E,MATCH(TRUE,INDEX((ISNUMBER($E:$E)),0),0)))*($E327&gt;INDEX(_xlfn.ANCHORARRAY(Sintesi!$C$14),1,$C327))*($E327&lt;=INDEX(_xlfn.ANCHORARRAY(Sintesi!$C$15),1,$C327))*(INDEX(_xlfn.ANCHORARRAY(Sintesi!$C$15),1,$C327)&gt;0),1,IF(($E327&gt;=LOOKUP(2,1/($E:$E&lt;&gt;""),$E:$E))*($E327&lt;=INDEX($E:$E,MATCH(TRUE,INDEX((ISNUMBER($E:$E)),0),0)))*($E327&gt;INDEX(_xlfn.ANCHORARRAY(Sintesi!$C$14),1,$C327))*($E327&lt;INDEX(_xlfn.ANCHORARRAY(Sintesi!$C$16),1,$C327))*(INDEX(_xlfn.ANCHORARRAY(Sintesi!$C$15),1,$C327)&lt;0)+($E327&gt;=LOOKUP(2,1/($E:$E&lt;&gt;""),$E:$E))*($E327&lt;=INDEX($E:$E,MATCH(TRUE,INDEX((ISNUMBER($E:$E)),0),0)))*($E327&gt;INDEX(_xlfn.ANCHORARRAY(Sintesi!$C$15),1,$C327))*($E327&lt;INDEX(_xlfn.ANCHORARRAY(Sintesi!$C$16),1,$C327))*(INDEX(_xlfn.ANCHORARRAY(Sintesi!$C$15),1,$C327)&gt;0),2,IF($E327=(INDEX(_xlfn.ANCHORARRAY(Sintesi!$C$16),1,$C327)),3,4)))),0)),IF(ISNUMBER($E326),IF($C327&gt;0,IF(($E327=INDEX(_xlfn.ANCHORARRAY(Sintesi!$C$14),1,$C327))*(INDEX(_xlfn.ANCHORARRAY(Sintesi!$C$15),1,$C327)&gt;0),0,IF(($E327=INDEX(_xlfn.ANCHORARRAY(Sintesi!$C$14),1,$C327))*(INDEX(_xlfn.ANCHORARRAY(Sintesi!$C$15),1,$C327)&lt;0)+($E327&gt;=$E326)*($E327&lt;=$E328)*($E327&gt;INDEX(_xlfn.ANCHORARRAY(Sintesi!$C$14),1,$C327))*($E327&lt;=INDEX(_xlfn.ANCHORARRAY(Sintesi!$C$15),1,$C327))*(INDEX(_xlfn.ANCHORARRAY(Sintesi!$C$15),1,$C327)&gt;0),1,IF(($E327&gt;=$E326)*($E327&lt;=$E328)*($E327&gt;INDEX(_xlfn.ANCHORARRAY(Sintesi!$C$14),1,$C327))*($E327&lt;INDEX(_xlfn.ANCHORARRAY(Sintesi!$C$16),1,$C327))*(INDEX(_xlfn.ANCHORARRAY(Sintesi!$C$15),1,$C327)&lt;0)+($E327&gt;=$E326)*($E327&lt;=$E328)*($E327&gt;INDEX(_xlfn.ANCHORARRAY(Sintesi!$C$15),1,$C327))*($E327&lt;INDEX(_xlfn.ANCHORARRAY(Sintesi!$C$16),1,$C327))*(INDEX(_xlfn.ANCHORARRAY(Sintesi!$C$15),1,$C327)&gt;0),2,IF($E327=(INDEX(_xlfn.ANCHORARRAY(Sintesi!$C$16),1,$C327)),3,4)))),0),IF($C327&gt;0,IF(($E327=INDEX(_xlfn.ANCHORARRAY(Sintesi!$C$14),1,$C327))*(INDEX(_xlfn.ANCHORARRAY(Sintesi!$C$15),1,$C327)&gt;0),0,IF(($E327=INDEX(_xlfn.ANCHORARRAY(Sintesi!$C$14),1,$C327))*(INDEX(_xlfn.ANCHORARRAY(Sintesi!$C$15),1,$C327)&lt;0)+($E327&gt;=LOOKUP(2,1/($E:$E&lt;&gt;""),$E:$E))*($E327&lt;=$E328)*($E327&gt;INDEX(_xlfn.ANCHORARRAY(Sintesi!$C$14),1,$C327))*($E327&lt;=INDEX(_xlfn.ANCHORARRAY(Sintesi!$C$15),1,$C327))*(INDEX(_xlfn.ANCHORARRAY(Sintesi!$C$15),1,$C327)&gt;0),1,IF(($E327&gt;=LOOKUP(2,1/($E:$E&lt;&gt;""),$E:$E))*($E327&lt;=$E328)*($E327&gt;INDEX(_xlfn.ANCHORARRAY(Sintesi!$C$14),1,$C327))*($E327&lt;INDEX(_xlfn.ANCHORARRAY(Sintesi!$C$16),1,$C327))*(INDEX(_xlfn.ANCHORARRAY(Sintesi!$C$15),1,$C327)&lt;0)+($E327&gt;=LOOKUP(2,1/($E:$E&lt;&gt;""),$E:$E))*($E327&lt;=$E328)*($E327&gt;INDEX(_xlfn.ANCHORARRAY(Sintesi!$C$15),1,$C327))*($E327&lt;INDEX(_xlfn.ANCHORARRAY(Sintesi!$C$16),1,$C327))*(INDEX(_xlfn.ANCHORARRAY(Sintesi!$C$15),1,$C327)&gt;0),2,IF($E327=(INDEX(_xlfn.ANCHORARRAY(Sintesi!$C$16),1,$C327)),3,4)))),0)))</f>
        <v/>
      </c>
      <c r="E327" s="1">
        <f>'Paste cell here'!F327</f>
        <v/>
      </c>
      <c r="F327" s="1">
        <f>'Paste cell here'!C327</f>
        <v/>
      </c>
      <c r="G327" s="1">
        <f>'Paste cell here'!D327</f>
        <v/>
      </c>
      <c r="H327" s="1">
        <f>'Paste cell here'!E327</f>
        <v/>
      </c>
      <c r="I327" s="1">
        <f>'Paste cell here'!X327</f>
        <v/>
      </c>
      <c r="J327" s="1">
        <f>'Paste cell here'!Y327+'Paste cell here'!S327</f>
        <v/>
      </c>
      <c r="K327" s="1">
        <f>I327/H327</f>
        <v/>
      </c>
      <c r="L327" s="1">
        <f>AVERAGE(($F327+$G327)/2-($F327-$G327)/2*COS(PI()*(8-VLOOKUP(MONTH(B327),$O$1:$Q$13,3))/(VLOOKUP(MONTH(B327),$O$1:$Q$13,2)-VLOOKUP(MONTH(B327),$O$1:$Q$13,3))),($F327+$G327)/2-($F327-$G327)/2*COS(PI()*(9-VLOOKUP(MONTH(B327),$O$1:$Q$13,3))/(VLOOKUP(MONTH(B327),$O$1:$Q$13,2)-VLOOKUP(MONTH(B327),$O$1:$Q$13,3))),($F327+$G327)/2-($F327-$G327)/2*COS(PI()*(10-VLOOKUP(MONTH(B327),$O$1:$Q$13,3))/(VLOOKUP(MONTH(B327),$O$1:$Q$13,2)-VLOOKUP(MONTH(B327),$O$1:$Q$13,3))),($F327+$G327)/2-($F327-$G327)/2*COS(PI()*(11-VLOOKUP(MONTH(B327),$O$1:$Q$13,3))/(VLOOKUP(MONTH(B327),$O$1:$Q$13,2)-VLOOKUP(MONTH(B327),$O$1:$Q$13,3))),($F327+$G327)/2-($F327-$G327)/2*COS(PI()*(12-VLOOKUP(MONTH(B327),$O$1:$Q$13,3))/(VLOOKUP(MONTH(B327),$O$1:$Q$13,2)-VLOOKUP(MONTH(B327),$O$1:$Q$13,3))),($F327+$G327)/2-($F327-$G327)/2*COS(PI()*(13-VLOOKUP(MONTH(B327),$O$1:$Q$13,3))/(VLOOKUP(MONTH(B327),$O$1:$Q$13,2)-VLOOKUP(MONTH(B327),$O$1:$Q$13,3))),($F327+$G327)/2-($F327-$G327)/2*COS(PI()*(14-VLOOKUP(MONTH(B327),$O$1:$Q$13,3))/(VLOOKUP(MONTH(B327),$O$1:$Q$13,2)-VLOOKUP(MONTH(B327),$O$1:$Q$13,3))))</f>
        <v/>
      </c>
      <c r="M327" s="1">
        <f t="array" ref="M327">IF(AND(A327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,A327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),IF(L327&lt;_xlfn.IFNA(INDEX(_xlfn.ANCHORARRAY(Sintesi!$C$17)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,1,IF(L327&gt;=_xlfn.IFNA(INDEX(_xlfn.ANCHORARRAY(Sintesi!$C$18)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,0,1-(L327-_xlfn.IFNA(INDEX(_xlfn.ANCHORARRAY(Sintesi!$C$17)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)/(_xlfn.IFNA(INDEX(_xlfn.ANCHORARRAY(Sintesi!$C$18)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-_xlfn.IFNA(INDEX(_xlfn.ANCHORARRAY(Sintesi!$C$17)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))),0)</f>
        <v/>
      </c>
    </row>
    <row r="328">
      <c r="A328" s="1">
        <f>'Paste cell here'!A328</f>
        <v/>
      </c>
      <c r="B328" s="2">
        <f>DATE(Sintesi!$C$4-1,12,31)+A328</f>
        <v/>
      </c>
      <c r="C328" s="34">
        <f t="array" ref="C328">_xlfn.IFNA(MATCH(1,(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)*(_xlfn.ANCHORARRAY(Sintesi!$C$15)&gt;=0)+(_xlfn.ANCHORARRAY(Sintesi!$C$15)&lt;0),0),0)</f>
        <v/>
      </c>
      <c r="D328" s="1">
        <f t="array" ref="D328">IF(ISBLANK($E329),IF(ISNUMBER($E327),IF($C328&gt;0,IF(($E328=INDEX(_xlfn.ANCHORARRAY(Sintesi!$C$14),1,$C328))*(INDEX(_xlfn.ANCHORARRAY(Sintesi!$C$15),1,$C328)&gt;0),0,IF(($E328=INDEX(_xlfn.ANCHORARRAY(Sintesi!$C$14),1,$C328))*(INDEX(_xlfn.ANCHORARRAY(Sintesi!$C$15),1,$C328)&lt;0)+($E328&gt;=$E327)*($E328&lt;=INDEX($E:$E,MATCH(TRUE,INDEX((ISNUMBER($E:$E)),0),0)))*($E328&gt;INDEX(_xlfn.ANCHORARRAY(Sintesi!$C$14),1,$C328))*($E328&lt;=INDEX(_xlfn.ANCHORARRAY(Sintesi!$C$15),1,$C328))*(INDEX(_xlfn.ANCHORARRAY(Sintesi!$C$15),1,$C328)&gt;0),1,IF(($E328&gt;=$E327)*($E328&lt;=INDEX($E:$E,MATCH(TRUE,INDEX((ISNUMBER($E:$E)),0),0)))*($E328&gt;INDEX(_xlfn.ANCHORARRAY(Sintesi!$C$14),1,$C328))*($E328&lt;INDEX(_xlfn.ANCHORARRAY(Sintesi!$C$16),1,$C328))*(INDEX(_xlfn.ANCHORARRAY(Sintesi!$C$15),1,$C328)&lt;0)+($E328&gt;=$E327)*($E328&lt;=INDEX($E:$E,MATCH(TRUE,INDEX((ISNUMBER($E:$E)),0),0)))*($E328&gt;INDEX(_xlfn.ANCHORARRAY(Sintesi!$C$15),1,$C328))*($E328&lt;INDEX(_xlfn.ANCHORARRAY(Sintesi!$C$16),1,$C328))*(INDEX(_xlfn.ANCHORARRAY(Sintesi!$C$15),1,$C328)&gt;0),2,IF($E328=(INDEX(_xlfn.ANCHORARRAY(Sintesi!$C$16),1,$C328)),3,4)))),0),IF($C328&gt;0,IF(($E328=INDEX(_xlfn.ANCHORARRAY(Sintesi!$C$14),1,$C328))*(INDEX(_xlfn.ANCHORARRAY(Sintesi!$C$15),1,$C328)&gt;0),0,IF(($E328=INDEX(_xlfn.ANCHORARRAY(Sintesi!$C$14),1,$C328))*(INDEX(_xlfn.ANCHORARRAY(Sintesi!$C$15),1,$C328)&lt;0)+($E328&gt;=LOOKUP(2,1/($E:$E&lt;&gt;""),$E:$E))*($E328&lt;=INDEX($E:$E,MATCH(TRUE,INDEX((ISNUMBER($E:$E)),0),0)))*($E328&gt;INDEX(_xlfn.ANCHORARRAY(Sintesi!$C$14),1,$C328))*($E328&lt;=INDEX(_xlfn.ANCHORARRAY(Sintesi!$C$15),1,$C328))*(INDEX(_xlfn.ANCHORARRAY(Sintesi!$C$15),1,$C328)&gt;0),1,IF(($E328&gt;=LOOKUP(2,1/($E:$E&lt;&gt;""),$E:$E))*($E328&lt;=INDEX($E:$E,MATCH(TRUE,INDEX((ISNUMBER($E:$E)),0),0)))*($E328&gt;INDEX(_xlfn.ANCHORARRAY(Sintesi!$C$14),1,$C328))*($E328&lt;INDEX(_xlfn.ANCHORARRAY(Sintesi!$C$16),1,$C328))*(INDEX(_xlfn.ANCHORARRAY(Sintesi!$C$15),1,$C328)&lt;0)+($E328&gt;=LOOKUP(2,1/($E:$E&lt;&gt;""),$E:$E))*($E328&lt;=INDEX($E:$E,MATCH(TRUE,INDEX((ISNUMBER($E:$E)),0),0)))*($E328&gt;INDEX(_xlfn.ANCHORARRAY(Sintesi!$C$15),1,$C328))*($E328&lt;INDEX(_xlfn.ANCHORARRAY(Sintesi!$C$16),1,$C328))*(INDEX(_xlfn.ANCHORARRAY(Sintesi!$C$15),1,$C328)&gt;0),2,IF($E328=(INDEX(_xlfn.ANCHORARRAY(Sintesi!$C$16),1,$C328)),3,4)))),0)),IF(ISNUMBER($E327),IF($C328&gt;0,IF(($E328=INDEX(_xlfn.ANCHORARRAY(Sintesi!$C$14),1,$C328))*(INDEX(_xlfn.ANCHORARRAY(Sintesi!$C$15),1,$C328)&gt;0),0,IF(($E328=INDEX(_xlfn.ANCHORARRAY(Sintesi!$C$14),1,$C328))*(INDEX(_xlfn.ANCHORARRAY(Sintesi!$C$15),1,$C328)&lt;0)+($E328&gt;=$E327)*($E328&lt;=$E329)*($E328&gt;INDEX(_xlfn.ANCHORARRAY(Sintesi!$C$14),1,$C328))*($E328&lt;=INDEX(_xlfn.ANCHORARRAY(Sintesi!$C$15),1,$C328))*(INDEX(_xlfn.ANCHORARRAY(Sintesi!$C$15),1,$C328)&gt;0),1,IF(($E328&gt;=$E327)*($E328&lt;=$E329)*($E328&gt;INDEX(_xlfn.ANCHORARRAY(Sintesi!$C$14),1,$C328))*($E328&lt;INDEX(_xlfn.ANCHORARRAY(Sintesi!$C$16),1,$C328))*(INDEX(_xlfn.ANCHORARRAY(Sintesi!$C$15),1,$C328)&lt;0)+($E328&gt;=$E327)*($E328&lt;=$E329)*($E328&gt;INDEX(_xlfn.ANCHORARRAY(Sintesi!$C$15),1,$C328))*($E328&lt;INDEX(_xlfn.ANCHORARRAY(Sintesi!$C$16),1,$C328))*(INDEX(_xlfn.ANCHORARRAY(Sintesi!$C$15),1,$C328)&gt;0),2,IF($E328=(INDEX(_xlfn.ANCHORARRAY(Sintesi!$C$16),1,$C328)),3,4)))),0),IF($C328&gt;0,IF(($E328=INDEX(_xlfn.ANCHORARRAY(Sintesi!$C$14),1,$C328))*(INDEX(_xlfn.ANCHORARRAY(Sintesi!$C$15),1,$C328)&gt;0),0,IF(($E328=INDEX(_xlfn.ANCHORARRAY(Sintesi!$C$14),1,$C328))*(INDEX(_xlfn.ANCHORARRAY(Sintesi!$C$15),1,$C328)&lt;0)+($E328&gt;=LOOKUP(2,1/($E:$E&lt;&gt;""),$E:$E))*($E328&lt;=$E329)*($E328&gt;INDEX(_xlfn.ANCHORARRAY(Sintesi!$C$14),1,$C328))*($E328&lt;=INDEX(_xlfn.ANCHORARRAY(Sintesi!$C$15),1,$C328))*(INDEX(_xlfn.ANCHORARRAY(Sintesi!$C$15),1,$C328)&gt;0),1,IF(($E328&gt;=LOOKUP(2,1/($E:$E&lt;&gt;""),$E:$E))*($E328&lt;=$E329)*($E328&gt;INDEX(_xlfn.ANCHORARRAY(Sintesi!$C$14),1,$C328))*($E328&lt;INDEX(_xlfn.ANCHORARRAY(Sintesi!$C$16),1,$C328))*(INDEX(_xlfn.ANCHORARRAY(Sintesi!$C$15),1,$C328)&lt;0)+($E328&gt;=LOOKUP(2,1/($E:$E&lt;&gt;""),$E:$E))*($E328&lt;=$E329)*($E328&gt;INDEX(_xlfn.ANCHORARRAY(Sintesi!$C$15),1,$C328))*($E328&lt;INDEX(_xlfn.ANCHORARRAY(Sintesi!$C$16),1,$C328))*(INDEX(_xlfn.ANCHORARRAY(Sintesi!$C$15),1,$C328)&gt;0),2,IF($E328=(INDEX(_xlfn.ANCHORARRAY(Sintesi!$C$16),1,$C328)),3,4)))),0)))</f>
        <v/>
      </c>
      <c r="E328" s="1">
        <f>'Paste cell here'!F328</f>
        <v/>
      </c>
      <c r="F328" s="1">
        <f>'Paste cell here'!C328</f>
        <v/>
      </c>
      <c r="G328" s="1">
        <f>'Paste cell here'!D328</f>
        <v/>
      </c>
      <c r="H328" s="1">
        <f>'Paste cell here'!E328</f>
        <v/>
      </c>
      <c r="I328" s="1">
        <f>'Paste cell here'!X328</f>
        <v/>
      </c>
      <c r="J328" s="1">
        <f>'Paste cell here'!Y328+'Paste cell here'!S328</f>
        <v/>
      </c>
      <c r="K328" s="1">
        <f>I328/H328</f>
        <v/>
      </c>
      <c r="L328" s="1">
        <f>AVERAGE(($F328+$G328)/2-($F328-$G328)/2*COS(PI()*(8-VLOOKUP(MONTH(B328),$O$1:$Q$13,3))/(VLOOKUP(MONTH(B328),$O$1:$Q$13,2)-VLOOKUP(MONTH(B328),$O$1:$Q$13,3))),($F328+$G328)/2-($F328-$G328)/2*COS(PI()*(9-VLOOKUP(MONTH(B328),$O$1:$Q$13,3))/(VLOOKUP(MONTH(B328),$O$1:$Q$13,2)-VLOOKUP(MONTH(B328),$O$1:$Q$13,3))),($F328+$G328)/2-($F328-$G328)/2*COS(PI()*(10-VLOOKUP(MONTH(B328),$O$1:$Q$13,3))/(VLOOKUP(MONTH(B328),$O$1:$Q$13,2)-VLOOKUP(MONTH(B328),$O$1:$Q$13,3))),($F328+$G328)/2-($F328-$G328)/2*COS(PI()*(11-VLOOKUP(MONTH(B328),$O$1:$Q$13,3))/(VLOOKUP(MONTH(B328),$O$1:$Q$13,2)-VLOOKUP(MONTH(B328),$O$1:$Q$13,3))),($F328+$G328)/2-($F328-$G328)/2*COS(PI()*(12-VLOOKUP(MONTH(B328),$O$1:$Q$13,3))/(VLOOKUP(MONTH(B328),$O$1:$Q$13,2)-VLOOKUP(MONTH(B328),$O$1:$Q$13,3))),($F328+$G328)/2-($F328-$G328)/2*COS(PI()*(13-VLOOKUP(MONTH(B328),$O$1:$Q$13,3))/(VLOOKUP(MONTH(B328),$O$1:$Q$13,2)-VLOOKUP(MONTH(B328),$O$1:$Q$13,3))),($F328+$G328)/2-($F328-$G328)/2*COS(PI()*(14-VLOOKUP(MONTH(B328),$O$1:$Q$13,3))/(VLOOKUP(MONTH(B328),$O$1:$Q$13,2)-VLOOKUP(MONTH(B328),$O$1:$Q$13,3))))</f>
        <v/>
      </c>
      <c r="M328" s="1">
        <f t="array" ref="M328">IF(AND(A328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,A328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),IF(L328&lt;_xlfn.IFNA(INDEX(_xlfn.ANCHORARRAY(Sintesi!$C$17)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,1,IF(L328&gt;=_xlfn.IFNA(INDEX(_xlfn.ANCHORARRAY(Sintesi!$C$18)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,0,1-(L328-_xlfn.IFNA(INDEX(_xlfn.ANCHORARRAY(Sintesi!$C$17)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)/(_xlfn.IFNA(INDEX(_xlfn.ANCHORARRAY(Sintesi!$C$18)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-_xlfn.IFNA(INDEX(_xlfn.ANCHORARRAY(Sintesi!$C$17)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))),0)</f>
        <v/>
      </c>
    </row>
    <row r="329">
      <c r="A329" s="1">
        <f>'Paste cell here'!A329</f>
        <v/>
      </c>
      <c r="B329" s="2">
        <f>DATE(Sintesi!$C$4-1,12,31)+A329</f>
        <v/>
      </c>
      <c r="C329" s="34">
        <f t="array" ref="C329">_xlfn.IFNA(MATCH(1,(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)*(_xlfn.ANCHORARRAY(Sintesi!$C$15)&gt;=0)+(_xlfn.ANCHORARRAY(Sintesi!$C$15)&lt;0),0),0)</f>
        <v/>
      </c>
      <c r="D329" s="1">
        <f t="array" ref="D329">IF(ISBLANK($E330),IF(ISNUMBER($E328),IF($C329&gt;0,IF(($E329=INDEX(_xlfn.ANCHORARRAY(Sintesi!$C$14),1,$C329))*(INDEX(_xlfn.ANCHORARRAY(Sintesi!$C$15),1,$C329)&gt;0),0,IF(($E329=INDEX(_xlfn.ANCHORARRAY(Sintesi!$C$14),1,$C329))*(INDEX(_xlfn.ANCHORARRAY(Sintesi!$C$15),1,$C329)&lt;0)+($E329&gt;=$E328)*($E329&lt;=INDEX($E:$E,MATCH(TRUE,INDEX((ISNUMBER($E:$E)),0),0)))*($E329&gt;INDEX(_xlfn.ANCHORARRAY(Sintesi!$C$14),1,$C329))*($E329&lt;=INDEX(_xlfn.ANCHORARRAY(Sintesi!$C$15),1,$C329))*(INDEX(_xlfn.ANCHORARRAY(Sintesi!$C$15),1,$C329)&gt;0),1,IF(($E329&gt;=$E328)*($E329&lt;=INDEX($E:$E,MATCH(TRUE,INDEX((ISNUMBER($E:$E)),0),0)))*($E329&gt;INDEX(_xlfn.ANCHORARRAY(Sintesi!$C$14),1,$C329))*($E329&lt;INDEX(_xlfn.ANCHORARRAY(Sintesi!$C$16),1,$C329))*(INDEX(_xlfn.ANCHORARRAY(Sintesi!$C$15),1,$C329)&lt;0)+($E329&gt;=$E328)*($E329&lt;=INDEX($E:$E,MATCH(TRUE,INDEX((ISNUMBER($E:$E)),0),0)))*($E329&gt;INDEX(_xlfn.ANCHORARRAY(Sintesi!$C$15),1,$C329))*($E329&lt;INDEX(_xlfn.ANCHORARRAY(Sintesi!$C$16),1,$C329))*(INDEX(_xlfn.ANCHORARRAY(Sintesi!$C$15),1,$C329)&gt;0),2,IF($E329=(INDEX(_xlfn.ANCHORARRAY(Sintesi!$C$16),1,$C329)),3,4)))),0),IF($C329&gt;0,IF(($E329=INDEX(_xlfn.ANCHORARRAY(Sintesi!$C$14),1,$C329))*(INDEX(_xlfn.ANCHORARRAY(Sintesi!$C$15),1,$C329)&gt;0),0,IF(($E329=INDEX(_xlfn.ANCHORARRAY(Sintesi!$C$14),1,$C329))*(INDEX(_xlfn.ANCHORARRAY(Sintesi!$C$15),1,$C329)&lt;0)+($E329&gt;=LOOKUP(2,1/($E:$E&lt;&gt;""),$E:$E))*($E329&lt;=INDEX($E:$E,MATCH(TRUE,INDEX((ISNUMBER($E:$E)),0),0)))*($E329&gt;INDEX(_xlfn.ANCHORARRAY(Sintesi!$C$14),1,$C329))*($E329&lt;=INDEX(_xlfn.ANCHORARRAY(Sintesi!$C$15),1,$C329))*(INDEX(_xlfn.ANCHORARRAY(Sintesi!$C$15),1,$C329)&gt;0),1,IF(($E329&gt;=LOOKUP(2,1/($E:$E&lt;&gt;""),$E:$E))*($E329&lt;=INDEX($E:$E,MATCH(TRUE,INDEX((ISNUMBER($E:$E)),0),0)))*($E329&gt;INDEX(_xlfn.ANCHORARRAY(Sintesi!$C$14),1,$C329))*($E329&lt;INDEX(_xlfn.ANCHORARRAY(Sintesi!$C$16),1,$C329))*(INDEX(_xlfn.ANCHORARRAY(Sintesi!$C$15),1,$C329)&lt;0)+($E329&gt;=LOOKUP(2,1/($E:$E&lt;&gt;""),$E:$E))*($E329&lt;=INDEX($E:$E,MATCH(TRUE,INDEX((ISNUMBER($E:$E)),0),0)))*($E329&gt;INDEX(_xlfn.ANCHORARRAY(Sintesi!$C$15),1,$C329))*($E329&lt;INDEX(_xlfn.ANCHORARRAY(Sintesi!$C$16),1,$C329))*(INDEX(_xlfn.ANCHORARRAY(Sintesi!$C$15),1,$C329)&gt;0),2,IF($E329=(INDEX(_xlfn.ANCHORARRAY(Sintesi!$C$16),1,$C329)),3,4)))),0)),IF(ISNUMBER($E328),IF($C329&gt;0,IF(($E329=INDEX(_xlfn.ANCHORARRAY(Sintesi!$C$14),1,$C329))*(INDEX(_xlfn.ANCHORARRAY(Sintesi!$C$15),1,$C329)&gt;0),0,IF(($E329=INDEX(_xlfn.ANCHORARRAY(Sintesi!$C$14),1,$C329))*(INDEX(_xlfn.ANCHORARRAY(Sintesi!$C$15),1,$C329)&lt;0)+($E329&gt;=$E328)*($E329&lt;=$E330)*($E329&gt;INDEX(_xlfn.ANCHORARRAY(Sintesi!$C$14),1,$C329))*($E329&lt;=INDEX(_xlfn.ANCHORARRAY(Sintesi!$C$15),1,$C329))*(INDEX(_xlfn.ANCHORARRAY(Sintesi!$C$15),1,$C329)&gt;0),1,IF(($E329&gt;=$E328)*($E329&lt;=$E330)*($E329&gt;INDEX(_xlfn.ANCHORARRAY(Sintesi!$C$14),1,$C329))*($E329&lt;INDEX(_xlfn.ANCHORARRAY(Sintesi!$C$16),1,$C329))*(INDEX(_xlfn.ANCHORARRAY(Sintesi!$C$15),1,$C329)&lt;0)+($E329&gt;=$E328)*($E329&lt;=$E330)*($E329&gt;INDEX(_xlfn.ANCHORARRAY(Sintesi!$C$15),1,$C329))*($E329&lt;INDEX(_xlfn.ANCHORARRAY(Sintesi!$C$16),1,$C329))*(INDEX(_xlfn.ANCHORARRAY(Sintesi!$C$15),1,$C329)&gt;0),2,IF($E329=(INDEX(_xlfn.ANCHORARRAY(Sintesi!$C$16),1,$C329)),3,4)))),0),IF($C329&gt;0,IF(($E329=INDEX(_xlfn.ANCHORARRAY(Sintesi!$C$14),1,$C329))*(INDEX(_xlfn.ANCHORARRAY(Sintesi!$C$15),1,$C329)&gt;0),0,IF(($E329=INDEX(_xlfn.ANCHORARRAY(Sintesi!$C$14),1,$C329))*(INDEX(_xlfn.ANCHORARRAY(Sintesi!$C$15),1,$C329)&lt;0)+($E329&gt;=LOOKUP(2,1/($E:$E&lt;&gt;""),$E:$E))*($E329&lt;=$E330)*($E329&gt;INDEX(_xlfn.ANCHORARRAY(Sintesi!$C$14),1,$C329))*($E329&lt;=INDEX(_xlfn.ANCHORARRAY(Sintesi!$C$15),1,$C329))*(INDEX(_xlfn.ANCHORARRAY(Sintesi!$C$15),1,$C329)&gt;0),1,IF(($E329&gt;=LOOKUP(2,1/($E:$E&lt;&gt;""),$E:$E))*($E329&lt;=$E330)*($E329&gt;INDEX(_xlfn.ANCHORARRAY(Sintesi!$C$14),1,$C329))*($E329&lt;INDEX(_xlfn.ANCHORARRAY(Sintesi!$C$16),1,$C329))*(INDEX(_xlfn.ANCHORARRAY(Sintesi!$C$15),1,$C329)&lt;0)+($E329&gt;=LOOKUP(2,1/($E:$E&lt;&gt;""),$E:$E))*($E329&lt;=$E330)*($E329&gt;INDEX(_xlfn.ANCHORARRAY(Sintesi!$C$15),1,$C329))*($E329&lt;INDEX(_xlfn.ANCHORARRAY(Sintesi!$C$16),1,$C329))*(INDEX(_xlfn.ANCHORARRAY(Sintesi!$C$15),1,$C329)&gt;0),2,IF($E329=(INDEX(_xlfn.ANCHORARRAY(Sintesi!$C$16),1,$C329)),3,4)))),0)))</f>
        <v/>
      </c>
      <c r="E329" s="1">
        <f>'Paste cell here'!F329</f>
        <v/>
      </c>
      <c r="F329" s="1">
        <f>'Paste cell here'!C329</f>
        <v/>
      </c>
      <c r="G329" s="1">
        <f>'Paste cell here'!D329</f>
        <v/>
      </c>
      <c r="H329" s="1">
        <f>'Paste cell here'!E329</f>
        <v/>
      </c>
      <c r="I329" s="1">
        <f>'Paste cell here'!X329</f>
        <v/>
      </c>
      <c r="J329" s="1">
        <f>'Paste cell here'!Y329+'Paste cell here'!S329</f>
        <v/>
      </c>
      <c r="K329" s="1">
        <f>I329/H329</f>
        <v/>
      </c>
      <c r="L329" s="1">
        <f>AVERAGE(($F329+$G329)/2-($F329-$G329)/2*COS(PI()*(8-VLOOKUP(MONTH(B329),$O$1:$Q$13,3))/(VLOOKUP(MONTH(B329),$O$1:$Q$13,2)-VLOOKUP(MONTH(B329),$O$1:$Q$13,3))),($F329+$G329)/2-($F329-$G329)/2*COS(PI()*(9-VLOOKUP(MONTH(B329),$O$1:$Q$13,3))/(VLOOKUP(MONTH(B329),$O$1:$Q$13,2)-VLOOKUP(MONTH(B329),$O$1:$Q$13,3))),($F329+$G329)/2-($F329-$G329)/2*COS(PI()*(10-VLOOKUP(MONTH(B329),$O$1:$Q$13,3))/(VLOOKUP(MONTH(B329),$O$1:$Q$13,2)-VLOOKUP(MONTH(B329),$O$1:$Q$13,3))),($F329+$G329)/2-($F329-$G329)/2*COS(PI()*(11-VLOOKUP(MONTH(B329),$O$1:$Q$13,3))/(VLOOKUP(MONTH(B329),$O$1:$Q$13,2)-VLOOKUP(MONTH(B329),$O$1:$Q$13,3))),($F329+$G329)/2-($F329-$G329)/2*COS(PI()*(12-VLOOKUP(MONTH(B329),$O$1:$Q$13,3))/(VLOOKUP(MONTH(B329),$O$1:$Q$13,2)-VLOOKUP(MONTH(B329),$O$1:$Q$13,3))),($F329+$G329)/2-($F329-$G329)/2*COS(PI()*(13-VLOOKUP(MONTH(B329),$O$1:$Q$13,3))/(VLOOKUP(MONTH(B329),$O$1:$Q$13,2)-VLOOKUP(MONTH(B329),$O$1:$Q$13,3))),($F329+$G329)/2-($F329-$G329)/2*COS(PI()*(14-VLOOKUP(MONTH(B329),$O$1:$Q$13,3))/(VLOOKUP(MONTH(B329),$O$1:$Q$13,2)-VLOOKUP(MONTH(B329),$O$1:$Q$13,3))))</f>
        <v/>
      </c>
      <c r="M329" s="1">
        <f t="array" ref="M329">IF(AND(A329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,A329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),IF(L329&lt;_xlfn.IFNA(INDEX(_xlfn.ANCHORARRAY(Sintesi!$C$17)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,1,IF(L329&gt;=_xlfn.IFNA(INDEX(_xlfn.ANCHORARRAY(Sintesi!$C$18)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,0,1-(L329-_xlfn.IFNA(INDEX(_xlfn.ANCHORARRAY(Sintesi!$C$17)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)/(_xlfn.IFNA(INDEX(_xlfn.ANCHORARRAY(Sintesi!$C$18)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-_xlfn.IFNA(INDEX(_xlfn.ANCHORARRAY(Sintesi!$C$17)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))),0)</f>
        <v/>
      </c>
    </row>
    <row r="330">
      <c r="A330" s="1">
        <f>'Paste cell here'!A330</f>
        <v/>
      </c>
      <c r="B330" s="2">
        <f>DATE(Sintesi!$C$4-1,12,31)+A330</f>
        <v/>
      </c>
      <c r="C330" s="34">
        <f t="array" ref="C330">_xlfn.IFNA(MATCH(1,(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)*(_xlfn.ANCHORARRAY(Sintesi!$C$15)&gt;=0)+(_xlfn.ANCHORARRAY(Sintesi!$C$15)&lt;0),0),0)</f>
        <v/>
      </c>
      <c r="D330" s="1">
        <f t="array" ref="D330">IF(ISBLANK($E331),IF(ISNUMBER($E329),IF($C330&gt;0,IF(($E330=INDEX(_xlfn.ANCHORARRAY(Sintesi!$C$14),1,$C330))*(INDEX(_xlfn.ANCHORARRAY(Sintesi!$C$15),1,$C330)&gt;0),0,IF(($E330=INDEX(_xlfn.ANCHORARRAY(Sintesi!$C$14),1,$C330))*(INDEX(_xlfn.ANCHORARRAY(Sintesi!$C$15),1,$C330)&lt;0)+($E330&gt;=$E329)*($E330&lt;=INDEX($E:$E,MATCH(TRUE,INDEX((ISNUMBER($E:$E)),0),0)))*($E330&gt;INDEX(_xlfn.ANCHORARRAY(Sintesi!$C$14),1,$C330))*($E330&lt;=INDEX(_xlfn.ANCHORARRAY(Sintesi!$C$15),1,$C330))*(INDEX(_xlfn.ANCHORARRAY(Sintesi!$C$15),1,$C330)&gt;0),1,IF(($E330&gt;=$E329)*($E330&lt;=INDEX($E:$E,MATCH(TRUE,INDEX((ISNUMBER($E:$E)),0),0)))*($E330&gt;INDEX(_xlfn.ANCHORARRAY(Sintesi!$C$14),1,$C330))*($E330&lt;INDEX(_xlfn.ANCHORARRAY(Sintesi!$C$16),1,$C330))*(INDEX(_xlfn.ANCHORARRAY(Sintesi!$C$15),1,$C330)&lt;0)+($E330&gt;=$E329)*($E330&lt;=INDEX($E:$E,MATCH(TRUE,INDEX((ISNUMBER($E:$E)),0),0)))*($E330&gt;INDEX(_xlfn.ANCHORARRAY(Sintesi!$C$15),1,$C330))*($E330&lt;INDEX(_xlfn.ANCHORARRAY(Sintesi!$C$16),1,$C330))*(INDEX(_xlfn.ANCHORARRAY(Sintesi!$C$15),1,$C330)&gt;0),2,IF($E330=(INDEX(_xlfn.ANCHORARRAY(Sintesi!$C$16),1,$C330)),3,4)))),0),IF($C330&gt;0,IF(($E330=INDEX(_xlfn.ANCHORARRAY(Sintesi!$C$14),1,$C330))*(INDEX(_xlfn.ANCHORARRAY(Sintesi!$C$15),1,$C330)&gt;0),0,IF(($E330=INDEX(_xlfn.ANCHORARRAY(Sintesi!$C$14),1,$C330))*(INDEX(_xlfn.ANCHORARRAY(Sintesi!$C$15),1,$C330)&lt;0)+($E330&gt;=LOOKUP(2,1/($E:$E&lt;&gt;""),$E:$E))*($E330&lt;=INDEX($E:$E,MATCH(TRUE,INDEX((ISNUMBER($E:$E)),0),0)))*($E330&gt;INDEX(_xlfn.ANCHORARRAY(Sintesi!$C$14),1,$C330))*($E330&lt;=INDEX(_xlfn.ANCHORARRAY(Sintesi!$C$15),1,$C330))*(INDEX(_xlfn.ANCHORARRAY(Sintesi!$C$15),1,$C330)&gt;0),1,IF(($E330&gt;=LOOKUP(2,1/($E:$E&lt;&gt;""),$E:$E))*($E330&lt;=INDEX($E:$E,MATCH(TRUE,INDEX((ISNUMBER($E:$E)),0),0)))*($E330&gt;INDEX(_xlfn.ANCHORARRAY(Sintesi!$C$14),1,$C330))*($E330&lt;INDEX(_xlfn.ANCHORARRAY(Sintesi!$C$16),1,$C330))*(INDEX(_xlfn.ANCHORARRAY(Sintesi!$C$15),1,$C330)&lt;0)+($E330&gt;=LOOKUP(2,1/($E:$E&lt;&gt;""),$E:$E))*($E330&lt;=INDEX($E:$E,MATCH(TRUE,INDEX((ISNUMBER($E:$E)),0),0)))*($E330&gt;INDEX(_xlfn.ANCHORARRAY(Sintesi!$C$15),1,$C330))*($E330&lt;INDEX(_xlfn.ANCHORARRAY(Sintesi!$C$16),1,$C330))*(INDEX(_xlfn.ANCHORARRAY(Sintesi!$C$15),1,$C330)&gt;0),2,IF($E330=(INDEX(_xlfn.ANCHORARRAY(Sintesi!$C$16),1,$C330)),3,4)))),0)),IF(ISNUMBER($E329),IF($C330&gt;0,IF(($E330=INDEX(_xlfn.ANCHORARRAY(Sintesi!$C$14),1,$C330))*(INDEX(_xlfn.ANCHORARRAY(Sintesi!$C$15),1,$C330)&gt;0),0,IF(($E330=INDEX(_xlfn.ANCHORARRAY(Sintesi!$C$14),1,$C330))*(INDEX(_xlfn.ANCHORARRAY(Sintesi!$C$15),1,$C330)&lt;0)+($E330&gt;=$E329)*($E330&lt;=$E331)*($E330&gt;INDEX(_xlfn.ANCHORARRAY(Sintesi!$C$14),1,$C330))*($E330&lt;=INDEX(_xlfn.ANCHORARRAY(Sintesi!$C$15),1,$C330))*(INDEX(_xlfn.ANCHORARRAY(Sintesi!$C$15),1,$C330)&gt;0),1,IF(($E330&gt;=$E329)*($E330&lt;=$E331)*($E330&gt;INDEX(_xlfn.ANCHORARRAY(Sintesi!$C$14),1,$C330))*($E330&lt;INDEX(_xlfn.ANCHORARRAY(Sintesi!$C$16),1,$C330))*(INDEX(_xlfn.ANCHORARRAY(Sintesi!$C$15),1,$C330)&lt;0)+($E330&gt;=$E329)*($E330&lt;=$E331)*($E330&gt;INDEX(_xlfn.ANCHORARRAY(Sintesi!$C$15),1,$C330))*($E330&lt;INDEX(_xlfn.ANCHORARRAY(Sintesi!$C$16),1,$C330))*(INDEX(_xlfn.ANCHORARRAY(Sintesi!$C$15),1,$C330)&gt;0),2,IF($E330=(INDEX(_xlfn.ANCHORARRAY(Sintesi!$C$16),1,$C330)),3,4)))),0),IF($C330&gt;0,IF(($E330=INDEX(_xlfn.ANCHORARRAY(Sintesi!$C$14),1,$C330))*(INDEX(_xlfn.ANCHORARRAY(Sintesi!$C$15),1,$C330)&gt;0),0,IF(($E330=INDEX(_xlfn.ANCHORARRAY(Sintesi!$C$14),1,$C330))*(INDEX(_xlfn.ANCHORARRAY(Sintesi!$C$15),1,$C330)&lt;0)+($E330&gt;=LOOKUP(2,1/($E:$E&lt;&gt;""),$E:$E))*($E330&lt;=$E331)*($E330&gt;INDEX(_xlfn.ANCHORARRAY(Sintesi!$C$14),1,$C330))*($E330&lt;=INDEX(_xlfn.ANCHORARRAY(Sintesi!$C$15),1,$C330))*(INDEX(_xlfn.ANCHORARRAY(Sintesi!$C$15),1,$C330)&gt;0),1,IF(($E330&gt;=LOOKUP(2,1/($E:$E&lt;&gt;""),$E:$E))*($E330&lt;=$E331)*($E330&gt;INDEX(_xlfn.ANCHORARRAY(Sintesi!$C$14),1,$C330))*($E330&lt;INDEX(_xlfn.ANCHORARRAY(Sintesi!$C$16),1,$C330))*(INDEX(_xlfn.ANCHORARRAY(Sintesi!$C$15),1,$C330)&lt;0)+($E330&gt;=LOOKUP(2,1/($E:$E&lt;&gt;""),$E:$E))*($E330&lt;=$E331)*($E330&gt;INDEX(_xlfn.ANCHORARRAY(Sintesi!$C$15),1,$C330))*($E330&lt;INDEX(_xlfn.ANCHORARRAY(Sintesi!$C$16),1,$C330))*(INDEX(_xlfn.ANCHORARRAY(Sintesi!$C$15),1,$C330)&gt;0),2,IF($E330=(INDEX(_xlfn.ANCHORARRAY(Sintesi!$C$16),1,$C330)),3,4)))),0)))</f>
        <v/>
      </c>
      <c r="E330" s="1">
        <f>'Paste cell here'!F330</f>
        <v/>
      </c>
      <c r="F330" s="1">
        <f>'Paste cell here'!C330</f>
        <v/>
      </c>
      <c r="G330" s="1">
        <f>'Paste cell here'!D330</f>
        <v/>
      </c>
      <c r="H330" s="1">
        <f>'Paste cell here'!E330</f>
        <v/>
      </c>
      <c r="I330" s="1">
        <f>'Paste cell here'!X330</f>
        <v/>
      </c>
      <c r="J330" s="1">
        <f>'Paste cell here'!Y330+'Paste cell here'!S330</f>
        <v/>
      </c>
      <c r="K330" s="1">
        <f>I330/H330</f>
        <v/>
      </c>
      <c r="L330" s="1">
        <f>AVERAGE(($F330+$G330)/2-($F330-$G330)/2*COS(PI()*(8-VLOOKUP(MONTH(B330),$O$1:$Q$13,3))/(VLOOKUP(MONTH(B330),$O$1:$Q$13,2)-VLOOKUP(MONTH(B330),$O$1:$Q$13,3))),($F330+$G330)/2-($F330-$G330)/2*COS(PI()*(9-VLOOKUP(MONTH(B330),$O$1:$Q$13,3))/(VLOOKUP(MONTH(B330),$O$1:$Q$13,2)-VLOOKUP(MONTH(B330),$O$1:$Q$13,3))),($F330+$G330)/2-($F330-$G330)/2*COS(PI()*(10-VLOOKUP(MONTH(B330),$O$1:$Q$13,3))/(VLOOKUP(MONTH(B330),$O$1:$Q$13,2)-VLOOKUP(MONTH(B330),$O$1:$Q$13,3))),($F330+$G330)/2-($F330-$G330)/2*COS(PI()*(11-VLOOKUP(MONTH(B330),$O$1:$Q$13,3))/(VLOOKUP(MONTH(B330),$O$1:$Q$13,2)-VLOOKUP(MONTH(B330),$O$1:$Q$13,3))),($F330+$G330)/2-($F330-$G330)/2*COS(PI()*(12-VLOOKUP(MONTH(B330),$O$1:$Q$13,3))/(VLOOKUP(MONTH(B330),$O$1:$Q$13,2)-VLOOKUP(MONTH(B330),$O$1:$Q$13,3))),($F330+$G330)/2-($F330-$G330)/2*COS(PI()*(13-VLOOKUP(MONTH(B330),$O$1:$Q$13,3))/(VLOOKUP(MONTH(B330),$O$1:$Q$13,2)-VLOOKUP(MONTH(B330),$O$1:$Q$13,3))),($F330+$G330)/2-($F330-$G330)/2*COS(PI()*(14-VLOOKUP(MONTH(B330),$O$1:$Q$13,3))/(VLOOKUP(MONTH(B330),$O$1:$Q$13,2)-VLOOKUP(MONTH(B330),$O$1:$Q$13,3))))</f>
        <v/>
      </c>
      <c r="M330" s="1">
        <f t="array" ref="M330">IF(AND(A330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,A330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),IF(L330&lt;_xlfn.IFNA(INDEX(_xlfn.ANCHORARRAY(Sintesi!$C$17)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,1,IF(L330&gt;=_xlfn.IFNA(INDEX(_xlfn.ANCHORARRAY(Sintesi!$C$18)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,0,1-(L330-_xlfn.IFNA(INDEX(_xlfn.ANCHORARRAY(Sintesi!$C$17)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)/(_xlfn.IFNA(INDEX(_xlfn.ANCHORARRAY(Sintesi!$C$18)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-_xlfn.IFNA(INDEX(_xlfn.ANCHORARRAY(Sintesi!$C$17)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))),0)</f>
        <v/>
      </c>
    </row>
    <row r="331">
      <c r="A331" s="1">
        <f>'Paste cell here'!A331</f>
        <v/>
      </c>
      <c r="B331" s="2">
        <f>DATE(Sintesi!$C$4-1,12,31)+A331</f>
        <v/>
      </c>
      <c r="C331" s="34">
        <f t="array" ref="C331">_xlfn.IFNA(MATCH(1,(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)*(_xlfn.ANCHORARRAY(Sintesi!$C$15)&gt;=0)+(_xlfn.ANCHORARRAY(Sintesi!$C$15)&lt;0),0),0)</f>
        <v/>
      </c>
      <c r="D331" s="1">
        <f t="array" ref="D331">IF(ISBLANK($E332),IF(ISNUMBER($E330),IF($C331&gt;0,IF(($E331=INDEX(_xlfn.ANCHORARRAY(Sintesi!$C$14),1,$C331))*(INDEX(_xlfn.ANCHORARRAY(Sintesi!$C$15),1,$C331)&gt;0),0,IF(($E331=INDEX(_xlfn.ANCHORARRAY(Sintesi!$C$14),1,$C331))*(INDEX(_xlfn.ANCHORARRAY(Sintesi!$C$15),1,$C331)&lt;0)+($E331&gt;=$E330)*($E331&lt;=INDEX($E:$E,MATCH(TRUE,INDEX((ISNUMBER($E:$E)),0),0)))*($E331&gt;INDEX(_xlfn.ANCHORARRAY(Sintesi!$C$14),1,$C331))*($E331&lt;=INDEX(_xlfn.ANCHORARRAY(Sintesi!$C$15),1,$C331))*(INDEX(_xlfn.ANCHORARRAY(Sintesi!$C$15),1,$C331)&gt;0),1,IF(($E331&gt;=$E330)*($E331&lt;=INDEX($E:$E,MATCH(TRUE,INDEX((ISNUMBER($E:$E)),0),0)))*($E331&gt;INDEX(_xlfn.ANCHORARRAY(Sintesi!$C$14),1,$C331))*($E331&lt;INDEX(_xlfn.ANCHORARRAY(Sintesi!$C$16),1,$C331))*(INDEX(_xlfn.ANCHORARRAY(Sintesi!$C$15),1,$C331)&lt;0)+($E331&gt;=$E330)*($E331&lt;=INDEX($E:$E,MATCH(TRUE,INDEX((ISNUMBER($E:$E)),0),0)))*($E331&gt;INDEX(_xlfn.ANCHORARRAY(Sintesi!$C$15),1,$C331))*($E331&lt;INDEX(_xlfn.ANCHORARRAY(Sintesi!$C$16),1,$C331))*(INDEX(_xlfn.ANCHORARRAY(Sintesi!$C$15),1,$C331)&gt;0),2,IF($E331=(INDEX(_xlfn.ANCHORARRAY(Sintesi!$C$16),1,$C331)),3,4)))),0),IF($C331&gt;0,IF(($E331=INDEX(_xlfn.ANCHORARRAY(Sintesi!$C$14),1,$C331))*(INDEX(_xlfn.ANCHORARRAY(Sintesi!$C$15),1,$C331)&gt;0),0,IF(($E331=INDEX(_xlfn.ANCHORARRAY(Sintesi!$C$14),1,$C331))*(INDEX(_xlfn.ANCHORARRAY(Sintesi!$C$15),1,$C331)&lt;0)+($E331&gt;=LOOKUP(2,1/($E:$E&lt;&gt;""),$E:$E))*($E331&lt;=INDEX($E:$E,MATCH(TRUE,INDEX((ISNUMBER($E:$E)),0),0)))*($E331&gt;INDEX(_xlfn.ANCHORARRAY(Sintesi!$C$14),1,$C331))*($E331&lt;=INDEX(_xlfn.ANCHORARRAY(Sintesi!$C$15),1,$C331))*(INDEX(_xlfn.ANCHORARRAY(Sintesi!$C$15),1,$C331)&gt;0),1,IF(($E331&gt;=LOOKUP(2,1/($E:$E&lt;&gt;""),$E:$E))*($E331&lt;=INDEX($E:$E,MATCH(TRUE,INDEX((ISNUMBER($E:$E)),0),0)))*($E331&gt;INDEX(_xlfn.ANCHORARRAY(Sintesi!$C$14),1,$C331))*($E331&lt;INDEX(_xlfn.ANCHORARRAY(Sintesi!$C$16),1,$C331))*(INDEX(_xlfn.ANCHORARRAY(Sintesi!$C$15),1,$C331)&lt;0)+($E331&gt;=LOOKUP(2,1/($E:$E&lt;&gt;""),$E:$E))*($E331&lt;=INDEX($E:$E,MATCH(TRUE,INDEX((ISNUMBER($E:$E)),0),0)))*($E331&gt;INDEX(_xlfn.ANCHORARRAY(Sintesi!$C$15),1,$C331))*($E331&lt;INDEX(_xlfn.ANCHORARRAY(Sintesi!$C$16),1,$C331))*(INDEX(_xlfn.ANCHORARRAY(Sintesi!$C$15),1,$C331)&gt;0),2,IF($E331=(INDEX(_xlfn.ANCHORARRAY(Sintesi!$C$16),1,$C331)),3,4)))),0)),IF(ISNUMBER($E330),IF($C331&gt;0,IF(($E331=INDEX(_xlfn.ANCHORARRAY(Sintesi!$C$14),1,$C331))*(INDEX(_xlfn.ANCHORARRAY(Sintesi!$C$15),1,$C331)&gt;0),0,IF(($E331=INDEX(_xlfn.ANCHORARRAY(Sintesi!$C$14),1,$C331))*(INDEX(_xlfn.ANCHORARRAY(Sintesi!$C$15),1,$C331)&lt;0)+($E331&gt;=$E330)*($E331&lt;=$E332)*($E331&gt;INDEX(_xlfn.ANCHORARRAY(Sintesi!$C$14),1,$C331))*($E331&lt;=INDEX(_xlfn.ANCHORARRAY(Sintesi!$C$15),1,$C331))*(INDEX(_xlfn.ANCHORARRAY(Sintesi!$C$15),1,$C331)&gt;0),1,IF(($E331&gt;=$E330)*($E331&lt;=$E332)*($E331&gt;INDEX(_xlfn.ANCHORARRAY(Sintesi!$C$14),1,$C331))*($E331&lt;INDEX(_xlfn.ANCHORARRAY(Sintesi!$C$16),1,$C331))*(INDEX(_xlfn.ANCHORARRAY(Sintesi!$C$15),1,$C331)&lt;0)+($E331&gt;=$E330)*($E331&lt;=$E332)*($E331&gt;INDEX(_xlfn.ANCHORARRAY(Sintesi!$C$15),1,$C331))*($E331&lt;INDEX(_xlfn.ANCHORARRAY(Sintesi!$C$16),1,$C331))*(INDEX(_xlfn.ANCHORARRAY(Sintesi!$C$15),1,$C331)&gt;0),2,IF($E331=(INDEX(_xlfn.ANCHORARRAY(Sintesi!$C$16),1,$C331)),3,4)))),0),IF($C331&gt;0,IF(($E331=INDEX(_xlfn.ANCHORARRAY(Sintesi!$C$14),1,$C331))*(INDEX(_xlfn.ANCHORARRAY(Sintesi!$C$15),1,$C331)&gt;0),0,IF(($E331=INDEX(_xlfn.ANCHORARRAY(Sintesi!$C$14),1,$C331))*(INDEX(_xlfn.ANCHORARRAY(Sintesi!$C$15),1,$C331)&lt;0)+($E331&gt;=LOOKUP(2,1/($E:$E&lt;&gt;""),$E:$E))*($E331&lt;=$E332)*($E331&gt;INDEX(_xlfn.ANCHORARRAY(Sintesi!$C$14),1,$C331))*($E331&lt;=INDEX(_xlfn.ANCHORARRAY(Sintesi!$C$15),1,$C331))*(INDEX(_xlfn.ANCHORARRAY(Sintesi!$C$15),1,$C331)&gt;0),1,IF(($E331&gt;=LOOKUP(2,1/($E:$E&lt;&gt;""),$E:$E))*($E331&lt;=$E332)*($E331&gt;INDEX(_xlfn.ANCHORARRAY(Sintesi!$C$14),1,$C331))*($E331&lt;INDEX(_xlfn.ANCHORARRAY(Sintesi!$C$16),1,$C331))*(INDEX(_xlfn.ANCHORARRAY(Sintesi!$C$15),1,$C331)&lt;0)+($E331&gt;=LOOKUP(2,1/($E:$E&lt;&gt;""),$E:$E))*($E331&lt;=$E332)*($E331&gt;INDEX(_xlfn.ANCHORARRAY(Sintesi!$C$15),1,$C331))*($E331&lt;INDEX(_xlfn.ANCHORARRAY(Sintesi!$C$16),1,$C331))*(INDEX(_xlfn.ANCHORARRAY(Sintesi!$C$15),1,$C331)&gt;0),2,IF($E331=(INDEX(_xlfn.ANCHORARRAY(Sintesi!$C$16),1,$C331)),3,4)))),0)))</f>
        <v/>
      </c>
      <c r="E331" s="1">
        <f>'Paste cell here'!F331</f>
        <v/>
      </c>
      <c r="F331" s="1">
        <f>'Paste cell here'!C331</f>
        <v/>
      </c>
      <c r="G331" s="1">
        <f>'Paste cell here'!D331</f>
        <v/>
      </c>
      <c r="H331" s="1">
        <f>'Paste cell here'!E331</f>
        <v/>
      </c>
      <c r="I331" s="1">
        <f>'Paste cell here'!X331</f>
        <v/>
      </c>
      <c r="J331" s="1">
        <f>'Paste cell here'!Y331+'Paste cell here'!S331</f>
        <v/>
      </c>
      <c r="K331" s="1">
        <f>I331/H331</f>
        <v/>
      </c>
      <c r="L331" s="1">
        <f>AVERAGE(($F331+$G331)/2-($F331-$G331)/2*COS(PI()*(8-VLOOKUP(MONTH(B331),$O$1:$Q$13,3))/(VLOOKUP(MONTH(B331),$O$1:$Q$13,2)-VLOOKUP(MONTH(B331),$O$1:$Q$13,3))),($F331+$G331)/2-($F331-$G331)/2*COS(PI()*(9-VLOOKUP(MONTH(B331),$O$1:$Q$13,3))/(VLOOKUP(MONTH(B331),$O$1:$Q$13,2)-VLOOKUP(MONTH(B331),$O$1:$Q$13,3))),($F331+$G331)/2-($F331-$G331)/2*COS(PI()*(10-VLOOKUP(MONTH(B331),$O$1:$Q$13,3))/(VLOOKUP(MONTH(B331),$O$1:$Q$13,2)-VLOOKUP(MONTH(B331),$O$1:$Q$13,3))),($F331+$G331)/2-($F331-$G331)/2*COS(PI()*(11-VLOOKUP(MONTH(B331),$O$1:$Q$13,3))/(VLOOKUP(MONTH(B331),$O$1:$Q$13,2)-VLOOKUP(MONTH(B331),$O$1:$Q$13,3))),($F331+$G331)/2-($F331-$G331)/2*COS(PI()*(12-VLOOKUP(MONTH(B331),$O$1:$Q$13,3))/(VLOOKUP(MONTH(B331),$O$1:$Q$13,2)-VLOOKUP(MONTH(B331),$O$1:$Q$13,3))),($F331+$G331)/2-($F331-$G331)/2*COS(PI()*(13-VLOOKUP(MONTH(B331),$O$1:$Q$13,3))/(VLOOKUP(MONTH(B331),$O$1:$Q$13,2)-VLOOKUP(MONTH(B331),$O$1:$Q$13,3))),($F331+$G331)/2-($F331-$G331)/2*COS(PI()*(14-VLOOKUP(MONTH(B331),$O$1:$Q$13,3))/(VLOOKUP(MONTH(B331),$O$1:$Q$13,2)-VLOOKUP(MONTH(B331),$O$1:$Q$13,3))))</f>
        <v/>
      </c>
      <c r="M331" s="1">
        <f t="array" ref="M331">IF(AND(A331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,A331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),IF(L331&lt;_xlfn.IFNA(INDEX(_xlfn.ANCHORARRAY(Sintesi!$C$17)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,1,IF(L331&gt;=_xlfn.IFNA(INDEX(_xlfn.ANCHORARRAY(Sintesi!$C$18)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,0,1-(L331-_xlfn.IFNA(INDEX(_xlfn.ANCHORARRAY(Sintesi!$C$17)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)/(_xlfn.IFNA(INDEX(_xlfn.ANCHORARRAY(Sintesi!$C$18)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-_xlfn.IFNA(INDEX(_xlfn.ANCHORARRAY(Sintesi!$C$17)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))),0)</f>
        <v/>
      </c>
    </row>
    <row r="332">
      <c r="A332" s="1">
        <f>'Paste cell here'!A332</f>
        <v/>
      </c>
      <c r="B332" s="2">
        <f>DATE(Sintesi!$C$4-1,12,31)+A332</f>
        <v/>
      </c>
      <c r="C332" s="34">
        <f t="array" ref="C332">_xlfn.IFNA(MATCH(1,(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)*(_xlfn.ANCHORARRAY(Sintesi!$C$15)&gt;=0)+(_xlfn.ANCHORARRAY(Sintesi!$C$15)&lt;0),0),0)</f>
        <v/>
      </c>
      <c r="D332" s="1">
        <f t="array" ref="D332">IF(ISBLANK($E333),IF(ISNUMBER($E331),IF($C332&gt;0,IF(($E332=INDEX(_xlfn.ANCHORARRAY(Sintesi!$C$14),1,$C332))*(INDEX(_xlfn.ANCHORARRAY(Sintesi!$C$15),1,$C332)&gt;0),0,IF(($E332=INDEX(_xlfn.ANCHORARRAY(Sintesi!$C$14),1,$C332))*(INDEX(_xlfn.ANCHORARRAY(Sintesi!$C$15),1,$C332)&lt;0)+($E332&gt;=$E331)*($E332&lt;=INDEX($E:$E,MATCH(TRUE,INDEX((ISNUMBER($E:$E)),0),0)))*($E332&gt;INDEX(_xlfn.ANCHORARRAY(Sintesi!$C$14),1,$C332))*($E332&lt;=INDEX(_xlfn.ANCHORARRAY(Sintesi!$C$15),1,$C332))*(INDEX(_xlfn.ANCHORARRAY(Sintesi!$C$15),1,$C332)&gt;0),1,IF(($E332&gt;=$E331)*($E332&lt;=INDEX($E:$E,MATCH(TRUE,INDEX((ISNUMBER($E:$E)),0),0)))*($E332&gt;INDEX(_xlfn.ANCHORARRAY(Sintesi!$C$14),1,$C332))*($E332&lt;INDEX(_xlfn.ANCHORARRAY(Sintesi!$C$16),1,$C332))*(INDEX(_xlfn.ANCHORARRAY(Sintesi!$C$15),1,$C332)&lt;0)+($E332&gt;=$E331)*($E332&lt;=INDEX($E:$E,MATCH(TRUE,INDEX((ISNUMBER($E:$E)),0),0)))*($E332&gt;INDEX(_xlfn.ANCHORARRAY(Sintesi!$C$15),1,$C332))*($E332&lt;INDEX(_xlfn.ANCHORARRAY(Sintesi!$C$16),1,$C332))*(INDEX(_xlfn.ANCHORARRAY(Sintesi!$C$15),1,$C332)&gt;0),2,IF($E332=(INDEX(_xlfn.ANCHORARRAY(Sintesi!$C$16),1,$C332)),3,4)))),0),IF($C332&gt;0,IF(($E332=INDEX(_xlfn.ANCHORARRAY(Sintesi!$C$14),1,$C332))*(INDEX(_xlfn.ANCHORARRAY(Sintesi!$C$15),1,$C332)&gt;0),0,IF(($E332=INDEX(_xlfn.ANCHORARRAY(Sintesi!$C$14),1,$C332))*(INDEX(_xlfn.ANCHORARRAY(Sintesi!$C$15),1,$C332)&lt;0)+($E332&gt;=LOOKUP(2,1/($E:$E&lt;&gt;""),$E:$E))*($E332&lt;=INDEX($E:$E,MATCH(TRUE,INDEX((ISNUMBER($E:$E)),0),0)))*($E332&gt;INDEX(_xlfn.ANCHORARRAY(Sintesi!$C$14),1,$C332))*($E332&lt;=INDEX(_xlfn.ANCHORARRAY(Sintesi!$C$15),1,$C332))*(INDEX(_xlfn.ANCHORARRAY(Sintesi!$C$15),1,$C332)&gt;0),1,IF(($E332&gt;=LOOKUP(2,1/($E:$E&lt;&gt;""),$E:$E))*($E332&lt;=INDEX($E:$E,MATCH(TRUE,INDEX((ISNUMBER($E:$E)),0),0)))*($E332&gt;INDEX(_xlfn.ANCHORARRAY(Sintesi!$C$14),1,$C332))*($E332&lt;INDEX(_xlfn.ANCHORARRAY(Sintesi!$C$16),1,$C332))*(INDEX(_xlfn.ANCHORARRAY(Sintesi!$C$15),1,$C332)&lt;0)+($E332&gt;=LOOKUP(2,1/($E:$E&lt;&gt;""),$E:$E))*($E332&lt;=INDEX($E:$E,MATCH(TRUE,INDEX((ISNUMBER($E:$E)),0),0)))*($E332&gt;INDEX(_xlfn.ANCHORARRAY(Sintesi!$C$15),1,$C332))*($E332&lt;INDEX(_xlfn.ANCHORARRAY(Sintesi!$C$16),1,$C332))*(INDEX(_xlfn.ANCHORARRAY(Sintesi!$C$15),1,$C332)&gt;0),2,IF($E332=(INDEX(_xlfn.ANCHORARRAY(Sintesi!$C$16),1,$C332)),3,4)))),0)),IF(ISNUMBER($E331),IF($C332&gt;0,IF(($E332=INDEX(_xlfn.ANCHORARRAY(Sintesi!$C$14),1,$C332))*(INDEX(_xlfn.ANCHORARRAY(Sintesi!$C$15),1,$C332)&gt;0),0,IF(($E332=INDEX(_xlfn.ANCHORARRAY(Sintesi!$C$14),1,$C332))*(INDEX(_xlfn.ANCHORARRAY(Sintesi!$C$15),1,$C332)&lt;0)+($E332&gt;=$E331)*($E332&lt;=$E333)*($E332&gt;INDEX(_xlfn.ANCHORARRAY(Sintesi!$C$14),1,$C332))*($E332&lt;=INDEX(_xlfn.ANCHORARRAY(Sintesi!$C$15),1,$C332))*(INDEX(_xlfn.ANCHORARRAY(Sintesi!$C$15),1,$C332)&gt;0),1,IF(($E332&gt;=$E331)*($E332&lt;=$E333)*($E332&gt;INDEX(_xlfn.ANCHORARRAY(Sintesi!$C$14),1,$C332))*($E332&lt;INDEX(_xlfn.ANCHORARRAY(Sintesi!$C$16),1,$C332))*(INDEX(_xlfn.ANCHORARRAY(Sintesi!$C$15),1,$C332)&lt;0)+($E332&gt;=$E331)*($E332&lt;=$E333)*($E332&gt;INDEX(_xlfn.ANCHORARRAY(Sintesi!$C$15),1,$C332))*($E332&lt;INDEX(_xlfn.ANCHORARRAY(Sintesi!$C$16),1,$C332))*(INDEX(_xlfn.ANCHORARRAY(Sintesi!$C$15),1,$C332)&gt;0),2,IF($E332=(INDEX(_xlfn.ANCHORARRAY(Sintesi!$C$16),1,$C332)),3,4)))),0),IF($C332&gt;0,IF(($E332=INDEX(_xlfn.ANCHORARRAY(Sintesi!$C$14),1,$C332))*(INDEX(_xlfn.ANCHORARRAY(Sintesi!$C$15),1,$C332)&gt;0),0,IF(($E332=INDEX(_xlfn.ANCHORARRAY(Sintesi!$C$14),1,$C332))*(INDEX(_xlfn.ANCHORARRAY(Sintesi!$C$15),1,$C332)&lt;0)+($E332&gt;=LOOKUP(2,1/($E:$E&lt;&gt;""),$E:$E))*($E332&lt;=$E333)*($E332&gt;INDEX(_xlfn.ANCHORARRAY(Sintesi!$C$14),1,$C332))*($E332&lt;=INDEX(_xlfn.ANCHORARRAY(Sintesi!$C$15),1,$C332))*(INDEX(_xlfn.ANCHORARRAY(Sintesi!$C$15),1,$C332)&gt;0),1,IF(($E332&gt;=LOOKUP(2,1/($E:$E&lt;&gt;""),$E:$E))*($E332&lt;=$E333)*($E332&gt;INDEX(_xlfn.ANCHORARRAY(Sintesi!$C$14),1,$C332))*($E332&lt;INDEX(_xlfn.ANCHORARRAY(Sintesi!$C$16),1,$C332))*(INDEX(_xlfn.ANCHORARRAY(Sintesi!$C$15),1,$C332)&lt;0)+($E332&gt;=LOOKUP(2,1/($E:$E&lt;&gt;""),$E:$E))*($E332&lt;=$E333)*($E332&gt;INDEX(_xlfn.ANCHORARRAY(Sintesi!$C$15),1,$C332))*($E332&lt;INDEX(_xlfn.ANCHORARRAY(Sintesi!$C$16),1,$C332))*(INDEX(_xlfn.ANCHORARRAY(Sintesi!$C$15),1,$C332)&gt;0),2,IF($E332=(INDEX(_xlfn.ANCHORARRAY(Sintesi!$C$16),1,$C332)),3,4)))),0)))</f>
        <v/>
      </c>
      <c r="E332" s="1">
        <f>'Paste cell here'!F332</f>
        <v/>
      </c>
      <c r="F332" s="1">
        <f>'Paste cell here'!C332</f>
        <v/>
      </c>
      <c r="G332" s="1">
        <f>'Paste cell here'!D332</f>
        <v/>
      </c>
      <c r="H332" s="1">
        <f>'Paste cell here'!E332</f>
        <v/>
      </c>
      <c r="I332" s="1">
        <f>'Paste cell here'!X332</f>
        <v/>
      </c>
      <c r="J332" s="1">
        <f>'Paste cell here'!Y332+'Paste cell here'!S332</f>
        <v/>
      </c>
      <c r="K332" s="1">
        <f>I332/H332</f>
        <v/>
      </c>
      <c r="L332" s="1">
        <f>AVERAGE(($F332+$G332)/2-($F332-$G332)/2*COS(PI()*(8-VLOOKUP(MONTH(B332),$O$1:$Q$13,3))/(VLOOKUP(MONTH(B332),$O$1:$Q$13,2)-VLOOKUP(MONTH(B332),$O$1:$Q$13,3))),($F332+$G332)/2-($F332-$G332)/2*COS(PI()*(9-VLOOKUP(MONTH(B332),$O$1:$Q$13,3))/(VLOOKUP(MONTH(B332),$O$1:$Q$13,2)-VLOOKUP(MONTH(B332),$O$1:$Q$13,3))),($F332+$G332)/2-($F332-$G332)/2*COS(PI()*(10-VLOOKUP(MONTH(B332),$O$1:$Q$13,3))/(VLOOKUP(MONTH(B332),$O$1:$Q$13,2)-VLOOKUP(MONTH(B332),$O$1:$Q$13,3))),($F332+$G332)/2-($F332-$G332)/2*COS(PI()*(11-VLOOKUP(MONTH(B332),$O$1:$Q$13,3))/(VLOOKUP(MONTH(B332),$O$1:$Q$13,2)-VLOOKUP(MONTH(B332),$O$1:$Q$13,3))),($F332+$G332)/2-($F332-$G332)/2*COS(PI()*(12-VLOOKUP(MONTH(B332),$O$1:$Q$13,3))/(VLOOKUP(MONTH(B332),$O$1:$Q$13,2)-VLOOKUP(MONTH(B332),$O$1:$Q$13,3))),($F332+$G332)/2-($F332-$G332)/2*COS(PI()*(13-VLOOKUP(MONTH(B332),$O$1:$Q$13,3))/(VLOOKUP(MONTH(B332),$O$1:$Q$13,2)-VLOOKUP(MONTH(B332),$O$1:$Q$13,3))),($F332+$G332)/2-($F332-$G332)/2*COS(PI()*(14-VLOOKUP(MONTH(B332),$O$1:$Q$13,3))/(VLOOKUP(MONTH(B332),$O$1:$Q$13,2)-VLOOKUP(MONTH(B332),$O$1:$Q$13,3))))</f>
        <v/>
      </c>
      <c r="M332" s="1">
        <f t="array" ref="M332">IF(AND(A332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,A332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),IF(L332&lt;_xlfn.IFNA(INDEX(_xlfn.ANCHORARRAY(Sintesi!$C$17)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,1,IF(L332&gt;=_xlfn.IFNA(INDEX(_xlfn.ANCHORARRAY(Sintesi!$C$18)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,0,1-(L332-_xlfn.IFNA(INDEX(_xlfn.ANCHORARRAY(Sintesi!$C$17)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)/(_xlfn.IFNA(INDEX(_xlfn.ANCHORARRAY(Sintesi!$C$18)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-_xlfn.IFNA(INDEX(_xlfn.ANCHORARRAY(Sintesi!$C$17)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))),0)</f>
        <v/>
      </c>
    </row>
    <row r="333">
      <c r="A333" s="1">
        <f>'Paste cell here'!A333</f>
        <v/>
      </c>
      <c r="B333" s="2">
        <f>DATE(Sintesi!$C$4-1,12,31)+A333</f>
        <v/>
      </c>
      <c r="C333" s="34">
        <f t="array" ref="C333">_xlfn.IFNA(MATCH(1,(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)*(_xlfn.ANCHORARRAY(Sintesi!$C$15)&gt;=0)+(_xlfn.ANCHORARRAY(Sintesi!$C$15)&lt;0),0),0)</f>
        <v/>
      </c>
      <c r="D333" s="1">
        <f t="array" ref="D333">IF(ISBLANK($E334),IF(ISNUMBER($E332),IF($C333&gt;0,IF(($E333=INDEX(_xlfn.ANCHORARRAY(Sintesi!$C$14),1,$C333))*(INDEX(_xlfn.ANCHORARRAY(Sintesi!$C$15),1,$C333)&gt;0),0,IF(($E333=INDEX(_xlfn.ANCHORARRAY(Sintesi!$C$14),1,$C333))*(INDEX(_xlfn.ANCHORARRAY(Sintesi!$C$15),1,$C333)&lt;0)+($E333&gt;=$E332)*($E333&lt;=INDEX($E:$E,MATCH(TRUE,INDEX((ISNUMBER($E:$E)),0),0)))*($E333&gt;INDEX(_xlfn.ANCHORARRAY(Sintesi!$C$14),1,$C333))*($E333&lt;=INDEX(_xlfn.ANCHORARRAY(Sintesi!$C$15),1,$C333))*(INDEX(_xlfn.ANCHORARRAY(Sintesi!$C$15),1,$C333)&gt;0),1,IF(($E333&gt;=$E332)*($E333&lt;=INDEX($E:$E,MATCH(TRUE,INDEX((ISNUMBER($E:$E)),0),0)))*($E333&gt;INDEX(_xlfn.ANCHORARRAY(Sintesi!$C$14),1,$C333))*($E333&lt;INDEX(_xlfn.ANCHORARRAY(Sintesi!$C$16),1,$C333))*(INDEX(_xlfn.ANCHORARRAY(Sintesi!$C$15),1,$C333)&lt;0)+($E333&gt;=$E332)*($E333&lt;=INDEX($E:$E,MATCH(TRUE,INDEX((ISNUMBER($E:$E)),0),0)))*($E333&gt;INDEX(_xlfn.ANCHORARRAY(Sintesi!$C$15),1,$C333))*($E333&lt;INDEX(_xlfn.ANCHORARRAY(Sintesi!$C$16),1,$C333))*(INDEX(_xlfn.ANCHORARRAY(Sintesi!$C$15),1,$C333)&gt;0),2,IF($E333=(INDEX(_xlfn.ANCHORARRAY(Sintesi!$C$16),1,$C333)),3,4)))),0),IF($C333&gt;0,IF(($E333=INDEX(_xlfn.ANCHORARRAY(Sintesi!$C$14),1,$C333))*(INDEX(_xlfn.ANCHORARRAY(Sintesi!$C$15),1,$C333)&gt;0),0,IF(($E333=INDEX(_xlfn.ANCHORARRAY(Sintesi!$C$14),1,$C333))*(INDEX(_xlfn.ANCHORARRAY(Sintesi!$C$15),1,$C333)&lt;0)+($E333&gt;=LOOKUP(2,1/($E:$E&lt;&gt;""),$E:$E))*($E333&lt;=INDEX($E:$E,MATCH(TRUE,INDEX((ISNUMBER($E:$E)),0),0)))*($E333&gt;INDEX(_xlfn.ANCHORARRAY(Sintesi!$C$14),1,$C333))*($E333&lt;=INDEX(_xlfn.ANCHORARRAY(Sintesi!$C$15),1,$C333))*(INDEX(_xlfn.ANCHORARRAY(Sintesi!$C$15),1,$C333)&gt;0),1,IF(($E333&gt;=LOOKUP(2,1/($E:$E&lt;&gt;""),$E:$E))*($E333&lt;=INDEX($E:$E,MATCH(TRUE,INDEX((ISNUMBER($E:$E)),0),0)))*($E333&gt;INDEX(_xlfn.ANCHORARRAY(Sintesi!$C$14),1,$C333))*($E333&lt;INDEX(_xlfn.ANCHORARRAY(Sintesi!$C$16),1,$C333))*(INDEX(_xlfn.ANCHORARRAY(Sintesi!$C$15),1,$C333)&lt;0)+($E333&gt;=LOOKUP(2,1/($E:$E&lt;&gt;""),$E:$E))*($E333&lt;=INDEX($E:$E,MATCH(TRUE,INDEX((ISNUMBER($E:$E)),0),0)))*($E333&gt;INDEX(_xlfn.ANCHORARRAY(Sintesi!$C$15),1,$C333))*($E333&lt;INDEX(_xlfn.ANCHORARRAY(Sintesi!$C$16),1,$C333))*(INDEX(_xlfn.ANCHORARRAY(Sintesi!$C$15),1,$C333)&gt;0),2,IF($E333=(INDEX(_xlfn.ANCHORARRAY(Sintesi!$C$16),1,$C333)),3,4)))),0)),IF(ISNUMBER($E332),IF($C333&gt;0,IF(($E333=INDEX(_xlfn.ANCHORARRAY(Sintesi!$C$14),1,$C333))*(INDEX(_xlfn.ANCHORARRAY(Sintesi!$C$15),1,$C333)&gt;0),0,IF(($E333=INDEX(_xlfn.ANCHORARRAY(Sintesi!$C$14),1,$C333))*(INDEX(_xlfn.ANCHORARRAY(Sintesi!$C$15),1,$C333)&lt;0)+($E333&gt;=$E332)*($E333&lt;=$E334)*($E333&gt;INDEX(_xlfn.ANCHORARRAY(Sintesi!$C$14),1,$C333))*($E333&lt;=INDEX(_xlfn.ANCHORARRAY(Sintesi!$C$15),1,$C333))*(INDEX(_xlfn.ANCHORARRAY(Sintesi!$C$15),1,$C333)&gt;0),1,IF(($E333&gt;=$E332)*($E333&lt;=$E334)*($E333&gt;INDEX(_xlfn.ANCHORARRAY(Sintesi!$C$14),1,$C333))*($E333&lt;INDEX(_xlfn.ANCHORARRAY(Sintesi!$C$16),1,$C333))*(INDEX(_xlfn.ANCHORARRAY(Sintesi!$C$15),1,$C333)&lt;0)+($E333&gt;=$E332)*($E333&lt;=$E334)*($E333&gt;INDEX(_xlfn.ANCHORARRAY(Sintesi!$C$15),1,$C333))*($E333&lt;INDEX(_xlfn.ANCHORARRAY(Sintesi!$C$16),1,$C333))*(INDEX(_xlfn.ANCHORARRAY(Sintesi!$C$15),1,$C333)&gt;0),2,IF($E333=(INDEX(_xlfn.ANCHORARRAY(Sintesi!$C$16),1,$C333)),3,4)))),0),IF($C333&gt;0,IF(($E333=INDEX(_xlfn.ANCHORARRAY(Sintesi!$C$14),1,$C333))*(INDEX(_xlfn.ANCHORARRAY(Sintesi!$C$15),1,$C333)&gt;0),0,IF(($E333=INDEX(_xlfn.ANCHORARRAY(Sintesi!$C$14),1,$C333))*(INDEX(_xlfn.ANCHORARRAY(Sintesi!$C$15),1,$C333)&lt;0)+($E333&gt;=LOOKUP(2,1/($E:$E&lt;&gt;""),$E:$E))*($E333&lt;=$E334)*($E333&gt;INDEX(_xlfn.ANCHORARRAY(Sintesi!$C$14),1,$C333))*($E333&lt;=INDEX(_xlfn.ANCHORARRAY(Sintesi!$C$15),1,$C333))*(INDEX(_xlfn.ANCHORARRAY(Sintesi!$C$15),1,$C333)&gt;0),1,IF(($E333&gt;=LOOKUP(2,1/($E:$E&lt;&gt;""),$E:$E))*($E333&lt;=$E334)*($E333&gt;INDEX(_xlfn.ANCHORARRAY(Sintesi!$C$14),1,$C333))*($E333&lt;INDEX(_xlfn.ANCHORARRAY(Sintesi!$C$16),1,$C333))*(INDEX(_xlfn.ANCHORARRAY(Sintesi!$C$15),1,$C333)&lt;0)+($E333&gt;=LOOKUP(2,1/($E:$E&lt;&gt;""),$E:$E))*($E333&lt;=$E334)*($E333&gt;INDEX(_xlfn.ANCHORARRAY(Sintesi!$C$15),1,$C333))*($E333&lt;INDEX(_xlfn.ANCHORARRAY(Sintesi!$C$16),1,$C333))*(INDEX(_xlfn.ANCHORARRAY(Sintesi!$C$15),1,$C333)&gt;0),2,IF($E333=(INDEX(_xlfn.ANCHORARRAY(Sintesi!$C$16),1,$C333)),3,4)))),0)))</f>
        <v/>
      </c>
      <c r="E333" s="1">
        <f>'Paste cell here'!F333</f>
        <v/>
      </c>
      <c r="F333" s="1">
        <f>'Paste cell here'!C333</f>
        <v/>
      </c>
      <c r="G333" s="1">
        <f>'Paste cell here'!D333</f>
        <v/>
      </c>
      <c r="H333" s="1">
        <f>'Paste cell here'!E333</f>
        <v/>
      </c>
      <c r="I333" s="1">
        <f>'Paste cell here'!X333</f>
        <v/>
      </c>
      <c r="J333" s="1">
        <f>'Paste cell here'!Y333+'Paste cell here'!S333</f>
        <v/>
      </c>
      <c r="K333" s="1">
        <f>I333/H333</f>
        <v/>
      </c>
      <c r="L333" s="1">
        <f>AVERAGE(($F333+$G333)/2-($F333-$G333)/2*COS(PI()*(8-VLOOKUP(MONTH(B333),$O$1:$Q$13,3))/(VLOOKUP(MONTH(B333),$O$1:$Q$13,2)-VLOOKUP(MONTH(B333),$O$1:$Q$13,3))),($F333+$G333)/2-($F333-$G333)/2*COS(PI()*(9-VLOOKUP(MONTH(B333),$O$1:$Q$13,3))/(VLOOKUP(MONTH(B333),$O$1:$Q$13,2)-VLOOKUP(MONTH(B333),$O$1:$Q$13,3))),($F333+$G333)/2-($F333-$G333)/2*COS(PI()*(10-VLOOKUP(MONTH(B333),$O$1:$Q$13,3))/(VLOOKUP(MONTH(B333),$O$1:$Q$13,2)-VLOOKUP(MONTH(B333),$O$1:$Q$13,3))),($F333+$G333)/2-($F333-$G333)/2*COS(PI()*(11-VLOOKUP(MONTH(B333),$O$1:$Q$13,3))/(VLOOKUP(MONTH(B333),$O$1:$Q$13,2)-VLOOKUP(MONTH(B333),$O$1:$Q$13,3))),($F333+$G333)/2-($F333-$G333)/2*COS(PI()*(12-VLOOKUP(MONTH(B333),$O$1:$Q$13,3))/(VLOOKUP(MONTH(B333),$O$1:$Q$13,2)-VLOOKUP(MONTH(B333),$O$1:$Q$13,3))),($F333+$G333)/2-($F333-$G333)/2*COS(PI()*(13-VLOOKUP(MONTH(B333),$O$1:$Q$13,3))/(VLOOKUP(MONTH(B333),$O$1:$Q$13,2)-VLOOKUP(MONTH(B333),$O$1:$Q$13,3))),($F333+$G333)/2-($F333-$G333)/2*COS(PI()*(14-VLOOKUP(MONTH(B333),$O$1:$Q$13,3))/(VLOOKUP(MONTH(B333),$O$1:$Q$13,2)-VLOOKUP(MONTH(B333),$O$1:$Q$13,3))))</f>
        <v/>
      </c>
      <c r="M333" s="1">
        <f t="array" ref="M333">IF(AND(A333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,A333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),IF(L333&lt;_xlfn.IFNA(INDEX(_xlfn.ANCHORARRAY(Sintesi!$C$17)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,1,IF(L333&gt;=_xlfn.IFNA(INDEX(_xlfn.ANCHORARRAY(Sintesi!$C$18)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,0,1-(L333-_xlfn.IFNA(INDEX(_xlfn.ANCHORARRAY(Sintesi!$C$17)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)/(_xlfn.IFNA(INDEX(_xlfn.ANCHORARRAY(Sintesi!$C$18)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-_xlfn.IFNA(INDEX(_xlfn.ANCHORARRAY(Sintesi!$C$17)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))),0)</f>
        <v/>
      </c>
    </row>
    <row r="334">
      <c r="A334" s="1">
        <f>'Paste cell here'!A334</f>
        <v/>
      </c>
      <c r="B334" s="2">
        <f>DATE(Sintesi!$C$4-1,12,31)+A334</f>
        <v/>
      </c>
      <c r="C334" s="34">
        <f t="array" ref="C334">_xlfn.IFNA(MATCH(1,(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)*(_xlfn.ANCHORARRAY(Sintesi!$C$15)&gt;=0)+(_xlfn.ANCHORARRAY(Sintesi!$C$15)&lt;0),0),0)</f>
        <v/>
      </c>
      <c r="D334" s="1">
        <f t="array" ref="D334">IF(ISBLANK($E335),IF(ISNUMBER($E333),IF($C334&gt;0,IF(($E334=INDEX(_xlfn.ANCHORARRAY(Sintesi!$C$14),1,$C334))*(INDEX(_xlfn.ANCHORARRAY(Sintesi!$C$15),1,$C334)&gt;0),0,IF(($E334=INDEX(_xlfn.ANCHORARRAY(Sintesi!$C$14),1,$C334))*(INDEX(_xlfn.ANCHORARRAY(Sintesi!$C$15),1,$C334)&lt;0)+($E334&gt;=$E333)*($E334&lt;=INDEX($E:$E,MATCH(TRUE,INDEX((ISNUMBER($E:$E)),0),0)))*($E334&gt;INDEX(_xlfn.ANCHORARRAY(Sintesi!$C$14),1,$C334))*($E334&lt;=INDEX(_xlfn.ANCHORARRAY(Sintesi!$C$15),1,$C334))*(INDEX(_xlfn.ANCHORARRAY(Sintesi!$C$15),1,$C334)&gt;0),1,IF(($E334&gt;=$E333)*($E334&lt;=INDEX($E:$E,MATCH(TRUE,INDEX((ISNUMBER($E:$E)),0),0)))*($E334&gt;INDEX(_xlfn.ANCHORARRAY(Sintesi!$C$14),1,$C334))*($E334&lt;INDEX(_xlfn.ANCHORARRAY(Sintesi!$C$16),1,$C334))*(INDEX(_xlfn.ANCHORARRAY(Sintesi!$C$15),1,$C334)&lt;0)+($E334&gt;=$E333)*($E334&lt;=INDEX($E:$E,MATCH(TRUE,INDEX((ISNUMBER($E:$E)),0),0)))*($E334&gt;INDEX(_xlfn.ANCHORARRAY(Sintesi!$C$15),1,$C334))*($E334&lt;INDEX(_xlfn.ANCHORARRAY(Sintesi!$C$16),1,$C334))*(INDEX(_xlfn.ANCHORARRAY(Sintesi!$C$15),1,$C334)&gt;0),2,IF($E334=(INDEX(_xlfn.ANCHORARRAY(Sintesi!$C$16),1,$C334)),3,4)))),0),IF($C334&gt;0,IF(($E334=INDEX(_xlfn.ANCHORARRAY(Sintesi!$C$14),1,$C334))*(INDEX(_xlfn.ANCHORARRAY(Sintesi!$C$15),1,$C334)&gt;0),0,IF(($E334=INDEX(_xlfn.ANCHORARRAY(Sintesi!$C$14),1,$C334))*(INDEX(_xlfn.ANCHORARRAY(Sintesi!$C$15),1,$C334)&lt;0)+($E334&gt;=LOOKUP(2,1/($E:$E&lt;&gt;""),$E:$E))*($E334&lt;=INDEX($E:$E,MATCH(TRUE,INDEX((ISNUMBER($E:$E)),0),0)))*($E334&gt;INDEX(_xlfn.ANCHORARRAY(Sintesi!$C$14),1,$C334))*($E334&lt;=INDEX(_xlfn.ANCHORARRAY(Sintesi!$C$15),1,$C334))*(INDEX(_xlfn.ANCHORARRAY(Sintesi!$C$15),1,$C334)&gt;0),1,IF(($E334&gt;=LOOKUP(2,1/($E:$E&lt;&gt;""),$E:$E))*($E334&lt;=INDEX($E:$E,MATCH(TRUE,INDEX((ISNUMBER($E:$E)),0),0)))*($E334&gt;INDEX(_xlfn.ANCHORARRAY(Sintesi!$C$14),1,$C334))*($E334&lt;INDEX(_xlfn.ANCHORARRAY(Sintesi!$C$16),1,$C334))*(INDEX(_xlfn.ANCHORARRAY(Sintesi!$C$15),1,$C334)&lt;0)+($E334&gt;=LOOKUP(2,1/($E:$E&lt;&gt;""),$E:$E))*($E334&lt;=INDEX($E:$E,MATCH(TRUE,INDEX((ISNUMBER($E:$E)),0),0)))*($E334&gt;INDEX(_xlfn.ANCHORARRAY(Sintesi!$C$15),1,$C334))*($E334&lt;INDEX(_xlfn.ANCHORARRAY(Sintesi!$C$16),1,$C334))*(INDEX(_xlfn.ANCHORARRAY(Sintesi!$C$15),1,$C334)&gt;0),2,IF($E334=(INDEX(_xlfn.ANCHORARRAY(Sintesi!$C$16),1,$C334)),3,4)))),0)),IF(ISNUMBER($E333),IF($C334&gt;0,IF(($E334=INDEX(_xlfn.ANCHORARRAY(Sintesi!$C$14),1,$C334))*(INDEX(_xlfn.ANCHORARRAY(Sintesi!$C$15),1,$C334)&gt;0),0,IF(($E334=INDEX(_xlfn.ANCHORARRAY(Sintesi!$C$14),1,$C334))*(INDEX(_xlfn.ANCHORARRAY(Sintesi!$C$15),1,$C334)&lt;0)+($E334&gt;=$E333)*($E334&lt;=$E335)*($E334&gt;INDEX(_xlfn.ANCHORARRAY(Sintesi!$C$14),1,$C334))*($E334&lt;=INDEX(_xlfn.ANCHORARRAY(Sintesi!$C$15),1,$C334))*(INDEX(_xlfn.ANCHORARRAY(Sintesi!$C$15),1,$C334)&gt;0),1,IF(($E334&gt;=$E333)*($E334&lt;=$E335)*($E334&gt;INDEX(_xlfn.ANCHORARRAY(Sintesi!$C$14),1,$C334))*($E334&lt;INDEX(_xlfn.ANCHORARRAY(Sintesi!$C$16),1,$C334))*(INDEX(_xlfn.ANCHORARRAY(Sintesi!$C$15),1,$C334)&lt;0)+($E334&gt;=$E333)*($E334&lt;=$E335)*($E334&gt;INDEX(_xlfn.ANCHORARRAY(Sintesi!$C$15),1,$C334))*($E334&lt;INDEX(_xlfn.ANCHORARRAY(Sintesi!$C$16),1,$C334))*(INDEX(_xlfn.ANCHORARRAY(Sintesi!$C$15),1,$C334)&gt;0),2,IF($E334=(INDEX(_xlfn.ANCHORARRAY(Sintesi!$C$16),1,$C334)),3,4)))),0),IF($C334&gt;0,IF(($E334=INDEX(_xlfn.ANCHORARRAY(Sintesi!$C$14),1,$C334))*(INDEX(_xlfn.ANCHORARRAY(Sintesi!$C$15),1,$C334)&gt;0),0,IF(($E334=INDEX(_xlfn.ANCHORARRAY(Sintesi!$C$14),1,$C334))*(INDEX(_xlfn.ANCHORARRAY(Sintesi!$C$15),1,$C334)&lt;0)+($E334&gt;=LOOKUP(2,1/($E:$E&lt;&gt;""),$E:$E))*($E334&lt;=$E335)*($E334&gt;INDEX(_xlfn.ANCHORARRAY(Sintesi!$C$14),1,$C334))*($E334&lt;=INDEX(_xlfn.ANCHORARRAY(Sintesi!$C$15),1,$C334))*(INDEX(_xlfn.ANCHORARRAY(Sintesi!$C$15),1,$C334)&gt;0),1,IF(($E334&gt;=LOOKUP(2,1/($E:$E&lt;&gt;""),$E:$E))*($E334&lt;=$E335)*($E334&gt;INDEX(_xlfn.ANCHORARRAY(Sintesi!$C$14),1,$C334))*($E334&lt;INDEX(_xlfn.ANCHORARRAY(Sintesi!$C$16),1,$C334))*(INDEX(_xlfn.ANCHORARRAY(Sintesi!$C$15),1,$C334)&lt;0)+($E334&gt;=LOOKUP(2,1/($E:$E&lt;&gt;""),$E:$E))*($E334&lt;=$E335)*($E334&gt;INDEX(_xlfn.ANCHORARRAY(Sintesi!$C$15),1,$C334))*($E334&lt;INDEX(_xlfn.ANCHORARRAY(Sintesi!$C$16),1,$C334))*(INDEX(_xlfn.ANCHORARRAY(Sintesi!$C$15),1,$C334)&gt;0),2,IF($E334=(INDEX(_xlfn.ANCHORARRAY(Sintesi!$C$16),1,$C334)),3,4)))),0)))</f>
        <v/>
      </c>
      <c r="E334" s="1">
        <f>'Paste cell here'!F334</f>
        <v/>
      </c>
      <c r="F334" s="1">
        <f>'Paste cell here'!C334</f>
        <v/>
      </c>
      <c r="G334" s="1">
        <f>'Paste cell here'!D334</f>
        <v/>
      </c>
      <c r="H334" s="1">
        <f>'Paste cell here'!E334</f>
        <v/>
      </c>
      <c r="I334" s="1">
        <f>'Paste cell here'!X334</f>
        <v/>
      </c>
      <c r="J334" s="1">
        <f>'Paste cell here'!Y334+'Paste cell here'!S334</f>
        <v/>
      </c>
      <c r="K334" s="1">
        <f>I334/H334</f>
        <v/>
      </c>
      <c r="L334" s="1">
        <f>AVERAGE(($F334+$G334)/2-($F334-$G334)/2*COS(PI()*(8-VLOOKUP(MONTH(B334),$O$1:$Q$13,3))/(VLOOKUP(MONTH(B334),$O$1:$Q$13,2)-VLOOKUP(MONTH(B334),$O$1:$Q$13,3))),($F334+$G334)/2-($F334-$G334)/2*COS(PI()*(9-VLOOKUP(MONTH(B334),$O$1:$Q$13,3))/(VLOOKUP(MONTH(B334),$O$1:$Q$13,2)-VLOOKUP(MONTH(B334),$O$1:$Q$13,3))),($F334+$G334)/2-($F334-$G334)/2*COS(PI()*(10-VLOOKUP(MONTH(B334),$O$1:$Q$13,3))/(VLOOKUP(MONTH(B334),$O$1:$Q$13,2)-VLOOKUP(MONTH(B334),$O$1:$Q$13,3))),($F334+$G334)/2-($F334-$G334)/2*COS(PI()*(11-VLOOKUP(MONTH(B334),$O$1:$Q$13,3))/(VLOOKUP(MONTH(B334),$O$1:$Q$13,2)-VLOOKUP(MONTH(B334),$O$1:$Q$13,3))),($F334+$G334)/2-($F334-$G334)/2*COS(PI()*(12-VLOOKUP(MONTH(B334),$O$1:$Q$13,3))/(VLOOKUP(MONTH(B334),$O$1:$Q$13,2)-VLOOKUP(MONTH(B334),$O$1:$Q$13,3))),($F334+$G334)/2-($F334-$G334)/2*COS(PI()*(13-VLOOKUP(MONTH(B334),$O$1:$Q$13,3))/(VLOOKUP(MONTH(B334),$O$1:$Q$13,2)-VLOOKUP(MONTH(B334),$O$1:$Q$13,3))),($F334+$G334)/2-($F334-$G334)/2*COS(PI()*(14-VLOOKUP(MONTH(B334),$O$1:$Q$13,3))/(VLOOKUP(MONTH(B334),$O$1:$Q$13,2)-VLOOKUP(MONTH(B334),$O$1:$Q$13,3))))</f>
        <v/>
      </c>
      <c r="M334" s="1">
        <f t="array" ref="M334">IF(AND(A334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,A334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),IF(L334&lt;_xlfn.IFNA(INDEX(_xlfn.ANCHORARRAY(Sintesi!$C$17)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,1,IF(L334&gt;=_xlfn.IFNA(INDEX(_xlfn.ANCHORARRAY(Sintesi!$C$18)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,0,1-(L334-_xlfn.IFNA(INDEX(_xlfn.ANCHORARRAY(Sintesi!$C$17)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)/(_xlfn.IFNA(INDEX(_xlfn.ANCHORARRAY(Sintesi!$C$18)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-_xlfn.IFNA(INDEX(_xlfn.ANCHORARRAY(Sintesi!$C$17)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))),0)</f>
        <v/>
      </c>
    </row>
    <row r="335">
      <c r="A335" s="1">
        <f>'Paste cell here'!A335</f>
        <v/>
      </c>
      <c r="B335" s="2">
        <f>DATE(Sintesi!$C$4-1,12,31)+A335</f>
        <v/>
      </c>
      <c r="C335" s="34">
        <f t="array" ref="C335">_xlfn.IFNA(MATCH(1,(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)*(_xlfn.ANCHORARRAY(Sintesi!$C$15)&gt;=0)+(_xlfn.ANCHORARRAY(Sintesi!$C$15)&lt;0),0),0)</f>
        <v/>
      </c>
      <c r="D335" s="1">
        <f t="array" ref="D335">IF(ISBLANK($E336),IF(ISNUMBER($E334),IF($C335&gt;0,IF(($E335=INDEX(_xlfn.ANCHORARRAY(Sintesi!$C$14),1,$C335))*(INDEX(_xlfn.ANCHORARRAY(Sintesi!$C$15),1,$C335)&gt;0),0,IF(($E335=INDEX(_xlfn.ANCHORARRAY(Sintesi!$C$14),1,$C335))*(INDEX(_xlfn.ANCHORARRAY(Sintesi!$C$15),1,$C335)&lt;0)+($E335&gt;=$E334)*($E335&lt;=INDEX($E:$E,MATCH(TRUE,INDEX((ISNUMBER($E:$E)),0),0)))*($E335&gt;INDEX(_xlfn.ANCHORARRAY(Sintesi!$C$14),1,$C335))*($E335&lt;=INDEX(_xlfn.ANCHORARRAY(Sintesi!$C$15),1,$C335))*(INDEX(_xlfn.ANCHORARRAY(Sintesi!$C$15),1,$C335)&gt;0),1,IF(($E335&gt;=$E334)*($E335&lt;=INDEX($E:$E,MATCH(TRUE,INDEX((ISNUMBER($E:$E)),0),0)))*($E335&gt;INDEX(_xlfn.ANCHORARRAY(Sintesi!$C$14),1,$C335))*($E335&lt;INDEX(_xlfn.ANCHORARRAY(Sintesi!$C$16),1,$C335))*(INDEX(_xlfn.ANCHORARRAY(Sintesi!$C$15),1,$C335)&lt;0)+($E335&gt;=$E334)*($E335&lt;=INDEX($E:$E,MATCH(TRUE,INDEX((ISNUMBER($E:$E)),0),0)))*($E335&gt;INDEX(_xlfn.ANCHORARRAY(Sintesi!$C$15),1,$C335))*($E335&lt;INDEX(_xlfn.ANCHORARRAY(Sintesi!$C$16),1,$C335))*(INDEX(_xlfn.ANCHORARRAY(Sintesi!$C$15),1,$C335)&gt;0),2,IF($E335=(INDEX(_xlfn.ANCHORARRAY(Sintesi!$C$16),1,$C335)),3,4)))),0),IF($C335&gt;0,IF(($E335=INDEX(_xlfn.ANCHORARRAY(Sintesi!$C$14),1,$C335))*(INDEX(_xlfn.ANCHORARRAY(Sintesi!$C$15),1,$C335)&gt;0),0,IF(($E335=INDEX(_xlfn.ANCHORARRAY(Sintesi!$C$14),1,$C335))*(INDEX(_xlfn.ANCHORARRAY(Sintesi!$C$15),1,$C335)&lt;0)+($E335&gt;=LOOKUP(2,1/($E:$E&lt;&gt;""),$E:$E))*($E335&lt;=INDEX($E:$E,MATCH(TRUE,INDEX((ISNUMBER($E:$E)),0),0)))*($E335&gt;INDEX(_xlfn.ANCHORARRAY(Sintesi!$C$14),1,$C335))*($E335&lt;=INDEX(_xlfn.ANCHORARRAY(Sintesi!$C$15),1,$C335))*(INDEX(_xlfn.ANCHORARRAY(Sintesi!$C$15),1,$C335)&gt;0),1,IF(($E335&gt;=LOOKUP(2,1/($E:$E&lt;&gt;""),$E:$E))*($E335&lt;=INDEX($E:$E,MATCH(TRUE,INDEX((ISNUMBER($E:$E)),0),0)))*($E335&gt;INDEX(_xlfn.ANCHORARRAY(Sintesi!$C$14),1,$C335))*($E335&lt;INDEX(_xlfn.ANCHORARRAY(Sintesi!$C$16),1,$C335))*(INDEX(_xlfn.ANCHORARRAY(Sintesi!$C$15),1,$C335)&lt;0)+($E335&gt;=LOOKUP(2,1/($E:$E&lt;&gt;""),$E:$E))*($E335&lt;=INDEX($E:$E,MATCH(TRUE,INDEX((ISNUMBER($E:$E)),0),0)))*($E335&gt;INDEX(_xlfn.ANCHORARRAY(Sintesi!$C$15),1,$C335))*($E335&lt;INDEX(_xlfn.ANCHORARRAY(Sintesi!$C$16),1,$C335))*(INDEX(_xlfn.ANCHORARRAY(Sintesi!$C$15),1,$C335)&gt;0),2,IF($E335=(INDEX(_xlfn.ANCHORARRAY(Sintesi!$C$16),1,$C335)),3,4)))),0)),IF(ISNUMBER($E334),IF($C335&gt;0,IF(($E335=INDEX(_xlfn.ANCHORARRAY(Sintesi!$C$14),1,$C335))*(INDEX(_xlfn.ANCHORARRAY(Sintesi!$C$15),1,$C335)&gt;0),0,IF(($E335=INDEX(_xlfn.ANCHORARRAY(Sintesi!$C$14),1,$C335))*(INDEX(_xlfn.ANCHORARRAY(Sintesi!$C$15),1,$C335)&lt;0)+($E335&gt;=$E334)*($E335&lt;=$E336)*($E335&gt;INDEX(_xlfn.ANCHORARRAY(Sintesi!$C$14),1,$C335))*($E335&lt;=INDEX(_xlfn.ANCHORARRAY(Sintesi!$C$15),1,$C335))*(INDEX(_xlfn.ANCHORARRAY(Sintesi!$C$15),1,$C335)&gt;0),1,IF(($E335&gt;=$E334)*($E335&lt;=$E336)*($E335&gt;INDEX(_xlfn.ANCHORARRAY(Sintesi!$C$14),1,$C335))*($E335&lt;INDEX(_xlfn.ANCHORARRAY(Sintesi!$C$16),1,$C335))*(INDEX(_xlfn.ANCHORARRAY(Sintesi!$C$15),1,$C335)&lt;0)+($E335&gt;=$E334)*($E335&lt;=$E336)*($E335&gt;INDEX(_xlfn.ANCHORARRAY(Sintesi!$C$15),1,$C335))*($E335&lt;INDEX(_xlfn.ANCHORARRAY(Sintesi!$C$16),1,$C335))*(INDEX(_xlfn.ANCHORARRAY(Sintesi!$C$15),1,$C335)&gt;0),2,IF($E335=(INDEX(_xlfn.ANCHORARRAY(Sintesi!$C$16),1,$C335)),3,4)))),0),IF($C335&gt;0,IF(($E335=INDEX(_xlfn.ANCHORARRAY(Sintesi!$C$14),1,$C335))*(INDEX(_xlfn.ANCHORARRAY(Sintesi!$C$15),1,$C335)&gt;0),0,IF(($E335=INDEX(_xlfn.ANCHORARRAY(Sintesi!$C$14),1,$C335))*(INDEX(_xlfn.ANCHORARRAY(Sintesi!$C$15),1,$C335)&lt;0)+($E335&gt;=LOOKUP(2,1/($E:$E&lt;&gt;""),$E:$E))*($E335&lt;=$E336)*($E335&gt;INDEX(_xlfn.ANCHORARRAY(Sintesi!$C$14),1,$C335))*($E335&lt;=INDEX(_xlfn.ANCHORARRAY(Sintesi!$C$15),1,$C335))*(INDEX(_xlfn.ANCHORARRAY(Sintesi!$C$15),1,$C335)&gt;0),1,IF(($E335&gt;=LOOKUP(2,1/($E:$E&lt;&gt;""),$E:$E))*($E335&lt;=$E336)*($E335&gt;INDEX(_xlfn.ANCHORARRAY(Sintesi!$C$14),1,$C335))*($E335&lt;INDEX(_xlfn.ANCHORARRAY(Sintesi!$C$16),1,$C335))*(INDEX(_xlfn.ANCHORARRAY(Sintesi!$C$15),1,$C335)&lt;0)+($E335&gt;=LOOKUP(2,1/($E:$E&lt;&gt;""),$E:$E))*($E335&lt;=$E336)*($E335&gt;INDEX(_xlfn.ANCHORARRAY(Sintesi!$C$15),1,$C335))*($E335&lt;INDEX(_xlfn.ANCHORARRAY(Sintesi!$C$16),1,$C335))*(INDEX(_xlfn.ANCHORARRAY(Sintesi!$C$15),1,$C335)&gt;0),2,IF($E335=(INDEX(_xlfn.ANCHORARRAY(Sintesi!$C$16),1,$C335)),3,4)))),0)))</f>
        <v/>
      </c>
      <c r="E335" s="1">
        <f>'Paste cell here'!F335</f>
        <v/>
      </c>
      <c r="F335" s="1">
        <f>'Paste cell here'!C335</f>
        <v/>
      </c>
      <c r="G335" s="1">
        <f>'Paste cell here'!D335</f>
        <v/>
      </c>
      <c r="H335" s="1">
        <f>'Paste cell here'!E335</f>
        <v/>
      </c>
      <c r="I335" s="1">
        <f>'Paste cell here'!X335</f>
        <v/>
      </c>
      <c r="J335" s="1">
        <f>'Paste cell here'!Y335+'Paste cell here'!S335</f>
        <v/>
      </c>
      <c r="K335" s="1">
        <f>I335/H335</f>
        <v/>
      </c>
      <c r="L335" s="1">
        <f>AVERAGE(($F335+$G335)/2-($F335-$G335)/2*COS(PI()*(8-VLOOKUP(MONTH(B335),$O$1:$Q$13,3))/(VLOOKUP(MONTH(B335),$O$1:$Q$13,2)-VLOOKUP(MONTH(B335),$O$1:$Q$13,3))),($F335+$G335)/2-($F335-$G335)/2*COS(PI()*(9-VLOOKUP(MONTH(B335),$O$1:$Q$13,3))/(VLOOKUP(MONTH(B335),$O$1:$Q$13,2)-VLOOKUP(MONTH(B335),$O$1:$Q$13,3))),($F335+$G335)/2-($F335-$G335)/2*COS(PI()*(10-VLOOKUP(MONTH(B335),$O$1:$Q$13,3))/(VLOOKUP(MONTH(B335),$O$1:$Q$13,2)-VLOOKUP(MONTH(B335),$O$1:$Q$13,3))),($F335+$G335)/2-($F335-$G335)/2*COS(PI()*(11-VLOOKUP(MONTH(B335),$O$1:$Q$13,3))/(VLOOKUP(MONTH(B335),$O$1:$Q$13,2)-VLOOKUP(MONTH(B335),$O$1:$Q$13,3))),($F335+$G335)/2-($F335-$G335)/2*COS(PI()*(12-VLOOKUP(MONTH(B335),$O$1:$Q$13,3))/(VLOOKUP(MONTH(B335),$O$1:$Q$13,2)-VLOOKUP(MONTH(B335),$O$1:$Q$13,3))),($F335+$G335)/2-($F335-$G335)/2*COS(PI()*(13-VLOOKUP(MONTH(B335),$O$1:$Q$13,3))/(VLOOKUP(MONTH(B335),$O$1:$Q$13,2)-VLOOKUP(MONTH(B335),$O$1:$Q$13,3))),($F335+$G335)/2-($F335-$G335)/2*COS(PI()*(14-VLOOKUP(MONTH(B335),$O$1:$Q$13,3))/(VLOOKUP(MONTH(B335),$O$1:$Q$13,2)-VLOOKUP(MONTH(B335),$O$1:$Q$13,3))))</f>
        <v/>
      </c>
      <c r="M335" s="1">
        <f t="array" ref="M335">IF(AND(A335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,A335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),IF(L335&lt;_xlfn.IFNA(INDEX(_xlfn.ANCHORARRAY(Sintesi!$C$17)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,1,IF(L335&gt;=_xlfn.IFNA(INDEX(_xlfn.ANCHORARRAY(Sintesi!$C$18)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,0,1-(L335-_xlfn.IFNA(INDEX(_xlfn.ANCHORARRAY(Sintesi!$C$17)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)/(_xlfn.IFNA(INDEX(_xlfn.ANCHORARRAY(Sintesi!$C$18)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-_xlfn.IFNA(INDEX(_xlfn.ANCHORARRAY(Sintesi!$C$17)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))),0)</f>
        <v/>
      </c>
    </row>
    <row r="336">
      <c r="A336" s="1">
        <f>'Paste cell here'!A336</f>
        <v/>
      </c>
      <c r="B336" s="2">
        <f>DATE(Sintesi!$C$4-1,12,31)+A336</f>
        <v/>
      </c>
      <c r="C336" s="34">
        <f t="array" ref="C336">_xlfn.IFNA(MATCH(1,(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)*(_xlfn.ANCHORARRAY(Sintesi!$C$15)&gt;=0)+(_xlfn.ANCHORARRAY(Sintesi!$C$15)&lt;0),0),0)</f>
        <v/>
      </c>
      <c r="D336" s="1">
        <f t="array" ref="D336">IF(ISBLANK($E337),IF(ISNUMBER($E335),IF($C336&gt;0,IF(($E336=INDEX(_xlfn.ANCHORARRAY(Sintesi!$C$14),1,$C336))*(INDEX(_xlfn.ANCHORARRAY(Sintesi!$C$15),1,$C336)&gt;0),0,IF(($E336=INDEX(_xlfn.ANCHORARRAY(Sintesi!$C$14),1,$C336))*(INDEX(_xlfn.ANCHORARRAY(Sintesi!$C$15),1,$C336)&lt;0)+($E336&gt;=$E335)*($E336&lt;=INDEX($E:$E,MATCH(TRUE,INDEX((ISNUMBER($E:$E)),0),0)))*($E336&gt;INDEX(_xlfn.ANCHORARRAY(Sintesi!$C$14),1,$C336))*($E336&lt;=INDEX(_xlfn.ANCHORARRAY(Sintesi!$C$15),1,$C336))*(INDEX(_xlfn.ANCHORARRAY(Sintesi!$C$15),1,$C336)&gt;0),1,IF(($E336&gt;=$E335)*($E336&lt;=INDEX($E:$E,MATCH(TRUE,INDEX((ISNUMBER($E:$E)),0),0)))*($E336&gt;INDEX(_xlfn.ANCHORARRAY(Sintesi!$C$14),1,$C336))*($E336&lt;INDEX(_xlfn.ANCHORARRAY(Sintesi!$C$16),1,$C336))*(INDEX(_xlfn.ANCHORARRAY(Sintesi!$C$15),1,$C336)&lt;0)+($E336&gt;=$E335)*($E336&lt;=INDEX($E:$E,MATCH(TRUE,INDEX((ISNUMBER($E:$E)),0),0)))*($E336&gt;INDEX(_xlfn.ANCHORARRAY(Sintesi!$C$15),1,$C336))*($E336&lt;INDEX(_xlfn.ANCHORARRAY(Sintesi!$C$16),1,$C336))*(INDEX(_xlfn.ANCHORARRAY(Sintesi!$C$15),1,$C336)&gt;0),2,IF($E336=(INDEX(_xlfn.ANCHORARRAY(Sintesi!$C$16),1,$C336)),3,4)))),0),IF($C336&gt;0,IF(($E336=INDEX(_xlfn.ANCHORARRAY(Sintesi!$C$14),1,$C336))*(INDEX(_xlfn.ANCHORARRAY(Sintesi!$C$15),1,$C336)&gt;0),0,IF(($E336=INDEX(_xlfn.ANCHORARRAY(Sintesi!$C$14),1,$C336))*(INDEX(_xlfn.ANCHORARRAY(Sintesi!$C$15),1,$C336)&lt;0)+($E336&gt;=LOOKUP(2,1/($E:$E&lt;&gt;""),$E:$E))*($E336&lt;=INDEX($E:$E,MATCH(TRUE,INDEX((ISNUMBER($E:$E)),0),0)))*($E336&gt;INDEX(_xlfn.ANCHORARRAY(Sintesi!$C$14),1,$C336))*($E336&lt;=INDEX(_xlfn.ANCHORARRAY(Sintesi!$C$15),1,$C336))*(INDEX(_xlfn.ANCHORARRAY(Sintesi!$C$15),1,$C336)&gt;0),1,IF(($E336&gt;=LOOKUP(2,1/($E:$E&lt;&gt;""),$E:$E))*($E336&lt;=INDEX($E:$E,MATCH(TRUE,INDEX((ISNUMBER($E:$E)),0),0)))*($E336&gt;INDEX(_xlfn.ANCHORARRAY(Sintesi!$C$14),1,$C336))*($E336&lt;INDEX(_xlfn.ANCHORARRAY(Sintesi!$C$16),1,$C336))*(INDEX(_xlfn.ANCHORARRAY(Sintesi!$C$15),1,$C336)&lt;0)+($E336&gt;=LOOKUP(2,1/($E:$E&lt;&gt;""),$E:$E))*($E336&lt;=INDEX($E:$E,MATCH(TRUE,INDEX((ISNUMBER($E:$E)),0),0)))*($E336&gt;INDEX(_xlfn.ANCHORARRAY(Sintesi!$C$15),1,$C336))*($E336&lt;INDEX(_xlfn.ANCHORARRAY(Sintesi!$C$16),1,$C336))*(INDEX(_xlfn.ANCHORARRAY(Sintesi!$C$15),1,$C336)&gt;0),2,IF($E336=(INDEX(_xlfn.ANCHORARRAY(Sintesi!$C$16),1,$C336)),3,4)))),0)),IF(ISNUMBER($E335),IF($C336&gt;0,IF(($E336=INDEX(_xlfn.ANCHORARRAY(Sintesi!$C$14),1,$C336))*(INDEX(_xlfn.ANCHORARRAY(Sintesi!$C$15),1,$C336)&gt;0),0,IF(($E336=INDEX(_xlfn.ANCHORARRAY(Sintesi!$C$14),1,$C336))*(INDEX(_xlfn.ANCHORARRAY(Sintesi!$C$15),1,$C336)&lt;0)+($E336&gt;=$E335)*($E336&lt;=$E337)*($E336&gt;INDEX(_xlfn.ANCHORARRAY(Sintesi!$C$14),1,$C336))*($E336&lt;=INDEX(_xlfn.ANCHORARRAY(Sintesi!$C$15),1,$C336))*(INDEX(_xlfn.ANCHORARRAY(Sintesi!$C$15),1,$C336)&gt;0),1,IF(($E336&gt;=$E335)*($E336&lt;=$E337)*($E336&gt;INDEX(_xlfn.ANCHORARRAY(Sintesi!$C$14),1,$C336))*($E336&lt;INDEX(_xlfn.ANCHORARRAY(Sintesi!$C$16),1,$C336))*(INDEX(_xlfn.ANCHORARRAY(Sintesi!$C$15),1,$C336)&lt;0)+($E336&gt;=$E335)*($E336&lt;=$E337)*($E336&gt;INDEX(_xlfn.ANCHORARRAY(Sintesi!$C$15),1,$C336))*($E336&lt;INDEX(_xlfn.ANCHORARRAY(Sintesi!$C$16),1,$C336))*(INDEX(_xlfn.ANCHORARRAY(Sintesi!$C$15),1,$C336)&gt;0),2,IF($E336=(INDEX(_xlfn.ANCHORARRAY(Sintesi!$C$16),1,$C336)),3,4)))),0),IF($C336&gt;0,IF(($E336=INDEX(_xlfn.ANCHORARRAY(Sintesi!$C$14),1,$C336))*(INDEX(_xlfn.ANCHORARRAY(Sintesi!$C$15),1,$C336)&gt;0),0,IF(($E336=INDEX(_xlfn.ANCHORARRAY(Sintesi!$C$14),1,$C336))*(INDEX(_xlfn.ANCHORARRAY(Sintesi!$C$15),1,$C336)&lt;0)+($E336&gt;=LOOKUP(2,1/($E:$E&lt;&gt;""),$E:$E))*($E336&lt;=$E337)*($E336&gt;INDEX(_xlfn.ANCHORARRAY(Sintesi!$C$14),1,$C336))*($E336&lt;=INDEX(_xlfn.ANCHORARRAY(Sintesi!$C$15),1,$C336))*(INDEX(_xlfn.ANCHORARRAY(Sintesi!$C$15),1,$C336)&gt;0),1,IF(($E336&gt;=LOOKUP(2,1/($E:$E&lt;&gt;""),$E:$E))*($E336&lt;=$E337)*($E336&gt;INDEX(_xlfn.ANCHORARRAY(Sintesi!$C$14),1,$C336))*($E336&lt;INDEX(_xlfn.ANCHORARRAY(Sintesi!$C$16),1,$C336))*(INDEX(_xlfn.ANCHORARRAY(Sintesi!$C$15),1,$C336)&lt;0)+($E336&gt;=LOOKUP(2,1/($E:$E&lt;&gt;""),$E:$E))*($E336&lt;=$E337)*($E336&gt;INDEX(_xlfn.ANCHORARRAY(Sintesi!$C$15),1,$C336))*($E336&lt;INDEX(_xlfn.ANCHORARRAY(Sintesi!$C$16),1,$C336))*(INDEX(_xlfn.ANCHORARRAY(Sintesi!$C$15),1,$C336)&gt;0),2,IF($E336=(INDEX(_xlfn.ANCHORARRAY(Sintesi!$C$16),1,$C336)),3,4)))),0)))</f>
        <v/>
      </c>
      <c r="E336" s="1">
        <f>'Paste cell here'!F336</f>
        <v/>
      </c>
      <c r="F336" s="1">
        <f>'Paste cell here'!C336</f>
        <v/>
      </c>
      <c r="G336" s="1">
        <f>'Paste cell here'!D336</f>
        <v/>
      </c>
      <c r="H336" s="1">
        <f>'Paste cell here'!E336</f>
        <v/>
      </c>
      <c r="I336" s="1">
        <f>'Paste cell here'!X336</f>
        <v/>
      </c>
      <c r="J336" s="1">
        <f>'Paste cell here'!Y336+'Paste cell here'!S336</f>
        <v/>
      </c>
      <c r="K336" s="1">
        <f>I336/H336</f>
        <v/>
      </c>
      <c r="L336" s="1">
        <f>AVERAGE(($F336+$G336)/2-($F336-$G336)/2*COS(PI()*(8-VLOOKUP(MONTH(B336),$O$1:$Q$13,3))/(VLOOKUP(MONTH(B336),$O$1:$Q$13,2)-VLOOKUP(MONTH(B336),$O$1:$Q$13,3))),($F336+$G336)/2-($F336-$G336)/2*COS(PI()*(9-VLOOKUP(MONTH(B336),$O$1:$Q$13,3))/(VLOOKUP(MONTH(B336),$O$1:$Q$13,2)-VLOOKUP(MONTH(B336),$O$1:$Q$13,3))),($F336+$G336)/2-($F336-$G336)/2*COS(PI()*(10-VLOOKUP(MONTH(B336),$O$1:$Q$13,3))/(VLOOKUP(MONTH(B336),$O$1:$Q$13,2)-VLOOKUP(MONTH(B336),$O$1:$Q$13,3))),($F336+$G336)/2-($F336-$G336)/2*COS(PI()*(11-VLOOKUP(MONTH(B336),$O$1:$Q$13,3))/(VLOOKUP(MONTH(B336),$O$1:$Q$13,2)-VLOOKUP(MONTH(B336),$O$1:$Q$13,3))),($F336+$G336)/2-($F336-$G336)/2*COS(PI()*(12-VLOOKUP(MONTH(B336),$O$1:$Q$13,3))/(VLOOKUP(MONTH(B336),$O$1:$Q$13,2)-VLOOKUP(MONTH(B336),$O$1:$Q$13,3))),($F336+$G336)/2-($F336-$G336)/2*COS(PI()*(13-VLOOKUP(MONTH(B336),$O$1:$Q$13,3))/(VLOOKUP(MONTH(B336),$O$1:$Q$13,2)-VLOOKUP(MONTH(B336),$O$1:$Q$13,3))),($F336+$G336)/2-($F336-$G336)/2*COS(PI()*(14-VLOOKUP(MONTH(B336),$O$1:$Q$13,3))/(VLOOKUP(MONTH(B336),$O$1:$Q$13,2)-VLOOKUP(MONTH(B336),$O$1:$Q$13,3))))</f>
        <v/>
      </c>
      <c r="M336" s="1">
        <f t="array" ref="M336">IF(AND(A336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,A336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),IF(L336&lt;_xlfn.IFNA(INDEX(_xlfn.ANCHORARRAY(Sintesi!$C$17)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,1,IF(L336&gt;=_xlfn.IFNA(INDEX(_xlfn.ANCHORARRAY(Sintesi!$C$18)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,0,1-(L336-_xlfn.IFNA(INDEX(_xlfn.ANCHORARRAY(Sintesi!$C$17)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)/(_xlfn.IFNA(INDEX(_xlfn.ANCHORARRAY(Sintesi!$C$18)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-_xlfn.IFNA(INDEX(_xlfn.ANCHORARRAY(Sintesi!$C$17)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))),0)</f>
        <v/>
      </c>
    </row>
    <row r="337">
      <c r="A337" s="1">
        <f>'Paste cell here'!A337</f>
        <v/>
      </c>
      <c r="B337" s="2">
        <f>DATE(Sintesi!$C$4-1,12,31)+A337</f>
        <v/>
      </c>
      <c r="C337" s="34">
        <f t="array" ref="C337">_xlfn.IFNA(MATCH(1,(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)*(_xlfn.ANCHORARRAY(Sintesi!$C$15)&gt;=0)+(_xlfn.ANCHORARRAY(Sintesi!$C$15)&lt;0),0),0)</f>
        <v/>
      </c>
      <c r="D337" s="1">
        <f t="array" ref="D337">IF(ISBLANK($E338),IF(ISNUMBER($E336),IF($C337&gt;0,IF(($E337=INDEX(_xlfn.ANCHORARRAY(Sintesi!$C$14),1,$C337))*(INDEX(_xlfn.ANCHORARRAY(Sintesi!$C$15),1,$C337)&gt;0),0,IF(($E337=INDEX(_xlfn.ANCHORARRAY(Sintesi!$C$14),1,$C337))*(INDEX(_xlfn.ANCHORARRAY(Sintesi!$C$15),1,$C337)&lt;0)+($E337&gt;=$E336)*($E337&lt;=INDEX($E:$E,MATCH(TRUE,INDEX((ISNUMBER($E:$E)),0),0)))*($E337&gt;INDEX(_xlfn.ANCHORARRAY(Sintesi!$C$14),1,$C337))*($E337&lt;=INDEX(_xlfn.ANCHORARRAY(Sintesi!$C$15),1,$C337))*(INDEX(_xlfn.ANCHORARRAY(Sintesi!$C$15),1,$C337)&gt;0),1,IF(($E337&gt;=$E336)*($E337&lt;=INDEX($E:$E,MATCH(TRUE,INDEX((ISNUMBER($E:$E)),0),0)))*($E337&gt;INDEX(_xlfn.ANCHORARRAY(Sintesi!$C$14),1,$C337))*($E337&lt;INDEX(_xlfn.ANCHORARRAY(Sintesi!$C$16),1,$C337))*(INDEX(_xlfn.ANCHORARRAY(Sintesi!$C$15),1,$C337)&lt;0)+($E337&gt;=$E336)*($E337&lt;=INDEX($E:$E,MATCH(TRUE,INDEX((ISNUMBER($E:$E)),0),0)))*($E337&gt;INDEX(_xlfn.ANCHORARRAY(Sintesi!$C$15),1,$C337))*($E337&lt;INDEX(_xlfn.ANCHORARRAY(Sintesi!$C$16),1,$C337))*(INDEX(_xlfn.ANCHORARRAY(Sintesi!$C$15),1,$C337)&gt;0),2,IF($E337=(INDEX(_xlfn.ANCHORARRAY(Sintesi!$C$16),1,$C337)),3,4)))),0),IF($C337&gt;0,IF(($E337=INDEX(_xlfn.ANCHORARRAY(Sintesi!$C$14),1,$C337))*(INDEX(_xlfn.ANCHORARRAY(Sintesi!$C$15),1,$C337)&gt;0),0,IF(($E337=INDEX(_xlfn.ANCHORARRAY(Sintesi!$C$14),1,$C337))*(INDEX(_xlfn.ANCHORARRAY(Sintesi!$C$15),1,$C337)&lt;0)+($E337&gt;=LOOKUP(2,1/($E:$E&lt;&gt;""),$E:$E))*($E337&lt;=INDEX($E:$E,MATCH(TRUE,INDEX((ISNUMBER($E:$E)),0),0)))*($E337&gt;INDEX(_xlfn.ANCHORARRAY(Sintesi!$C$14),1,$C337))*($E337&lt;=INDEX(_xlfn.ANCHORARRAY(Sintesi!$C$15),1,$C337))*(INDEX(_xlfn.ANCHORARRAY(Sintesi!$C$15),1,$C337)&gt;0),1,IF(($E337&gt;=LOOKUP(2,1/($E:$E&lt;&gt;""),$E:$E))*($E337&lt;=INDEX($E:$E,MATCH(TRUE,INDEX((ISNUMBER($E:$E)),0),0)))*($E337&gt;INDEX(_xlfn.ANCHORARRAY(Sintesi!$C$14),1,$C337))*($E337&lt;INDEX(_xlfn.ANCHORARRAY(Sintesi!$C$16),1,$C337))*(INDEX(_xlfn.ANCHORARRAY(Sintesi!$C$15),1,$C337)&lt;0)+($E337&gt;=LOOKUP(2,1/($E:$E&lt;&gt;""),$E:$E))*($E337&lt;=INDEX($E:$E,MATCH(TRUE,INDEX((ISNUMBER($E:$E)),0),0)))*($E337&gt;INDEX(_xlfn.ANCHORARRAY(Sintesi!$C$15),1,$C337))*($E337&lt;INDEX(_xlfn.ANCHORARRAY(Sintesi!$C$16),1,$C337))*(INDEX(_xlfn.ANCHORARRAY(Sintesi!$C$15),1,$C337)&gt;0),2,IF($E337=(INDEX(_xlfn.ANCHORARRAY(Sintesi!$C$16),1,$C337)),3,4)))),0)),IF(ISNUMBER($E336),IF($C337&gt;0,IF(($E337=INDEX(_xlfn.ANCHORARRAY(Sintesi!$C$14),1,$C337))*(INDEX(_xlfn.ANCHORARRAY(Sintesi!$C$15),1,$C337)&gt;0),0,IF(($E337=INDEX(_xlfn.ANCHORARRAY(Sintesi!$C$14),1,$C337))*(INDEX(_xlfn.ANCHORARRAY(Sintesi!$C$15),1,$C337)&lt;0)+($E337&gt;=$E336)*($E337&lt;=$E338)*($E337&gt;INDEX(_xlfn.ANCHORARRAY(Sintesi!$C$14),1,$C337))*($E337&lt;=INDEX(_xlfn.ANCHORARRAY(Sintesi!$C$15),1,$C337))*(INDEX(_xlfn.ANCHORARRAY(Sintesi!$C$15),1,$C337)&gt;0),1,IF(($E337&gt;=$E336)*($E337&lt;=$E338)*($E337&gt;INDEX(_xlfn.ANCHORARRAY(Sintesi!$C$14),1,$C337))*($E337&lt;INDEX(_xlfn.ANCHORARRAY(Sintesi!$C$16),1,$C337))*(INDEX(_xlfn.ANCHORARRAY(Sintesi!$C$15),1,$C337)&lt;0)+($E337&gt;=$E336)*($E337&lt;=$E338)*($E337&gt;INDEX(_xlfn.ANCHORARRAY(Sintesi!$C$15),1,$C337))*($E337&lt;INDEX(_xlfn.ANCHORARRAY(Sintesi!$C$16),1,$C337))*(INDEX(_xlfn.ANCHORARRAY(Sintesi!$C$15),1,$C337)&gt;0),2,IF($E337=(INDEX(_xlfn.ANCHORARRAY(Sintesi!$C$16),1,$C337)),3,4)))),0),IF($C337&gt;0,IF(($E337=INDEX(_xlfn.ANCHORARRAY(Sintesi!$C$14),1,$C337))*(INDEX(_xlfn.ANCHORARRAY(Sintesi!$C$15),1,$C337)&gt;0),0,IF(($E337=INDEX(_xlfn.ANCHORARRAY(Sintesi!$C$14),1,$C337))*(INDEX(_xlfn.ANCHORARRAY(Sintesi!$C$15),1,$C337)&lt;0)+($E337&gt;=LOOKUP(2,1/($E:$E&lt;&gt;""),$E:$E))*($E337&lt;=$E338)*($E337&gt;INDEX(_xlfn.ANCHORARRAY(Sintesi!$C$14),1,$C337))*($E337&lt;=INDEX(_xlfn.ANCHORARRAY(Sintesi!$C$15),1,$C337))*(INDEX(_xlfn.ANCHORARRAY(Sintesi!$C$15),1,$C337)&gt;0),1,IF(($E337&gt;=LOOKUP(2,1/($E:$E&lt;&gt;""),$E:$E))*($E337&lt;=$E338)*($E337&gt;INDEX(_xlfn.ANCHORARRAY(Sintesi!$C$14),1,$C337))*($E337&lt;INDEX(_xlfn.ANCHORARRAY(Sintesi!$C$16),1,$C337))*(INDEX(_xlfn.ANCHORARRAY(Sintesi!$C$15),1,$C337)&lt;0)+($E337&gt;=LOOKUP(2,1/($E:$E&lt;&gt;""),$E:$E))*($E337&lt;=$E338)*($E337&gt;INDEX(_xlfn.ANCHORARRAY(Sintesi!$C$15),1,$C337))*($E337&lt;INDEX(_xlfn.ANCHORARRAY(Sintesi!$C$16),1,$C337))*(INDEX(_xlfn.ANCHORARRAY(Sintesi!$C$15),1,$C337)&gt;0),2,IF($E337=(INDEX(_xlfn.ANCHORARRAY(Sintesi!$C$16),1,$C337)),3,4)))),0)))</f>
        <v/>
      </c>
      <c r="E337" s="1">
        <f>'Paste cell here'!F337</f>
        <v/>
      </c>
      <c r="F337" s="1">
        <f>'Paste cell here'!C337</f>
        <v/>
      </c>
      <c r="G337" s="1">
        <f>'Paste cell here'!D337</f>
        <v/>
      </c>
      <c r="H337" s="1">
        <f>'Paste cell here'!E337</f>
        <v/>
      </c>
      <c r="I337" s="1">
        <f>'Paste cell here'!X337</f>
        <v/>
      </c>
      <c r="J337" s="1">
        <f>'Paste cell here'!Y337+'Paste cell here'!S337</f>
        <v/>
      </c>
      <c r="K337" s="1">
        <f>I337/H337</f>
        <v/>
      </c>
      <c r="L337" s="1">
        <f>AVERAGE(($F337+$G337)/2-($F337-$G337)/2*COS(PI()*(8-VLOOKUP(MONTH(B337),$O$1:$Q$13,3))/(VLOOKUP(MONTH(B337),$O$1:$Q$13,2)-VLOOKUP(MONTH(B337),$O$1:$Q$13,3))),($F337+$G337)/2-($F337-$G337)/2*COS(PI()*(9-VLOOKUP(MONTH(B337),$O$1:$Q$13,3))/(VLOOKUP(MONTH(B337),$O$1:$Q$13,2)-VLOOKUP(MONTH(B337),$O$1:$Q$13,3))),($F337+$G337)/2-($F337-$G337)/2*COS(PI()*(10-VLOOKUP(MONTH(B337),$O$1:$Q$13,3))/(VLOOKUP(MONTH(B337),$O$1:$Q$13,2)-VLOOKUP(MONTH(B337),$O$1:$Q$13,3))),($F337+$G337)/2-($F337-$G337)/2*COS(PI()*(11-VLOOKUP(MONTH(B337),$O$1:$Q$13,3))/(VLOOKUP(MONTH(B337),$O$1:$Q$13,2)-VLOOKUP(MONTH(B337),$O$1:$Q$13,3))),($F337+$G337)/2-($F337-$G337)/2*COS(PI()*(12-VLOOKUP(MONTH(B337),$O$1:$Q$13,3))/(VLOOKUP(MONTH(B337),$O$1:$Q$13,2)-VLOOKUP(MONTH(B337),$O$1:$Q$13,3))),($F337+$G337)/2-($F337-$G337)/2*COS(PI()*(13-VLOOKUP(MONTH(B337),$O$1:$Q$13,3))/(VLOOKUP(MONTH(B337),$O$1:$Q$13,2)-VLOOKUP(MONTH(B337),$O$1:$Q$13,3))),($F337+$G337)/2-($F337-$G337)/2*COS(PI()*(14-VLOOKUP(MONTH(B337),$O$1:$Q$13,3))/(VLOOKUP(MONTH(B337),$O$1:$Q$13,2)-VLOOKUP(MONTH(B337),$O$1:$Q$13,3))))</f>
        <v/>
      </c>
      <c r="M337" s="1">
        <f t="array" ref="M337">IF(AND(A337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,A337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),IF(L337&lt;_xlfn.IFNA(INDEX(_xlfn.ANCHORARRAY(Sintesi!$C$17)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,1,IF(L337&gt;=_xlfn.IFNA(INDEX(_xlfn.ANCHORARRAY(Sintesi!$C$18)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,0,1-(L337-_xlfn.IFNA(INDEX(_xlfn.ANCHORARRAY(Sintesi!$C$17)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)/(_xlfn.IFNA(INDEX(_xlfn.ANCHORARRAY(Sintesi!$C$18)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-_xlfn.IFNA(INDEX(_xlfn.ANCHORARRAY(Sintesi!$C$17)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))),0)</f>
        <v/>
      </c>
    </row>
    <row r="338">
      <c r="A338" s="1">
        <f>'Paste cell here'!A338</f>
        <v/>
      </c>
      <c r="B338" s="2">
        <f>DATE(Sintesi!$C$4-1,12,31)+A338</f>
        <v/>
      </c>
      <c r="C338" s="34">
        <f t="array" ref="C338">_xlfn.IFNA(MATCH(1,(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)*(_xlfn.ANCHORARRAY(Sintesi!$C$15)&gt;=0)+(_xlfn.ANCHORARRAY(Sintesi!$C$15)&lt;0),0),0)</f>
        <v/>
      </c>
      <c r="D338" s="1">
        <f t="array" ref="D338">IF(ISBLANK($E339),IF(ISNUMBER($E337),IF($C338&gt;0,IF(($E338=INDEX(_xlfn.ANCHORARRAY(Sintesi!$C$14),1,$C338))*(INDEX(_xlfn.ANCHORARRAY(Sintesi!$C$15),1,$C338)&gt;0),0,IF(($E338=INDEX(_xlfn.ANCHORARRAY(Sintesi!$C$14),1,$C338))*(INDEX(_xlfn.ANCHORARRAY(Sintesi!$C$15),1,$C338)&lt;0)+($E338&gt;=$E337)*($E338&lt;=INDEX($E:$E,MATCH(TRUE,INDEX((ISNUMBER($E:$E)),0),0)))*($E338&gt;INDEX(_xlfn.ANCHORARRAY(Sintesi!$C$14),1,$C338))*($E338&lt;=INDEX(_xlfn.ANCHORARRAY(Sintesi!$C$15),1,$C338))*(INDEX(_xlfn.ANCHORARRAY(Sintesi!$C$15),1,$C338)&gt;0),1,IF(($E338&gt;=$E337)*($E338&lt;=INDEX($E:$E,MATCH(TRUE,INDEX((ISNUMBER($E:$E)),0),0)))*($E338&gt;INDEX(_xlfn.ANCHORARRAY(Sintesi!$C$14),1,$C338))*($E338&lt;INDEX(_xlfn.ANCHORARRAY(Sintesi!$C$16),1,$C338))*(INDEX(_xlfn.ANCHORARRAY(Sintesi!$C$15),1,$C338)&lt;0)+($E338&gt;=$E337)*($E338&lt;=INDEX($E:$E,MATCH(TRUE,INDEX((ISNUMBER($E:$E)),0),0)))*($E338&gt;INDEX(_xlfn.ANCHORARRAY(Sintesi!$C$15),1,$C338))*($E338&lt;INDEX(_xlfn.ANCHORARRAY(Sintesi!$C$16),1,$C338))*(INDEX(_xlfn.ANCHORARRAY(Sintesi!$C$15),1,$C338)&gt;0),2,IF($E338=(INDEX(_xlfn.ANCHORARRAY(Sintesi!$C$16),1,$C338)),3,4)))),0),IF($C338&gt;0,IF(($E338=INDEX(_xlfn.ANCHORARRAY(Sintesi!$C$14),1,$C338))*(INDEX(_xlfn.ANCHORARRAY(Sintesi!$C$15),1,$C338)&gt;0),0,IF(($E338=INDEX(_xlfn.ANCHORARRAY(Sintesi!$C$14),1,$C338))*(INDEX(_xlfn.ANCHORARRAY(Sintesi!$C$15),1,$C338)&lt;0)+($E338&gt;=LOOKUP(2,1/($E:$E&lt;&gt;""),$E:$E))*($E338&lt;=INDEX($E:$E,MATCH(TRUE,INDEX((ISNUMBER($E:$E)),0),0)))*($E338&gt;INDEX(_xlfn.ANCHORARRAY(Sintesi!$C$14),1,$C338))*($E338&lt;=INDEX(_xlfn.ANCHORARRAY(Sintesi!$C$15),1,$C338))*(INDEX(_xlfn.ANCHORARRAY(Sintesi!$C$15),1,$C338)&gt;0),1,IF(($E338&gt;=LOOKUP(2,1/($E:$E&lt;&gt;""),$E:$E))*($E338&lt;=INDEX($E:$E,MATCH(TRUE,INDEX((ISNUMBER($E:$E)),0),0)))*($E338&gt;INDEX(_xlfn.ANCHORARRAY(Sintesi!$C$14),1,$C338))*($E338&lt;INDEX(_xlfn.ANCHORARRAY(Sintesi!$C$16),1,$C338))*(INDEX(_xlfn.ANCHORARRAY(Sintesi!$C$15),1,$C338)&lt;0)+($E338&gt;=LOOKUP(2,1/($E:$E&lt;&gt;""),$E:$E))*($E338&lt;=INDEX($E:$E,MATCH(TRUE,INDEX((ISNUMBER($E:$E)),0),0)))*($E338&gt;INDEX(_xlfn.ANCHORARRAY(Sintesi!$C$15),1,$C338))*($E338&lt;INDEX(_xlfn.ANCHORARRAY(Sintesi!$C$16),1,$C338))*(INDEX(_xlfn.ANCHORARRAY(Sintesi!$C$15),1,$C338)&gt;0),2,IF($E338=(INDEX(_xlfn.ANCHORARRAY(Sintesi!$C$16),1,$C338)),3,4)))),0)),IF(ISNUMBER($E337),IF($C338&gt;0,IF(($E338=INDEX(_xlfn.ANCHORARRAY(Sintesi!$C$14),1,$C338))*(INDEX(_xlfn.ANCHORARRAY(Sintesi!$C$15),1,$C338)&gt;0),0,IF(($E338=INDEX(_xlfn.ANCHORARRAY(Sintesi!$C$14),1,$C338))*(INDEX(_xlfn.ANCHORARRAY(Sintesi!$C$15),1,$C338)&lt;0)+($E338&gt;=$E337)*($E338&lt;=$E339)*($E338&gt;INDEX(_xlfn.ANCHORARRAY(Sintesi!$C$14),1,$C338))*($E338&lt;=INDEX(_xlfn.ANCHORARRAY(Sintesi!$C$15),1,$C338))*(INDEX(_xlfn.ANCHORARRAY(Sintesi!$C$15),1,$C338)&gt;0),1,IF(($E338&gt;=$E337)*($E338&lt;=$E339)*($E338&gt;INDEX(_xlfn.ANCHORARRAY(Sintesi!$C$14),1,$C338))*($E338&lt;INDEX(_xlfn.ANCHORARRAY(Sintesi!$C$16),1,$C338))*(INDEX(_xlfn.ANCHORARRAY(Sintesi!$C$15),1,$C338)&lt;0)+($E338&gt;=$E337)*($E338&lt;=$E339)*($E338&gt;INDEX(_xlfn.ANCHORARRAY(Sintesi!$C$15),1,$C338))*($E338&lt;INDEX(_xlfn.ANCHORARRAY(Sintesi!$C$16),1,$C338))*(INDEX(_xlfn.ANCHORARRAY(Sintesi!$C$15),1,$C338)&gt;0),2,IF($E338=(INDEX(_xlfn.ANCHORARRAY(Sintesi!$C$16),1,$C338)),3,4)))),0),IF($C338&gt;0,IF(($E338=INDEX(_xlfn.ANCHORARRAY(Sintesi!$C$14),1,$C338))*(INDEX(_xlfn.ANCHORARRAY(Sintesi!$C$15),1,$C338)&gt;0),0,IF(($E338=INDEX(_xlfn.ANCHORARRAY(Sintesi!$C$14),1,$C338))*(INDEX(_xlfn.ANCHORARRAY(Sintesi!$C$15),1,$C338)&lt;0)+($E338&gt;=LOOKUP(2,1/($E:$E&lt;&gt;""),$E:$E))*($E338&lt;=$E339)*($E338&gt;INDEX(_xlfn.ANCHORARRAY(Sintesi!$C$14),1,$C338))*($E338&lt;=INDEX(_xlfn.ANCHORARRAY(Sintesi!$C$15),1,$C338))*(INDEX(_xlfn.ANCHORARRAY(Sintesi!$C$15),1,$C338)&gt;0),1,IF(($E338&gt;=LOOKUP(2,1/($E:$E&lt;&gt;""),$E:$E))*($E338&lt;=$E339)*($E338&gt;INDEX(_xlfn.ANCHORARRAY(Sintesi!$C$14),1,$C338))*($E338&lt;INDEX(_xlfn.ANCHORARRAY(Sintesi!$C$16),1,$C338))*(INDEX(_xlfn.ANCHORARRAY(Sintesi!$C$15),1,$C338)&lt;0)+($E338&gt;=LOOKUP(2,1/($E:$E&lt;&gt;""),$E:$E))*($E338&lt;=$E339)*($E338&gt;INDEX(_xlfn.ANCHORARRAY(Sintesi!$C$15),1,$C338))*($E338&lt;INDEX(_xlfn.ANCHORARRAY(Sintesi!$C$16),1,$C338))*(INDEX(_xlfn.ANCHORARRAY(Sintesi!$C$15),1,$C338)&gt;0),2,IF($E338=(INDEX(_xlfn.ANCHORARRAY(Sintesi!$C$16),1,$C338)),3,4)))),0)))</f>
        <v/>
      </c>
      <c r="E338" s="1">
        <f>'Paste cell here'!F338</f>
        <v/>
      </c>
      <c r="F338" s="1">
        <f>'Paste cell here'!C338</f>
        <v/>
      </c>
      <c r="G338" s="1">
        <f>'Paste cell here'!D338</f>
        <v/>
      </c>
      <c r="H338" s="1">
        <f>'Paste cell here'!E338</f>
        <v/>
      </c>
      <c r="I338" s="1">
        <f>'Paste cell here'!X338</f>
        <v/>
      </c>
      <c r="J338" s="1">
        <f>'Paste cell here'!Y338+'Paste cell here'!S338</f>
        <v/>
      </c>
      <c r="K338" s="1">
        <f>I338/H338</f>
        <v/>
      </c>
      <c r="L338" s="1">
        <f>AVERAGE(($F338+$G338)/2-($F338-$G338)/2*COS(PI()*(8-VLOOKUP(MONTH(B338),$O$1:$Q$13,3))/(VLOOKUP(MONTH(B338),$O$1:$Q$13,2)-VLOOKUP(MONTH(B338),$O$1:$Q$13,3))),($F338+$G338)/2-($F338-$G338)/2*COS(PI()*(9-VLOOKUP(MONTH(B338),$O$1:$Q$13,3))/(VLOOKUP(MONTH(B338),$O$1:$Q$13,2)-VLOOKUP(MONTH(B338),$O$1:$Q$13,3))),($F338+$G338)/2-($F338-$G338)/2*COS(PI()*(10-VLOOKUP(MONTH(B338),$O$1:$Q$13,3))/(VLOOKUP(MONTH(B338),$O$1:$Q$13,2)-VLOOKUP(MONTH(B338),$O$1:$Q$13,3))),($F338+$G338)/2-($F338-$G338)/2*COS(PI()*(11-VLOOKUP(MONTH(B338),$O$1:$Q$13,3))/(VLOOKUP(MONTH(B338),$O$1:$Q$13,2)-VLOOKUP(MONTH(B338),$O$1:$Q$13,3))),($F338+$G338)/2-($F338-$G338)/2*COS(PI()*(12-VLOOKUP(MONTH(B338),$O$1:$Q$13,3))/(VLOOKUP(MONTH(B338),$O$1:$Q$13,2)-VLOOKUP(MONTH(B338),$O$1:$Q$13,3))),($F338+$G338)/2-($F338-$G338)/2*COS(PI()*(13-VLOOKUP(MONTH(B338),$O$1:$Q$13,3))/(VLOOKUP(MONTH(B338),$O$1:$Q$13,2)-VLOOKUP(MONTH(B338),$O$1:$Q$13,3))),($F338+$G338)/2-($F338-$G338)/2*COS(PI()*(14-VLOOKUP(MONTH(B338),$O$1:$Q$13,3))/(VLOOKUP(MONTH(B338),$O$1:$Q$13,2)-VLOOKUP(MONTH(B338),$O$1:$Q$13,3))))</f>
        <v/>
      </c>
      <c r="M338" s="1">
        <f t="array" ref="M338">IF(AND(A338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,A338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),IF(L338&lt;_xlfn.IFNA(INDEX(_xlfn.ANCHORARRAY(Sintesi!$C$17)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,1,IF(L338&gt;=_xlfn.IFNA(INDEX(_xlfn.ANCHORARRAY(Sintesi!$C$18)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,0,1-(L338-_xlfn.IFNA(INDEX(_xlfn.ANCHORARRAY(Sintesi!$C$17)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)/(_xlfn.IFNA(INDEX(_xlfn.ANCHORARRAY(Sintesi!$C$18)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-_xlfn.IFNA(INDEX(_xlfn.ANCHORARRAY(Sintesi!$C$17)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))),0)</f>
        <v/>
      </c>
    </row>
    <row r="339">
      <c r="A339" s="1">
        <f>'Paste cell here'!A339</f>
        <v/>
      </c>
      <c r="B339" s="2">
        <f>DATE(Sintesi!$C$4-1,12,31)+A339</f>
        <v/>
      </c>
      <c r="C339" s="34">
        <f t="array" ref="C339">_xlfn.IFNA(MATCH(1,(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)*(_xlfn.ANCHORARRAY(Sintesi!$C$15)&gt;=0)+(_xlfn.ANCHORARRAY(Sintesi!$C$15)&lt;0),0),0)</f>
        <v/>
      </c>
      <c r="D339" s="1">
        <f t="array" ref="D339">IF(ISBLANK($E340),IF(ISNUMBER($E338),IF($C339&gt;0,IF(($E339=INDEX(_xlfn.ANCHORARRAY(Sintesi!$C$14),1,$C339))*(INDEX(_xlfn.ANCHORARRAY(Sintesi!$C$15),1,$C339)&gt;0),0,IF(($E339=INDEX(_xlfn.ANCHORARRAY(Sintesi!$C$14),1,$C339))*(INDEX(_xlfn.ANCHORARRAY(Sintesi!$C$15),1,$C339)&lt;0)+($E339&gt;=$E338)*($E339&lt;=INDEX($E:$E,MATCH(TRUE,INDEX((ISNUMBER($E:$E)),0),0)))*($E339&gt;INDEX(_xlfn.ANCHORARRAY(Sintesi!$C$14),1,$C339))*($E339&lt;=INDEX(_xlfn.ANCHORARRAY(Sintesi!$C$15),1,$C339))*(INDEX(_xlfn.ANCHORARRAY(Sintesi!$C$15),1,$C339)&gt;0),1,IF(($E339&gt;=$E338)*($E339&lt;=INDEX($E:$E,MATCH(TRUE,INDEX((ISNUMBER($E:$E)),0),0)))*($E339&gt;INDEX(_xlfn.ANCHORARRAY(Sintesi!$C$14),1,$C339))*($E339&lt;INDEX(_xlfn.ANCHORARRAY(Sintesi!$C$16),1,$C339))*(INDEX(_xlfn.ANCHORARRAY(Sintesi!$C$15),1,$C339)&lt;0)+($E339&gt;=$E338)*($E339&lt;=INDEX($E:$E,MATCH(TRUE,INDEX((ISNUMBER($E:$E)),0),0)))*($E339&gt;INDEX(_xlfn.ANCHORARRAY(Sintesi!$C$15),1,$C339))*($E339&lt;INDEX(_xlfn.ANCHORARRAY(Sintesi!$C$16),1,$C339))*(INDEX(_xlfn.ANCHORARRAY(Sintesi!$C$15),1,$C339)&gt;0),2,IF($E339=(INDEX(_xlfn.ANCHORARRAY(Sintesi!$C$16),1,$C339)),3,4)))),0),IF($C339&gt;0,IF(($E339=INDEX(_xlfn.ANCHORARRAY(Sintesi!$C$14),1,$C339))*(INDEX(_xlfn.ANCHORARRAY(Sintesi!$C$15),1,$C339)&gt;0),0,IF(($E339=INDEX(_xlfn.ANCHORARRAY(Sintesi!$C$14),1,$C339))*(INDEX(_xlfn.ANCHORARRAY(Sintesi!$C$15),1,$C339)&lt;0)+($E339&gt;=LOOKUP(2,1/($E:$E&lt;&gt;""),$E:$E))*($E339&lt;=INDEX($E:$E,MATCH(TRUE,INDEX((ISNUMBER($E:$E)),0),0)))*($E339&gt;INDEX(_xlfn.ANCHORARRAY(Sintesi!$C$14),1,$C339))*($E339&lt;=INDEX(_xlfn.ANCHORARRAY(Sintesi!$C$15),1,$C339))*(INDEX(_xlfn.ANCHORARRAY(Sintesi!$C$15),1,$C339)&gt;0),1,IF(($E339&gt;=LOOKUP(2,1/($E:$E&lt;&gt;""),$E:$E))*($E339&lt;=INDEX($E:$E,MATCH(TRUE,INDEX((ISNUMBER($E:$E)),0),0)))*($E339&gt;INDEX(_xlfn.ANCHORARRAY(Sintesi!$C$14),1,$C339))*($E339&lt;INDEX(_xlfn.ANCHORARRAY(Sintesi!$C$16),1,$C339))*(INDEX(_xlfn.ANCHORARRAY(Sintesi!$C$15),1,$C339)&lt;0)+($E339&gt;=LOOKUP(2,1/($E:$E&lt;&gt;""),$E:$E))*($E339&lt;=INDEX($E:$E,MATCH(TRUE,INDEX((ISNUMBER($E:$E)),0),0)))*($E339&gt;INDEX(_xlfn.ANCHORARRAY(Sintesi!$C$15),1,$C339))*($E339&lt;INDEX(_xlfn.ANCHORARRAY(Sintesi!$C$16),1,$C339))*(INDEX(_xlfn.ANCHORARRAY(Sintesi!$C$15),1,$C339)&gt;0),2,IF($E339=(INDEX(_xlfn.ANCHORARRAY(Sintesi!$C$16),1,$C339)),3,4)))),0)),IF(ISNUMBER($E338),IF($C339&gt;0,IF(($E339=INDEX(_xlfn.ANCHORARRAY(Sintesi!$C$14),1,$C339))*(INDEX(_xlfn.ANCHORARRAY(Sintesi!$C$15),1,$C339)&gt;0),0,IF(($E339=INDEX(_xlfn.ANCHORARRAY(Sintesi!$C$14),1,$C339))*(INDEX(_xlfn.ANCHORARRAY(Sintesi!$C$15),1,$C339)&lt;0)+($E339&gt;=$E338)*($E339&lt;=$E340)*($E339&gt;INDEX(_xlfn.ANCHORARRAY(Sintesi!$C$14),1,$C339))*($E339&lt;=INDEX(_xlfn.ANCHORARRAY(Sintesi!$C$15),1,$C339))*(INDEX(_xlfn.ANCHORARRAY(Sintesi!$C$15),1,$C339)&gt;0),1,IF(($E339&gt;=$E338)*($E339&lt;=$E340)*($E339&gt;INDEX(_xlfn.ANCHORARRAY(Sintesi!$C$14),1,$C339))*($E339&lt;INDEX(_xlfn.ANCHORARRAY(Sintesi!$C$16),1,$C339))*(INDEX(_xlfn.ANCHORARRAY(Sintesi!$C$15),1,$C339)&lt;0)+($E339&gt;=$E338)*($E339&lt;=$E340)*($E339&gt;INDEX(_xlfn.ANCHORARRAY(Sintesi!$C$15),1,$C339))*($E339&lt;INDEX(_xlfn.ANCHORARRAY(Sintesi!$C$16),1,$C339))*(INDEX(_xlfn.ANCHORARRAY(Sintesi!$C$15),1,$C339)&gt;0),2,IF($E339=(INDEX(_xlfn.ANCHORARRAY(Sintesi!$C$16),1,$C339)),3,4)))),0),IF($C339&gt;0,IF(($E339=INDEX(_xlfn.ANCHORARRAY(Sintesi!$C$14),1,$C339))*(INDEX(_xlfn.ANCHORARRAY(Sintesi!$C$15),1,$C339)&gt;0),0,IF(($E339=INDEX(_xlfn.ANCHORARRAY(Sintesi!$C$14),1,$C339))*(INDEX(_xlfn.ANCHORARRAY(Sintesi!$C$15),1,$C339)&lt;0)+($E339&gt;=LOOKUP(2,1/($E:$E&lt;&gt;""),$E:$E))*($E339&lt;=$E340)*($E339&gt;INDEX(_xlfn.ANCHORARRAY(Sintesi!$C$14),1,$C339))*($E339&lt;=INDEX(_xlfn.ANCHORARRAY(Sintesi!$C$15),1,$C339))*(INDEX(_xlfn.ANCHORARRAY(Sintesi!$C$15),1,$C339)&gt;0),1,IF(($E339&gt;=LOOKUP(2,1/($E:$E&lt;&gt;""),$E:$E))*($E339&lt;=$E340)*($E339&gt;INDEX(_xlfn.ANCHORARRAY(Sintesi!$C$14),1,$C339))*($E339&lt;INDEX(_xlfn.ANCHORARRAY(Sintesi!$C$16),1,$C339))*(INDEX(_xlfn.ANCHORARRAY(Sintesi!$C$15),1,$C339)&lt;0)+($E339&gt;=LOOKUP(2,1/($E:$E&lt;&gt;""),$E:$E))*($E339&lt;=$E340)*($E339&gt;INDEX(_xlfn.ANCHORARRAY(Sintesi!$C$15),1,$C339))*($E339&lt;INDEX(_xlfn.ANCHORARRAY(Sintesi!$C$16),1,$C339))*(INDEX(_xlfn.ANCHORARRAY(Sintesi!$C$15),1,$C339)&gt;0),2,IF($E339=(INDEX(_xlfn.ANCHORARRAY(Sintesi!$C$16),1,$C339)),3,4)))),0)))</f>
        <v/>
      </c>
      <c r="E339" s="1">
        <f>'Paste cell here'!F339</f>
        <v/>
      </c>
      <c r="F339" s="1">
        <f>'Paste cell here'!C339</f>
        <v/>
      </c>
      <c r="G339" s="1">
        <f>'Paste cell here'!D339</f>
        <v/>
      </c>
      <c r="H339" s="1">
        <f>'Paste cell here'!E339</f>
        <v/>
      </c>
      <c r="I339" s="1">
        <f>'Paste cell here'!X339</f>
        <v/>
      </c>
      <c r="J339" s="1">
        <f>'Paste cell here'!Y339+'Paste cell here'!S339</f>
        <v/>
      </c>
      <c r="K339" s="1">
        <f>I339/H339</f>
        <v/>
      </c>
      <c r="L339" s="1">
        <f>AVERAGE(($F339+$G339)/2-($F339-$G339)/2*COS(PI()*(8-VLOOKUP(MONTH(B339),$O$1:$Q$13,3))/(VLOOKUP(MONTH(B339),$O$1:$Q$13,2)-VLOOKUP(MONTH(B339),$O$1:$Q$13,3))),($F339+$G339)/2-($F339-$G339)/2*COS(PI()*(9-VLOOKUP(MONTH(B339),$O$1:$Q$13,3))/(VLOOKUP(MONTH(B339),$O$1:$Q$13,2)-VLOOKUP(MONTH(B339),$O$1:$Q$13,3))),($F339+$G339)/2-($F339-$G339)/2*COS(PI()*(10-VLOOKUP(MONTH(B339),$O$1:$Q$13,3))/(VLOOKUP(MONTH(B339),$O$1:$Q$13,2)-VLOOKUP(MONTH(B339),$O$1:$Q$13,3))),($F339+$G339)/2-($F339-$G339)/2*COS(PI()*(11-VLOOKUP(MONTH(B339),$O$1:$Q$13,3))/(VLOOKUP(MONTH(B339),$O$1:$Q$13,2)-VLOOKUP(MONTH(B339),$O$1:$Q$13,3))),($F339+$G339)/2-($F339-$G339)/2*COS(PI()*(12-VLOOKUP(MONTH(B339),$O$1:$Q$13,3))/(VLOOKUP(MONTH(B339),$O$1:$Q$13,2)-VLOOKUP(MONTH(B339),$O$1:$Q$13,3))),($F339+$G339)/2-($F339-$G339)/2*COS(PI()*(13-VLOOKUP(MONTH(B339),$O$1:$Q$13,3))/(VLOOKUP(MONTH(B339),$O$1:$Q$13,2)-VLOOKUP(MONTH(B339),$O$1:$Q$13,3))),($F339+$G339)/2-($F339-$G339)/2*COS(PI()*(14-VLOOKUP(MONTH(B339),$O$1:$Q$13,3))/(VLOOKUP(MONTH(B339),$O$1:$Q$13,2)-VLOOKUP(MONTH(B339),$O$1:$Q$13,3))))</f>
        <v/>
      </c>
      <c r="M339" s="1">
        <f t="array" ref="M339">IF(AND(A339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,A339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),IF(L339&lt;_xlfn.IFNA(INDEX(_xlfn.ANCHORARRAY(Sintesi!$C$17)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,1,IF(L339&gt;=_xlfn.IFNA(INDEX(_xlfn.ANCHORARRAY(Sintesi!$C$18)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,0,1-(L339-_xlfn.IFNA(INDEX(_xlfn.ANCHORARRAY(Sintesi!$C$17)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)/(_xlfn.IFNA(INDEX(_xlfn.ANCHORARRAY(Sintesi!$C$18)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-_xlfn.IFNA(INDEX(_xlfn.ANCHORARRAY(Sintesi!$C$17)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))),0)</f>
        <v/>
      </c>
    </row>
    <row r="340">
      <c r="A340" s="1">
        <f>'Paste cell here'!A340</f>
        <v/>
      </c>
      <c r="B340" s="2">
        <f>DATE(Sintesi!$C$4-1,12,31)+A340</f>
        <v/>
      </c>
      <c r="C340" s="34">
        <f t="array" ref="C340">_xlfn.IFNA(MATCH(1,(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)*(_xlfn.ANCHORARRAY(Sintesi!$C$15)&gt;=0)+(_xlfn.ANCHORARRAY(Sintesi!$C$15)&lt;0),0),0)</f>
        <v/>
      </c>
      <c r="D340" s="1">
        <f t="array" ref="D340">IF(ISBLANK($E341),IF(ISNUMBER($E339),IF($C340&gt;0,IF(($E340=INDEX(_xlfn.ANCHORARRAY(Sintesi!$C$14),1,$C340))*(INDEX(_xlfn.ANCHORARRAY(Sintesi!$C$15),1,$C340)&gt;0),0,IF(($E340=INDEX(_xlfn.ANCHORARRAY(Sintesi!$C$14),1,$C340))*(INDEX(_xlfn.ANCHORARRAY(Sintesi!$C$15),1,$C340)&lt;0)+($E340&gt;=$E339)*($E340&lt;=INDEX($E:$E,MATCH(TRUE,INDEX((ISNUMBER($E:$E)),0),0)))*($E340&gt;INDEX(_xlfn.ANCHORARRAY(Sintesi!$C$14),1,$C340))*($E340&lt;=INDEX(_xlfn.ANCHORARRAY(Sintesi!$C$15),1,$C340))*(INDEX(_xlfn.ANCHORARRAY(Sintesi!$C$15),1,$C340)&gt;0),1,IF(($E340&gt;=$E339)*($E340&lt;=INDEX($E:$E,MATCH(TRUE,INDEX((ISNUMBER($E:$E)),0),0)))*($E340&gt;INDEX(_xlfn.ANCHORARRAY(Sintesi!$C$14),1,$C340))*($E340&lt;INDEX(_xlfn.ANCHORARRAY(Sintesi!$C$16),1,$C340))*(INDEX(_xlfn.ANCHORARRAY(Sintesi!$C$15),1,$C340)&lt;0)+($E340&gt;=$E339)*($E340&lt;=INDEX($E:$E,MATCH(TRUE,INDEX((ISNUMBER($E:$E)),0),0)))*($E340&gt;INDEX(_xlfn.ANCHORARRAY(Sintesi!$C$15),1,$C340))*($E340&lt;INDEX(_xlfn.ANCHORARRAY(Sintesi!$C$16),1,$C340))*(INDEX(_xlfn.ANCHORARRAY(Sintesi!$C$15),1,$C340)&gt;0),2,IF($E340=(INDEX(_xlfn.ANCHORARRAY(Sintesi!$C$16),1,$C340)),3,4)))),0),IF($C340&gt;0,IF(($E340=INDEX(_xlfn.ANCHORARRAY(Sintesi!$C$14),1,$C340))*(INDEX(_xlfn.ANCHORARRAY(Sintesi!$C$15),1,$C340)&gt;0),0,IF(($E340=INDEX(_xlfn.ANCHORARRAY(Sintesi!$C$14),1,$C340))*(INDEX(_xlfn.ANCHORARRAY(Sintesi!$C$15),1,$C340)&lt;0)+($E340&gt;=LOOKUP(2,1/($E:$E&lt;&gt;""),$E:$E))*($E340&lt;=INDEX($E:$E,MATCH(TRUE,INDEX((ISNUMBER($E:$E)),0),0)))*($E340&gt;INDEX(_xlfn.ANCHORARRAY(Sintesi!$C$14),1,$C340))*($E340&lt;=INDEX(_xlfn.ANCHORARRAY(Sintesi!$C$15),1,$C340))*(INDEX(_xlfn.ANCHORARRAY(Sintesi!$C$15),1,$C340)&gt;0),1,IF(($E340&gt;=LOOKUP(2,1/($E:$E&lt;&gt;""),$E:$E))*($E340&lt;=INDEX($E:$E,MATCH(TRUE,INDEX((ISNUMBER($E:$E)),0),0)))*($E340&gt;INDEX(_xlfn.ANCHORARRAY(Sintesi!$C$14),1,$C340))*($E340&lt;INDEX(_xlfn.ANCHORARRAY(Sintesi!$C$16),1,$C340))*(INDEX(_xlfn.ANCHORARRAY(Sintesi!$C$15),1,$C340)&lt;0)+($E340&gt;=LOOKUP(2,1/($E:$E&lt;&gt;""),$E:$E))*($E340&lt;=INDEX($E:$E,MATCH(TRUE,INDEX((ISNUMBER($E:$E)),0),0)))*($E340&gt;INDEX(_xlfn.ANCHORARRAY(Sintesi!$C$15),1,$C340))*($E340&lt;INDEX(_xlfn.ANCHORARRAY(Sintesi!$C$16),1,$C340))*(INDEX(_xlfn.ANCHORARRAY(Sintesi!$C$15),1,$C340)&gt;0),2,IF($E340=(INDEX(_xlfn.ANCHORARRAY(Sintesi!$C$16),1,$C340)),3,4)))),0)),IF(ISNUMBER($E339),IF($C340&gt;0,IF(($E340=INDEX(_xlfn.ANCHORARRAY(Sintesi!$C$14),1,$C340))*(INDEX(_xlfn.ANCHORARRAY(Sintesi!$C$15),1,$C340)&gt;0),0,IF(($E340=INDEX(_xlfn.ANCHORARRAY(Sintesi!$C$14),1,$C340))*(INDEX(_xlfn.ANCHORARRAY(Sintesi!$C$15),1,$C340)&lt;0)+($E340&gt;=$E339)*($E340&lt;=$E341)*($E340&gt;INDEX(_xlfn.ANCHORARRAY(Sintesi!$C$14),1,$C340))*($E340&lt;=INDEX(_xlfn.ANCHORARRAY(Sintesi!$C$15),1,$C340))*(INDEX(_xlfn.ANCHORARRAY(Sintesi!$C$15),1,$C340)&gt;0),1,IF(($E340&gt;=$E339)*($E340&lt;=$E341)*($E340&gt;INDEX(_xlfn.ANCHORARRAY(Sintesi!$C$14),1,$C340))*($E340&lt;INDEX(_xlfn.ANCHORARRAY(Sintesi!$C$16),1,$C340))*(INDEX(_xlfn.ANCHORARRAY(Sintesi!$C$15),1,$C340)&lt;0)+($E340&gt;=$E339)*($E340&lt;=$E341)*($E340&gt;INDEX(_xlfn.ANCHORARRAY(Sintesi!$C$15),1,$C340))*($E340&lt;INDEX(_xlfn.ANCHORARRAY(Sintesi!$C$16),1,$C340))*(INDEX(_xlfn.ANCHORARRAY(Sintesi!$C$15),1,$C340)&gt;0),2,IF($E340=(INDEX(_xlfn.ANCHORARRAY(Sintesi!$C$16),1,$C340)),3,4)))),0),IF($C340&gt;0,IF(($E340=INDEX(_xlfn.ANCHORARRAY(Sintesi!$C$14),1,$C340))*(INDEX(_xlfn.ANCHORARRAY(Sintesi!$C$15),1,$C340)&gt;0),0,IF(($E340=INDEX(_xlfn.ANCHORARRAY(Sintesi!$C$14),1,$C340))*(INDEX(_xlfn.ANCHORARRAY(Sintesi!$C$15),1,$C340)&lt;0)+($E340&gt;=LOOKUP(2,1/($E:$E&lt;&gt;""),$E:$E))*($E340&lt;=$E341)*($E340&gt;INDEX(_xlfn.ANCHORARRAY(Sintesi!$C$14),1,$C340))*($E340&lt;=INDEX(_xlfn.ANCHORARRAY(Sintesi!$C$15),1,$C340))*(INDEX(_xlfn.ANCHORARRAY(Sintesi!$C$15),1,$C340)&gt;0),1,IF(($E340&gt;=LOOKUP(2,1/($E:$E&lt;&gt;""),$E:$E))*($E340&lt;=$E341)*($E340&gt;INDEX(_xlfn.ANCHORARRAY(Sintesi!$C$14),1,$C340))*($E340&lt;INDEX(_xlfn.ANCHORARRAY(Sintesi!$C$16),1,$C340))*(INDEX(_xlfn.ANCHORARRAY(Sintesi!$C$15),1,$C340)&lt;0)+($E340&gt;=LOOKUP(2,1/($E:$E&lt;&gt;""),$E:$E))*($E340&lt;=$E341)*($E340&gt;INDEX(_xlfn.ANCHORARRAY(Sintesi!$C$15),1,$C340))*($E340&lt;INDEX(_xlfn.ANCHORARRAY(Sintesi!$C$16),1,$C340))*(INDEX(_xlfn.ANCHORARRAY(Sintesi!$C$15),1,$C340)&gt;0),2,IF($E340=(INDEX(_xlfn.ANCHORARRAY(Sintesi!$C$16),1,$C340)),3,4)))),0)))</f>
        <v/>
      </c>
      <c r="E340" s="1">
        <f>'Paste cell here'!F340</f>
        <v/>
      </c>
      <c r="F340" s="1">
        <f>'Paste cell here'!C340</f>
        <v/>
      </c>
      <c r="G340" s="1">
        <f>'Paste cell here'!D340</f>
        <v/>
      </c>
      <c r="H340" s="1">
        <f>'Paste cell here'!E340</f>
        <v/>
      </c>
      <c r="I340" s="1">
        <f>'Paste cell here'!X340</f>
        <v/>
      </c>
      <c r="J340" s="1">
        <f>'Paste cell here'!Y340+'Paste cell here'!S340</f>
        <v/>
      </c>
      <c r="K340" s="1">
        <f>I340/H340</f>
        <v/>
      </c>
      <c r="L340" s="1">
        <f>AVERAGE(($F340+$G340)/2-($F340-$G340)/2*COS(PI()*(8-VLOOKUP(MONTH(B340),$O$1:$Q$13,3))/(VLOOKUP(MONTH(B340),$O$1:$Q$13,2)-VLOOKUP(MONTH(B340),$O$1:$Q$13,3))),($F340+$G340)/2-($F340-$G340)/2*COS(PI()*(9-VLOOKUP(MONTH(B340),$O$1:$Q$13,3))/(VLOOKUP(MONTH(B340),$O$1:$Q$13,2)-VLOOKUP(MONTH(B340),$O$1:$Q$13,3))),($F340+$G340)/2-($F340-$G340)/2*COS(PI()*(10-VLOOKUP(MONTH(B340),$O$1:$Q$13,3))/(VLOOKUP(MONTH(B340),$O$1:$Q$13,2)-VLOOKUP(MONTH(B340),$O$1:$Q$13,3))),($F340+$G340)/2-($F340-$G340)/2*COS(PI()*(11-VLOOKUP(MONTH(B340),$O$1:$Q$13,3))/(VLOOKUP(MONTH(B340),$O$1:$Q$13,2)-VLOOKUP(MONTH(B340),$O$1:$Q$13,3))),($F340+$G340)/2-($F340-$G340)/2*COS(PI()*(12-VLOOKUP(MONTH(B340),$O$1:$Q$13,3))/(VLOOKUP(MONTH(B340),$O$1:$Q$13,2)-VLOOKUP(MONTH(B340),$O$1:$Q$13,3))),($F340+$G340)/2-($F340-$G340)/2*COS(PI()*(13-VLOOKUP(MONTH(B340),$O$1:$Q$13,3))/(VLOOKUP(MONTH(B340),$O$1:$Q$13,2)-VLOOKUP(MONTH(B340),$O$1:$Q$13,3))),($F340+$G340)/2-($F340-$G340)/2*COS(PI()*(14-VLOOKUP(MONTH(B340),$O$1:$Q$13,3))/(VLOOKUP(MONTH(B340),$O$1:$Q$13,2)-VLOOKUP(MONTH(B340),$O$1:$Q$13,3))))</f>
        <v/>
      </c>
      <c r="M340" s="1">
        <f t="array" ref="M340">IF(AND(A340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,A340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),IF(L340&lt;_xlfn.IFNA(INDEX(_xlfn.ANCHORARRAY(Sintesi!$C$17)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,1,IF(L340&gt;=_xlfn.IFNA(INDEX(_xlfn.ANCHORARRAY(Sintesi!$C$18)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,0,1-(L340-_xlfn.IFNA(INDEX(_xlfn.ANCHORARRAY(Sintesi!$C$17)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)/(_xlfn.IFNA(INDEX(_xlfn.ANCHORARRAY(Sintesi!$C$18)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-_xlfn.IFNA(INDEX(_xlfn.ANCHORARRAY(Sintesi!$C$17)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))),0)</f>
        <v/>
      </c>
    </row>
    <row r="341">
      <c r="A341" s="1">
        <f>'Paste cell here'!A341</f>
        <v/>
      </c>
      <c r="B341" s="2">
        <f>DATE(Sintesi!$C$4-1,12,31)+A341</f>
        <v/>
      </c>
      <c r="C341" s="34">
        <f t="array" ref="C341">_xlfn.IFNA(MATCH(1,(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)*(_xlfn.ANCHORARRAY(Sintesi!$C$15)&gt;=0)+(_xlfn.ANCHORARRAY(Sintesi!$C$15)&lt;0),0),0)</f>
        <v/>
      </c>
      <c r="D341" s="1">
        <f t="array" ref="D341">IF(ISBLANK($E342),IF(ISNUMBER($E340),IF($C341&gt;0,IF(($E341=INDEX(_xlfn.ANCHORARRAY(Sintesi!$C$14),1,$C341))*(INDEX(_xlfn.ANCHORARRAY(Sintesi!$C$15),1,$C341)&gt;0),0,IF(($E341=INDEX(_xlfn.ANCHORARRAY(Sintesi!$C$14),1,$C341))*(INDEX(_xlfn.ANCHORARRAY(Sintesi!$C$15),1,$C341)&lt;0)+($E341&gt;=$E340)*($E341&lt;=INDEX($E:$E,MATCH(TRUE,INDEX((ISNUMBER($E:$E)),0),0)))*($E341&gt;INDEX(_xlfn.ANCHORARRAY(Sintesi!$C$14),1,$C341))*($E341&lt;=INDEX(_xlfn.ANCHORARRAY(Sintesi!$C$15),1,$C341))*(INDEX(_xlfn.ANCHORARRAY(Sintesi!$C$15),1,$C341)&gt;0),1,IF(($E341&gt;=$E340)*($E341&lt;=INDEX($E:$E,MATCH(TRUE,INDEX((ISNUMBER($E:$E)),0),0)))*($E341&gt;INDEX(_xlfn.ANCHORARRAY(Sintesi!$C$14),1,$C341))*($E341&lt;INDEX(_xlfn.ANCHORARRAY(Sintesi!$C$16),1,$C341))*(INDEX(_xlfn.ANCHORARRAY(Sintesi!$C$15),1,$C341)&lt;0)+($E341&gt;=$E340)*($E341&lt;=INDEX($E:$E,MATCH(TRUE,INDEX((ISNUMBER($E:$E)),0),0)))*($E341&gt;INDEX(_xlfn.ANCHORARRAY(Sintesi!$C$15),1,$C341))*($E341&lt;INDEX(_xlfn.ANCHORARRAY(Sintesi!$C$16),1,$C341))*(INDEX(_xlfn.ANCHORARRAY(Sintesi!$C$15),1,$C341)&gt;0),2,IF($E341=(INDEX(_xlfn.ANCHORARRAY(Sintesi!$C$16),1,$C341)),3,4)))),0),IF($C341&gt;0,IF(($E341=INDEX(_xlfn.ANCHORARRAY(Sintesi!$C$14),1,$C341))*(INDEX(_xlfn.ANCHORARRAY(Sintesi!$C$15),1,$C341)&gt;0),0,IF(($E341=INDEX(_xlfn.ANCHORARRAY(Sintesi!$C$14),1,$C341))*(INDEX(_xlfn.ANCHORARRAY(Sintesi!$C$15),1,$C341)&lt;0)+($E341&gt;=LOOKUP(2,1/($E:$E&lt;&gt;""),$E:$E))*($E341&lt;=INDEX($E:$E,MATCH(TRUE,INDEX((ISNUMBER($E:$E)),0),0)))*($E341&gt;INDEX(_xlfn.ANCHORARRAY(Sintesi!$C$14),1,$C341))*($E341&lt;=INDEX(_xlfn.ANCHORARRAY(Sintesi!$C$15),1,$C341))*(INDEX(_xlfn.ANCHORARRAY(Sintesi!$C$15),1,$C341)&gt;0),1,IF(($E341&gt;=LOOKUP(2,1/($E:$E&lt;&gt;""),$E:$E))*($E341&lt;=INDEX($E:$E,MATCH(TRUE,INDEX((ISNUMBER($E:$E)),0),0)))*($E341&gt;INDEX(_xlfn.ANCHORARRAY(Sintesi!$C$14),1,$C341))*($E341&lt;INDEX(_xlfn.ANCHORARRAY(Sintesi!$C$16),1,$C341))*(INDEX(_xlfn.ANCHORARRAY(Sintesi!$C$15),1,$C341)&lt;0)+($E341&gt;=LOOKUP(2,1/($E:$E&lt;&gt;""),$E:$E))*($E341&lt;=INDEX($E:$E,MATCH(TRUE,INDEX((ISNUMBER($E:$E)),0),0)))*($E341&gt;INDEX(_xlfn.ANCHORARRAY(Sintesi!$C$15),1,$C341))*($E341&lt;INDEX(_xlfn.ANCHORARRAY(Sintesi!$C$16),1,$C341))*(INDEX(_xlfn.ANCHORARRAY(Sintesi!$C$15),1,$C341)&gt;0),2,IF($E341=(INDEX(_xlfn.ANCHORARRAY(Sintesi!$C$16),1,$C341)),3,4)))),0)),IF(ISNUMBER($E340),IF($C341&gt;0,IF(($E341=INDEX(_xlfn.ANCHORARRAY(Sintesi!$C$14),1,$C341))*(INDEX(_xlfn.ANCHORARRAY(Sintesi!$C$15),1,$C341)&gt;0),0,IF(($E341=INDEX(_xlfn.ANCHORARRAY(Sintesi!$C$14),1,$C341))*(INDEX(_xlfn.ANCHORARRAY(Sintesi!$C$15),1,$C341)&lt;0)+($E341&gt;=$E340)*($E341&lt;=$E342)*($E341&gt;INDEX(_xlfn.ANCHORARRAY(Sintesi!$C$14),1,$C341))*($E341&lt;=INDEX(_xlfn.ANCHORARRAY(Sintesi!$C$15),1,$C341))*(INDEX(_xlfn.ANCHORARRAY(Sintesi!$C$15),1,$C341)&gt;0),1,IF(($E341&gt;=$E340)*($E341&lt;=$E342)*($E341&gt;INDEX(_xlfn.ANCHORARRAY(Sintesi!$C$14),1,$C341))*($E341&lt;INDEX(_xlfn.ANCHORARRAY(Sintesi!$C$16),1,$C341))*(INDEX(_xlfn.ANCHORARRAY(Sintesi!$C$15),1,$C341)&lt;0)+($E341&gt;=$E340)*($E341&lt;=$E342)*($E341&gt;INDEX(_xlfn.ANCHORARRAY(Sintesi!$C$15),1,$C341))*($E341&lt;INDEX(_xlfn.ANCHORARRAY(Sintesi!$C$16),1,$C341))*(INDEX(_xlfn.ANCHORARRAY(Sintesi!$C$15),1,$C341)&gt;0),2,IF($E341=(INDEX(_xlfn.ANCHORARRAY(Sintesi!$C$16),1,$C341)),3,4)))),0),IF($C341&gt;0,IF(($E341=INDEX(_xlfn.ANCHORARRAY(Sintesi!$C$14),1,$C341))*(INDEX(_xlfn.ANCHORARRAY(Sintesi!$C$15),1,$C341)&gt;0),0,IF(($E341=INDEX(_xlfn.ANCHORARRAY(Sintesi!$C$14),1,$C341))*(INDEX(_xlfn.ANCHORARRAY(Sintesi!$C$15),1,$C341)&lt;0)+($E341&gt;=LOOKUP(2,1/($E:$E&lt;&gt;""),$E:$E))*($E341&lt;=$E342)*($E341&gt;INDEX(_xlfn.ANCHORARRAY(Sintesi!$C$14),1,$C341))*($E341&lt;=INDEX(_xlfn.ANCHORARRAY(Sintesi!$C$15),1,$C341))*(INDEX(_xlfn.ANCHORARRAY(Sintesi!$C$15),1,$C341)&gt;0),1,IF(($E341&gt;=LOOKUP(2,1/($E:$E&lt;&gt;""),$E:$E))*($E341&lt;=$E342)*($E341&gt;INDEX(_xlfn.ANCHORARRAY(Sintesi!$C$14),1,$C341))*($E341&lt;INDEX(_xlfn.ANCHORARRAY(Sintesi!$C$16),1,$C341))*(INDEX(_xlfn.ANCHORARRAY(Sintesi!$C$15),1,$C341)&lt;0)+($E341&gt;=LOOKUP(2,1/($E:$E&lt;&gt;""),$E:$E))*($E341&lt;=$E342)*($E341&gt;INDEX(_xlfn.ANCHORARRAY(Sintesi!$C$15),1,$C341))*($E341&lt;INDEX(_xlfn.ANCHORARRAY(Sintesi!$C$16),1,$C341))*(INDEX(_xlfn.ANCHORARRAY(Sintesi!$C$15),1,$C341)&gt;0),2,IF($E341=(INDEX(_xlfn.ANCHORARRAY(Sintesi!$C$16),1,$C341)),3,4)))),0)))</f>
        <v/>
      </c>
      <c r="E341" s="1">
        <f>'Paste cell here'!F341</f>
        <v/>
      </c>
      <c r="F341" s="1">
        <f>'Paste cell here'!C341</f>
        <v/>
      </c>
      <c r="G341" s="1">
        <f>'Paste cell here'!D341</f>
        <v/>
      </c>
      <c r="H341" s="1">
        <f>'Paste cell here'!E341</f>
        <v/>
      </c>
      <c r="I341" s="1">
        <f>'Paste cell here'!X341</f>
        <v/>
      </c>
      <c r="J341" s="1">
        <f>'Paste cell here'!Y341+'Paste cell here'!S341</f>
        <v/>
      </c>
      <c r="K341" s="1">
        <f>I341/H341</f>
        <v/>
      </c>
      <c r="L341" s="1">
        <f>AVERAGE(($F341+$G341)/2-($F341-$G341)/2*COS(PI()*(8-VLOOKUP(MONTH(B341),$O$1:$Q$13,3))/(VLOOKUP(MONTH(B341),$O$1:$Q$13,2)-VLOOKUP(MONTH(B341),$O$1:$Q$13,3))),($F341+$G341)/2-($F341-$G341)/2*COS(PI()*(9-VLOOKUP(MONTH(B341),$O$1:$Q$13,3))/(VLOOKUP(MONTH(B341),$O$1:$Q$13,2)-VLOOKUP(MONTH(B341),$O$1:$Q$13,3))),($F341+$G341)/2-($F341-$G341)/2*COS(PI()*(10-VLOOKUP(MONTH(B341),$O$1:$Q$13,3))/(VLOOKUP(MONTH(B341),$O$1:$Q$13,2)-VLOOKUP(MONTH(B341),$O$1:$Q$13,3))),($F341+$G341)/2-($F341-$G341)/2*COS(PI()*(11-VLOOKUP(MONTH(B341),$O$1:$Q$13,3))/(VLOOKUP(MONTH(B341),$O$1:$Q$13,2)-VLOOKUP(MONTH(B341),$O$1:$Q$13,3))),($F341+$G341)/2-($F341-$G341)/2*COS(PI()*(12-VLOOKUP(MONTH(B341),$O$1:$Q$13,3))/(VLOOKUP(MONTH(B341),$O$1:$Q$13,2)-VLOOKUP(MONTH(B341),$O$1:$Q$13,3))),($F341+$G341)/2-($F341-$G341)/2*COS(PI()*(13-VLOOKUP(MONTH(B341),$O$1:$Q$13,3))/(VLOOKUP(MONTH(B341),$O$1:$Q$13,2)-VLOOKUP(MONTH(B341),$O$1:$Q$13,3))),($F341+$G341)/2-($F341-$G341)/2*COS(PI()*(14-VLOOKUP(MONTH(B341),$O$1:$Q$13,3))/(VLOOKUP(MONTH(B341),$O$1:$Q$13,2)-VLOOKUP(MONTH(B341),$O$1:$Q$13,3))))</f>
        <v/>
      </c>
      <c r="M341" s="1">
        <f t="array" ref="M341">IF(AND(A341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,A341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),IF(L341&lt;_xlfn.IFNA(INDEX(_xlfn.ANCHORARRAY(Sintesi!$C$17)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,1,IF(L341&gt;=_xlfn.IFNA(INDEX(_xlfn.ANCHORARRAY(Sintesi!$C$18)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,0,1-(L341-_xlfn.IFNA(INDEX(_xlfn.ANCHORARRAY(Sintesi!$C$17)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)/(_xlfn.IFNA(INDEX(_xlfn.ANCHORARRAY(Sintesi!$C$18)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-_xlfn.IFNA(INDEX(_xlfn.ANCHORARRAY(Sintesi!$C$17)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))),0)</f>
        <v/>
      </c>
    </row>
    <row r="342">
      <c r="A342" s="1">
        <f>'Paste cell here'!A342</f>
        <v/>
      </c>
      <c r="B342" s="2">
        <f>DATE(Sintesi!$C$4-1,12,31)+A342</f>
        <v/>
      </c>
      <c r="C342" s="34">
        <f t="array" ref="C342">_xlfn.IFNA(MATCH(1,(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)*(_xlfn.ANCHORARRAY(Sintesi!$C$15)&gt;=0)+(_xlfn.ANCHORARRAY(Sintesi!$C$15)&lt;0),0),0)</f>
        <v/>
      </c>
      <c r="D342" s="1">
        <f t="array" ref="D342">IF(ISBLANK($E343),IF(ISNUMBER($E341),IF($C342&gt;0,IF(($E342=INDEX(_xlfn.ANCHORARRAY(Sintesi!$C$14),1,$C342))*(INDEX(_xlfn.ANCHORARRAY(Sintesi!$C$15),1,$C342)&gt;0),0,IF(($E342=INDEX(_xlfn.ANCHORARRAY(Sintesi!$C$14),1,$C342))*(INDEX(_xlfn.ANCHORARRAY(Sintesi!$C$15),1,$C342)&lt;0)+($E342&gt;=$E341)*($E342&lt;=INDEX($E:$E,MATCH(TRUE,INDEX((ISNUMBER($E:$E)),0),0)))*($E342&gt;INDEX(_xlfn.ANCHORARRAY(Sintesi!$C$14),1,$C342))*($E342&lt;=INDEX(_xlfn.ANCHORARRAY(Sintesi!$C$15),1,$C342))*(INDEX(_xlfn.ANCHORARRAY(Sintesi!$C$15),1,$C342)&gt;0),1,IF(($E342&gt;=$E341)*($E342&lt;=INDEX($E:$E,MATCH(TRUE,INDEX((ISNUMBER($E:$E)),0),0)))*($E342&gt;INDEX(_xlfn.ANCHORARRAY(Sintesi!$C$14),1,$C342))*($E342&lt;INDEX(_xlfn.ANCHORARRAY(Sintesi!$C$16),1,$C342))*(INDEX(_xlfn.ANCHORARRAY(Sintesi!$C$15),1,$C342)&lt;0)+($E342&gt;=$E341)*($E342&lt;=INDEX($E:$E,MATCH(TRUE,INDEX((ISNUMBER($E:$E)),0),0)))*($E342&gt;INDEX(_xlfn.ANCHORARRAY(Sintesi!$C$15),1,$C342))*($E342&lt;INDEX(_xlfn.ANCHORARRAY(Sintesi!$C$16),1,$C342))*(INDEX(_xlfn.ANCHORARRAY(Sintesi!$C$15),1,$C342)&gt;0),2,IF($E342=(INDEX(_xlfn.ANCHORARRAY(Sintesi!$C$16),1,$C342)),3,4)))),0),IF($C342&gt;0,IF(($E342=INDEX(_xlfn.ANCHORARRAY(Sintesi!$C$14),1,$C342))*(INDEX(_xlfn.ANCHORARRAY(Sintesi!$C$15),1,$C342)&gt;0),0,IF(($E342=INDEX(_xlfn.ANCHORARRAY(Sintesi!$C$14),1,$C342))*(INDEX(_xlfn.ANCHORARRAY(Sintesi!$C$15),1,$C342)&lt;0)+($E342&gt;=LOOKUP(2,1/($E:$E&lt;&gt;""),$E:$E))*($E342&lt;=INDEX($E:$E,MATCH(TRUE,INDEX((ISNUMBER($E:$E)),0),0)))*($E342&gt;INDEX(_xlfn.ANCHORARRAY(Sintesi!$C$14),1,$C342))*($E342&lt;=INDEX(_xlfn.ANCHORARRAY(Sintesi!$C$15),1,$C342))*(INDEX(_xlfn.ANCHORARRAY(Sintesi!$C$15),1,$C342)&gt;0),1,IF(($E342&gt;=LOOKUP(2,1/($E:$E&lt;&gt;""),$E:$E))*($E342&lt;=INDEX($E:$E,MATCH(TRUE,INDEX((ISNUMBER($E:$E)),0),0)))*($E342&gt;INDEX(_xlfn.ANCHORARRAY(Sintesi!$C$14),1,$C342))*($E342&lt;INDEX(_xlfn.ANCHORARRAY(Sintesi!$C$16),1,$C342))*(INDEX(_xlfn.ANCHORARRAY(Sintesi!$C$15),1,$C342)&lt;0)+($E342&gt;=LOOKUP(2,1/($E:$E&lt;&gt;""),$E:$E))*($E342&lt;=INDEX($E:$E,MATCH(TRUE,INDEX((ISNUMBER($E:$E)),0),0)))*($E342&gt;INDEX(_xlfn.ANCHORARRAY(Sintesi!$C$15),1,$C342))*($E342&lt;INDEX(_xlfn.ANCHORARRAY(Sintesi!$C$16),1,$C342))*(INDEX(_xlfn.ANCHORARRAY(Sintesi!$C$15),1,$C342)&gt;0),2,IF($E342=(INDEX(_xlfn.ANCHORARRAY(Sintesi!$C$16),1,$C342)),3,4)))),0)),IF(ISNUMBER($E341),IF($C342&gt;0,IF(($E342=INDEX(_xlfn.ANCHORARRAY(Sintesi!$C$14),1,$C342))*(INDEX(_xlfn.ANCHORARRAY(Sintesi!$C$15),1,$C342)&gt;0),0,IF(($E342=INDEX(_xlfn.ANCHORARRAY(Sintesi!$C$14),1,$C342))*(INDEX(_xlfn.ANCHORARRAY(Sintesi!$C$15),1,$C342)&lt;0)+($E342&gt;=$E341)*($E342&lt;=$E343)*($E342&gt;INDEX(_xlfn.ANCHORARRAY(Sintesi!$C$14),1,$C342))*($E342&lt;=INDEX(_xlfn.ANCHORARRAY(Sintesi!$C$15),1,$C342))*(INDEX(_xlfn.ANCHORARRAY(Sintesi!$C$15),1,$C342)&gt;0),1,IF(($E342&gt;=$E341)*($E342&lt;=$E343)*($E342&gt;INDEX(_xlfn.ANCHORARRAY(Sintesi!$C$14),1,$C342))*($E342&lt;INDEX(_xlfn.ANCHORARRAY(Sintesi!$C$16),1,$C342))*(INDEX(_xlfn.ANCHORARRAY(Sintesi!$C$15),1,$C342)&lt;0)+($E342&gt;=$E341)*($E342&lt;=$E343)*($E342&gt;INDEX(_xlfn.ANCHORARRAY(Sintesi!$C$15),1,$C342))*($E342&lt;INDEX(_xlfn.ANCHORARRAY(Sintesi!$C$16),1,$C342))*(INDEX(_xlfn.ANCHORARRAY(Sintesi!$C$15),1,$C342)&gt;0),2,IF($E342=(INDEX(_xlfn.ANCHORARRAY(Sintesi!$C$16),1,$C342)),3,4)))),0),IF($C342&gt;0,IF(($E342=INDEX(_xlfn.ANCHORARRAY(Sintesi!$C$14),1,$C342))*(INDEX(_xlfn.ANCHORARRAY(Sintesi!$C$15),1,$C342)&gt;0),0,IF(($E342=INDEX(_xlfn.ANCHORARRAY(Sintesi!$C$14),1,$C342))*(INDEX(_xlfn.ANCHORARRAY(Sintesi!$C$15),1,$C342)&lt;0)+($E342&gt;=LOOKUP(2,1/($E:$E&lt;&gt;""),$E:$E))*($E342&lt;=$E343)*($E342&gt;INDEX(_xlfn.ANCHORARRAY(Sintesi!$C$14),1,$C342))*($E342&lt;=INDEX(_xlfn.ANCHORARRAY(Sintesi!$C$15),1,$C342))*(INDEX(_xlfn.ANCHORARRAY(Sintesi!$C$15),1,$C342)&gt;0),1,IF(($E342&gt;=LOOKUP(2,1/($E:$E&lt;&gt;""),$E:$E))*($E342&lt;=$E343)*($E342&gt;INDEX(_xlfn.ANCHORARRAY(Sintesi!$C$14),1,$C342))*($E342&lt;INDEX(_xlfn.ANCHORARRAY(Sintesi!$C$16),1,$C342))*(INDEX(_xlfn.ANCHORARRAY(Sintesi!$C$15),1,$C342)&lt;0)+($E342&gt;=LOOKUP(2,1/($E:$E&lt;&gt;""),$E:$E))*($E342&lt;=$E343)*($E342&gt;INDEX(_xlfn.ANCHORARRAY(Sintesi!$C$15),1,$C342))*($E342&lt;INDEX(_xlfn.ANCHORARRAY(Sintesi!$C$16),1,$C342))*(INDEX(_xlfn.ANCHORARRAY(Sintesi!$C$15),1,$C342)&gt;0),2,IF($E342=(INDEX(_xlfn.ANCHORARRAY(Sintesi!$C$16),1,$C342)),3,4)))),0)))</f>
        <v/>
      </c>
      <c r="E342" s="1">
        <f>'Paste cell here'!F342</f>
        <v/>
      </c>
      <c r="F342" s="1">
        <f>'Paste cell here'!C342</f>
        <v/>
      </c>
      <c r="G342" s="1">
        <f>'Paste cell here'!D342</f>
        <v/>
      </c>
      <c r="H342" s="1">
        <f>'Paste cell here'!E342</f>
        <v/>
      </c>
      <c r="I342" s="1">
        <f>'Paste cell here'!X342</f>
        <v/>
      </c>
      <c r="J342" s="1">
        <f>'Paste cell here'!Y342+'Paste cell here'!S342</f>
        <v/>
      </c>
      <c r="K342" s="1">
        <f>I342/H342</f>
        <v/>
      </c>
      <c r="L342" s="1">
        <f>AVERAGE(($F342+$G342)/2-($F342-$G342)/2*COS(PI()*(8-VLOOKUP(MONTH(B342),$O$1:$Q$13,3))/(VLOOKUP(MONTH(B342),$O$1:$Q$13,2)-VLOOKUP(MONTH(B342),$O$1:$Q$13,3))),($F342+$G342)/2-($F342-$G342)/2*COS(PI()*(9-VLOOKUP(MONTH(B342),$O$1:$Q$13,3))/(VLOOKUP(MONTH(B342),$O$1:$Q$13,2)-VLOOKUP(MONTH(B342),$O$1:$Q$13,3))),($F342+$G342)/2-($F342-$G342)/2*COS(PI()*(10-VLOOKUP(MONTH(B342),$O$1:$Q$13,3))/(VLOOKUP(MONTH(B342),$O$1:$Q$13,2)-VLOOKUP(MONTH(B342),$O$1:$Q$13,3))),($F342+$G342)/2-($F342-$G342)/2*COS(PI()*(11-VLOOKUP(MONTH(B342),$O$1:$Q$13,3))/(VLOOKUP(MONTH(B342),$O$1:$Q$13,2)-VLOOKUP(MONTH(B342),$O$1:$Q$13,3))),($F342+$G342)/2-($F342-$G342)/2*COS(PI()*(12-VLOOKUP(MONTH(B342),$O$1:$Q$13,3))/(VLOOKUP(MONTH(B342),$O$1:$Q$13,2)-VLOOKUP(MONTH(B342),$O$1:$Q$13,3))),($F342+$G342)/2-($F342-$G342)/2*COS(PI()*(13-VLOOKUP(MONTH(B342),$O$1:$Q$13,3))/(VLOOKUP(MONTH(B342),$O$1:$Q$13,2)-VLOOKUP(MONTH(B342),$O$1:$Q$13,3))),($F342+$G342)/2-($F342-$G342)/2*COS(PI()*(14-VLOOKUP(MONTH(B342),$O$1:$Q$13,3))/(VLOOKUP(MONTH(B342),$O$1:$Q$13,2)-VLOOKUP(MONTH(B342),$O$1:$Q$13,3))))</f>
        <v/>
      </c>
      <c r="M342" s="1">
        <f t="array" ref="M342">IF(AND(A342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,A342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),IF(L342&lt;_xlfn.IFNA(INDEX(_xlfn.ANCHORARRAY(Sintesi!$C$17)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,1,IF(L342&gt;=_xlfn.IFNA(INDEX(_xlfn.ANCHORARRAY(Sintesi!$C$18)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,0,1-(L342-_xlfn.IFNA(INDEX(_xlfn.ANCHORARRAY(Sintesi!$C$17)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)/(_xlfn.IFNA(INDEX(_xlfn.ANCHORARRAY(Sintesi!$C$18)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-_xlfn.IFNA(INDEX(_xlfn.ANCHORARRAY(Sintesi!$C$17)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))),0)</f>
        <v/>
      </c>
    </row>
    <row r="343">
      <c r="A343" s="1">
        <f>'Paste cell here'!A343</f>
        <v/>
      </c>
      <c r="B343" s="2">
        <f>DATE(Sintesi!$C$4-1,12,31)+A343</f>
        <v/>
      </c>
      <c r="C343" s="34">
        <f t="array" ref="C343">_xlfn.IFNA(MATCH(1,(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)*(_xlfn.ANCHORARRAY(Sintesi!$C$15)&gt;=0)+(_xlfn.ANCHORARRAY(Sintesi!$C$15)&lt;0),0),0)</f>
        <v/>
      </c>
      <c r="D343" s="1">
        <f t="array" ref="D343">IF(ISBLANK($E344),IF(ISNUMBER($E342),IF($C343&gt;0,IF(($E343=INDEX(_xlfn.ANCHORARRAY(Sintesi!$C$14),1,$C343))*(INDEX(_xlfn.ANCHORARRAY(Sintesi!$C$15),1,$C343)&gt;0),0,IF(($E343=INDEX(_xlfn.ANCHORARRAY(Sintesi!$C$14),1,$C343))*(INDEX(_xlfn.ANCHORARRAY(Sintesi!$C$15),1,$C343)&lt;0)+($E343&gt;=$E342)*($E343&lt;=INDEX($E:$E,MATCH(TRUE,INDEX((ISNUMBER($E:$E)),0),0)))*($E343&gt;INDEX(_xlfn.ANCHORARRAY(Sintesi!$C$14),1,$C343))*($E343&lt;=INDEX(_xlfn.ANCHORARRAY(Sintesi!$C$15),1,$C343))*(INDEX(_xlfn.ANCHORARRAY(Sintesi!$C$15),1,$C343)&gt;0),1,IF(($E343&gt;=$E342)*($E343&lt;=INDEX($E:$E,MATCH(TRUE,INDEX((ISNUMBER($E:$E)),0),0)))*($E343&gt;INDEX(_xlfn.ANCHORARRAY(Sintesi!$C$14),1,$C343))*($E343&lt;INDEX(_xlfn.ANCHORARRAY(Sintesi!$C$16),1,$C343))*(INDEX(_xlfn.ANCHORARRAY(Sintesi!$C$15),1,$C343)&lt;0)+($E343&gt;=$E342)*($E343&lt;=INDEX($E:$E,MATCH(TRUE,INDEX((ISNUMBER($E:$E)),0),0)))*($E343&gt;INDEX(_xlfn.ANCHORARRAY(Sintesi!$C$15),1,$C343))*($E343&lt;INDEX(_xlfn.ANCHORARRAY(Sintesi!$C$16),1,$C343))*(INDEX(_xlfn.ANCHORARRAY(Sintesi!$C$15),1,$C343)&gt;0),2,IF($E343=(INDEX(_xlfn.ANCHORARRAY(Sintesi!$C$16),1,$C343)),3,4)))),0),IF($C343&gt;0,IF(($E343=INDEX(_xlfn.ANCHORARRAY(Sintesi!$C$14),1,$C343))*(INDEX(_xlfn.ANCHORARRAY(Sintesi!$C$15),1,$C343)&gt;0),0,IF(($E343=INDEX(_xlfn.ANCHORARRAY(Sintesi!$C$14),1,$C343))*(INDEX(_xlfn.ANCHORARRAY(Sintesi!$C$15),1,$C343)&lt;0)+($E343&gt;=LOOKUP(2,1/($E:$E&lt;&gt;""),$E:$E))*($E343&lt;=INDEX($E:$E,MATCH(TRUE,INDEX((ISNUMBER($E:$E)),0),0)))*($E343&gt;INDEX(_xlfn.ANCHORARRAY(Sintesi!$C$14),1,$C343))*($E343&lt;=INDEX(_xlfn.ANCHORARRAY(Sintesi!$C$15),1,$C343))*(INDEX(_xlfn.ANCHORARRAY(Sintesi!$C$15),1,$C343)&gt;0),1,IF(($E343&gt;=LOOKUP(2,1/($E:$E&lt;&gt;""),$E:$E))*($E343&lt;=INDEX($E:$E,MATCH(TRUE,INDEX((ISNUMBER($E:$E)),0),0)))*($E343&gt;INDEX(_xlfn.ANCHORARRAY(Sintesi!$C$14),1,$C343))*($E343&lt;INDEX(_xlfn.ANCHORARRAY(Sintesi!$C$16),1,$C343))*(INDEX(_xlfn.ANCHORARRAY(Sintesi!$C$15),1,$C343)&lt;0)+($E343&gt;=LOOKUP(2,1/($E:$E&lt;&gt;""),$E:$E))*($E343&lt;=INDEX($E:$E,MATCH(TRUE,INDEX((ISNUMBER($E:$E)),0),0)))*($E343&gt;INDEX(_xlfn.ANCHORARRAY(Sintesi!$C$15),1,$C343))*($E343&lt;INDEX(_xlfn.ANCHORARRAY(Sintesi!$C$16),1,$C343))*(INDEX(_xlfn.ANCHORARRAY(Sintesi!$C$15),1,$C343)&gt;0),2,IF($E343=(INDEX(_xlfn.ANCHORARRAY(Sintesi!$C$16),1,$C343)),3,4)))),0)),IF(ISNUMBER($E342),IF($C343&gt;0,IF(($E343=INDEX(_xlfn.ANCHORARRAY(Sintesi!$C$14),1,$C343))*(INDEX(_xlfn.ANCHORARRAY(Sintesi!$C$15),1,$C343)&gt;0),0,IF(($E343=INDEX(_xlfn.ANCHORARRAY(Sintesi!$C$14),1,$C343))*(INDEX(_xlfn.ANCHORARRAY(Sintesi!$C$15),1,$C343)&lt;0)+($E343&gt;=$E342)*($E343&lt;=$E344)*($E343&gt;INDEX(_xlfn.ANCHORARRAY(Sintesi!$C$14),1,$C343))*($E343&lt;=INDEX(_xlfn.ANCHORARRAY(Sintesi!$C$15),1,$C343))*(INDEX(_xlfn.ANCHORARRAY(Sintesi!$C$15),1,$C343)&gt;0),1,IF(($E343&gt;=$E342)*($E343&lt;=$E344)*($E343&gt;INDEX(_xlfn.ANCHORARRAY(Sintesi!$C$14),1,$C343))*($E343&lt;INDEX(_xlfn.ANCHORARRAY(Sintesi!$C$16),1,$C343))*(INDEX(_xlfn.ANCHORARRAY(Sintesi!$C$15),1,$C343)&lt;0)+($E343&gt;=$E342)*($E343&lt;=$E344)*($E343&gt;INDEX(_xlfn.ANCHORARRAY(Sintesi!$C$15),1,$C343))*($E343&lt;INDEX(_xlfn.ANCHORARRAY(Sintesi!$C$16),1,$C343))*(INDEX(_xlfn.ANCHORARRAY(Sintesi!$C$15),1,$C343)&gt;0),2,IF($E343=(INDEX(_xlfn.ANCHORARRAY(Sintesi!$C$16),1,$C343)),3,4)))),0),IF($C343&gt;0,IF(($E343=INDEX(_xlfn.ANCHORARRAY(Sintesi!$C$14),1,$C343))*(INDEX(_xlfn.ANCHORARRAY(Sintesi!$C$15),1,$C343)&gt;0),0,IF(($E343=INDEX(_xlfn.ANCHORARRAY(Sintesi!$C$14),1,$C343))*(INDEX(_xlfn.ANCHORARRAY(Sintesi!$C$15),1,$C343)&lt;0)+($E343&gt;=LOOKUP(2,1/($E:$E&lt;&gt;""),$E:$E))*($E343&lt;=$E344)*($E343&gt;INDEX(_xlfn.ANCHORARRAY(Sintesi!$C$14),1,$C343))*($E343&lt;=INDEX(_xlfn.ANCHORARRAY(Sintesi!$C$15),1,$C343))*(INDEX(_xlfn.ANCHORARRAY(Sintesi!$C$15),1,$C343)&gt;0),1,IF(($E343&gt;=LOOKUP(2,1/($E:$E&lt;&gt;""),$E:$E))*($E343&lt;=$E344)*($E343&gt;INDEX(_xlfn.ANCHORARRAY(Sintesi!$C$14),1,$C343))*($E343&lt;INDEX(_xlfn.ANCHORARRAY(Sintesi!$C$16),1,$C343))*(INDEX(_xlfn.ANCHORARRAY(Sintesi!$C$15),1,$C343)&lt;0)+($E343&gt;=LOOKUP(2,1/($E:$E&lt;&gt;""),$E:$E))*($E343&lt;=$E344)*($E343&gt;INDEX(_xlfn.ANCHORARRAY(Sintesi!$C$15),1,$C343))*($E343&lt;INDEX(_xlfn.ANCHORARRAY(Sintesi!$C$16),1,$C343))*(INDEX(_xlfn.ANCHORARRAY(Sintesi!$C$15),1,$C343)&gt;0),2,IF($E343=(INDEX(_xlfn.ANCHORARRAY(Sintesi!$C$16),1,$C343)),3,4)))),0)))</f>
        <v/>
      </c>
      <c r="E343" s="1">
        <f>'Paste cell here'!F343</f>
        <v/>
      </c>
      <c r="F343" s="1">
        <f>'Paste cell here'!C343</f>
        <v/>
      </c>
      <c r="G343" s="1">
        <f>'Paste cell here'!D343</f>
        <v/>
      </c>
      <c r="H343" s="1">
        <f>'Paste cell here'!E343</f>
        <v/>
      </c>
      <c r="I343" s="1">
        <f>'Paste cell here'!X343</f>
        <v/>
      </c>
      <c r="J343" s="1">
        <f>'Paste cell here'!Y343+'Paste cell here'!S343</f>
        <v/>
      </c>
      <c r="K343" s="1">
        <f>I343/H343</f>
        <v/>
      </c>
      <c r="L343" s="1">
        <f>AVERAGE(($F343+$G343)/2-($F343-$G343)/2*COS(PI()*(8-VLOOKUP(MONTH(B343),$O$1:$Q$13,3))/(VLOOKUP(MONTH(B343),$O$1:$Q$13,2)-VLOOKUP(MONTH(B343),$O$1:$Q$13,3))),($F343+$G343)/2-($F343-$G343)/2*COS(PI()*(9-VLOOKUP(MONTH(B343),$O$1:$Q$13,3))/(VLOOKUP(MONTH(B343),$O$1:$Q$13,2)-VLOOKUP(MONTH(B343),$O$1:$Q$13,3))),($F343+$G343)/2-($F343-$G343)/2*COS(PI()*(10-VLOOKUP(MONTH(B343),$O$1:$Q$13,3))/(VLOOKUP(MONTH(B343),$O$1:$Q$13,2)-VLOOKUP(MONTH(B343),$O$1:$Q$13,3))),($F343+$G343)/2-($F343-$G343)/2*COS(PI()*(11-VLOOKUP(MONTH(B343),$O$1:$Q$13,3))/(VLOOKUP(MONTH(B343),$O$1:$Q$13,2)-VLOOKUP(MONTH(B343),$O$1:$Q$13,3))),($F343+$G343)/2-($F343-$G343)/2*COS(PI()*(12-VLOOKUP(MONTH(B343),$O$1:$Q$13,3))/(VLOOKUP(MONTH(B343),$O$1:$Q$13,2)-VLOOKUP(MONTH(B343),$O$1:$Q$13,3))),($F343+$G343)/2-($F343-$G343)/2*COS(PI()*(13-VLOOKUP(MONTH(B343),$O$1:$Q$13,3))/(VLOOKUP(MONTH(B343),$O$1:$Q$13,2)-VLOOKUP(MONTH(B343),$O$1:$Q$13,3))),($F343+$G343)/2-($F343-$G343)/2*COS(PI()*(14-VLOOKUP(MONTH(B343),$O$1:$Q$13,3))/(VLOOKUP(MONTH(B343),$O$1:$Q$13,2)-VLOOKUP(MONTH(B343),$O$1:$Q$13,3))))</f>
        <v/>
      </c>
      <c r="M343" s="1">
        <f t="array" ref="M343">IF(AND(A343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,A343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),IF(L343&lt;_xlfn.IFNA(INDEX(_xlfn.ANCHORARRAY(Sintesi!$C$17)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,1,IF(L343&gt;=_xlfn.IFNA(INDEX(_xlfn.ANCHORARRAY(Sintesi!$C$18)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,0,1-(L343-_xlfn.IFNA(INDEX(_xlfn.ANCHORARRAY(Sintesi!$C$17)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)/(_xlfn.IFNA(INDEX(_xlfn.ANCHORARRAY(Sintesi!$C$18)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-_xlfn.IFNA(INDEX(_xlfn.ANCHORARRAY(Sintesi!$C$17)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))),0)</f>
        <v/>
      </c>
    </row>
    <row r="344">
      <c r="A344" s="1">
        <f>'Paste cell here'!A344</f>
        <v/>
      </c>
      <c r="B344" s="2">
        <f>DATE(Sintesi!$C$4-1,12,31)+A344</f>
        <v/>
      </c>
      <c r="C344" s="34">
        <f t="array" ref="C344">_xlfn.IFNA(MATCH(1,(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)*(_xlfn.ANCHORARRAY(Sintesi!$C$15)&gt;=0)+(_xlfn.ANCHORARRAY(Sintesi!$C$15)&lt;0),0),0)</f>
        <v/>
      </c>
      <c r="D344" s="1">
        <f t="array" ref="D344">IF(ISBLANK($E345),IF(ISNUMBER($E343),IF($C344&gt;0,IF(($E344=INDEX(_xlfn.ANCHORARRAY(Sintesi!$C$14),1,$C344))*(INDEX(_xlfn.ANCHORARRAY(Sintesi!$C$15),1,$C344)&gt;0),0,IF(($E344=INDEX(_xlfn.ANCHORARRAY(Sintesi!$C$14),1,$C344))*(INDEX(_xlfn.ANCHORARRAY(Sintesi!$C$15),1,$C344)&lt;0)+($E344&gt;=$E343)*($E344&lt;=INDEX($E:$E,MATCH(TRUE,INDEX((ISNUMBER($E:$E)),0),0)))*($E344&gt;INDEX(_xlfn.ANCHORARRAY(Sintesi!$C$14),1,$C344))*($E344&lt;=INDEX(_xlfn.ANCHORARRAY(Sintesi!$C$15),1,$C344))*(INDEX(_xlfn.ANCHORARRAY(Sintesi!$C$15),1,$C344)&gt;0),1,IF(($E344&gt;=$E343)*($E344&lt;=INDEX($E:$E,MATCH(TRUE,INDEX((ISNUMBER($E:$E)),0),0)))*($E344&gt;INDEX(_xlfn.ANCHORARRAY(Sintesi!$C$14),1,$C344))*($E344&lt;INDEX(_xlfn.ANCHORARRAY(Sintesi!$C$16),1,$C344))*(INDEX(_xlfn.ANCHORARRAY(Sintesi!$C$15),1,$C344)&lt;0)+($E344&gt;=$E343)*($E344&lt;=INDEX($E:$E,MATCH(TRUE,INDEX((ISNUMBER($E:$E)),0),0)))*($E344&gt;INDEX(_xlfn.ANCHORARRAY(Sintesi!$C$15),1,$C344))*($E344&lt;INDEX(_xlfn.ANCHORARRAY(Sintesi!$C$16),1,$C344))*(INDEX(_xlfn.ANCHORARRAY(Sintesi!$C$15),1,$C344)&gt;0),2,IF($E344=(INDEX(_xlfn.ANCHORARRAY(Sintesi!$C$16),1,$C344)),3,4)))),0),IF($C344&gt;0,IF(($E344=INDEX(_xlfn.ANCHORARRAY(Sintesi!$C$14),1,$C344))*(INDEX(_xlfn.ANCHORARRAY(Sintesi!$C$15),1,$C344)&gt;0),0,IF(($E344=INDEX(_xlfn.ANCHORARRAY(Sintesi!$C$14),1,$C344))*(INDEX(_xlfn.ANCHORARRAY(Sintesi!$C$15),1,$C344)&lt;0)+($E344&gt;=LOOKUP(2,1/($E:$E&lt;&gt;""),$E:$E))*($E344&lt;=INDEX($E:$E,MATCH(TRUE,INDEX((ISNUMBER($E:$E)),0),0)))*($E344&gt;INDEX(_xlfn.ANCHORARRAY(Sintesi!$C$14),1,$C344))*($E344&lt;=INDEX(_xlfn.ANCHORARRAY(Sintesi!$C$15),1,$C344))*(INDEX(_xlfn.ANCHORARRAY(Sintesi!$C$15),1,$C344)&gt;0),1,IF(($E344&gt;=LOOKUP(2,1/($E:$E&lt;&gt;""),$E:$E))*($E344&lt;=INDEX($E:$E,MATCH(TRUE,INDEX((ISNUMBER($E:$E)),0),0)))*($E344&gt;INDEX(_xlfn.ANCHORARRAY(Sintesi!$C$14),1,$C344))*($E344&lt;INDEX(_xlfn.ANCHORARRAY(Sintesi!$C$16),1,$C344))*(INDEX(_xlfn.ANCHORARRAY(Sintesi!$C$15),1,$C344)&lt;0)+($E344&gt;=LOOKUP(2,1/($E:$E&lt;&gt;""),$E:$E))*($E344&lt;=INDEX($E:$E,MATCH(TRUE,INDEX((ISNUMBER($E:$E)),0),0)))*($E344&gt;INDEX(_xlfn.ANCHORARRAY(Sintesi!$C$15),1,$C344))*($E344&lt;INDEX(_xlfn.ANCHORARRAY(Sintesi!$C$16),1,$C344))*(INDEX(_xlfn.ANCHORARRAY(Sintesi!$C$15),1,$C344)&gt;0),2,IF($E344=(INDEX(_xlfn.ANCHORARRAY(Sintesi!$C$16),1,$C344)),3,4)))),0)),IF(ISNUMBER($E343),IF($C344&gt;0,IF(($E344=INDEX(_xlfn.ANCHORARRAY(Sintesi!$C$14),1,$C344))*(INDEX(_xlfn.ANCHORARRAY(Sintesi!$C$15),1,$C344)&gt;0),0,IF(($E344=INDEX(_xlfn.ANCHORARRAY(Sintesi!$C$14),1,$C344))*(INDEX(_xlfn.ANCHORARRAY(Sintesi!$C$15),1,$C344)&lt;0)+($E344&gt;=$E343)*($E344&lt;=$E345)*($E344&gt;INDEX(_xlfn.ANCHORARRAY(Sintesi!$C$14),1,$C344))*($E344&lt;=INDEX(_xlfn.ANCHORARRAY(Sintesi!$C$15),1,$C344))*(INDEX(_xlfn.ANCHORARRAY(Sintesi!$C$15),1,$C344)&gt;0),1,IF(($E344&gt;=$E343)*($E344&lt;=$E345)*($E344&gt;INDEX(_xlfn.ANCHORARRAY(Sintesi!$C$14),1,$C344))*($E344&lt;INDEX(_xlfn.ANCHORARRAY(Sintesi!$C$16),1,$C344))*(INDEX(_xlfn.ANCHORARRAY(Sintesi!$C$15),1,$C344)&lt;0)+($E344&gt;=$E343)*($E344&lt;=$E345)*($E344&gt;INDEX(_xlfn.ANCHORARRAY(Sintesi!$C$15),1,$C344))*($E344&lt;INDEX(_xlfn.ANCHORARRAY(Sintesi!$C$16),1,$C344))*(INDEX(_xlfn.ANCHORARRAY(Sintesi!$C$15),1,$C344)&gt;0),2,IF($E344=(INDEX(_xlfn.ANCHORARRAY(Sintesi!$C$16),1,$C344)),3,4)))),0),IF($C344&gt;0,IF(($E344=INDEX(_xlfn.ANCHORARRAY(Sintesi!$C$14),1,$C344))*(INDEX(_xlfn.ANCHORARRAY(Sintesi!$C$15),1,$C344)&gt;0),0,IF(($E344=INDEX(_xlfn.ANCHORARRAY(Sintesi!$C$14),1,$C344))*(INDEX(_xlfn.ANCHORARRAY(Sintesi!$C$15),1,$C344)&lt;0)+($E344&gt;=LOOKUP(2,1/($E:$E&lt;&gt;""),$E:$E))*($E344&lt;=$E345)*($E344&gt;INDEX(_xlfn.ANCHORARRAY(Sintesi!$C$14),1,$C344))*($E344&lt;=INDEX(_xlfn.ANCHORARRAY(Sintesi!$C$15),1,$C344))*(INDEX(_xlfn.ANCHORARRAY(Sintesi!$C$15),1,$C344)&gt;0),1,IF(($E344&gt;=LOOKUP(2,1/($E:$E&lt;&gt;""),$E:$E))*($E344&lt;=$E345)*($E344&gt;INDEX(_xlfn.ANCHORARRAY(Sintesi!$C$14),1,$C344))*($E344&lt;INDEX(_xlfn.ANCHORARRAY(Sintesi!$C$16),1,$C344))*(INDEX(_xlfn.ANCHORARRAY(Sintesi!$C$15),1,$C344)&lt;0)+($E344&gt;=LOOKUP(2,1/($E:$E&lt;&gt;""),$E:$E))*($E344&lt;=$E345)*($E344&gt;INDEX(_xlfn.ANCHORARRAY(Sintesi!$C$15),1,$C344))*($E344&lt;INDEX(_xlfn.ANCHORARRAY(Sintesi!$C$16),1,$C344))*(INDEX(_xlfn.ANCHORARRAY(Sintesi!$C$15),1,$C344)&gt;0),2,IF($E344=(INDEX(_xlfn.ANCHORARRAY(Sintesi!$C$16),1,$C344)),3,4)))),0)))</f>
        <v/>
      </c>
      <c r="E344" s="1">
        <f>'Paste cell here'!F344</f>
        <v/>
      </c>
      <c r="F344" s="1">
        <f>'Paste cell here'!C344</f>
        <v/>
      </c>
      <c r="G344" s="1">
        <f>'Paste cell here'!D344</f>
        <v/>
      </c>
      <c r="H344" s="1">
        <f>'Paste cell here'!E344</f>
        <v/>
      </c>
      <c r="I344" s="1">
        <f>'Paste cell here'!X344</f>
        <v/>
      </c>
      <c r="J344" s="1">
        <f>'Paste cell here'!Y344+'Paste cell here'!S344</f>
        <v/>
      </c>
      <c r="K344" s="1">
        <f>I344/H344</f>
        <v/>
      </c>
      <c r="L344" s="1">
        <f>AVERAGE(($F344+$G344)/2-($F344-$G344)/2*COS(PI()*(8-VLOOKUP(MONTH(B344),$O$1:$Q$13,3))/(VLOOKUP(MONTH(B344),$O$1:$Q$13,2)-VLOOKUP(MONTH(B344),$O$1:$Q$13,3))),($F344+$G344)/2-($F344-$G344)/2*COS(PI()*(9-VLOOKUP(MONTH(B344),$O$1:$Q$13,3))/(VLOOKUP(MONTH(B344),$O$1:$Q$13,2)-VLOOKUP(MONTH(B344),$O$1:$Q$13,3))),($F344+$G344)/2-($F344-$G344)/2*COS(PI()*(10-VLOOKUP(MONTH(B344),$O$1:$Q$13,3))/(VLOOKUP(MONTH(B344),$O$1:$Q$13,2)-VLOOKUP(MONTH(B344),$O$1:$Q$13,3))),($F344+$G344)/2-($F344-$G344)/2*COS(PI()*(11-VLOOKUP(MONTH(B344),$O$1:$Q$13,3))/(VLOOKUP(MONTH(B344),$O$1:$Q$13,2)-VLOOKUP(MONTH(B344),$O$1:$Q$13,3))),($F344+$G344)/2-($F344-$G344)/2*COS(PI()*(12-VLOOKUP(MONTH(B344),$O$1:$Q$13,3))/(VLOOKUP(MONTH(B344),$O$1:$Q$13,2)-VLOOKUP(MONTH(B344),$O$1:$Q$13,3))),($F344+$G344)/2-($F344-$G344)/2*COS(PI()*(13-VLOOKUP(MONTH(B344),$O$1:$Q$13,3))/(VLOOKUP(MONTH(B344),$O$1:$Q$13,2)-VLOOKUP(MONTH(B344),$O$1:$Q$13,3))),($F344+$G344)/2-($F344-$G344)/2*COS(PI()*(14-VLOOKUP(MONTH(B344),$O$1:$Q$13,3))/(VLOOKUP(MONTH(B344),$O$1:$Q$13,2)-VLOOKUP(MONTH(B344),$O$1:$Q$13,3))))</f>
        <v/>
      </c>
      <c r="M344" s="1">
        <f t="array" ref="M344">IF(AND(A344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,A344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),IF(L344&lt;_xlfn.IFNA(INDEX(_xlfn.ANCHORARRAY(Sintesi!$C$17)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,1,IF(L344&gt;=_xlfn.IFNA(INDEX(_xlfn.ANCHORARRAY(Sintesi!$C$18)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,0,1-(L344-_xlfn.IFNA(INDEX(_xlfn.ANCHORARRAY(Sintesi!$C$17)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)/(_xlfn.IFNA(INDEX(_xlfn.ANCHORARRAY(Sintesi!$C$18)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-_xlfn.IFNA(INDEX(_xlfn.ANCHORARRAY(Sintesi!$C$17)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))),0)</f>
        <v/>
      </c>
    </row>
    <row r="345">
      <c r="A345" s="1">
        <f>'Paste cell here'!A345</f>
        <v/>
      </c>
      <c r="B345" s="2">
        <f>DATE(Sintesi!$C$4-1,12,31)+A345</f>
        <v/>
      </c>
      <c r="C345" s="34">
        <f t="array" ref="C345">_xlfn.IFNA(MATCH(1,(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)*(_xlfn.ANCHORARRAY(Sintesi!$C$15)&gt;=0)+(_xlfn.ANCHORARRAY(Sintesi!$C$15)&lt;0),0),0)</f>
        <v/>
      </c>
      <c r="D345" s="1">
        <f t="array" ref="D345">IF(ISBLANK($E346),IF(ISNUMBER($E344),IF($C345&gt;0,IF(($E345=INDEX(_xlfn.ANCHORARRAY(Sintesi!$C$14),1,$C345))*(INDEX(_xlfn.ANCHORARRAY(Sintesi!$C$15),1,$C345)&gt;0),0,IF(($E345=INDEX(_xlfn.ANCHORARRAY(Sintesi!$C$14),1,$C345))*(INDEX(_xlfn.ANCHORARRAY(Sintesi!$C$15),1,$C345)&lt;0)+($E345&gt;=$E344)*($E345&lt;=INDEX($E:$E,MATCH(TRUE,INDEX((ISNUMBER($E:$E)),0),0)))*($E345&gt;INDEX(_xlfn.ANCHORARRAY(Sintesi!$C$14),1,$C345))*($E345&lt;=INDEX(_xlfn.ANCHORARRAY(Sintesi!$C$15),1,$C345))*(INDEX(_xlfn.ANCHORARRAY(Sintesi!$C$15),1,$C345)&gt;0),1,IF(($E345&gt;=$E344)*($E345&lt;=INDEX($E:$E,MATCH(TRUE,INDEX((ISNUMBER($E:$E)),0),0)))*($E345&gt;INDEX(_xlfn.ANCHORARRAY(Sintesi!$C$14),1,$C345))*($E345&lt;INDEX(_xlfn.ANCHORARRAY(Sintesi!$C$16),1,$C345))*(INDEX(_xlfn.ANCHORARRAY(Sintesi!$C$15),1,$C345)&lt;0)+($E345&gt;=$E344)*($E345&lt;=INDEX($E:$E,MATCH(TRUE,INDEX((ISNUMBER($E:$E)),0),0)))*($E345&gt;INDEX(_xlfn.ANCHORARRAY(Sintesi!$C$15),1,$C345))*($E345&lt;INDEX(_xlfn.ANCHORARRAY(Sintesi!$C$16),1,$C345))*(INDEX(_xlfn.ANCHORARRAY(Sintesi!$C$15),1,$C345)&gt;0),2,IF($E345=(INDEX(_xlfn.ANCHORARRAY(Sintesi!$C$16),1,$C345)),3,4)))),0),IF($C345&gt;0,IF(($E345=INDEX(_xlfn.ANCHORARRAY(Sintesi!$C$14),1,$C345))*(INDEX(_xlfn.ANCHORARRAY(Sintesi!$C$15),1,$C345)&gt;0),0,IF(($E345=INDEX(_xlfn.ANCHORARRAY(Sintesi!$C$14),1,$C345))*(INDEX(_xlfn.ANCHORARRAY(Sintesi!$C$15),1,$C345)&lt;0)+($E345&gt;=LOOKUP(2,1/($E:$E&lt;&gt;""),$E:$E))*($E345&lt;=INDEX($E:$E,MATCH(TRUE,INDEX((ISNUMBER($E:$E)),0),0)))*($E345&gt;INDEX(_xlfn.ANCHORARRAY(Sintesi!$C$14),1,$C345))*($E345&lt;=INDEX(_xlfn.ANCHORARRAY(Sintesi!$C$15),1,$C345))*(INDEX(_xlfn.ANCHORARRAY(Sintesi!$C$15),1,$C345)&gt;0),1,IF(($E345&gt;=LOOKUP(2,1/($E:$E&lt;&gt;""),$E:$E))*($E345&lt;=INDEX($E:$E,MATCH(TRUE,INDEX((ISNUMBER($E:$E)),0),0)))*($E345&gt;INDEX(_xlfn.ANCHORARRAY(Sintesi!$C$14),1,$C345))*($E345&lt;INDEX(_xlfn.ANCHORARRAY(Sintesi!$C$16),1,$C345))*(INDEX(_xlfn.ANCHORARRAY(Sintesi!$C$15),1,$C345)&lt;0)+($E345&gt;=LOOKUP(2,1/($E:$E&lt;&gt;""),$E:$E))*($E345&lt;=INDEX($E:$E,MATCH(TRUE,INDEX((ISNUMBER($E:$E)),0),0)))*($E345&gt;INDEX(_xlfn.ANCHORARRAY(Sintesi!$C$15),1,$C345))*($E345&lt;INDEX(_xlfn.ANCHORARRAY(Sintesi!$C$16),1,$C345))*(INDEX(_xlfn.ANCHORARRAY(Sintesi!$C$15),1,$C345)&gt;0),2,IF($E345=(INDEX(_xlfn.ANCHORARRAY(Sintesi!$C$16),1,$C345)),3,4)))),0)),IF(ISNUMBER($E344),IF($C345&gt;0,IF(($E345=INDEX(_xlfn.ANCHORARRAY(Sintesi!$C$14),1,$C345))*(INDEX(_xlfn.ANCHORARRAY(Sintesi!$C$15),1,$C345)&gt;0),0,IF(($E345=INDEX(_xlfn.ANCHORARRAY(Sintesi!$C$14),1,$C345))*(INDEX(_xlfn.ANCHORARRAY(Sintesi!$C$15),1,$C345)&lt;0)+($E345&gt;=$E344)*($E345&lt;=$E346)*($E345&gt;INDEX(_xlfn.ANCHORARRAY(Sintesi!$C$14),1,$C345))*($E345&lt;=INDEX(_xlfn.ANCHORARRAY(Sintesi!$C$15),1,$C345))*(INDEX(_xlfn.ANCHORARRAY(Sintesi!$C$15),1,$C345)&gt;0),1,IF(($E345&gt;=$E344)*($E345&lt;=$E346)*($E345&gt;INDEX(_xlfn.ANCHORARRAY(Sintesi!$C$14),1,$C345))*($E345&lt;INDEX(_xlfn.ANCHORARRAY(Sintesi!$C$16),1,$C345))*(INDEX(_xlfn.ANCHORARRAY(Sintesi!$C$15),1,$C345)&lt;0)+($E345&gt;=$E344)*($E345&lt;=$E346)*($E345&gt;INDEX(_xlfn.ANCHORARRAY(Sintesi!$C$15),1,$C345))*($E345&lt;INDEX(_xlfn.ANCHORARRAY(Sintesi!$C$16),1,$C345))*(INDEX(_xlfn.ANCHORARRAY(Sintesi!$C$15),1,$C345)&gt;0),2,IF($E345=(INDEX(_xlfn.ANCHORARRAY(Sintesi!$C$16),1,$C345)),3,4)))),0),IF($C345&gt;0,IF(($E345=INDEX(_xlfn.ANCHORARRAY(Sintesi!$C$14),1,$C345))*(INDEX(_xlfn.ANCHORARRAY(Sintesi!$C$15),1,$C345)&gt;0),0,IF(($E345=INDEX(_xlfn.ANCHORARRAY(Sintesi!$C$14),1,$C345))*(INDEX(_xlfn.ANCHORARRAY(Sintesi!$C$15),1,$C345)&lt;0)+($E345&gt;=LOOKUP(2,1/($E:$E&lt;&gt;""),$E:$E))*($E345&lt;=$E346)*($E345&gt;INDEX(_xlfn.ANCHORARRAY(Sintesi!$C$14),1,$C345))*($E345&lt;=INDEX(_xlfn.ANCHORARRAY(Sintesi!$C$15),1,$C345))*(INDEX(_xlfn.ANCHORARRAY(Sintesi!$C$15),1,$C345)&gt;0),1,IF(($E345&gt;=LOOKUP(2,1/($E:$E&lt;&gt;""),$E:$E))*($E345&lt;=$E346)*($E345&gt;INDEX(_xlfn.ANCHORARRAY(Sintesi!$C$14),1,$C345))*($E345&lt;INDEX(_xlfn.ANCHORARRAY(Sintesi!$C$16),1,$C345))*(INDEX(_xlfn.ANCHORARRAY(Sintesi!$C$15),1,$C345)&lt;0)+($E345&gt;=LOOKUP(2,1/($E:$E&lt;&gt;""),$E:$E))*($E345&lt;=$E346)*($E345&gt;INDEX(_xlfn.ANCHORARRAY(Sintesi!$C$15),1,$C345))*($E345&lt;INDEX(_xlfn.ANCHORARRAY(Sintesi!$C$16),1,$C345))*(INDEX(_xlfn.ANCHORARRAY(Sintesi!$C$15),1,$C345)&gt;0),2,IF($E345=(INDEX(_xlfn.ANCHORARRAY(Sintesi!$C$16),1,$C345)),3,4)))),0)))</f>
        <v/>
      </c>
      <c r="E345" s="1">
        <f>'Paste cell here'!F345</f>
        <v/>
      </c>
      <c r="F345" s="1">
        <f>'Paste cell here'!C345</f>
        <v/>
      </c>
      <c r="G345" s="1">
        <f>'Paste cell here'!D345</f>
        <v/>
      </c>
      <c r="H345" s="1">
        <f>'Paste cell here'!E345</f>
        <v/>
      </c>
      <c r="I345" s="1">
        <f>'Paste cell here'!X345</f>
        <v/>
      </c>
      <c r="J345" s="1">
        <f>'Paste cell here'!Y345+'Paste cell here'!S345</f>
        <v/>
      </c>
      <c r="K345" s="1">
        <f>I345/H345</f>
        <v/>
      </c>
      <c r="L345" s="1">
        <f>AVERAGE(($F345+$G345)/2-($F345-$G345)/2*COS(PI()*(8-VLOOKUP(MONTH(B345),$O$1:$Q$13,3))/(VLOOKUP(MONTH(B345),$O$1:$Q$13,2)-VLOOKUP(MONTH(B345),$O$1:$Q$13,3))),($F345+$G345)/2-($F345-$G345)/2*COS(PI()*(9-VLOOKUP(MONTH(B345),$O$1:$Q$13,3))/(VLOOKUP(MONTH(B345),$O$1:$Q$13,2)-VLOOKUP(MONTH(B345),$O$1:$Q$13,3))),($F345+$G345)/2-($F345-$G345)/2*COS(PI()*(10-VLOOKUP(MONTH(B345),$O$1:$Q$13,3))/(VLOOKUP(MONTH(B345),$O$1:$Q$13,2)-VLOOKUP(MONTH(B345),$O$1:$Q$13,3))),($F345+$G345)/2-($F345-$G345)/2*COS(PI()*(11-VLOOKUP(MONTH(B345),$O$1:$Q$13,3))/(VLOOKUP(MONTH(B345),$O$1:$Q$13,2)-VLOOKUP(MONTH(B345),$O$1:$Q$13,3))),($F345+$G345)/2-($F345-$G345)/2*COS(PI()*(12-VLOOKUP(MONTH(B345),$O$1:$Q$13,3))/(VLOOKUP(MONTH(B345),$O$1:$Q$13,2)-VLOOKUP(MONTH(B345),$O$1:$Q$13,3))),($F345+$G345)/2-($F345-$G345)/2*COS(PI()*(13-VLOOKUP(MONTH(B345),$O$1:$Q$13,3))/(VLOOKUP(MONTH(B345),$O$1:$Q$13,2)-VLOOKUP(MONTH(B345),$O$1:$Q$13,3))),($F345+$G345)/2-($F345-$G345)/2*COS(PI()*(14-VLOOKUP(MONTH(B345),$O$1:$Q$13,3))/(VLOOKUP(MONTH(B345),$O$1:$Q$13,2)-VLOOKUP(MONTH(B345),$O$1:$Q$13,3))))</f>
        <v/>
      </c>
      <c r="M345" s="1">
        <f t="array" ref="M345">IF(AND(A345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,A345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),IF(L345&lt;_xlfn.IFNA(INDEX(_xlfn.ANCHORARRAY(Sintesi!$C$17)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,1,IF(L345&gt;=_xlfn.IFNA(INDEX(_xlfn.ANCHORARRAY(Sintesi!$C$18)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,0,1-(L345-_xlfn.IFNA(INDEX(_xlfn.ANCHORARRAY(Sintesi!$C$17)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)/(_xlfn.IFNA(INDEX(_xlfn.ANCHORARRAY(Sintesi!$C$18)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-_xlfn.IFNA(INDEX(_xlfn.ANCHORARRAY(Sintesi!$C$17)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))),0)</f>
        <v/>
      </c>
    </row>
    <row r="346">
      <c r="A346" s="1">
        <f>'Paste cell here'!A346</f>
        <v/>
      </c>
      <c r="B346" s="2">
        <f>DATE(Sintesi!$C$4-1,12,31)+A346</f>
        <v/>
      </c>
      <c r="C346" s="34">
        <f t="array" ref="C346">_xlfn.IFNA(MATCH(1,(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)*(_xlfn.ANCHORARRAY(Sintesi!$C$15)&gt;=0)+(_xlfn.ANCHORARRAY(Sintesi!$C$15)&lt;0),0),0)</f>
        <v/>
      </c>
      <c r="D346" s="1">
        <f t="array" ref="D346">IF(ISBLANK($E347),IF(ISNUMBER($E345),IF($C346&gt;0,IF(($E346=INDEX(_xlfn.ANCHORARRAY(Sintesi!$C$14),1,$C346))*(INDEX(_xlfn.ANCHORARRAY(Sintesi!$C$15),1,$C346)&gt;0),0,IF(($E346=INDEX(_xlfn.ANCHORARRAY(Sintesi!$C$14),1,$C346))*(INDEX(_xlfn.ANCHORARRAY(Sintesi!$C$15),1,$C346)&lt;0)+($E346&gt;=$E345)*($E346&lt;=INDEX($E:$E,MATCH(TRUE,INDEX((ISNUMBER($E:$E)),0),0)))*($E346&gt;INDEX(_xlfn.ANCHORARRAY(Sintesi!$C$14),1,$C346))*($E346&lt;=INDEX(_xlfn.ANCHORARRAY(Sintesi!$C$15),1,$C346))*(INDEX(_xlfn.ANCHORARRAY(Sintesi!$C$15),1,$C346)&gt;0),1,IF(($E346&gt;=$E345)*($E346&lt;=INDEX($E:$E,MATCH(TRUE,INDEX((ISNUMBER($E:$E)),0),0)))*($E346&gt;INDEX(_xlfn.ANCHORARRAY(Sintesi!$C$14),1,$C346))*($E346&lt;INDEX(_xlfn.ANCHORARRAY(Sintesi!$C$16),1,$C346))*(INDEX(_xlfn.ANCHORARRAY(Sintesi!$C$15),1,$C346)&lt;0)+($E346&gt;=$E345)*($E346&lt;=INDEX($E:$E,MATCH(TRUE,INDEX((ISNUMBER($E:$E)),0),0)))*($E346&gt;INDEX(_xlfn.ANCHORARRAY(Sintesi!$C$15),1,$C346))*($E346&lt;INDEX(_xlfn.ANCHORARRAY(Sintesi!$C$16),1,$C346))*(INDEX(_xlfn.ANCHORARRAY(Sintesi!$C$15),1,$C346)&gt;0),2,IF($E346=(INDEX(_xlfn.ANCHORARRAY(Sintesi!$C$16),1,$C346)),3,4)))),0),IF($C346&gt;0,IF(($E346=INDEX(_xlfn.ANCHORARRAY(Sintesi!$C$14),1,$C346))*(INDEX(_xlfn.ANCHORARRAY(Sintesi!$C$15),1,$C346)&gt;0),0,IF(($E346=INDEX(_xlfn.ANCHORARRAY(Sintesi!$C$14),1,$C346))*(INDEX(_xlfn.ANCHORARRAY(Sintesi!$C$15),1,$C346)&lt;0)+($E346&gt;=LOOKUP(2,1/($E:$E&lt;&gt;""),$E:$E))*($E346&lt;=INDEX($E:$E,MATCH(TRUE,INDEX((ISNUMBER($E:$E)),0),0)))*($E346&gt;INDEX(_xlfn.ANCHORARRAY(Sintesi!$C$14),1,$C346))*($E346&lt;=INDEX(_xlfn.ANCHORARRAY(Sintesi!$C$15),1,$C346))*(INDEX(_xlfn.ANCHORARRAY(Sintesi!$C$15),1,$C346)&gt;0),1,IF(($E346&gt;=LOOKUP(2,1/($E:$E&lt;&gt;""),$E:$E))*($E346&lt;=INDEX($E:$E,MATCH(TRUE,INDEX((ISNUMBER($E:$E)),0),0)))*($E346&gt;INDEX(_xlfn.ANCHORARRAY(Sintesi!$C$14),1,$C346))*($E346&lt;INDEX(_xlfn.ANCHORARRAY(Sintesi!$C$16),1,$C346))*(INDEX(_xlfn.ANCHORARRAY(Sintesi!$C$15),1,$C346)&lt;0)+($E346&gt;=LOOKUP(2,1/($E:$E&lt;&gt;""),$E:$E))*($E346&lt;=INDEX($E:$E,MATCH(TRUE,INDEX((ISNUMBER($E:$E)),0),0)))*($E346&gt;INDEX(_xlfn.ANCHORARRAY(Sintesi!$C$15),1,$C346))*($E346&lt;INDEX(_xlfn.ANCHORARRAY(Sintesi!$C$16),1,$C346))*(INDEX(_xlfn.ANCHORARRAY(Sintesi!$C$15),1,$C346)&gt;0),2,IF($E346=(INDEX(_xlfn.ANCHORARRAY(Sintesi!$C$16),1,$C346)),3,4)))),0)),IF(ISNUMBER($E345),IF($C346&gt;0,IF(($E346=INDEX(_xlfn.ANCHORARRAY(Sintesi!$C$14),1,$C346))*(INDEX(_xlfn.ANCHORARRAY(Sintesi!$C$15),1,$C346)&gt;0),0,IF(($E346=INDEX(_xlfn.ANCHORARRAY(Sintesi!$C$14),1,$C346))*(INDEX(_xlfn.ANCHORARRAY(Sintesi!$C$15),1,$C346)&lt;0)+($E346&gt;=$E345)*($E346&lt;=$E347)*($E346&gt;INDEX(_xlfn.ANCHORARRAY(Sintesi!$C$14),1,$C346))*($E346&lt;=INDEX(_xlfn.ANCHORARRAY(Sintesi!$C$15),1,$C346))*(INDEX(_xlfn.ANCHORARRAY(Sintesi!$C$15),1,$C346)&gt;0),1,IF(($E346&gt;=$E345)*($E346&lt;=$E347)*($E346&gt;INDEX(_xlfn.ANCHORARRAY(Sintesi!$C$14),1,$C346))*($E346&lt;INDEX(_xlfn.ANCHORARRAY(Sintesi!$C$16),1,$C346))*(INDEX(_xlfn.ANCHORARRAY(Sintesi!$C$15),1,$C346)&lt;0)+($E346&gt;=$E345)*($E346&lt;=$E347)*($E346&gt;INDEX(_xlfn.ANCHORARRAY(Sintesi!$C$15),1,$C346))*($E346&lt;INDEX(_xlfn.ANCHORARRAY(Sintesi!$C$16),1,$C346))*(INDEX(_xlfn.ANCHORARRAY(Sintesi!$C$15),1,$C346)&gt;0),2,IF($E346=(INDEX(_xlfn.ANCHORARRAY(Sintesi!$C$16),1,$C346)),3,4)))),0),IF($C346&gt;0,IF(($E346=INDEX(_xlfn.ANCHORARRAY(Sintesi!$C$14),1,$C346))*(INDEX(_xlfn.ANCHORARRAY(Sintesi!$C$15),1,$C346)&gt;0),0,IF(($E346=INDEX(_xlfn.ANCHORARRAY(Sintesi!$C$14),1,$C346))*(INDEX(_xlfn.ANCHORARRAY(Sintesi!$C$15),1,$C346)&lt;0)+($E346&gt;=LOOKUP(2,1/($E:$E&lt;&gt;""),$E:$E))*($E346&lt;=$E347)*($E346&gt;INDEX(_xlfn.ANCHORARRAY(Sintesi!$C$14),1,$C346))*($E346&lt;=INDEX(_xlfn.ANCHORARRAY(Sintesi!$C$15),1,$C346))*(INDEX(_xlfn.ANCHORARRAY(Sintesi!$C$15),1,$C346)&gt;0),1,IF(($E346&gt;=LOOKUP(2,1/($E:$E&lt;&gt;""),$E:$E))*($E346&lt;=$E347)*($E346&gt;INDEX(_xlfn.ANCHORARRAY(Sintesi!$C$14),1,$C346))*($E346&lt;INDEX(_xlfn.ANCHORARRAY(Sintesi!$C$16),1,$C346))*(INDEX(_xlfn.ANCHORARRAY(Sintesi!$C$15),1,$C346)&lt;0)+($E346&gt;=LOOKUP(2,1/($E:$E&lt;&gt;""),$E:$E))*($E346&lt;=$E347)*($E346&gt;INDEX(_xlfn.ANCHORARRAY(Sintesi!$C$15),1,$C346))*($E346&lt;INDEX(_xlfn.ANCHORARRAY(Sintesi!$C$16),1,$C346))*(INDEX(_xlfn.ANCHORARRAY(Sintesi!$C$15),1,$C346)&gt;0),2,IF($E346=(INDEX(_xlfn.ANCHORARRAY(Sintesi!$C$16),1,$C346)),3,4)))),0)))</f>
        <v/>
      </c>
      <c r="E346" s="1">
        <f>'Paste cell here'!F346</f>
        <v/>
      </c>
      <c r="F346" s="1">
        <f>'Paste cell here'!C346</f>
        <v/>
      </c>
      <c r="G346" s="1">
        <f>'Paste cell here'!D346</f>
        <v/>
      </c>
      <c r="H346" s="1">
        <f>'Paste cell here'!E346</f>
        <v/>
      </c>
      <c r="I346" s="1">
        <f>'Paste cell here'!X346</f>
        <v/>
      </c>
      <c r="J346" s="1">
        <f>'Paste cell here'!Y346+'Paste cell here'!S346</f>
        <v/>
      </c>
      <c r="K346" s="1">
        <f>I346/H346</f>
        <v/>
      </c>
      <c r="L346" s="1">
        <f>AVERAGE(($F346+$G346)/2-($F346-$G346)/2*COS(PI()*(8-VLOOKUP(MONTH(B346),$O$1:$Q$13,3))/(VLOOKUP(MONTH(B346),$O$1:$Q$13,2)-VLOOKUP(MONTH(B346),$O$1:$Q$13,3))),($F346+$G346)/2-($F346-$G346)/2*COS(PI()*(9-VLOOKUP(MONTH(B346),$O$1:$Q$13,3))/(VLOOKUP(MONTH(B346),$O$1:$Q$13,2)-VLOOKUP(MONTH(B346),$O$1:$Q$13,3))),($F346+$G346)/2-($F346-$G346)/2*COS(PI()*(10-VLOOKUP(MONTH(B346),$O$1:$Q$13,3))/(VLOOKUP(MONTH(B346),$O$1:$Q$13,2)-VLOOKUP(MONTH(B346),$O$1:$Q$13,3))),($F346+$G346)/2-($F346-$G346)/2*COS(PI()*(11-VLOOKUP(MONTH(B346),$O$1:$Q$13,3))/(VLOOKUP(MONTH(B346),$O$1:$Q$13,2)-VLOOKUP(MONTH(B346),$O$1:$Q$13,3))),($F346+$G346)/2-($F346-$G346)/2*COS(PI()*(12-VLOOKUP(MONTH(B346),$O$1:$Q$13,3))/(VLOOKUP(MONTH(B346),$O$1:$Q$13,2)-VLOOKUP(MONTH(B346),$O$1:$Q$13,3))),($F346+$G346)/2-($F346-$G346)/2*COS(PI()*(13-VLOOKUP(MONTH(B346),$O$1:$Q$13,3))/(VLOOKUP(MONTH(B346),$O$1:$Q$13,2)-VLOOKUP(MONTH(B346),$O$1:$Q$13,3))),($F346+$G346)/2-($F346-$G346)/2*COS(PI()*(14-VLOOKUP(MONTH(B346),$O$1:$Q$13,3))/(VLOOKUP(MONTH(B346),$O$1:$Q$13,2)-VLOOKUP(MONTH(B346),$O$1:$Q$13,3))))</f>
        <v/>
      </c>
      <c r="M346" s="1">
        <f t="array" ref="M346">IF(AND(A346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,A346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),IF(L346&lt;_xlfn.IFNA(INDEX(_xlfn.ANCHORARRAY(Sintesi!$C$17)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,1,IF(L346&gt;=_xlfn.IFNA(INDEX(_xlfn.ANCHORARRAY(Sintesi!$C$18)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,0,1-(L346-_xlfn.IFNA(INDEX(_xlfn.ANCHORARRAY(Sintesi!$C$17)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)/(_xlfn.IFNA(INDEX(_xlfn.ANCHORARRAY(Sintesi!$C$18)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-_xlfn.IFNA(INDEX(_xlfn.ANCHORARRAY(Sintesi!$C$17)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))),0)</f>
        <v/>
      </c>
    </row>
    <row r="347">
      <c r="A347" s="1">
        <f>'Paste cell here'!A347</f>
        <v/>
      </c>
      <c r="B347" s="2">
        <f>DATE(Sintesi!$C$4-1,12,31)+A347</f>
        <v/>
      </c>
      <c r="C347" s="34">
        <f t="array" ref="C347">_xlfn.IFNA(MATCH(1,(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)*(_xlfn.ANCHORARRAY(Sintesi!$C$15)&gt;=0)+(_xlfn.ANCHORARRAY(Sintesi!$C$15)&lt;0),0),0)</f>
        <v/>
      </c>
      <c r="D347" s="1">
        <f t="array" ref="D347">IF(ISBLANK($E348),IF(ISNUMBER($E346),IF($C347&gt;0,IF(($E347=INDEX(_xlfn.ANCHORARRAY(Sintesi!$C$14),1,$C347))*(INDEX(_xlfn.ANCHORARRAY(Sintesi!$C$15),1,$C347)&gt;0),0,IF(($E347=INDEX(_xlfn.ANCHORARRAY(Sintesi!$C$14),1,$C347))*(INDEX(_xlfn.ANCHORARRAY(Sintesi!$C$15),1,$C347)&lt;0)+($E347&gt;=$E346)*($E347&lt;=INDEX($E:$E,MATCH(TRUE,INDEX((ISNUMBER($E:$E)),0),0)))*($E347&gt;INDEX(_xlfn.ANCHORARRAY(Sintesi!$C$14),1,$C347))*($E347&lt;=INDEX(_xlfn.ANCHORARRAY(Sintesi!$C$15),1,$C347))*(INDEX(_xlfn.ANCHORARRAY(Sintesi!$C$15),1,$C347)&gt;0),1,IF(($E347&gt;=$E346)*($E347&lt;=INDEX($E:$E,MATCH(TRUE,INDEX((ISNUMBER($E:$E)),0),0)))*($E347&gt;INDEX(_xlfn.ANCHORARRAY(Sintesi!$C$14),1,$C347))*($E347&lt;INDEX(_xlfn.ANCHORARRAY(Sintesi!$C$16),1,$C347))*(INDEX(_xlfn.ANCHORARRAY(Sintesi!$C$15),1,$C347)&lt;0)+($E347&gt;=$E346)*($E347&lt;=INDEX($E:$E,MATCH(TRUE,INDEX((ISNUMBER($E:$E)),0),0)))*($E347&gt;INDEX(_xlfn.ANCHORARRAY(Sintesi!$C$15),1,$C347))*($E347&lt;INDEX(_xlfn.ANCHORARRAY(Sintesi!$C$16),1,$C347))*(INDEX(_xlfn.ANCHORARRAY(Sintesi!$C$15),1,$C347)&gt;0),2,IF($E347=(INDEX(_xlfn.ANCHORARRAY(Sintesi!$C$16),1,$C347)),3,4)))),0),IF($C347&gt;0,IF(($E347=INDEX(_xlfn.ANCHORARRAY(Sintesi!$C$14),1,$C347))*(INDEX(_xlfn.ANCHORARRAY(Sintesi!$C$15),1,$C347)&gt;0),0,IF(($E347=INDEX(_xlfn.ANCHORARRAY(Sintesi!$C$14),1,$C347))*(INDEX(_xlfn.ANCHORARRAY(Sintesi!$C$15),1,$C347)&lt;0)+($E347&gt;=LOOKUP(2,1/($E:$E&lt;&gt;""),$E:$E))*($E347&lt;=INDEX($E:$E,MATCH(TRUE,INDEX((ISNUMBER($E:$E)),0),0)))*($E347&gt;INDEX(_xlfn.ANCHORARRAY(Sintesi!$C$14),1,$C347))*($E347&lt;=INDEX(_xlfn.ANCHORARRAY(Sintesi!$C$15),1,$C347))*(INDEX(_xlfn.ANCHORARRAY(Sintesi!$C$15),1,$C347)&gt;0),1,IF(($E347&gt;=LOOKUP(2,1/($E:$E&lt;&gt;""),$E:$E))*($E347&lt;=INDEX($E:$E,MATCH(TRUE,INDEX((ISNUMBER($E:$E)),0),0)))*($E347&gt;INDEX(_xlfn.ANCHORARRAY(Sintesi!$C$14),1,$C347))*($E347&lt;INDEX(_xlfn.ANCHORARRAY(Sintesi!$C$16),1,$C347))*(INDEX(_xlfn.ANCHORARRAY(Sintesi!$C$15),1,$C347)&lt;0)+($E347&gt;=LOOKUP(2,1/($E:$E&lt;&gt;""),$E:$E))*($E347&lt;=INDEX($E:$E,MATCH(TRUE,INDEX((ISNUMBER($E:$E)),0),0)))*($E347&gt;INDEX(_xlfn.ANCHORARRAY(Sintesi!$C$15),1,$C347))*($E347&lt;INDEX(_xlfn.ANCHORARRAY(Sintesi!$C$16),1,$C347))*(INDEX(_xlfn.ANCHORARRAY(Sintesi!$C$15),1,$C347)&gt;0),2,IF($E347=(INDEX(_xlfn.ANCHORARRAY(Sintesi!$C$16),1,$C347)),3,4)))),0)),IF(ISNUMBER($E346),IF($C347&gt;0,IF(($E347=INDEX(_xlfn.ANCHORARRAY(Sintesi!$C$14),1,$C347))*(INDEX(_xlfn.ANCHORARRAY(Sintesi!$C$15),1,$C347)&gt;0),0,IF(($E347=INDEX(_xlfn.ANCHORARRAY(Sintesi!$C$14),1,$C347))*(INDEX(_xlfn.ANCHORARRAY(Sintesi!$C$15),1,$C347)&lt;0)+($E347&gt;=$E346)*($E347&lt;=$E348)*($E347&gt;INDEX(_xlfn.ANCHORARRAY(Sintesi!$C$14),1,$C347))*($E347&lt;=INDEX(_xlfn.ANCHORARRAY(Sintesi!$C$15),1,$C347))*(INDEX(_xlfn.ANCHORARRAY(Sintesi!$C$15),1,$C347)&gt;0),1,IF(($E347&gt;=$E346)*($E347&lt;=$E348)*($E347&gt;INDEX(_xlfn.ANCHORARRAY(Sintesi!$C$14),1,$C347))*($E347&lt;INDEX(_xlfn.ANCHORARRAY(Sintesi!$C$16),1,$C347))*(INDEX(_xlfn.ANCHORARRAY(Sintesi!$C$15),1,$C347)&lt;0)+($E347&gt;=$E346)*($E347&lt;=$E348)*($E347&gt;INDEX(_xlfn.ANCHORARRAY(Sintesi!$C$15),1,$C347))*($E347&lt;INDEX(_xlfn.ANCHORARRAY(Sintesi!$C$16),1,$C347))*(INDEX(_xlfn.ANCHORARRAY(Sintesi!$C$15),1,$C347)&gt;0),2,IF($E347=(INDEX(_xlfn.ANCHORARRAY(Sintesi!$C$16),1,$C347)),3,4)))),0),IF($C347&gt;0,IF(($E347=INDEX(_xlfn.ANCHORARRAY(Sintesi!$C$14),1,$C347))*(INDEX(_xlfn.ANCHORARRAY(Sintesi!$C$15),1,$C347)&gt;0),0,IF(($E347=INDEX(_xlfn.ANCHORARRAY(Sintesi!$C$14),1,$C347))*(INDEX(_xlfn.ANCHORARRAY(Sintesi!$C$15),1,$C347)&lt;0)+($E347&gt;=LOOKUP(2,1/($E:$E&lt;&gt;""),$E:$E))*($E347&lt;=$E348)*($E347&gt;INDEX(_xlfn.ANCHORARRAY(Sintesi!$C$14),1,$C347))*($E347&lt;=INDEX(_xlfn.ANCHORARRAY(Sintesi!$C$15),1,$C347))*(INDEX(_xlfn.ANCHORARRAY(Sintesi!$C$15),1,$C347)&gt;0),1,IF(($E347&gt;=LOOKUP(2,1/($E:$E&lt;&gt;""),$E:$E))*($E347&lt;=$E348)*($E347&gt;INDEX(_xlfn.ANCHORARRAY(Sintesi!$C$14),1,$C347))*($E347&lt;INDEX(_xlfn.ANCHORARRAY(Sintesi!$C$16),1,$C347))*(INDEX(_xlfn.ANCHORARRAY(Sintesi!$C$15),1,$C347)&lt;0)+($E347&gt;=LOOKUP(2,1/($E:$E&lt;&gt;""),$E:$E))*($E347&lt;=$E348)*($E347&gt;INDEX(_xlfn.ANCHORARRAY(Sintesi!$C$15),1,$C347))*($E347&lt;INDEX(_xlfn.ANCHORARRAY(Sintesi!$C$16),1,$C347))*(INDEX(_xlfn.ANCHORARRAY(Sintesi!$C$15),1,$C347)&gt;0),2,IF($E347=(INDEX(_xlfn.ANCHORARRAY(Sintesi!$C$16),1,$C347)),3,4)))),0)))</f>
        <v/>
      </c>
      <c r="E347" s="1">
        <f>'Paste cell here'!F347</f>
        <v/>
      </c>
      <c r="F347" s="1">
        <f>'Paste cell here'!C347</f>
        <v/>
      </c>
      <c r="G347" s="1">
        <f>'Paste cell here'!D347</f>
        <v/>
      </c>
      <c r="H347" s="1">
        <f>'Paste cell here'!E347</f>
        <v/>
      </c>
      <c r="I347" s="1">
        <f>'Paste cell here'!X347</f>
        <v/>
      </c>
      <c r="J347" s="1">
        <f>'Paste cell here'!Y347+'Paste cell here'!S347</f>
        <v/>
      </c>
      <c r="K347" s="1">
        <f>I347/H347</f>
        <v/>
      </c>
      <c r="L347" s="1">
        <f>AVERAGE(($F347+$G347)/2-($F347-$G347)/2*COS(PI()*(8-VLOOKUP(MONTH(B347),$O$1:$Q$13,3))/(VLOOKUP(MONTH(B347),$O$1:$Q$13,2)-VLOOKUP(MONTH(B347),$O$1:$Q$13,3))),($F347+$G347)/2-($F347-$G347)/2*COS(PI()*(9-VLOOKUP(MONTH(B347),$O$1:$Q$13,3))/(VLOOKUP(MONTH(B347),$O$1:$Q$13,2)-VLOOKUP(MONTH(B347),$O$1:$Q$13,3))),($F347+$G347)/2-($F347-$G347)/2*COS(PI()*(10-VLOOKUP(MONTH(B347),$O$1:$Q$13,3))/(VLOOKUP(MONTH(B347),$O$1:$Q$13,2)-VLOOKUP(MONTH(B347),$O$1:$Q$13,3))),($F347+$G347)/2-($F347-$G347)/2*COS(PI()*(11-VLOOKUP(MONTH(B347),$O$1:$Q$13,3))/(VLOOKUP(MONTH(B347),$O$1:$Q$13,2)-VLOOKUP(MONTH(B347),$O$1:$Q$13,3))),($F347+$G347)/2-($F347-$G347)/2*COS(PI()*(12-VLOOKUP(MONTH(B347),$O$1:$Q$13,3))/(VLOOKUP(MONTH(B347),$O$1:$Q$13,2)-VLOOKUP(MONTH(B347),$O$1:$Q$13,3))),($F347+$G347)/2-($F347-$G347)/2*COS(PI()*(13-VLOOKUP(MONTH(B347),$O$1:$Q$13,3))/(VLOOKUP(MONTH(B347),$O$1:$Q$13,2)-VLOOKUP(MONTH(B347),$O$1:$Q$13,3))),($F347+$G347)/2-($F347-$G347)/2*COS(PI()*(14-VLOOKUP(MONTH(B347),$O$1:$Q$13,3))/(VLOOKUP(MONTH(B347),$O$1:$Q$13,2)-VLOOKUP(MONTH(B347),$O$1:$Q$13,3))))</f>
        <v/>
      </c>
      <c r="M347" s="1">
        <f t="array" ref="M347">IF(AND(A347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,A347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),IF(L347&lt;_xlfn.IFNA(INDEX(_xlfn.ANCHORARRAY(Sintesi!$C$17)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,1,IF(L347&gt;=_xlfn.IFNA(INDEX(_xlfn.ANCHORARRAY(Sintesi!$C$18)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,0,1-(L347-_xlfn.IFNA(INDEX(_xlfn.ANCHORARRAY(Sintesi!$C$17)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)/(_xlfn.IFNA(INDEX(_xlfn.ANCHORARRAY(Sintesi!$C$18)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-_xlfn.IFNA(INDEX(_xlfn.ANCHORARRAY(Sintesi!$C$17)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))),0)</f>
        <v/>
      </c>
    </row>
    <row r="348">
      <c r="A348" s="1">
        <f>'Paste cell here'!A348</f>
        <v/>
      </c>
      <c r="B348" s="2">
        <f>DATE(Sintesi!$C$4-1,12,31)+A348</f>
        <v/>
      </c>
      <c r="C348" s="34">
        <f t="array" ref="C348">_xlfn.IFNA(MATCH(1,(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)*(_xlfn.ANCHORARRAY(Sintesi!$C$15)&gt;=0)+(_xlfn.ANCHORARRAY(Sintesi!$C$15)&lt;0),0),0)</f>
        <v/>
      </c>
      <c r="D348" s="1">
        <f t="array" ref="D348">IF(ISBLANK($E349),IF(ISNUMBER($E347),IF($C348&gt;0,IF(($E348=INDEX(_xlfn.ANCHORARRAY(Sintesi!$C$14),1,$C348))*(INDEX(_xlfn.ANCHORARRAY(Sintesi!$C$15),1,$C348)&gt;0),0,IF(($E348=INDEX(_xlfn.ANCHORARRAY(Sintesi!$C$14),1,$C348))*(INDEX(_xlfn.ANCHORARRAY(Sintesi!$C$15),1,$C348)&lt;0)+($E348&gt;=$E347)*($E348&lt;=INDEX($E:$E,MATCH(TRUE,INDEX((ISNUMBER($E:$E)),0),0)))*($E348&gt;INDEX(_xlfn.ANCHORARRAY(Sintesi!$C$14),1,$C348))*($E348&lt;=INDEX(_xlfn.ANCHORARRAY(Sintesi!$C$15),1,$C348))*(INDEX(_xlfn.ANCHORARRAY(Sintesi!$C$15),1,$C348)&gt;0),1,IF(($E348&gt;=$E347)*($E348&lt;=INDEX($E:$E,MATCH(TRUE,INDEX((ISNUMBER($E:$E)),0),0)))*($E348&gt;INDEX(_xlfn.ANCHORARRAY(Sintesi!$C$14),1,$C348))*($E348&lt;INDEX(_xlfn.ANCHORARRAY(Sintesi!$C$16),1,$C348))*(INDEX(_xlfn.ANCHORARRAY(Sintesi!$C$15),1,$C348)&lt;0)+($E348&gt;=$E347)*($E348&lt;=INDEX($E:$E,MATCH(TRUE,INDEX((ISNUMBER($E:$E)),0),0)))*($E348&gt;INDEX(_xlfn.ANCHORARRAY(Sintesi!$C$15),1,$C348))*($E348&lt;INDEX(_xlfn.ANCHORARRAY(Sintesi!$C$16),1,$C348))*(INDEX(_xlfn.ANCHORARRAY(Sintesi!$C$15),1,$C348)&gt;0),2,IF($E348=(INDEX(_xlfn.ANCHORARRAY(Sintesi!$C$16),1,$C348)),3,4)))),0),IF($C348&gt;0,IF(($E348=INDEX(_xlfn.ANCHORARRAY(Sintesi!$C$14),1,$C348))*(INDEX(_xlfn.ANCHORARRAY(Sintesi!$C$15),1,$C348)&gt;0),0,IF(($E348=INDEX(_xlfn.ANCHORARRAY(Sintesi!$C$14),1,$C348))*(INDEX(_xlfn.ANCHORARRAY(Sintesi!$C$15),1,$C348)&lt;0)+($E348&gt;=LOOKUP(2,1/($E:$E&lt;&gt;""),$E:$E))*($E348&lt;=INDEX($E:$E,MATCH(TRUE,INDEX((ISNUMBER($E:$E)),0),0)))*($E348&gt;INDEX(_xlfn.ANCHORARRAY(Sintesi!$C$14),1,$C348))*($E348&lt;=INDEX(_xlfn.ANCHORARRAY(Sintesi!$C$15),1,$C348))*(INDEX(_xlfn.ANCHORARRAY(Sintesi!$C$15),1,$C348)&gt;0),1,IF(($E348&gt;=LOOKUP(2,1/($E:$E&lt;&gt;""),$E:$E))*($E348&lt;=INDEX($E:$E,MATCH(TRUE,INDEX((ISNUMBER($E:$E)),0),0)))*($E348&gt;INDEX(_xlfn.ANCHORARRAY(Sintesi!$C$14),1,$C348))*($E348&lt;INDEX(_xlfn.ANCHORARRAY(Sintesi!$C$16),1,$C348))*(INDEX(_xlfn.ANCHORARRAY(Sintesi!$C$15),1,$C348)&lt;0)+($E348&gt;=LOOKUP(2,1/($E:$E&lt;&gt;""),$E:$E))*($E348&lt;=INDEX($E:$E,MATCH(TRUE,INDEX((ISNUMBER($E:$E)),0),0)))*($E348&gt;INDEX(_xlfn.ANCHORARRAY(Sintesi!$C$15),1,$C348))*($E348&lt;INDEX(_xlfn.ANCHORARRAY(Sintesi!$C$16),1,$C348))*(INDEX(_xlfn.ANCHORARRAY(Sintesi!$C$15),1,$C348)&gt;0),2,IF($E348=(INDEX(_xlfn.ANCHORARRAY(Sintesi!$C$16),1,$C348)),3,4)))),0)),IF(ISNUMBER($E347),IF($C348&gt;0,IF(($E348=INDEX(_xlfn.ANCHORARRAY(Sintesi!$C$14),1,$C348))*(INDEX(_xlfn.ANCHORARRAY(Sintesi!$C$15),1,$C348)&gt;0),0,IF(($E348=INDEX(_xlfn.ANCHORARRAY(Sintesi!$C$14),1,$C348))*(INDEX(_xlfn.ANCHORARRAY(Sintesi!$C$15),1,$C348)&lt;0)+($E348&gt;=$E347)*($E348&lt;=$E349)*($E348&gt;INDEX(_xlfn.ANCHORARRAY(Sintesi!$C$14),1,$C348))*($E348&lt;=INDEX(_xlfn.ANCHORARRAY(Sintesi!$C$15),1,$C348))*(INDEX(_xlfn.ANCHORARRAY(Sintesi!$C$15),1,$C348)&gt;0),1,IF(($E348&gt;=$E347)*($E348&lt;=$E349)*($E348&gt;INDEX(_xlfn.ANCHORARRAY(Sintesi!$C$14),1,$C348))*($E348&lt;INDEX(_xlfn.ANCHORARRAY(Sintesi!$C$16),1,$C348))*(INDEX(_xlfn.ANCHORARRAY(Sintesi!$C$15),1,$C348)&lt;0)+($E348&gt;=$E347)*($E348&lt;=$E349)*($E348&gt;INDEX(_xlfn.ANCHORARRAY(Sintesi!$C$15),1,$C348))*($E348&lt;INDEX(_xlfn.ANCHORARRAY(Sintesi!$C$16),1,$C348))*(INDEX(_xlfn.ANCHORARRAY(Sintesi!$C$15),1,$C348)&gt;0),2,IF($E348=(INDEX(_xlfn.ANCHORARRAY(Sintesi!$C$16),1,$C348)),3,4)))),0),IF($C348&gt;0,IF(($E348=INDEX(_xlfn.ANCHORARRAY(Sintesi!$C$14),1,$C348))*(INDEX(_xlfn.ANCHORARRAY(Sintesi!$C$15),1,$C348)&gt;0),0,IF(($E348=INDEX(_xlfn.ANCHORARRAY(Sintesi!$C$14),1,$C348))*(INDEX(_xlfn.ANCHORARRAY(Sintesi!$C$15),1,$C348)&lt;0)+($E348&gt;=LOOKUP(2,1/($E:$E&lt;&gt;""),$E:$E))*($E348&lt;=$E349)*($E348&gt;INDEX(_xlfn.ANCHORARRAY(Sintesi!$C$14),1,$C348))*($E348&lt;=INDEX(_xlfn.ANCHORARRAY(Sintesi!$C$15),1,$C348))*(INDEX(_xlfn.ANCHORARRAY(Sintesi!$C$15),1,$C348)&gt;0),1,IF(($E348&gt;=LOOKUP(2,1/($E:$E&lt;&gt;""),$E:$E))*($E348&lt;=$E349)*($E348&gt;INDEX(_xlfn.ANCHORARRAY(Sintesi!$C$14),1,$C348))*($E348&lt;INDEX(_xlfn.ANCHORARRAY(Sintesi!$C$16),1,$C348))*(INDEX(_xlfn.ANCHORARRAY(Sintesi!$C$15),1,$C348)&lt;0)+($E348&gt;=LOOKUP(2,1/($E:$E&lt;&gt;""),$E:$E))*($E348&lt;=$E349)*($E348&gt;INDEX(_xlfn.ANCHORARRAY(Sintesi!$C$15),1,$C348))*($E348&lt;INDEX(_xlfn.ANCHORARRAY(Sintesi!$C$16),1,$C348))*(INDEX(_xlfn.ANCHORARRAY(Sintesi!$C$15),1,$C348)&gt;0),2,IF($E348=(INDEX(_xlfn.ANCHORARRAY(Sintesi!$C$16),1,$C348)),3,4)))),0)))</f>
        <v/>
      </c>
      <c r="E348" s="1">
        <f>'Paste cell here'!F348</f>
        <v/>
      </c>
      <c r="F348" s="1">
        <f>'Paste cell here'!C348</f>
        <v/>
      </c>
      <c r="G348" s="1">
        <f>'Paste cell here'!D348</f>
        <v/>
      </c>
      <c r="H348" s="1">
        <f>'Paste cell here'!E348</f>
        <v/>
      </c>
      <c r="I348" s="1">
        <f>'Paste cell here'!X348</f>
        <v/>
      </c>
      <c r="J348" s="1">
        <f>'Paste cell here'!Y348+'Paste cell here'!S348</f>
        <v/>
      </c>
      <c r="K348" s="1">
        <f>I348/H348</f>
        <v/>
      </c>
      <c r="L348" s="1">
        <f>AVERAGE(($F348+$G348)/2-($F348-$G348)/2*COS(PI()*(8-VLOOKUP(MONTH(B348),$O$1:$Q$13,3))/(VLOOKUP(MONTH(B348),$O$1:$Q$13,2)-VLOOKUP(MONTH(B348),$O$1:$Q$13,3))),($F348+$G348)/2-($F348-$G348)/2*COS(PI()*(9-VLOOKUP(MONTH(B348),$O$1:$Q$13,3))/(VLOOKUP(MONTH(B348),$O$1:$Q$13,2)-VLOOKUP(MONTH(B348),$O$1:$Q$13,3))),($F348+$G348)/2-($F348-$G348)/2*COS(PI()*(10-VLOOKUP(MONTH(B348),$O$1:$Q$13,3))/(VLOOKUP(MONTH(B348),$O$1:$Q$13,2)-VLOOKUP(MONTH(B348),$O$1:$Q$13,3))),($F348+$G348)/2-($F348-$G348)/2*COS(PI()*(11-VLOOKUP(MONTH(B348),$O$1:$Q$13,3))/(VLOOKUP(MONTH(B348),$O$1:$Q$13,2)-VLOOKUP(MONTH(B348),$O$1:$Q$13,3))),($F348+$G348)/2-($F348-$G348)/2*COS(PI()*(12-VLOOKUP(MONTH(B348),$O$1:$Q$13,3))/(VLOOKUP(MONTH(B348),$O$1:$Q$13,2)-VLOOKUP(MONTH(B348),$O$1:$Q$13,3))),($F348+$G348)/2-($F348-$G348)/2*COS(PI()*(13-VLOOKUP(MONTH(B348),$O$1:$Q$13,3))/(VLOOKUP(MONTH(B348),$O$1:$Q$13,2)-VLOOKUP(MONTH(B348),$O$1:$Q$13,3))),($F348+$G348)/2-($F348-$G348)/2*COS(PI()*(14-VLOOKUP(MONTH(B348),$O$1:$Q$13,3))/(VLOOKUP(MONTH(B348),$O$1:$Q$13,2)-VLOOKUP(MONTH(B348),$O$1:$Q$13,3))))</f>
        <v/>
      </c>
      <c r="M348" s="1">
        <f t="array" ref="M348">IF(AND(A348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,A348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),IF(L348&lt;_xlfn.IFNA(INDEX(_xlfn.ANCHORARRAY(Sintesi!$C$17)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,1,IF(L348&gt;=_xlfn.IFNA(INDEX(_xlfn.ANCHORARRAY(Sintesi!$C$18)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,0,1-(L348-_xlfn.IFNA(INDEX(_xlfn.ANCHORARRAY(Sintesi!$C$17)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)/(_xlfn.IFNA(INDEX(_xlfn.ANCHORARRAY(Sintesi!$C$18)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-_xlfn.IFNA(INDEX(_xlfn.ANCHORARRAY(Sintesi!$C$17)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))),0)</f>
        <v/>
      </c>
    </row>
    <row r="349">
      <c r="A349" s="1">
        <f>'Paste cell here'!A349</f>
        <v/>
      </c>
      <c r="B349" s="2">
        <f>DATE(Sintesi!$C$4-1,12,31)+A349</f>
        <v/>
      </c>
      <c r="C349" s="34">
        <f t="array" ref="C349">_xlfn.IFNA(MATCH(1,(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)*(_xlfn.ANCHORARRAY(Sintesi!$C$15)&gt;=0)+(_xlfn.ANCHORARRAY(Sintesi!$C$15)&lt;0),0),0)</f>
        <v/>
      </c>
      <c r="D349" s="1">
        <f t="array" ref="D349">IF(ISBLANK($E350),IF(ISNUMBER($E348),IF($C349&gt;0,IF(($E349=INDEX(_xlfn.ANCHORARRAY(Sintesi!$C$14),1,$C349))*(INDEX(_xlfn.ANCHORARRAY(Sintesi!$C$15),1,$C349)&gt;0),0,IF(($E349=INDEX(_xlfn.ANCHORARRAY(Sintesi!$C$14),1,$C349))*(INDEX(_xlfn.ANCHORARRAY(Sintesi!$C$15),1,$C349)&lt;0)+($E349&gt;=$E348)*($E349&lt;=INDEX($E:$E,MATCH(TRUE,INDEX((ISNUMBER($E:$E)),0),0)))*($E349&gt;INDEX(_xlfn.ANCHORARRAY(Sintesi!$C$14),1,$C349))*($E349&lt;=INDEX(_xlfn.ANCHORARRAY(Sintesi!$C$15),1,$C349))*(INDEX(_xlfn.ANCHORARRAY(Sintesi!$C$15),1,$C349)&gt;0),1,IF(($E349&gt;=$E348)*($E349&lt;=INDEX($E:$E,MATCH(TRUE,INDEX((ISNUMBER($E:$E)),0),0)))*($E349&gt;INDEX(_xlfn.ANCHORARRAY(Sintesi!$C$14),1,$C349))*($E349&lt;INDEX(_xlfn.ANCHORARRAY(Sintesi!$C$16),1,$C349))*(INDEX(_xlfn.ANCHORARRAY(Sintesi!$C$15),1,$C349)&lt;0)+($E349&gt;=$E348)*($E349&lt;=INDEX($E:$E,MATCH(TRUE,INDEX((ISNUMBER($E:$E)),0),0)))*($E349&gt;INDEX(_xlfn.ANCHORARRAY(Sintesi!$C$15),1,$C349))*($E349&lt;INDEX(_xlfn.ANCHORARRAY(Sintesi!$C$16),1,$C349))*(INDEX(_xlfn.ANCHORARRAY(Sintesi!$C$15),1,$C349)&gt;0),2,IF($E349=(INDEX(_xlfn.ANCHORARRAY(Sintesi!$C$16),1,$C349)),3,4)))),0),IF($C349&gt;0,IF(($E349=INDEX(_xlfn.ANCHORARRAY(Sintesi!$C$14),1,$C349))*(INDEX(_xlfn.ANCHORARRAY(Sintesi!$C$15),1,$C349)&gt;0),0,IF(($E349=INDEX(_xlfn.ANCHORARRAY(Sintesi!$C$14),1,$C349))*(INDEX(_xlfn.ANCHORARRAY(Sintesi!$C$15),1,$C349)&lt;0)+($E349&gt;=LOOKUP(2,1/($E:$E&lt;&gt;""),$E:$E))*($E349&lt;=INDEX($E:$E,MATCH(TRUE,INDEX((ISNUMBER($E:$E)),0),0)))*($E349&gt;INDEX(_xlfn.ANCHORARRAY(Sintesi!$C$14),1,$C349))*($E349&lt;=INDEX(_xlfn.ANCHORARRAY(Sintesi!$C$15),1,$C349))*(INDEX(_xlfn.ANCHORARRAY(Sintesi!$C$15),1,$C349)&gt;0),1,IF(($E349&gt;=LOOKUP(2,1/($E:$E&lt;&gt;""),$E:$E))*($E349&lt;=INDEX($E:$E,MATCH(TRUE,INDEX((ISNUMBER($E:$E)),0),0)))*($E349&gt;INDEX(_xlfn.ANCHORARRAY(Sintesi!$C$14),1,$C349))*($E349&lt;INDEX(_xlfn.ANCHORARRAY(Sintesi!$C$16),1,$C349))*(INDEX(_xlfn.ANCHORARRAY(Sintesi!$C$15),1,$C349)&lt;0)+($E349&gt;=LOOKUP(2,1/($E:$E&lt;&gt;""),$E:$E))*($E349&lt;=INDEX($E:$E,MATCH(TRUE,INDEX((ISNUMBER($E:$E)),0),0)))*($E349&gt;INDEX(_xlfn.ANCHORARRAY(Sintesi!$C$15),1,$C349))*($E349&lt;INDEX(_xlfn.ANCHORARRAY(Sintesi!$C$16),1,$C349))*(INDEX(_xlfn.ANCHORARRAY(Sintesi!$C$15),1,$C349)&gt;0),2,IF($E349=(INDEX(_xlfn.ANCHORARRAY(Sintesi!$C$16),1,$C349)),3,4)))),0)),IF(ISNUMBER($E348),IF($C349&gt;0,IF(($E349=INDEX(_xlfn.ANCHORARRAY(Sintesi!$C$14),1,$C349))*(INDEX(_xlfn.ANCHORARRAY(Sintesi!$C$15),1,$C349)&gt;0),0,IF(($E349=INDEX(_xlfn.ANCHORARRAY(Sintesi!$C$14),1,$C349))*(INDEX(_xlfn.ANCHORARRAY(Sintesi!$C$15),1,$C349)&lt;0)+($E349&gt;=$E348)*($E349&lt;=$E350)*($E349&gt;INDEX(_xlfn.ANCHORARRAY(Sintesi!$C$14),1,$C349))*($E349&lt;=INDEX(_xlfn.ANCHORARRAY(Sintesi!$C$15),1,$C349))*(INDEX(_xlfn.ANCHORARRAY(Sintesi!$C$15),1,$C349)&gt;0),1,IF(($E349&gt;=$E348)*($E349&lt;=$E350)*($E349&gt;INDEX(_xlfn.ANCHORARRAY(Sintesi!$C$14),1,$C349))*($E349&lt;INDEX(_xlfn.ANCHORARRAY(Sintesi!$C$16),1,$C349))*(INDEX(_xlfn.ANCHORARRAY(Sintesi!$C$15),1,$C349)&lt;0)+($E349&gt;=$E348)*($E349&lt;=$E350)*($E349&gt;INDEX(_xlfn.ANCHORARRAY(Sintesi!$C$15),1,$C349))*($E349&lt;INDEX(_xlfn.ANCHORARRAY(Sintesi!$C$16),1,$C349))*(INDEX(_xlfn.ANCHORARRAY(Sintesi!$C$15),1,$C349)&gt;0),2,IF($E349=(INDEX(_xlfn.ANCHORARRAY(Sintesi!$C$16),1,$C349)),3,4)))),0),IF($C349&gt;0,IF(($E349=INDEX(_xlfn.ANCHORARRAY(Sintesi!$C$14),1,$C349))*(INDEX(_xlfn.ANCHORARRAY(Sintesi!$C$15),1,$C349)&gt;0),0,IF(($E349=INDEX(_xlfn.ANCHORARRAY(Sintesi!$C$14),1,$C349))*(INDEX(_xlfn.ANCHORARRAY(Sintesi!$C$15),1,$C349)&lt;0)+($E349&gt;=LOOKUP(2,1/($E:$E&lt;&gt;""),$E:$E))*($E349&lt;=$E350)*($E349&gt;INDEX(_xlfn.ANCHORARRAY(Sintesi!$C$14),1,$C349))*($E349&lt;=INDEX(_xlfn.ANCHORARRAY(Sintesi!$C$15),1,$C349))*(INDEX(_xlfn.ANCHORARRAY(Sintesi!$C$15),1,$C349)&gt;0),1,IF(($E349&gt;=LOOKUP(2,1/($E:$E&lt;&gt;""),$E:$E))*($E349&lt;=$E350)*($E349&gt;INDEX(_xlfn.ANCHORARRAY(Sintesi!$C$14),1,$C349))*($E349&lt;INDEX(_xlfn.ANCHORARRAY(Sintesi!$C$16),1,$C349))*(INDEX(_xlfn.ANCHORARRAY(Sintesi!$C$15),1,$C349)&lt;0)+($E349&gt;=LOOKUP(2,1/($E:$E&lt;&gt;""),$E:$E))*($E349&lt;=$E350)*($E349&gt;INDEX(_xlfn.ANCHORARRAY(Sintesi!$C$15),1,$C349))*($E349&lt;INDEX(_xlfn.ANCHORARRAY(Sintesi!$C$16),1,$C349))*(INDEX(_xlfn.ANCHORARRAY(Sintesi!$C$15),1,$C349)&gt;0),2,IF($E349=(INDEX(_xlfn.ANCHORARRAY(Sintesi!$C$16),1,$C349)),3,4)))),0)))</f>
        <v/>
      </c>
      <c r="E349" s="1">
        <f>'Paste cell here'!F349</f>
        <v/>
      </c>
      <c r="F349" s="1">
        <f>'Paste cell here'!C349</f>
        <v/>
      </c>
      <c r="G349" s="1">
        <f>'Paste cell here'!D349</f>
        <v/>
      </c>
      <c r="H349" s="1">
        <f>'Paste cell here'!E349</f>
        <v/>
      </c>
      <c r="I349" s="1">
        <f>'Paste cell here'!X349</f>
        <v/>
      </c>
      <c r="J349" s="1">
        <f>'Paste cell here'!Y349+'Paste cell here'!S349</f>
        <v/>
      </c>
      <c r="K349" s="1">
        <f>I349/H349</f>
        <v/>
      </c>
      <c r="L349" s="1">
        <f>AVERAGE(($F349+$G349)/2-($F349-$G349)/2*COS(PI()*(8-VLOOKUP(MONTH(B349),$O$1:$Q$13,3))/(VLOOKUP(MONTH(B349),$O$1:$Q$13,2)-VLOOKUP(MONTH(B349),$O$1:$Q$13,3))),($F349+$G349)/2-($F349-$G349)/2*COS(PI()*(9-VLOOKUP(MONTH(B349),$O$1:$Q$13,3))/(VLOOKUP(MONTH(B349),$O$1:$Q$13,2)-VLOOKUP(MONTH(B349),$O$1:$Q$13,3))),($F349+$G349)/2-($F349-$G349)/2*COS(PI()*(10-VLOOKUP(MONTH(B349),$O$1:$Q$13,3))/(VLOOKUP(MONTH(B349),$O$1:$Q$13,2)-VLOOKUP(MONTH(B349),$O$1:$Q$13,3))),($F349+$G349)/2-($F349-$G349)/2*COS(PI()*(11-VLOOKUP(MONTH(B349),$O$1:$Q$13,3))/(VLOOKUP(MONTH(B349),$O$1:$Q$13,2)-VLOOKUP(MONTH(B349),$O$1:$Q$13,3))),($F349+$G349)/2-($F349-$G349)/2*COS(PI()*(12-VLOOKUP(MONTH(B349),$O$1:$Q$13,3))/(VLOOKUP(MONTH(B349),$O$1:$Q$13,2)-VLOOKUP(MONTH(B349),$O$1:$Q$13,3))),($F349+$G349)/2-($F349-$G349)/2*COS(PI()*(13-VLOOKUP(MONTH(B349),$O$1:$Q$13,3))/(VLOOKUP(MONTH(B349),$O$1:$Q$13,2)-VLOOKUP(MONTH(B349),$O$1:$Q$13,3))),($F349+$G349)/2-($F349-$G349)/2*COS(PI()*(14-VLOOKUP(MONTH(B349),$O$1:$Q$13,3))/(VLOOKUP(MONTH(B349),$O$1:$Q$13,2)-VLOOKUP(MONTH(B349),$O$1:$Q$13,3))))</f>
        <v/>
      </c>
      <c r="M349" s="1">
        <f t="array" ref="M349">IF(AND(A349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,A349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),IF(L349&lt;_xlfn.IFNA(INDEX(_xlfn.ANCHORARRAY(Sintesi!$C$17)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,1,IF(L349&gt;=_xlfn.IFNA(INDEX(_xlfn.ANCHORARRAY(Sintesi!$C$18)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,0,1-(L349-_xlfn.IFNA(INDEX(_xlfn.ANCHORARRAY(Sintesi!$C$17)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)/(_xlfn.IFNA(INDEX(_xlfn.ANCHORARRAY(Sintesi!$C$18)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-_xlfn.IFNA(INDEX(_xlfn.ANCHORARRAY(Sintesi!$C$17)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))),0)</f>
        <v/>
      </c>
    </row>
    <row r="350">
      <c r="A350" s="1">
        <f>'Paste cell here'!A350</f>
        <v/>
      </c>
      <c r="B350" s="2">
        <f>DATE(Sintesi!$C$4-1,12,31)+A350</f>
        <v/>
      </c>
      <c r="C350" s="34">
        <f t="array" ref="C350">_xlfn.IFNA(MATCH(1,(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)*(_xlfn.ANCHORARRAY(Sintesi!$C$15)&gt;=0)+(_xlfn.ANCHORARRAY(Sintesi!$C$15)&lt;0),0),0)</f>
        <v/>
      </c>
      <c r="D350" s="1">
        <f t="array" ref="D350">IF(ISBLANK($E351),IF(ISNUMBER($E349),IF($C350&gt;0,IF(($E350=INDEX(_xlfn.ANCHORARRAY(Sintesi!$C$14),1,$C350))*(INDEX(_xlfn.ANCHORARRAY(Sintesi!$C$15),1,$C350)&gt;0),0,IF(($E350=INDEX(_xlfn.ANCHORARRAY(Sintesi!$C$14),1,$C350))*(INDEX(_xlfn.ANCHORARRAY(Sintesi!$C$15),1,$C350)&lt;0)+($E350&gt;=$E349)*($E350&lt;=INDEX($E:$E,MATCH(TRUE,INDEX((ISNUMBER($E:$E)),0),0)))*($E350&gt;INDEX(_xlfn.ANCHORARRAY(Sintesi!$C$14),1,$C350))*($E350&lt;=INDEX(_xlfn.ANCHORARRAY(Sintesi!$C$15),1,$C350))*(INDEX(_xlfn.ANCHORARRAY(Sintesi!$C$15),1,$C350)&gt;0),1,IF(($E350&gt;=$E349)*($E350&lt;=INDEX($E:$E,MATCH(TRUE,INDEX((ISNUMBER($E:$E)),0),0)))*($E350&gt;INDEX(_xlfn.ANCHORARRAY(Sintesi!$C$14),1,$C350))*($E350&lt;INDEX(_xlfn.ANCHORARRAY(Sintesi!$C$16),1,$C350))*(INDEX(_xlfn.ANCHORARRAY(Sintesi!$C$15),1,$C350)&lt;0)+($E350&gt;=$E349)*($E350&lt;=INDEX($E:$E,MATCH(TRUE,INDEX((ISNUMBER($E:$E)),0),0)))*($E350&gt;INDEX(_xlfn.ANCHORARRAY(Sintesi!$C$15),1,$C350))*($E350&lt;INDEX(_xlfn.ANCHORARRAY(Sintesi!$C$16),1,$C350))*(INDEX(_xlfn.ANCHORARRAY(Sintesi!$C$15),1,$C350)&gt;0),2,IF($E350=(INDEX(_xlfn.ANCHORARRAY(Sintesi!$C$16),1,$C350)),3,4)))),0),IF($C350&gt;0,IF(($E350=INDEX(_xlfn.ANCHORARRAY(Sintesi!$C$14),1,$C350))*(INDEX(_xlfn.ANCHORARRAY(Sintesi!$C$15),1,$C350)&gt;0),0,IF(($E350=INDEX(_xlfn.ANCHORARRAY(Sintesi!$C$14),1,$C350))*(INDEX(_xlfn.ANCHORARRAY(Sintesi!$C$15),1,$C350)&lt;0)+($E350&gt;=LOOKUP(2,1/($E:$E&lt;&gt;""),$E:$E))*($E350&lt;=INDEX($E:$E,MATCH(TRUE,INDEX((ISNUMBER($E:$E)),0),0)))*($E350&gt;INDEX(_xlfn.ANCHORARRAY(Sintesi!$C$14),1,$C350))*($E350&lt;=INDEX(_xlfn.ANCHORARRAY(Sintesi!$C$15),1,$C350))*(INDEX(_xlfn.ANCHORARRAY(Sintesi!$C$15),1,$C350)&gt;0),1,IF(($E350&gt;=LOOKUP(2,1/($E:$E&lt;&gt;""),$E:$E))*($E350&lt;=INDEX($E:$E,MATCH(TRUE,INDEX((ISNUMBER($E:$E)),0),0)))*($E350&gt;INDEX(_xlfn.ANCHORARRAY(Sintesi!$C$14),1,$C350))*($E350&lt;INDEX(_xlfn.ANCHORARRAY(Sintesi!$C$16),1,$C350))*(INDEX(_xlfn.ANCHORARRAY(Sintesi!$C$15),1,$C350)&lt;0)+($E350&gt;=LOOKUP(2,1/($E:$E&lt;&gt;""),$E:$E))*($E350&lt;=INDEX($E:$E,MATCH(TRUE,INDEX((ISNUMBER($E:$E)),0),0)))*($E350&gt;INDEX(_xlfn.ANCHORARRAY(Sintesi!$C$15),1,$C350))*($E350&lt;INDEX(_xlfn.ANCHORARRAY(Sintesi!$C$16),1,$C350))*(INDEX(_xlfn.ANCHORARRAY(Sintesi!$C$15),1,$C350)&gt;0),2,IF($E350=(INDEX(_xlfn.ANCHORARRAY(Sintesi!$C$16),1,$C350)),3,4)))),0)),IF(ISNUMBER($E349),IF($C350&gt;0,IF(($E350=INDEX(_xlfn.ANCHORARRAY(Sintesi!$C$14),1,$C350))*(INDEX(_xlfn.ANCHORARRAY(Sintesi!$C$15),1,$C350)&gt;0),0,IF(($E350=INDEX(_xlfn.ANCHORARRAY(Sintesi!$C$14),1,$C350))*(INDEX(_xlfn.ANCHORARRAY(Sintesi!$C$15),1,$C350)&lt;0)+($E350&gt;=$E349)*($E350&lt;=$E351)*($E350&gt;INDEX(_xlfn.ANCHORARRAY(Sintesi!$C$14),1,$C350))*($E350&lt;=INDEX(_xlfn.ANCHORARRAY(Sintesi!$C$15),1,$C350))*(INDEX(_xlfn.ANCHORARRAY(Sintesi!$C$15),1,$C350)&gt;0),1,IF(($E350&gt;=$E349)*($E350&lt;=$E351)*($E350&gt;INDEX(_xlfn.ANCHORARRAY(Sintesi!$C$14),1,$C350))*($E350&lt;INDEX(_xlfn.ANCHORARRAY(Sintesi!$C$16),1,$C350))*(INDEX(_xlfn.ANCHORARRAY(Sintesi!$C$15),1,$C350)&lt;0)+($E350&gt;=$E349)*($E350&lt;=$E351)*($E350&gt;INDEX(_xlfn.ANCHORARRAY(Sintesi!$C$15),1,$C350))*($E350&lt;INDEX(_xlfn.ANCHORARRAY(Sintesi!$C$16),1,$C350))*(INDEX(_xlfn.ANCHORARRAY(Sintesi!$C$15),1,$C350)&gt;0),2,IF($E350=(INDEX(_xlfn.ANCHORARRAY(Sintesi!$C$16),1,$C350)),3,4)))),0),IF($C350&gt;0,IF(($E350=INDEX(_xlfn.ANCHORARRAY(Sintesi!$C$14),1,$C350))*(INDEX(_xlfn.ANCHORARRAY(Sintesi!$C$15),1,$C350)&gt;0),0,IF(($E350=INDEX(_xlfn.ANCHORARRAY(Sintesi!$C$14),1,$C350))*(INDEX(_xlfn.ANCHORARRAY(Sintesi!$C$15),1,$C350)&lt;0)+($E350&gt;=LOOKUP(2,1/($E:$E&lt;&gt;""),$E:$E))*($E350&lt;=$E351)*($E350&gt;INDEX(_xlfn.ANCHORARRAY(Sintesi!$C$14),1,$C350))*($E350&lt;=INDEX(_xlfn.ANCHORARRAY(Sintesi!$C$15),1,$C350))*(INDEX(_xlfn.ANCHORARRAY(Sintesi!$C$15),1,$C350)&gt;0),1,IF(($E350&gt;=LOOKUP(2,1/($E:$E&lt;&gt;""),$E:$E))*($E350&lt;=$E351)*($E350&gt;INDEX(_xlfn.ANCHORARRAY(Sintesi!$C$14),1,$C350))*($E350&lt;INDEX(_xlfn.ANCHORARRAY(Sintesi!$C$16),1,$C350))*(INDEX(_xlfn.ANCHORARRAY(Sintesi!$C$15),1,$C350)&lt;0)+($E350&gt;=LOOKUP(2,1/($E:$E&lt;&gt;""),$E:$E))*($E350&lt;=$E351)*($E350&gt;INDEX(_xlfn.ANCHORARRAY(Sintesi!$C$15),1,$C350))*($E350&lt;INDEX(_xlfn.ANCHORARRAY(Sintesi!$C$16),1,$C350))*(INDEX(_xlfn.ANCHORARRAY(Sintesi!$C$15),1,$C350)&gt;0),2,IF($E350=(INDEX(_xlfn.ANCHORARRAY(Sintesi!$C$16),1,$C350)),3,4)))),0)))</f>
        <v/>
      </c>
      <c r="E350" s="1">
        <f>'Paste cell here'!F350</f>
        <v/>
      </c>
      <c r="F350" s="1">
        <f>'Paste cell here'!C350</f>
        <v/>
      </c>
      <c r="G350" s="1">
        <f>'Paste cell here'!D350</f>
        <v/>
      </c>
      <c r="H350" s="1">
        <f>'Paste cell here'!E350</f>
        <v/>
      </c>
      <c r="I350" s="1">
        <f>'Paste cell here'!X350</f>
        <v/>
      </c>
      <c r="J350" s="1">
        <f>'Paste cell here'!Y350+'Paste cell here'!S350</f>
        <v/>
      </c>
      <c r="K350" s="1">
        <f>I350/H350</f>
        <v/>
      </c>
      <c r="L350" s="1">
        <f>AVERAGE(($F350+$G350)/2-($F350-$G350)/2*COS(PI()*(8-VLOOKUP(MONTH(B350),$O$1:$Q$13,3))/(VLOOKUP(MONTH(B350),$O$1:$Q$13,2)-VLOOKUP(MONTH(B350),$O$1:$Q$13,3))),($F350+$G350)/2-($F350-$G350)/2*COS(PI()*(9-VLOOKUP(MONTH(B350),$O$1:$Q$13,3))/(VLOOKUP(MONTH(B350),$O$1:$Q$13,2)-VLOOKUP(MONTH(B350),$O$1:$Q$13,3))),($F350+$G350)/2-($F350-$G350)/2*COS(PI()*(10-VLOOKUP(MONTH(B350),$O$1:$Q$13,3))/(VLOOKUP(MONTH(B350),$O$1:$Q$13,2)-VLOOKUP(MONTH(B350),$O$1:$Q$13,3))),($F350+$G350)/2-($F350-$G350)/2*COS(PI()*(11-VLOOKUP(MONTH(B350),$O$1:$Q$13,3))/(VLOOKUP(MONTH(B350),$O$1:$Q$13,2)-VLOOKUP(MONTH(B350),$O$1:$Q$13,3))),($F350+$G350)/2-($F350-$G350)/2*COS(PI()*(12-VLOOKUP(MONTH(B350),$O$1:$Q$13,3))/(VLOOKUP(MONTH(B350),$O$1:$Q$13,2)-VLOOKUP(MONTH(B350),$O$1:$Q$13,3))),($F350+$G350)/2-($F350-$G350)/2*COS(PI()*(13-VLOOKUP(MONTH(B350),$O$1:$Q$13,3))/(VLOOKUP(MONTH(B350),$O$1:$Q$13,2)-VLOOKUP(MONTH(B350),$O$1:$Q$13,3))),($F350+$G350)/2-($F350-$G350)/2*COS(PI()*(14-VLOOKUP(MONTH(B350),$O$1:$Q$13,3))/(VLOOKUP(MONTH(B350),$O$1:$Q$13,2)-VLOOKUP(MONTH(B350),$O$1:$Q$13,3))))</f>
        <v/>
      </c>
      <c r="M350" s="1">
        <f t="array" ref="M350">IF(AND(A350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,A350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),IF(L350&lt;_xlfn.IFNA(INDEX(_xlfn.ANCHORARRAY(Sintesi!$C$17)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,1,IF(L350&gt;=_xlfn.IFNA(INDEX(_xlfn.ANCHORARRAY(Sintesi!$C$18)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,0,1-(L350-_xlfn.IFNA(INDEX(_xlfn.ANCHORARRAY(Sintesi!$C$17)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)/(_xlfn.IFNA(INDEX(_xlfn.ANCHORARRAY(Sintesi!$C$18)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-_xlfn.IFNA(INDEX(_xlfn.ANCHORARRAY(Sintesi!$C$17)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))),0)</f>
        <v/>
      </c>
    </row>
    <row r="351">
      <c r="A351" s="1">
        <f>'Paste cell here'!A351</f>
        <v/>
      </c>
      <c r="B351" s="2">
        <f>DATE(Sintesi!$C$4-1,12,31)+A351</f>
        <v/>
      </c>
      <c r="C351" s="34">
        <f t="array" ref="C351">_xlfn.IFNA(MATCH(1,(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)*(_xlfn.ANCHORARRAY(Sintesi!$C$15)&gt;=0)+(_xlfn.ANCHORARRAY(Sintesi!$C$15)&lt;0),0),0)</f>
        <v/>
      </c>
      <c r="D351" s="1">
        <f t="array" ref="D351">IF(ISBLANK($E352),IF(ISNUMBER($E350),IF($C351&gt;0,IF(($E351=INDEX(_xlfn.ANCHORARRAY(Sintesi!$C$14),1,$C351))*(INDEX(_xlfn.ANCHORARRAY(Sintesi!$C$15),1,$C351)&gt;0),0,IF(($E351=INDEX(_xlfn.ANCHORARRAY(Sintesi!$C$14),1,$C351))*(INDEX(_xlfn.ANCHORARRAY(Sintesi!$C$15),1,$C351)&lt;0)+($E351&gt;=$E350)*($E351&lt;=INDEX($E:$E,MATCH(TRUE,INDEX((ISNUMBER($E:$E)),0),0)))*($E351&gt;INDEX(_xlfn.ANCHORARRAY(Sintesi!$C$14),1,$C351))*($E351&lt;=INDEX(_xlfn.ANCHORARRAY(Sintesi!$C$15),1,$C351))*(INDEX(_xlfn.ANCHORARRAY(Sintesi!$C$15),1,$C351)&gt;0),1,IF(($E351&gt;=$E350)*($E351&lt;=INDEX($E:$E,MATCH(TRUE,INDEX((ISNUMBER($E:$E)),0),0)))*($E351&gt;INDEX(_xlfn.ANCHORARRAY(Sintesi!$C$14),1,$C351))*($E351&lt;INDEX(_xlfn.ANCHORARRAY(Sintesi!$C$16),1,$C351))*(INDEX(_xlfn.ANCHORARRAY(Sintesi!$C$15),1,$C351)&lt;0)+($E351&gt;=$E350)*($E351&lt;=INDEX($E:$E,MATCH(TRUE,INDEX((ISNUMBER($E:$E)),0),0)))*($E351&gt;INDEX(_xlfn.ANCHORARRAY(Sintesi!$C$15),1,$C351))*($E351&lt;INDEX(_xlfn.ANCHORARRAY(Sintesi!$C$16),1,$C351))*(INDEX(_xlfn.ANCHORARRAY(Sintesi!$C$15),1,$C351)&gt;0),2,IF($E351=(INDEX(_xlfn.ANCHORARRAY(Sintesi!$C$16),1,$C351)),3,4)))),0),IF($C351&gt;0,IF(($E351=INDEX(_xlfn.ANCHORARRAY(Sintesi!$C$14),1,$C351))*(INDEX(_xlfn.ANCHORARRAY(Sintesi!$C$15),1,$C351)&gt;0),0,IF(($E351=INDEX(_xlfn.ANCHORARRAY(Sintesi!$C$14),1,$C351))*(INDEX(_xlfn.ANCHORARRAY(Sintesi!$C$15),1,$C351)&lt;0)+($E351&gt;=LOOKUP(2,1/($E:$E&lt;&gt;""),$E:$E))*($E351&lt;=INDEX($E:$E,MATCH(TRUE,INDEX((ISNUMBER($E:$E)),0),0)))*($E351&gt;INDEX(_xlfn.ANCHORARRAY(Sintesi!$C$14),1,$C351))*($E351&lt;=INDEX(_xlfn.ANCHORARRAY(Sintesi!$C$15),1,$C351))*(INDEX(_xlfn.ANCHORARRAY(Sintesi!$C$15),1,$C351)&gt;0),1,IF(($E351&gt;=LOOKUP(2,1/($E:$E&lt;&gt;""),$E:$E))*($E351&lt;=INDEX($E:$E,MATCH(TRUE,INDEX((ISNUMBER($E:$E)),0),0)))*($E351&gt;INDEX(_xlfn.ANCHORARRAY(Sintesi!$C$14),1,$C351))*($E351&lt;INDEX(_xlfn.ANCHORARRAY(Sintesi!$C$16),1,$C351))*(INDEX(_xlfn.ANCHORARRAY(Sintesi!$C$15),1,$C351)&lt;0)+($E351&gt;=LOOKUP(2,1/($E:$E&lt;&gt;""),$E:$E))*($E351&lt;=INDEX($E:$E,MATCH(TRUE,INDEX((ISNUMBER($E:$E)),0),0)))*($E351&gt;INDEX(_xlfn.ANCHORARRAY(Sintesi!$C$15),1,$C351))*($E351&lt;INDEX(_xlfn.ANCHORARRAY(Sintesi!$C$16),1,$C351))*(INDEX(_xlfn.ANCHORARRAY(Sintesi!$C$15),1,$C351)&gt;0),2,IF($E351=(INDEX(_xlfn.ANCHORARRAY(Sintesi!$C$16),1,$C351)),3,4)))),0)),IF(ISNUMBER($E350),IF($C351&gt;0,IF(($E351=INDEX(_xlfn.ANCHORARRAY(Sintesi!$C$14),1,$C351))*(INDEX(_xlfn.ANCHORARRAY(Sintesi!$C$15),1,$C351)&gt;0),0,IF(($E351=INDEX(_xlfn.ANCHORARRAY(Sintesi!$C$14),1,$C351))*(INDEX(_xlfn.ANCHORARRAY(Sintesi!$C$15),1,$C351)&lt;0)+($E351&gt;=$E350)*($E351&lt;=$E352)*($E351&gt;INDEX(_xlfn.ANCHORARRAY(Sintesi!$C$14),1,$C351))*($E351&lt;=INDEX(_xlfn.ANCHORARRAY(Sintesi!$C$15),1,$C351))*(INDEX(_xlfn.ANCHORARRAY(Sintesi!$C$15),1,$C351)&gt;0),1,IF(($E351&gt;=$E350)*($E351&lt;=$E352)*($E351&gt;INDEX(_xlfn.ANCHORARRAY(Sintesi!$C$14),1,$C351))*($E351&lt;INDEX(_xlfn.ANCHORARRAY(Sintesi!$C$16),1,$C351))*(INDEX(_xlfn.ANCHORARRAY(Sintesi!$C$15),1,$C351)&lt;0)+($E351&gt;=$E350)*($E351&lt;=$E352)*($E351&gt;INDEX(_xlfn.ANCHORARRAY(Sintesi!$C$15),1,$C351))*($E351&lt;INDEX(_xlfn.ANCHORARRAY(Sintesi!$C$16),1,$C351))*(INDEX(_xlfn.ANCHORARRAY(Sintesi!$C$15),1,$C351)&gt;0),2,IF($E351=(INDEX(_xlfn.ANCHORARRAY(Sintesi!$C$16),1,$C351)),3,4)))),0),IF($C351&gt;0,IF(($E351=INDEX(_xlfn.ANCHORARRAY(Sintesi!$C$14),1,$C351))*(INDEX(_xlfn.ANCHORARRAY(Sintesi!$C$15),1,$C351)&gt;0),0,IF(($E351=INDEX(_xlfn.ANCHORARRAY(Sintesi!$C$14),1,$C351))*(INDEX(_xlfn.ANCHORARRAY(Sintesi!$C$15),1,$C351)&lt;0)+($E351&gt;=LOOKUP(2,1/($E:$E&lt;&gt;""),$E:$E))*($E351&lt;=$E352)*($E351&gt;INDEX(_xlfn.ANCHORARRAY(Sintesi!$C$14),1,$C351))*($E351&lt;=INDEX(_xlfn.ANCHORARRAY(Sintesi!$C$15),1,$C351))*(INDEX(_xlfn.ANCHORARRAY(Sintesi!$C$15),1,$C351)&gt;0),1,IF(($E351&gt;=LOOKUP(2,1/($E:$E&lt;&gt;""),$E:$E))*($E351&lt;=$E352)*($E351&gt;INDEX(_xlfn.ANCHORARRAY(Sintesi!$C$14),1,$C351))*($E351&lt;INDEX(_xlfn.ANCHORARRAY(Sintesi!$C$16),1,$C351))*(INDEX(_xlfn.ANCHORARRAY(Sintesi!$C$15),1,$C351)&lt;0)+($E351&gt;=LOOKUP(2,1/($E:$E&lt;&gt;""),$E:$E))*($E351&lt;=$E352)*($E351&gt;INDEX(_xlfn.ANCHORARRAY(Sintesi!$C$15),1,$C351))*($E351&lt;INDEX(_xlfn.ANCHORARRAY(Sintesi!$C$16),1,$C351))*(INDEX(_xlfn.ANCHORARRAY(Sintesi!$C$15),1,$C351)&gt;0),2,IF($E351=(INDEX(_xlfn.ANCHORARRAY(Sintesi!$C$16),1,$C351)),3,4)))),0)))</f>
        <v/>
      </c>
      <c r="E351" s="1">
        <f>'Paste cell here'!F351</f>
        <v/>
      </c>
      <c r="F351" s="1">
        <f>'Paste cell here'!C351</f>
        <v/>
      </c>
      <c r="G351" s="1">
        <f>'Paste cell here'!D351</f>
        <v/>
      </c>
      <c r="H351" s="1">
        <f>'Paste cell here'!E351</f>
        <v/>
      </c>
      <c r="I351" s="1">
        <f>'Paste cell here'!X351</f>
        <v/>
      </c>
      <c r="J351" s="1">
        <f>'Paste cell here'!Y351+'Paste cell here'!S351</f>
        <v/>
      </c>
      <c r="K351" s="1">
        <f>I351/H351</f>
        <v/>
      </c>
      <c r="L351" s="1">
        <f>AVERAGE(($F351+$G351)/2-($F351-$G351)/2*COS(PI()*(8-VLOOKUP(MONTH(B351),$O$1:$Q$13,3))/(VLOOKUP(MONTH(B351),$O$1:$Q$13,2)-VLOOKUP(MONTH(B351),$O$1:$Q$13,3))),($F351+$G351)/2-($F351-$G351)/2*COS(PI()*(9-VLOOKUP(MONTH(B351),$O$1:$Q$13,3))/(VLOOKUP(MONTH(B351),$O$1:$Q$13,2)-VLOOKUP(MONTH(B351),$O$1:$Q$13,3))),($F351+$G351)/2-($F351-$G351)/2*COS(PI()*(10-VLOOKUP(MONTH(B351),$O$1:$Q$13,3))/(VLOOKUP(MONTH(B351),$O$1:$Q$13,2)-VLOOKUP(MONTH(B351),$O$1:$Q$13,3))),($F351+$G351)/2-($F351-$G351)/2*COS(PI()*(11-VLOOKUP(MONTH(B351),$O$1:$Q$13,3))/(VLOOKUP(MONTH(B351),$O$1:$Q$13,2)-VLOOKUP(MONTH(B351),$O$1:$Q$13,3))),($F351+$G351)/2-($F351-$G351)/2*COS(PI()*(12-VLOOKUP(MONTH(B351),$O$1:$Q$13,3))/(VLOOKUP(MONTH(B351),$O$1:$Q$13,2)-VLOOKUP(MONTH(B351),$O$1:$Q$13,3))),($F351+$G351)/2-($F351-$G351)/2*COS(PI()*(13-VLOOKUP(MONTH(B351),$O$1:$Q$13,3))/(VLOOKUP(MONTH(B351),$O$1:$Q$13,2)-VLOOKUP(MONTH(B351),$O$1:$Q$13,3))),($F351+$G351)/2-($F351-$G351)/2*COS(PI()*(14-VLOOKUP(MONTH(B351),$O$1:$Q$13,3))/(VLOOKUP(MONTH(B351),$O$1:$Q$13,2)-VLOOKUP(MONTH(B351),$O$1:$Q$13,3))))</f>
        <v/>
      </c>
      <c r="M351" s="1">
        <f t="array" ref="M351">IF(AND(A351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,A351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),IF(L351&lt;_xlfn.IFNA(INDEX(_xlfn.ANCHORARRAY(Sintesi!$C$17)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,1,IF(L351&gt;=_xlfn.IFNA(INDEX(_xlfn.ANCHORARRAY(Sintesi!$C$18)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,0,1-(L351-_xlfn.IFNA(INDEX(_xlfn.ANCHORARRAY(Sintesi!$C$17)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)/(_xlfn.IFNA(INDEX(_xlfn.ANCHORARRAY(Sintesi!$C$18)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-_xlfn.IFNA(INDEX(_xlfn.ANCHORARRAY(Sintesi!$C$17)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))),0)</f>
        <v/>
      </c>
    </row>
    <row r="352">
      <c r="A352" s="1">
        <f>'Paste cell here'!A352</f>
        <v/>
      </c>
      <c r="B352" s="2">
        <f>DATE(Sintesi!$C$4-1,12,31)+A352</f>
        <v/>
      </c>
      <c r="C352" s="34">
        <f t="array" ref="C352">_xlfn.IFNA(MATCH(1,(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)*(_xlfn.ANCHORARRAY(Sintesi!$C$15)&gt;=0)+(_xlfn.ANCHORARRAY(Sintesi!$C$15)&lt;0),0),0)</f>
        <v/>
      </c>
      <c r="D352" s="1">
        <f t="array" ref="D352">IF(ISBLANK($E353),IF(ISNUMBER($E351),IF($C352&gt;0,IF(($E352=INDEX(_xlfn.ANCHORARRAY(Sintesi!$C$14),1,$C352))*(INDEX(_xlfn.ANCHORARRAY(Sintesi!$C$15),1,$C352)&gt;0),0,IF(($E352=INDEX(_xlfn.ANCHORARRAY(Sintesi!$C$14),1,$C352))*(INDEX(_xlfn.ANCHORARRAY(Sintesi!$C$15),1,$C352)&lt;0)+($E352&gt;=$E351)*($E352&lt;=INDEX($E:$E,MATCH(TRUE,INDEX((ISNUMBER($E:$E)),0),0)))*($E352&gt;INDEX(_xlfn.ANCHORARRAY(Sintesi!$C$14),1,$C352))*($E352&lt;=INDEX(_xlfn.ANCHORARRAY(Sintesi!$C$15),1,$C352))*(INDEX(_xlfn.ANCHORARRAY(Sintesi!$C$15),1,$C352)&gt;0),1,IF(($E352&gt;=$E351)*($E352&lt;=INDEX($E:$E,MATCH(TRUE,INDEX((ISNUMBER($E:$E)),0),0)))*($E352&gt;INDEX(_xlfn.ANCHORARRAY(Sintesi!$C$14),1,$C352))*($E352&lt;INDEX(_xlfn.ANCHORARRAY(Sintesi!$C$16),1,$C352))*(INDEX(_xlfn.ANCHORARRAY(Sintesi!$C$15),1,$C352)&lt;0)+($E352&gt;=$E351)*($E352&lt;=INDEX($E:$E,MATCH(TRUE,INDEX((ISNUMBER($E:$E)),0),0)))*($E352&gt;INDEX(_xlfn.ANCHORARRAY(Sintesi!$C$15),1,$C352))*($E352&lt;INDEX(_xlfn.ANCHORARRAY(Sintesi!$C$16),1,$C352))*(INDEX(_xlfn.ANCHORARRAY(Sintesi!$C$15),1,$C352)&gt;0),2,IF($E352=(INDEX(_xlfn.ANCHORARRAY(Sintesi!$C$16),1,$C352)),3,4)))),0),IF($C352&gt;0,IF(($E352=INDEX(_xlfn.ANCHORARRAY(Sintesi!$C$14),1,$C352))*(INDEX(_xlfn.ANCHORARRAY(Sintesi!$C$15),1,$C352)&gt;0),0,IF(($E352=INDEX(_xlfn.ANCHORARRAY(Sintesi!$C$14),1,$C352))*(INDEX(_xlfn.ANCHORARRAY(Sintesi!$C$15),1,$C352)&lt;0)+($E352&gt;=LOOKUP(2,1/($E:$E&lt;&gt;""),$E:$E))*($E352&lt;=INDEX($E:$E,MATCH(TRUE,INDEX((ISNUMBER($E:$E)),0),0)))*($E352&gt;INDEX(_xlfn.ANCHORARRAY(Sintesi!$C$14),1,$C352))*($E352&lt;=INDEX(_xlfn.ANCHORARRAY(Sintesi!$C$15),1,$C352))*(INDEX(_xlfn.ANCHORARRAY(Sintesi!$C$15),1,$C352)&gt;0),1,IF(($E352&gt;=LOOKUP(2,1/($E:$E&lt;&gt;""),$E:$E))*($E352&lt;=INDEX($E:$E,MATCH(TRUE,INDEX((ISNUMBER($E:$E)),0),0)))*($E352&gt;INDEX(_xlfn.ANCHORARRAY(Sintesi!$C$14),1,$C352))*($E352&lt;INDEX(_xlfn.ANCHORARRAY(Sintesi!$C$16),1,$C352))*(INDEX(_xlfn.ANCHORARRAY(Sintesi!$C$15),1,$C352)&lt;0)+($E352&gt;=LOOKUP(2,1/($E:$E&lt;&gt;""),$E:$E))*($E352&lt;=INDEX($E:$E,MATCH(TRUE,INDEX((ISNUMBER($E:$E)),0),0)))*($E352&gt;INDEX(_xlfn.ANCHORARRAY(Sintesi!$C$15),1,$C352))*($E352&lt;INDEX(_xlfn.ANCHORARRAY(Sintesi!$C$16),1,$C352))*(INDEX(_xlfn.ANCHORARRAY(Sintesi!$C$15),1,$C352)&gt;0),2,IF($E352=(INDEX(_xlfn.ANCHORARRAY(Sintesi!$C$16),1,$C352)),3,4)))),0)),IF(ISNUMBER($E351),IF($C352&gt;0,IF(($E352=INDEX(_xlfn.ANCHORARRAY(Sintesi!$C$14),1,$C352))*(INDEX(_xlfn.ANCHORARRAY(Sintesi!$C$15),1,$C352)&gt;0),0,IF(($E352=INDEX(_xlfn.ANCHORARRAY(Sintesi!$C$14),1,$C352))*(INDEX(_xlfn.ANCHORARRAY(Sintesi!$C$15),1,$C352)&lt;0)+($E352&gt;=$E351)*($E352&lt;=$E353)*($E352&gt;INDEX(_xlfn.ANCHORARRAY(Sintesi!$C$14),1,$C352))*($E352&lt;=INDEX(_xlfn.ANCHORARRAY(Sintesi!$C$15),1,$C352))*(INDEX(_xlfn.ANCHORARRAY(Sintesi!$C$15),1,$C352)&gt;0),1,IF(($E352&gt;=$E351)*($E352&lt;=$E353)*($E352&gt;INDEX(_xlfn.ANCHORARRAY(Sintesi!$C$14),1,$C352))*($E352&lt;INDEX(_xlfn.ANCHORARRAY(Sintesi!$C$16),1,$C352))*(INDEX(_xlfn.ANCHORARRAY(Sintesi!$C$15),1,$C352)&lt;0)+($E352&gt;=$E351)*($E352&lt;=$E353)*($E352&gt;INDEX(_xlfn.ANCHORARRAY(Sintesi!$C$15),1,$C352))*($E352&lt;INDEX(_xlfn.ANCHORARRAY(Sintesi!$C$16),1,$C352))*(INDEX(_xlfn.ANCHORARRAY(Sintesi!$C$15),1,$C352)&gt;0),2,IF($E352=(INDEX(_xlfn.ANCHORARRAY(Sintesi!$C$16),1,$C352)),3,4)))),0),IF($C352&gt;0,IF(($E352=INDEX(_xlfn.ANCHORARRAY(Sintesi!$C$14),1,$C352))*(INDEX(_xlfn.ANCHORARRAY(Sintesi!$C$15),1,$C352)&gt;0),0,IF(($E352=INDEX(_xlfn.ANCHORARRAY(Sintesi!$C$14),1,$C352))*(INDEX(_xlfn.ANCHORARRAY(Sintesi!$C$15),1,$C352)&lt;0)+($E352&gt;=LOOKUP(2,1/($E:$E&lt;&gt;""),$E:$E))*($E352&lt;=$E353)*($E352&gt;INDEX(_xlfn.ANCHORARRAY(Sintesi!$C$14),1,$C352))*($E352&lt;=INDEX(_xlfn.ANCHORARRAY(Sintesi!$C$15),1,$C352))*(INDEX(_xlfn.ANCHORARRAY(Sintesi!$C$15),1,$C352)&gt;0),1,IF(($E352&gt;=LOOKUP(2,1/($E:$E&lt;&gt;""),$E:$E))*($E352&lt;=$E353)*($E352&gt;INDEX(_xlfn.ANCHORARRAY(Sintesi!$C$14),1,$C352))*($E352&lt;INDEX(_xlfn.ANCHORARRAY(Sintesi!$C$16),1,$C352))*(INDEX(_xlfn.ANCHORARRAY(Sintesi!$C$15),1,$C352)&lt;0)+($E352&gt;=LOOKUP(2,1/($E:$E&lt;&gt;""),$E:$E))*($E352&lt;=$E353)*($E352&gt;INDEX(_xlfn.ANCHORARRAY(Sintesi!$C$15),1,$C352))*($E352&lt;INDEX(_xlfn.ANCHORARRAY(Sintesi!$C$16),1,$C352))*(INDEX(_xlfn.ANCHORARRAY(Sintesi!$C$15),1,$C352)&gt;0),2,IF($E352=(INDEX(_xlfn.ANCHORARRAY(Sintesi!$C$16),1,$C352)),3,4)))),0)))</f>
        <v/>
      </c>
      <c r="E352" s="1">
        <f>'Paste cell here'!F352</f>
        <v/>
      </c>
      <c r="F352" s="1">
        <f>'Paste cell here'!C352</f>
        <v/>
      </c>
      <c r="G352" s="1">
        <f>'Paste cell here'!D352</f>
        <v/>
      </c>
      <c r="H352" s="1">
        <f>'Paste cell here'!E352</f>
        <v/>
      </c>
      <c r="I352" s="1">
        <f>'Paste cell here'!X352</f>
        <v/>
      </c>
      <c r="J352" s="1">
        <f>'Paste cell here'!Y352+'Paste cell here'!S352</f>
        <v/>
      </c>
      <c r="K352" s="1">
        <f>I352/H352</f>
        <v/>
      </c>
      <c r="L352" s="1">
        <f>AVERAGE(($F352+$G352)/2-($F352-$G352)/2*COS(PI()*(8-VLOOKUP(MONTH(B352),$O$1:$Q$13,3))/(VLOOKUP(MONTH(B352),$O$1:$Q$13,2)-VLOOKUP(MONTH(B352),$O$1:$Q$13,3))),($F352+$G352)/2-($F352-$G352)/2*COS(PI()*(9-VLOOKUP(MONTH(B352),$O$1:$Q$13,3))/(VLOOKUP(MONTH(B352),$O$1:$Q$13,2)-VLOOKUP(MONTH(B352),$O$1:$Q$13,3))),($F352+$G352)/2-($F352-$G352)/2*COS(PI()*(10-VLOOKUP(MONTH(B352),$O$1:$Q$13,3))/(VLOOKUP(MONTH(B352),$O$1:$Q$13,2)-VLOOKUP(MONTH(B352),$O$1:$Q$13,3))),($F352+$G352)/2-($F352-$G352)/2*COS(PI()*(11-VLOOKUP(MONTH(B352),$O$1:$Q$13,3))/(VLOOKUP(MONTH(B352),$O$1:$Q$13,2)-VLOOKUP(MONTH(B352),$O$1:$Q$13,3))),($F352+$G352)/2-($F352-$G352)/2*COS(PI()*(12-VLOOKUP(MONTH(B352),$O$1:$Q$13,3))/(VLOOKUP(MONTH(B352),$O$1:$Q$13,2)-VLOOKUP(MONTH(B352),$O$1:$Q$13,3))),($F352+$G352)/2-($F352-$G352)/2*COS(PI()*(13-VLOOKUP(MONTH(B352),$O$1:$Q$13,3))/(VLOOKUP(MONTH(B352),$O$1:$Q$13,2)-VLOOKUP(MONTH(B352),$O$1:$Q$13,3))),($F352+$G352)/2-($F352-$G352)/2*COS(PI()*(14-VLOOKUP(MONTH(B352),$O$1:$Q$13,3))/(VLOOKUP(MONTH(B352),$O$1:$Q$13,2)-VLOOKUP(MONTH(B352),$O$1:$Q$13,3))))</f>
        <v/>
      </c>
      <c r="M352" s="1">
        <f t="array" ref="M352">IF(AND(A352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,A352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),IF(L352&lt;_xlfn.IFNA(INDEX(_xlfn.ANCHORARRAY(Sintesi!$C$17)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,1,IF(L352&gt;=_xlfn.IFNA(INDEX(_xlfn.ANCHORARRAY(Sintesi!$C$18)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,0,1-(L352-_xlfn.IFNA(INDEX(_xlfn.ANCHORARRAY(Sintesi!$C$17)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)/(_xlfn.IFNA(INDEX(_xlfn.ANCHORARRAY(Sintesi!$C$18)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-_xlfn.IFNA(INDEX(_xlfn.ANCHORARRAY(Sintesi!$C$17)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))),0)</f>
        <v/>
      </c>
    </row>
    <row r="353">
      <c r="A353" s="1">
        <f>'Paste cell here'!A353</f>
        <v/>
      </c>
      <c r="B353" s="2">
        <f>DATE(Sintesi!$C$4-1,12,31)+A353</f>
        <v/>
      </c>
      <c r="C353" s="34">
        <f t="array" ref="C353">_xlfn.IFNA(MATCH(1,(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)*(_xlfn.ANCHORARRAY(Sintesi!$C$15)&gt;=0)+(_xlfn.ANCHORARRAY(Sintesi!$C$15)&lt;0),0),0)</f>
        <v/>
      </c>
      <c r="D353" s="1">
        <f t="array" ref="D353">IF(ISBLANK($E354),IF(ISNUMBER($E352),IF($C353&gt;0,IF(($E353=INDEX(_xlfn.ANCHORARRAY(Sintesi!$C$14),1,$C353))*(INDEX(_xlfn.ANCHORARRAY(Sintesi!$C$15),1,$C353)&gt;0),0,IF(($E353=INDEX(_xlfn.ANCHORARRAY(Sintesi!$C$14),1,$C353))*(INDEX(_xlfn.ANCHORARRAY(Sintesi!$C$15),1,$C353)&lt;0)+($E353&gt;=$E352)*($E353&lt;=INDEX($E:$E,MATCH(TRUE,INDEX((ISNUMBER($E:$E)),0),0)))*($E353&gt;INDEX(_xlfn.ANCHORARRAY(Sintesi!$C$14),1,$C353))*($E353&lt;=INDEX(_xlfn.ANCHORARRAY(Sintesi!$C$15),1,$C353))*(INDEX(_xlfn.ANCHORARRAY(Sintesi!$C$15),1,$C353)&gt;0),1,IF(($E353&gt;=$E352)*($E353&lt;=INDEX($E:$E,MATCH(TRUE,INDEX((ISNUMBER($E:$E)),0),0)))*($E353&gt;INDEX(_xlfn.ANCHORARRAY(Sintesi!$C$14),1,$C353))*($E353&lt;INDEX(_xlfn.ANCHORARRAY(Sintesi!$C$16),1,$C353))*(INDEX(_xlfn.ANCHORARRAY(Sintesi!$C$15),1,$C353)&lt;0)+($E353&gt;=$E352)*($E353&lt;=INDEX($E:$E,MATCH(TRUE,INDEX((ISNUMBER($E:$E)),0),0)))*($E353&gt;INDEX(_xlfn.ANCHORARRAY(Sintesi!$C$15),1,$C353))*($E353&lt;INDEX(_xlfn.ANCHORARRAY(Sintesi!$C$16),1,$C353))*(INDEX(_xlfn.ANCHORARRAY(Sintesi!$C$15),1,$C353)&gt;0),2,IF($E353=(INDEX(_xlfn.ANCHORARRAY(Sintesi!$C$16),1,$C353)),3,4)))),0),IF($C353&gt;0,IF(($E353=INDEX(_xlfn.ANCHORARRAY(Sintesi!$C$14),1,$C353))*(INDEX(_xlfn.ANCHORARRAY(Sintesi!$C$15),1,$C353)&gt;0),0,IF(($E353=INDEX(_xlfn.ANCHORARRAY(Sintesi!$C$14),1,$C353))*(INDEX(_xlfn.ANCHORARRAY(Sintesi!$C$15),1,$C353)&lt;0)+($E353&gt;=LOOKUP(2,1/($E:$E&lt;&gt;""),$E:$E))*($E353&lt;=INDEX($E:$E,MATCH(TRUE,INDEX((ISNUMBER($E:$E)),0),0)))*($E353&gt;INDEX(_xlfn.ANCHORARRAY(Sintesi!$C$14),1,$C353))*($E353&lt;=INDEX(_xlfn.ANCHORARRAY(Sintesi!$C$15),1,$C353))*(INDEX(_xlfn.ANCHORARRAY(Sintesi!$C$15),1,$C353)&gt;0),1,IF(($E353&gt;=LOOKUP(2,1/($E:$E&lt;&gt;""),$E:$E))*($E353&lt;=INDEX($E:$E,MATCH(TRUE,INDEX((ISNUMBER($E:$E)),0),0)))*($E353&gt;INDEX(_xlfn.ANCHORARRAY(Sintesi!$C$14),1,$C353))*($E353&lt;INDEX(_xlfn.ANCHORARRAY(Sintesi!$C$16),1,$C353))*(INDEX(_xlfn.ANCHORARRAY(Sintesi!$C$15),1,$C353)&lt;0)+($E353&gt;=LOOKUP(2,1/($E:$E&lt;&gt;""),$E:$E))*($E353&lt;=INDEX($E:$E,MATCH(TRUE,INDEX((ISNUMBER($E:$E)),0),0)))*($E353&gt;INDEX(_xlfn.ANCHORARRAY(Sintesi!$C$15),1,$C353))*($E353&lt;INDEX(_xlfn.ANCHORARRAY(Sintesi!$C$16),1,$C353))*(INDEX(_xlfn.ANCHORARRAY(Sintesi!$C$15),1,$C353)&gt;0),2,IF($E353=(INDEX(_xlfn.ANCHORARRAY(Sintesi!$C$16),1,$C353)),3,4)))),0)),IF(ISNUMBER($E352),IF($C353&gt;0,IF(($E353=INDEX(_xlfn.ANCHORARRAY(Sintesi!$C$14),1,$C353))*(INDEX(_xlfn.ANCHORARRAY(Sintesi!$C$15),1,$C353)&gt;0),0,IF(($E353=INDEX(_xlfn.ANCHORARRAY(Sintesi!$C$14),1,$C353))*(INDEX(_xlfn.ANCHORARRAY(Sintesi!$C$15),1,$C353)&lt;0)+($E353&gt;=$E352)*($E353&lt;=$E354)*($E353&gt;INDEX(_xlfn.ANCHORARRAY(Sintesi!$C$14),1,$C353))*($E353&lt;=INDEX(_xlfn.ANCHORARRAY(Sintesi!$C$15),1,$C353))*(INDEX(_xlfn.ANCHORARRAY(Sintesi!$C$15),1,$C353)&gt;0),1,IF(($E353&gt;=$E352)*($E353&lt;=$E354)*($E353&gt;INDEX(_xlfn.ANCHORARRAY(Sintesi!$C$14),1,$C353))*($E353&lt;INDEX(_xlfn.ANCHORARRAY(Sintesi!$C$16),1,$C353))*(INDEX(_xlfn.ANCHORARRAY(Sintesi!$C$15),1,$C353)&lt;0)+($E353&gt;=$E352)*($E353&lt;=$E354)*($E353&gt;INDEX(_xlfn.ANCHORARRAY(Sintesi!$C$15),1,$C353))*($E353&lt;INDEX(_xlfn.ANCHORARRAY(Sintesi!$C$16),1,$C353))*(INDEX(_xlfn.ANCHORARRAY(Sintesi!$C$15),1,$C353)&gt;0),2,IF($E353=(INDEX(_xlfn.ANCHORARRAY(Sintesi!$C$16),1,$C353)),3,4)))),0),IF($C353&gt;0,IF(($E353=INDEX(_xlfn.ANCHORARRAY(Sintesi!$C$14),1,$C353))*(INDEX(_xlfn.ANCHORARRAY(Sintesi!$C$15),1,$C353)&gt;0),0,IF(($E353=INDEX(_xlfn.ANCHORARRAY(Sintesi!$C$14),1,$C353))*(INDEX(_xlfn.ANCHORARRAY(Sintesi!$C$15),1,$C353)&lt;0)+($E353&gt;=LOOKUP(2,1/($E:$E&lt;&gt;""),$E:$E))*($E353&lt;=$E354)*($E353&gt;INDEX(_xlfn.ANCHORARRAY(Sintesi!$C$14),1,$C353))*($E353&lt;=INDEX(_xlfn.ANCHORARRAY(Sintesi!$C$15),1,$C353))*(INDEX(_xlfn.ANCHORARRAY(Sintesi!$C$15),1,$C353)&gt;0),1,IF(($E353&gt;=LOOKUP(2,1/($E:$E&lt;&gt;""),$E:$E))*($E353&lt;=$E354)*($E353&gt;INDEX(_xlfn.ANCHORARRAY(Sintesi!$C$14),1,$C353))*($E353&lt;INDEX(_xlfn.ANCHORARRAY(Sintesi!$C$16),1,$C353))*(INDEX(_xlfn.ANCHORARRAY(Sintesi!$C$15),1,$C353)&lt;0)+($E353&gt;=LOOKUP(2,1/($E:$E&lt;&gt;""),$E:$E))*($E353&lt;=$E354)*($E353&gt;INDEX(_xlfn.ANCHORARRAY(Sintesi!$C$15),1,$C353))*($E353&lt;INDEX(_xlfn.ANCHORARRAY(Sintesi!$C$16),1,$C353))*(INDEX(_xlfn.ANCHORARRAY(Sintesi!$C$15),1,$C353)&gt;0),2,IF($E353=(INDEX(_xlfn.ANCHORARRAY(Sintesi!$C$16),1,$C353)),3,4)))),0)))</f>
        <v/>
      </c>
      <c r="E353" s="1">
        <f>'Paste cell here'!F353</f>
        <v/>
      </c>
      <c r="F353" s="1">
        <f>'Paste cell here'!C353</f>
        <v/>
      </c>
      <c r="G353" s="1">
        <f>'Paste cell here'!D353</f>
        <v/>
      </c>
      <c r="H353" s="1">
        <f>'Paste cell here'!E353</f>
        <v/>
      </c>
      <c r="I353" s="1">
        <f>'Paste cell here'!X353</f>
        <v/>
      </c>
      <c r="J353" s="1">
        <f>'Paste cell here'!Y353+'Paste cell here'!S353</f>
        <v/>
      </c>
      <c r="K353" s="1">
        <f>I353/H353</f>
        <v/>
      </c>
      <c r="L353" s="1">
        <f>AVERAGE(($F353+$G353)/2-($F353-$G353)/2*COS(PI()*(8-VLOOKUP(MONTH(B353),$O$1:$Q$13,3))/(VLOOKUP(MONTH(B353),$O$1:$Q$13,2)-VLOOKUP(MONTH(B353),$O$1:$Q$13,3))),($F353+$G353)/2-($F353-$G353)/2*COS(PI()*(9-VLOOKUP(MONTH(B353),$O$1:$Q$13,3))/(VLOOKUP(MONTH(B353),$O$1:$Q$13,2)-VLOOKUP(MONTH(B353),$O$1:$Q$13,3))),($F353+$G353)/2-($F353-$G353)/2*COS(PI()*(10-VLOOKUP(MONTH(B353),$O$1:$Q$13,3))/(VLOOKUP(MONTH(B353),$O$1:$Q$13,2)-VLOOKUP(MONTH(B353),$O$1:$Q$13,3))),($F353+$G353)/2-($F353-$G353)/2*COS(PI()*(11-VLOOKUP(MONTH(B353),$O$1:$Q$13,3))/(VLOOKUP(MONTH(B353),$O$1:$Q$13,2)-VLOOKUP(MONTH(B353),$O$1:$Q$13,3))),($F353+$G353)/2-($F353-$G353)/2*COS(PI()*(12-VLOOKUP(MONTH(B353),$O$1:$Q$13,3))/(VLOOKUP(MONTH(B353),$O$1:$Q$13,2)-VLOOKUP(MONTH(B353),$O$1:$Q$13,3))),($F353+$G353)/2-($F353-$G353)/2*COS(PI()*(13-VLOOKUP(MONTH(B353),$O$1:$Q$13,3))/(VLOOKUP(MONTH(B353),$O$1:$Q$13,2)-VLOOKUP(MONTH(B353),$O$1:$Q$13,3))),($F353+$G353)/2-($F353-$G353)/2*COS(PI()*(14-VLOOKUP(MONTH(B353),$O$1:$Q$13,3))/(VLOOKUP(MONTH(B353),$O$1:$Q$13,2)-VLOOKUP(MONTH(B353),$O$1:$Q$13,3))))</f>
        <v/>
      </c>
      <c r="M353" s="1">
        <f t="array" ref="M353">IF(AND(A353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,A353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),IF(L353&lt;_xlfn.IFNA(INDEX(_xlfn.ANCHORARRAY(Sintesi!$C$17)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,1,IF(L353&gt;=_xlfn.IFNA(INDEX(_xlfn.ANCHORARRAY(Sintesi!$C$18)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,0,1-(L353-_xlfn.IFNA(INDEX(_xlfn.ANCHORARRAY(Sintesi!$C$17)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)/(_xlfn.IFNA(INDEX(_xlfn.ANCHORARRAY(Sintesi!$C$18)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-_xlfn.IFNA(INDEX(_xlfn.ANCHORARRAY(Sintesi!$C$17)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))),0)</f>
        <v/>
      </c>
    </row>
    <row r="354">
      <c r="A354" s="1">
        <f>'Paste cell here'!A354</f>
        <v/>
      </c>
      <c r="B354" s="2">
        <f>DATE(Sintesi!$C$4-1,12,31)+A354</f>
        <v/>
      </c>
      <c r="C354" s="34">
        <f t="array" ref="C354">_xlfn.IFNA(MATCH(1,(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)*(_xlfn.ANCHORARRAY(Sintesi!$C$15)&gt;=0)+(_xlfn.ANCHORARRAY(Sintesi!$C$15)&lt;0),0),0)</f>
        <v/>
      </c>
      <c r="D354" s="1">
        <f t="array" ref="D354">IF(ISBLANK($E355),IF(ISNUMBER($E353),IF($C354&gt;0,IF(($E354=INDEX(_xlfn.ANCHORARRAY(Sintesi!$C$14),1,$C354))*(INDEX(_xlfn.ANCHORARRAY(Sintesi!$C$15),1,$C354)&gt;0),0,IF(($E354=INDEX(_xlfn.ANCHORARRAY(Sintesi!$C$14),1,$C354))*(INDEX(_xlfn.ANCHORARRAY(Sintesi!$C$15),1,$C354)&lt;0)+($E354&gt;=$E353)*($E354&lt;=INDEX($E:$E,MATCH(TRUE,INDEX((ISNUMBER($E:$E)),0),0)))*($E354&gt;INDEX(_xlfn.ANCHORARRAY(Sintesi!$C$14),1,$C354))*($E354&lt;=INDEX(_xlfn.ANCHORARRAY(Sintesi!$C$15),1,$C354))*(INDEX(_xlfn.ANCHORARRAY(Sintesi!$C$15),1,$C354)&gt;0),1,IF(($E354&gt;=$E353)*($E354&lt;=INDEX($E:$E,MATCH(TRUE,INDEX((ISNUMBER($E:$E)),0),0)))*($E354&gt;INDEX(_xlfn.ANCHORARRAY(Sintesi!$C$14),1,$C354))*($E354&lt;INDEX(_xlfn.ANCHORARRAY(Sintesi!$C$16),1,$C354))*(INDEX(_xlfn.ANCHORARRAY(Sintesi!$C$15),1,$C354)&lt;0)+($E354&gt;=$E353)*($E354&lt;=INDEX($E:$E,MATCH(TRUE,INDEX((ISNUMBER($E:$E)),0),0)))*($E354&gt;INDEX(_xlfn.ANCHORARRAY(Sintesi!$C$15),1,$C354))*($E354&lt;INDEX(_xlfn.ANCHORARRAY(Sintesi!$C$16),1,$C354))*(INDEX(_xlfn.ANCHORARRAY(Sintesi!$C$15),1,$C354)&gt;0),2,IF($E354=(INDEX(_xlfn.ANCHORARRAY(Sintesi!$C$16),1,$C354)),3,4)))),0),IF($C354&gt;0,IF(($E354=INDEX(_xlfn.ANCHORARRAY(Sintesi!$C$14),1,$C354))*(INDEX(_xlfn.ANCHORARRAY(Sintesi!$C$15),1,$C354)&gt;0),0,IF(($E354=INDEX(_xlfn.ANCHORARRAY(Sintesi!$C$14),1,$C354))*(INDEX(_xlfn.ANCHORARRAY(Sintesi!$C$15),1,$C354)&lt;0)+($E354&gt;=LOOKUP(2,1/($E:$E&lt;&gt;""),$E:$E))*($E354&lt;=INDEX($E:$E,MATCH(TRUE,INDEX((ISNUMBER($E:$E)),0),0)))*($E354&gt;INDEX(_xlfn.ANCHORARRAY(Sintesi!$C$14),1,$C354))*($E354&lt;=INDEX(_xlfn.ANCHORARRAY(Sintesi!$C$15),1,$C354))*(INDEX(_xlfn.ANCHORARRAY(Sintesi!$C$15),1,$C354)&gt;0),1,IF(($E354&gt;=LOOKUP(2,1/($E:$E&lt;&gt;""),$E:$E))*($E354&lt;=INDEX($E:$E,MATCH(TRUE,INDEX((ISNUMBER($E:$E)),0),0)))*($E354&gt;INDEX(_xlfn.ANCHORARRAY(Sintesi!$C$14),1,$C354))*($E354&lt;INDEX(_xlfn.ANCHORARRAY(Sintesi!$C$16),1,$C354))*(INDEX(_xlfn.ANCHORARRAY(Sintesi!$C$15),1,$C354)&lt;0)+($E354&gt;=LOOKUP(2,1/($E:$E&lt;&gt;""),$E:$E))*($E354&lt;=INDEX($E:$E,MATCH(TRUE,INDEX((ISNUMBER($E:$E)),0),0)))*($E354&gt;INDEX(_xlfn.ANCHORARRAY(Sintesi!$C$15),1,$C354))*($E354&lt;INDEX(_xlfn.ANCHORARRAY(Sintesi!$C$16),1,$C354))*(INDEX(_xlfn.ANCHORARRAY(Sintesi!$C$15),1,$C354)&gt;0),2,IF($E354=(INDEX(_xlfn.ANCHORARRAY(Sintesi!$C$16),1,$C354)),3,4)))),0)),IF(ISNUMBER($E353),IF($C354&gt;0,IF(($E354=INDEX(_xlfn.ANCHORARRAY(Sintesi!$C$14),1,$C354))*(INDEX(_xlfn.ANCHORARRAY(Sintesi!$C$15),1,$C354)&gt;0),0,IF(($E354=INDEX(_xlfn.ANCHORARRAY(Sintesi!$C$14),1,$C354))*(INDEX(_xlfn.ANCHORARRAY(Sintesi!$C$15),1,$C354)&lt;0)+($E354&gt;=$E353)*($E354&lt;=$E355)*($E354&gt;INDEX(_xlfn.ANCHORARRAY(Sintesi!$C$14),1,$C354))*($E354&lt;=INDEX(_xlfn.ANCHORARRAY(Sintesi!$C$15),1,$C354))*(INDEX(_xlfn.ANCHORARRAY(Sintesi!$C$15),1,$C354)&gt;0),1,IF(($E354&gt;=$E353)*($E354&lt;=$E355)*($E354&gt;INDEX(_xlfn.ANCHORARRAY(Sintesi!$C$14),1,$C354))*($E354&lt;INDEX(_xlfn.ANCHORARRAY(Sintesi!$C$16),1,$C354))*(INDEX(_xlfn.ANCHORARRAY(Sintesi!$C$15),1,$C354)&lt;0)+($E354&gt;=$E353)*($E354&lt;=$E355)*($E354&gt;INDEX(_xlfn.ANCHORARRAY(Sintesi!$C$15),1,$C354))*($E354&lt;INDEX(_xlfn.ANCHORARRAY(Sintesi!$C$16),1,$C354))*(INDEX(_xlfn.ANCHORARRAY(Sintesi!$C$15),1,$C354)&gt;0),2,IF($E354=(INDEX(_xlfn.ANCHORARRAY(Sintesi!$C$16),1,$C354)),3,4)))),0),IF($C354&gt;0,IF(($E354=INDEX(_xlfn.ANCHORARRAY(Sintesi!$C$14),1,$C354))*(INDEX(_xlfn.ANCHORARRAY(Sintesi!$C$15),1,$C354)&gt;0),0,IF(($E354=INDEX(_xlfn.ANCHORARRAY(Sintesi!$C$14),1,$C354))*(INDEX(_xlfn.ANCHORARRAY(Sintesi!$C$15),1,$C354)&lt;0)+($E354&gt;=LOOKUP(2,1/($E:$E&lt;&gt;""),$E:$E))*($E354&lt;=$E355)*($E354&gt;INDEX(_xlfn.ANCHORARRAY(Sintesi!$C$14),1,$C354))*($E354&lt;=INDEX(_xlfn.ANCHORARRAY(Sintesi!$C$15),1,$C354))*(INDEX(_xlfn.ANCHORARRAY(Sintesi!$C$15),1,$C354)&gt;0),1,IF(($E354&gt;=LOOKUP(2,1/($E:$E&lt;&gt;""),$E:$E))*($E354&lt;=$E355)*($E354&gt;INDEX(_xlfn.ANCHORARRAY(Sintesi!$C$14),1,$C354))*($E354&lt;INDEX(_xlfn.ANCHORARRAY(Sintesi!$C$16),1,$C354))*(INDEX(_xlfn.ANCHORARRAY(Sintesi!$C$15),1,$C354)&lt;0)+($E354&gt;=LOOKUP(2,1/($E:$E&lt;&gt;""),$E:$E))*($E354&lt;=$E355)*($E354&gt;INDEX(_xlfn.ANCHORARRAY(Sintesi!$C$15),1,$C354))*($E354&lt;INDEX(_xlfn.ANCHORARRAY(Sintesi!$C$16),1,$C354))*(INDEX(_xlfn.ANCHORARRAY(Sintesi!$C$15),1,$C354)&gt;0),2,IF($E354=(INDEX(_xlfn.ANCHORARRAY(Sintesi!$C$16),1,$C354)),3,4)))),0)))</f>
        <v/>
      </c>
      <c r="E354" s="1">
        <f>'Paste cell here'!F354</f>
        <v/>
      </c>
      <c r="F354" s="1">
        <f>'Paste cell here'!C354</f>
        <v/>
      </c>
      <c r="G354" s="1">
        <f>'Paste cell here'!D354</f>
        <v/>
      </c>
      <c r="H354" s="1">
        <f>'Paste cell here'!E354</f>
        <v/>
      </c>
      <c r="I354" s="1">
        <f>'Paste cell here'!X354</f>
        <v/>
      </c>
      <c r="J354" s="1">
        <f>'Paste cell here'!Y354+'Paste cell here'!S354</f>
        <v/>
      </c>
      <c r="K354" s="1">
        <f>I354/H354</f>
        <v/>
      </c>
      <c r="L354" s="1">
        <f>AVERAGE(($F354+$G354)/2-($F354-$G354)/2*COS(PI()*(8-VLOOKUP(MONTH(B354),$O$1:$Q$13,3))/(VLOOKUP(MONTH(B354),$O$1:$Q$13,2)-VLOOKUP(MONTH(B354),$O$1:$Q$13,3))),($F354+$G354)/2-($F354-$G354)/2*COS(PI()*(9-VLOOKUP(MONTH(B354),$O$1:$Q$13,3))/(VLOOKUP(MONTH(B354),$O$1:$Q$13,2)-VLOOKUP(MONTH(B354),$O$1:$Q$13,3))),($F354+$G354)/2-($F354-$G354)/2*COS(PI()*(10-VLOOKUP(MONTH(B354),$O$1:$Q$13,3))/(VLOOKUP(MONTH(B354),$O$1:$Q$13,2)-VLOOKUP(MONTH(B354),$O$1:$Q$13,3))),($F354+$G354)/2-($F354-$G354)/2*COS(PI()*(11-VLOOKUP(MONTH(B354),$O$1:$Q$13,3))/(VLOOKUP(MONTH(B354),$O$1:$Q$13,2)-VLOOKUP(MONTH(B354),$O$1:$Q$13,3))),($F354+$G354)/2-($F354-$G354)/2*COS(PI()*(12-VLOOKUP(MONTH(B354),$O$1:$Q$13,3))/(VLOOKUP(MONTH(B354),$O$1:$Q$13,2)-VLOOKUP(MONTH(B354),$O$1:$Q$13,3))),($F354+$G354)/2-($F354-$G354)/2*COS(PI()*(13-VLOOKUP(MONTH(B354),$O$1:$Q$13,3))/(VLOOKUP(MONTH(B354),$O$1:$Q$13,2)-VLOOKUP(MONTH(B354),$O$1:$Q$13,3))),($F354+$G354)/2-($F354-$G354)/2*COS(PI()*(14-VLOOKUP(MONTH(B354),$O$1:$Q$13,3))/(VLOOKUP(MONTH(B354),$O$1:$Q$13,2)-VLOOKUP(MONTH(B354),$O$1:$Q$13,3))))</f>
        <v/>
      </c>
      <c r="M354" s="1">
        <f t="array" ref="M354">IF(AND(A354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,A354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),IF(L354&lt;_xlfn.IFNA(INDEX(_xlfn.ANCHORARRAY(Sintesi!$C$17)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,1,IF(L354&gt;=_xlfn.IFNA(INDEX(_xlfn.ANCHORARRAY(Sintesi!$C$18)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,0,1-(L354-_xlfn.IFNA(INDEX(_xlfn.ANCHORARRAY(Sintesi!$C$17)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)/(_xlfn.IFNA(INDEX(_xlfn.ANCHORARRAY(Sintesi!$C$18)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-_xlfn.IFNA(INDEX(_xlfn.ANCHORARRAY(Sintesi!$C$17)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))),0)</f>
        <v/>
      </c>
    </row>
    <row r="355">
      <c r="A355" s="1">
        <f>'Paste cell here'!A355</f>
        <v/>
      </c>
      <c r="B355" s="2">
        <f>DATE(Sintesi!$C$4-1,12,31)+A355</f>
        <v/>
      </c>
      <c r="C355" s="34">
        <f t="array" ref="C355">_xlfn.IFNA(MATCH(1,(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)*(_xlfn.ANCHORARRAY(Sintesi!$C$15)&gt;=0)+(_xlfn.ANCHORARRAY(Sintesi!$C$15)&lt;0),0),0)</f>
        <v/>
      </c>
      <c r="D355" s="1">
        <f t="array" ref="D355">IF(ISBLANK($E356),IF(ISNUMBER($E354),IF($C355&gt;0,IF(($E355=INDEX(_xlfn.ANCHORARRAY(Sintesi!$C$14),1,$C355))*(INDEX(_xlfn.ANCHORARRAY(Sintesi!$C$15),1,$C355)&gt;0),0,IF(($E355=INDEX(_xlfn.ANCHORARRAY(Sintesi!$C$14),1,$C355))*(INDEX(_xlfn.ANCHORARRAY(Sintesi!$C$15),1,$C355)&lt;0)+($E355&gt;=$E354)*($E355&lt;=INDEX($E:$E,MATCH(TRUE,INDEX((ISNUMBER($E:$E)),0),0)))*($E355&gt;INDEX(_xlfn.ANCHORARRAY(Sintesi!$C$14),1,$C355))*($E355&lt;=INDEX(_xlfn.ANCHORARRAY(Sintesi!$C$15),1,$C355))*(INDEX(_xlfn.ANCHORARRAY(Sintesi!$C$15),1,$C355)&gt;0),1,IF(($E355&gt;=$E354)*($E355&lt;=INDEX($E:$E,MATCH(TRUE,INDEX((ISNUMBER($E:$E)),0),0)))*($E355&gt;INDEX(_xlfn.ANCHORARRAY(Sintesi!$C$14),1,$C355))*($E355&lt;INDEX(_xlfn.ANCHORARRAY(Sintesi!$C$16),1,$C355))*(INDEX(_xlfn.ANCHORARRAY(Sintesi!$C$15),1,$C355)&lt;0)+($E355&gt;=$E354)*($E355&lt;=INDEX($E:$E,MATCH(TRUE,INDEX((ISNUMBER($E:$E)),0),0)))*($E355&gt;INDEX(_xlfn.ANCHORARRAY(Sintesi!$C$15),1,$C355))*($E355&lt;INDEX(_xlfn.ANCHORARRAY(Sintesi!$C$16),1,$C355))*(INDEX(_xlfn.ANCHORARRAY(Sintesi!$C$15),1,$C355)&gt;0),2,IF($E355=(INDEX(_xlfn.ANCHORARRAY(Sintesi!$C$16),1,$C355)),3,4)))),0),IF($C355&gt;0,IF(($E355=INDEX(_xlfn.ANCHORARRAY(Sintesi!$C$14),1,$C355))*(INDEX(_xlfn.ANCHORARRAY(Sintesi!$C$15),1,$C355)&gt;0),0,IF(($E355=INDEX(_xlfn.ANCHORARRAY(Sintesi!$C$14),1,$C355))*(INDEX(_xlfn.ANCHORARRAY(Sintesi!$C$15),1,$C355)&lt;0)+($E355&gt;=LOOKUP(2,1/($E:$E&lt;&gt;""),$E:$E))*($E355&lt;=INDEX($E:$E,MATCH(TRUE,INDEX((ISNUMBER($E:$E)),0),0)))*($E355&gt;INDEX(_xlfn.ANCHORARRAY(Sintesi!$C$14),1,$C355))*($E355&lt;=INDEX(_xlfn.ANCHORARRAY(Sintesi!$C$15),1,$C355))*(INDEX(_xlfn.ANCHORARRAY(Sintesi!$C$15),1,$C355)&gt;0),1,IF(($E355&gt;=LOOKUP(2,1/($E:$E&lt;&gt;""),$E:$E))*($E355&lt;=INDEX($E:$E,MATCH(TRUE,INDEX((ISNUMBER($E:$E)),0),0)))*($E355&gt;INDEX(_xlfn.ANCHORARRAY(Sintesi!$C$14),1,$C355))*($E355&lt;INDEX(_xlfn.ANCHORARRAY(Sintesi!$C$16),1,$C355))*(INDEX(_xlfn.ANCHORARRAY(Sintesi!$C$15),1,$C355)&lt;0)+($E355&gt;=LOOKUP(2,1/($E:$E&lt;&gt;""),$E:$E))*($E355&lt;=INDEX($E:$E,MATCH(TRUE,INDEX((ISNUMBER($E:$E)),0),0)))*($E355&gt;INDEX(_xlfn.ANCHORARRAY(Sintesi!$C$15),1,$C355))*($E355&lt;INDEX(_xlfn.ANCHORARRAY(Sintesi!$C$16),1,$C355))*(INDEX(_xlfn.ANCHORARRAY(Sintesi!$C$15),1,$C355)&gt;0),2,IF($E355=(INDEX(_xlfn.ANCHORARRAY(Sintesi!$C$16),1,$C355)),3,4)))),0)),IF(ISNUMBER($E354),IF($C355&gt;0,IF(($E355=INDEX(_xlfn.ANCHORARRAY(Sintesi!$C$14),1,$C355))*(INDEX(_xlfn.ANCHORARRAY(Sintesi!$C$15),1,$C355)&gt;0),0,IF(($E355=INDEX(_xlfn.ANCHORARRAY(Sintesi!$C$14),1,$C355))*(INDEX(_xlfn.ANCHORARRAY(Sintesi!$C$15),1,$C355)&lt;0)+($E355&gt;=$E354)*($E355&lt;=$E356)*($E355&gt;INDEX(_xlfn.ANCHORARRAY(Sintesi!$C$14),1,$C355))*($E355&lt;=INDEX(_xlfn.ANCHORARRAY(Sintesi!$C$15),1,$C355))*(INDEX(_xlfn.ANCHORARRAY(Sintesi!$C$15),1,$C355)&gt;0),1,IF(($E355&gt;=$E354)*($E355&lt;=$E356)*($E355&gt;INDEX(_xlfn.ANCHORARRAY(Sintesi!$C$14),1,$C355))*($E355&lt;INDEX(_xlfn.ANCHORARRAY(Sintesi!$C$16),1,$C355))*(INDEX(_xlfn.ANCHORARRAY(Sintesi!$C$15),1,$C355)&lt;0)+($E355&gt;=$E354)*($E355&lt;=$E356)*($E355&gt;INDEX(_xlfn.ANCHORARRAY(Sintesi!$C$15),1,$C355))*($E355&lt;INDEX(_xlfn.ANCHORARRAY(Sintesi!$C$16),1,$C355))*(INDEX(_xlfn.ANCHORARRAY(Sintesi!$C$15),1,$C355)&gt;0),2,IF($E355=(INDEX(_xlfn.ANCHORARRAY(Sintesi!$C$16),1,$C355)),3,4)))),0),IF($C355&gt;0,IF(($E355=INDEX(_xlfn.ANCHORARRAY(Sintesi!$C$14),1,$C355))*(INDEX(_xlfn.ANCHORARRAY(Sintesi!$C$15),1,$C355)&gt;0),0,IF(($E355=INDEX(_xlfn.ANCHORARRAY(Sintesi!$C$14),1,$C355))*(INDEX(_xlfn.ANCHORARRAY(Sintesi!$C$15),1,$C355)&lt;0)+($E355&gt;=LOOKUP(2,1/($E:$E&lt;&gt;""),$E:$E))*($E355&lt;=$E356)*($E355&gt;INDEX(_xlfn.ANCHORARRAY(Sintesi!$C$14),1,$C355))*($E355&lt;=INDEX(_xlfn.ANCHORARRAY(Sintesi!$C$15),1,$C355))*(INDEX(_xlfn.ANCHORARRAY(Sintesi!$C$15),1,$C355)&gt;0),1,IF(($E355&gt;=LOOKUP(2,1/($E:$E&lt;&gt;""),$E:$E))*($E355&lt;=$E356)*($E355&gt;INDEX(_xlfn.ANCHORARRAY(Sintesi!$C$14),1,$C355))*($E355&lt;INDEX(_xlfn.ANCHORARRAY(Sintesi!$C$16),1,$C355))*(INDEX(_xlfn.ANCHORARRAY(Sintesi!$C$15),1,$C355)&lt;0)+($E355&gt;=LOOKUP(2,1/($E:$E&lt;&gt;""),$E:$E))*($E355&lt;=$E356)*($E355&gt;INDEX(_xlfn.ANCHORARRAY(Sintesi!$C$15),1,$C355))*($E355&lt;INDEX(_xlfn.ANCHORARRAY(Sintesi!$C$16),1,$C355))*(INDEX(_xlfn.ANCHORARRAY(Sintesi!$C$15),1,$C355)&gt;0),2,IF($E355=(INDEX(_xlfn.ANCHORARRAY(Sintesi!$C$16),1,$C355)),3,4)))),0)))</f>
        <v/>
      </c>
      <c r="E355" s="1">
        <f>'Paste cell here'!F355</f>
        <v/>
      </c>
      <c r="F355" s="1">
        <f>'Paste cell here'!C355</f>
        <v/>
      </c>
      <c r="G355" s="1">
        <f>'Paste cell here'!D355</f>
        <v/>
      </c>
      <c r="H355" s="1">
        <f>'Paste cell here'!E355</f>
        <v/>
      </c>
      <c r="I355" s="1">
        <f>'Paste cell here'!X355</f>
        <v/>
      </c>
      <c r="J355" s="1">
        <f>'Paste cell here'!Y355+'Paste cell here'!S355</f>
        <v/>
      </c>
      <c r="K355" s="1">
        <f>I355/H355</f>
        <v/>
      </c>
      <c r="L355" s="1">
        <f>AVERAGE(($F355+$G355)/2-($F355-$G355)/2*COS(PI()*(8-VLOOKUP(MONTH(B355),$O$1:$Q$13,3))/(VLOOKUP(MONTH(B355),$O$1:$Q$13,2)-VLOOKUP(MONTH(B355),$O$1:$Q$13,3))),($F355+$G355)/2-($F355-$G355)/2*COS(PI()*(9-VLOOKUP(MONTH(B355),$O$1:$Q$13,3))/(VLOOKUP(MONTH(B355),$O$1:$Q$13,2)-VLOOKUP(MONTH(B355),$O$1:$Q$13,3))),($F355+$G355)/2-($F355-$G355)/2*COS(PI()*(10-VLOOKUP(MONTH(B355),$O$1:$Q$13,3))/(VLOOKUP(MONTH(B355),$O$1:$Q$13,2)-VLOOKUP(MONTH(B355),$O$1:$Q$13,3))),($F355+$G355)/2-($F355-$G355)/2*COS(PI()*(11-VLOOKUP(MONTH(B355),$O$1:$Q$13,3))/(VLOOKUP(MONTH(B355),$O$1:$Q$13,2)-VLOOKUP(MONTH(B355),$O$1:$Q$13,3))),($F355+$G355)/2-($F355-$G355)/2*COS(PI()*(12-VLOOKUP(MONTH(B355),$O$1:$Q$13,3))/(VLOOKUP(MONTH(B355),$O$1:$Q$13,2)-VLOOKUP(MONTH(B355),$O$1:$Q$13,3))),($F355+$G355)/2-($F355-$G355)/2*COS(PI()*(13-VLOOKUP(MONTH(B355),$O$1:$Q$13,3))/(VLOOKUP(MONTH(B355),$O$1:$Q$13,2)-VLOOKUP(MONTH(B355),$O$1:$Q$13,3))),($F355+$G355)/2-($F355-$G355)/2*COS(PI()*(14-VLOOKUP(MONTH(B355),$O$1:$Q$13,3))/(VLOOKUP(MONTH(B355),$O$1:$Q$13,2)-VLOOKUP(MONTH(B355),$O$1:$Q$13,3))))</f>
        <v/>
      </c>
      <c r="M355" s="1">
        <f t="array" ref="M355">IF(AND(A355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,A355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),IF(L355&lt;_xlfn.IFNA(INDEX(_xlfn.ANCHORARRAY(Sintesi!$C$17)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,1,IF(L355&gt;=_xlfn.IFNA(INDEX(_xlfn.ANCHORARRAY(Sintesi!$C$18)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,0,1-(L355-_xlfn.IFNA(INDEX(_xlfn.ANCHORARRAY(Sintesi!$C$17)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)/(_xlfn.IFNA(INDEX(_xlfn.ANCHORARRAY(Sintesi!$C$18)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-_xlfn.IFNA(INDEX(_xlfn.ANCHORARRAY(Sintesi!$C$17)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))),0)</f>
        <v/>
      </c>
    </row>
    <row r="356">
      <c r="A356" s="1">
        <f>'Paste cell here'!A356</f>
        <v/>
      </c>
      <c r="B356" s="2">
        <f>DATE(Sintesi!$C$4-1,12,31)+A356</f>
        <v/>
      </c>
      <c r="C356" s="34">
        <f t="array" ref="C356">_xlfn.IFNA(MATCH(1,(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)*(_xlfn.ANCHORARRAY(Sintesi!$C$15)&gt;=0)+(_xlfn.ANCHORARRAY(Sintesi!$C$15)&lt;0),0),0)</f>
        <v/>
      </c>
      <c r="D356" s="1">
        <f t="array" ref="D356">IF(ISBLANK($E357),IF(ISNUMBER($E355),IF($C356&gt;0,IF(($E356=INDEX(_xlfn.ANCHORARRAY(Sintesi!$C$14),1,$C356))*(INDEX(_xlfn.ANCHORARRAY(Sintesi!$C$15),1,$C356)&gt;0),0,IF(($E356=INDEX(_xlfn.ANCHORARRAY(Sintesi!$C$14),1,$C356))*(INDEX(_xlfn.ANCHORARRAY(Sintesi!$C$15),1,$C356)&lt;0)+($E356&gt;=$E355)*($E356&lt;=INDEX($E:$E,MATCH(TRUE,INDEX((ISNUMBER($E:$E)),0),0)))*($E356&gt;INDEX(_xlfn.ANCHORARRAY(Sintesi!$C$14),1,$C356))*($E356&lt;=INDEX(_xlfn.ANCHORARRAY(Sintesi!$C$15),1,$C356))*(INDEX(_xlfn.ANCHORARRAY(Sintesi!$C$15),1,$C356)&gt;0),1,IF(($E356&gt;=$E355)*($E356&lt;=INDEX($E:$E,MATCH(TRUE,INDEX((ISNUMBER($E:$E)),0),0)))*($E356&gt;INDEX(_xlfn.ANCHORARRAY(Sintesi!$C$14),1,$C356))*($E356&lt;INDEX(_xlfn.ANCHORARRAY(Sintesi!$C$16),1,$C356))*(INDEX(_xlfn.ANCHORARRAY(Sintesi!$C$15),1,$C356)&lt;0)+($E356&gt;=$E355)*($E356&lt;=INDEX($E:$E,MATCH(TRUE,INDEX((ISNUMBER($E:$E)),0),0)))*($E356&gt;INDEX(_xlfn.ANCHORARRAY(Sintesi!$C$15),1,$C356))*($E356&lt;INDEX(_xlfn.ANCHORARRAY(Sintesi!$C$16),1,$C356))*(INDEX(_xlfn.ANCHORARRAY(Sintesi!$C$15),1,$C356)&gt;0),2,IF($E356=(INDEX(_xlfn.ANCHORARRAY(Sintesi!$C$16),1,$C356)),3,4)))),0),IF($C356&gt;0,IF(($E356=INDEX(_xlfn.ANCHORARRAY(Sintesi!$C$14),1,$C356))*(INDEX(_xlfn.ANCHORARRAY(Sintesi!$C$15),1,$C356)&gt;0),0,IF(($E356=INDEX(_xlfn.ANCHORARRAY(Sintesi!$C$14),1,$C356))*(INDEX(_xlfn.ANCHORARRAY(Sintesi!$C$15),1,$C356)&lt;0)+($E356&gt;=LOOKUP(2,1/($E:$E&lt;&gt;""),$E:$E))*($E356&lt;=INDEX($E:$E,MATCH(TRUE,INDEX((ISNUMBER($E:$E)),0),0)))*($E356&gt;INDEX(_xlfn.ANCHORARRAY(Sintesi!$C$14),1,$C356))*($E356&lt;=INDEX(_xlfn.ANCHORARRAY(Sintesi!$C$15),1,$C356))*(INDEX(_xlfn.ANCHORARRAY(Sintesi!$C$15),1,$C356)&gt;0),1,IF(($E356&gt;=LOOKUP(2,1/($E:$E&lt;&gt;""),$E:$E))*($E356&lt;=INDEX($E:$E,MATCH(TRUE,INDEX((ISNUMBER($E:$E)),0),0)))*($E356&gt;INDEX(_xlfn.ANCHORARRAY(Sintesi!$C$14),1,$C356))*($E356&lt;INDEX(_xlfn.ANCHORARRAY(Sintesi!$C$16),1,$C356))*(INDEX(_xlfn.ANCHORARRAY(Sintesi!$C$15),1,$C356)&lt;0)+($E356&gt;=LOOKUP(2,1/($E:$E&lt;&gt;""),$E:$E))*($E356&lt;=INDEX($E:$E,MATCH(TRUE,INDEX((ISNUMBER($E:$E)),0),0)))*($E356&gt;INDEX(_xlfn.ANCHORARRAY(Sintesi!$C$15),1,$C356))*($E356&lt;INDEX(_xlfn.ANCHORARRAY(Sintesi!$C$16),1,$C356))*(INDEX(_xlfn.ANCHORARRAY(Sintesi!$C$15),1,$C356)&gt;0),2,IF($E356=(INDEX(_xlfn.ANCHORARRAY(Sintesi!$C$16),1,$C356)),3,4)))),0)),IF(ISNUMBER($E355),IF($C356&gt;0,IF(($E356=INDEX(_xlfn.ANCHORARRAY(Sintesi!$C$14),1,$C356))*(INDEX(_xlfn.ANCHORARRAY(Sintesi!$C$15),1,$C356)&gt;0),0,IF(($E356=INDEX(_xlfn.ANCHORARRAY(Sintesi!$C$14),1,$C356))*(INDEX(_xlfn.ANCHORARRAY(Sintesi!$C$15),1,$C356)&lt;0)+($E356&gt;=$E355)*($E356&lt;=$E357)*($E356&gt;INDEX(_xlfn.ANCHORARRAY(Sintesi!$C$14),1,$C356))*($E356&lt;=INDEX(_xlfn.ANCHORARRAY(Sintesi!$C$15),1,$C356))*(INDEX(_xlfn.ANCHORARRAY(Sintesi!$C$15),1,$C356)&gt;0),1,IF(($E356&gt;=$E355)*($E356&lt;=$E357)*($E356&gt;INDEX(_xlfn.ANCHORARRAY(Sintesi!$C$14),1,$C356))*($E356&lt;INDEX(_xlfn.ANCHORARRAY(Sintesi!$C$16),1,$C356))*(INDEX(_xlfn.ANCHORARRAY(Sintesi!$C$15),1,$C356)&lt;0)+($E356&gt;=$E355)*($E356&lt;=$E357)*($E356&gt;INDEX(_xlfn.ANCHORARRAY(Sintesi!$C$15),1,$C356))*($E356&lt;INDEX(_xlfn.ANCHORARRAY(Sintesi!$C$16),1,$C356))*(INDEX(_xlfn.ANCHORARRAY(Sintesi!$C$15),1,$C356)&gt;0),2,IF($E356=(INDEX(_xlfn.ANCHORARRAY(Sintesi!$C$16),1,$C356)),3,4)))),0),IF($C356&gt;0,IF(($E356=INDEX(_xlfn.ANCHORARRAY(Sintesi!$C$14),1,$C356))*(INDEX(_xlfn.ANCHORARRAY(Sintesi!$C$15),1,$C356)&gt;0),0,IF(($E356=INDEX(_xlfn.ANCHORARRAY(Sintesi!$C$14),1,$C356))*(INDEX(_xlfn.ANCHORARRAY(Sintesi!$C$15),1,$C356)&lt;0)+($E356&gt;=LOOKUP(2,1/($E:$E&lt;&gt;""),$E:$E))*($E356&lt;=$E357)*($E356&gt;INDEX(_xlfn.ANCHORARRAY(Sintesi!$C$14),1,$C356))*($E356&lt;=INDEX(_xlfn.ANCHORARRAY(Sintesi!$C$15),1,$C356))*(INDEX(_xlfn.ANCHORARRAY(Sintesi!$C$15),1,$C356)&gt;0),1,IF(($E356&gt;=LOOKUP(2,1/($E:$E&lt;&gt;""),$E:$E))*($E356&lt;=$E357)*($E356&gt;INDEX(_xlfn.ANCHORARRAY(Sintesi!$C$14),1,$C356))*($E356&lt;INDEX(_xlfn.ANCHORARRAY(Sintesi!$C$16),1,$C356))*(INDEX(_xlfn.ANCHORARRAY(Sintesi!$C$15),1,$C356)&lt;0)+($E356&gt;=LOOKUP(2,1/($E:$E&lt;&gt;""),$E:$E))*($E356&lt;=$E357)*($E356&gt;INDEX(_xlfn.ANCHORARRAY(Sintesi!$C$15),1,$C356))*($E356&lt;INDEX(_xlfn.ANCHORARRAY(Sintesi!$C$16),1,$C356))*(INDEX(_xlfn.ANCHORARRAY(Sintesi!$C$15),1,$C356)&gt;0),2,IF($E356=(INDEX(_xlfn.ANCHORARRAY(Sintesi!$C$16),1,$C356)),3,4)))),0)))</f>
        <v/>
      </c>
      <c r="E356" s="1">
        <f>'Paste cell here'!F356</f>
        <v/>
      </c>
      <c r="F356" s="1">
        <f>'Paste cell here'!C356</f>
        <v/>
      </c>
      <c r="G356" s="1">
        <f>'Paste cell here'!D356</f>
        <v/>
      </c>
      <c r="H356" s="1">
        <f>'Paste cell here'!E356</f>
        <v/>
      </c>
      <c r="I356" s="1">
        <f>'Paste cell here'!X356</f>
        <v/>
      </c>
      <c r="J356" s="1">
        <f>'Paste cell here'!Y356+'Paste cell here'!S356</f>
        <v/>
      </c>
      <c r="K356" s="1">
        <f>I356/H356</f>
        <v/>
      </c>
      <c r="L356" s="1">
        <f>AVERAGE(($F356+$G356)/2-($F356-$G356)/2*COS(PI()*(8-VLOOKUP(MONTH(B356),$O$1:$Q$13,3))/(VLOOKUP(MONTH(B356),$O$1:$Q$13,2)-VLOOKUP(MONTH(B356),$O$1:$Q$13,3))),($F356+$G356)/2-($F356-$G356)/2*COS(PI()*(9-VLOOKUP(MONTH(B356),$O$1:$Q$13,3))/(VLOOKUP(MONTH(B356),$O$1:$Q$13,2)-VLOOKUP(MONTH(B356),$O$1:$Q$13,3))),($F356+$G356)/2-($F356-$G356)/2*COS(PI()*(10-VLOOKUP(MONTH(B356),$O$1:$Q$13,3))/(VLOOKUP(MONTH(B356),$O$1:$Q$13,2)-VLOOKUP(MONTH(B356),$O$1:$Q$13,3))),($F356+$G356)/2-($F356-$G356)/2*COS(PI()*(11-VLOOKUP(MONTH(B356),$O$1:$Q$13,3))/(VLOOKUP(MONTH(B356),$O$1:$Q$13,2)-VLOOKUP(MONTH(B356),$O$1:$Q$13,3))),($F356+$G356)/2-($F356-$G356)/2*COS(PI()*(12-VLOOKUP(MONTH(B356),$O$1:$Q$13,3))/(VLOOKUP(MONTH(B356),$O$1:$Q$13,2)-VLOOKUP(MONTH(B356),$O$1:$Q$13,3))),($F356+$G356)/2-($F356-$G356)/2*COS(PI()*(13-VLOOKUP(MONTH(B356),$O$1:$Q$13,3))/(VLOOKUP(MONTH(B356),$O$1:$Q$13,2)-VLOOKUP(MONTH(B356),$O$1:$Q$13,3))),($F356+$G356)/2-($F356-$G356)/2*COS(PI()*(14-VLOOKUP(MONTH(B356),$O$1:$Q$13,3))/(VLOOKUP(MONTH(B356),$O$1:$Q$13,2)-VLOOKUP(MONTH(B356),$O$1:$Q$13,3))))</f>
        <v/>
      </c>
      <c r="M356" s="1">
        <f t="array" ref="M356">IF(AND(A356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,A356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),IF(L356&lt;_xlfn.IFNA(INDEX(_xlfn.ANCHORARRAY(Sintesi!$C$17)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,1,IF(L356&gt;=_xlfn.IFNA(INDEX(_xlfn.ANCHORARRAY(Sintesi!$C$18)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,0,1-(L356-_xlfn.IFNA(INDEX(_xlfn.ANCHORARRAY(Sintesi!$C$17)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)/(_xlfn.IFNA(INDEX(_xlfn.ANCHORARRAY(Sintesi!$C$18)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-_xlfn.IFNA(INDEX(_xlfn.ANCHORARRAY(Sintesi!$C$17)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))),0)</f>
        <v/>
      </c>
    </row>
    <row r="357">
      <c r="A357" s="1">
        <f>'Paste cell here'!A357</f>
        <v/>
      </c>
      <c r="B357" s="2">
        <f>DATE(Sintesi!$C$4-1,12,31)+A357</f>
        <v/>
      </c>
      <c r="C357" s="34">
        <f t="array" ref="C357">_xlfn.IFNA(MATCH(1,(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)*(_xlfn.ANCHORARRAY(Sintesi!$C$15)&gt;=0)+(_xlfn.ANCHORARRAY(Sintesi!$C$15)&lt;0),0),0)</f>
        <v/>
      </c>
      <c r="D357" s="1">
        <f t="array" ref="D357">IF(ISBLANK($E358),IF(ISNUMBER($E356),IF($C357&gt;0,IF(($E357=INDEX(_xlfn.ANCHORARRAY(Sintesi!$C$14),1,$C357))*(INDEX(_xlfn.ANCHORARRAY(Sintesi!$C$15),1,$C357)&gt;0),0,IF(($E357=INDEX(_xlfn.ANCHORARRAY(Sintesi!$C$14),1,$C357))*(INDEX(_xlfn.ANCHORARRAY(Sintesi!$C$15),1,$C357)&lt;0)+($E357&gt;=$E356)*($E357&lt;=INDEX($E:$E,MATCH(TRUE,INDEX((ISNUMBER($E:$E)),0),0)))*($E357&gt;INDEX(_xlfn.ANCHORARRAY(Sintesi!$C$14),1,$C357))*($E357&lt;=INDEX(_xlfn.ANCHORARRAY(Sintesi!$C$15),1,$C357))*(INDEX(_xlfn.ANCHORARRAY(Sintesi!$C$15),1,$C357)&gt;0),1,IF(($E357&gt;=$E356)*($E357&lt;=INDEX($E:$E,MATCH(TRUE,INDEX((ISNUMBER($E:$E)),0),0)))*($E357&gt;INDEX(_xlfn.ANCHORARRAY(Sintesi!$C$14),1,$C357))*($E357&lt;INDEX(_xlfn.ANCHORARRAY(Sintesi!$C$16),1,$C357))*(INDEX(_xlfn.ANCHORARRAY(Sintesi!$C$15),1,$C357)&lt;0)+($E357&gt;=$E356)*($E357&lt;=INDEX($E:$E,MATCH(TRUE,INDEX((ISNUMBER($E:$E)),0),0)))*($E357&gt;INDEX(_xlfn.ANCHORARRAY(Sintesi!$C$15),1,$C357))*($E357&lt;INDEX(_xlfn.ANCHORARRAY(Sintesi!$C$16),1,$C357))*(INDEX(_xlfn.ANCHORARRAY(Sintesi!$C$15),1,$C357)&gt;0),2,IF($E357=(INDEX(_xlfn.ANCHORARRAY(Sintesi!$C$16),1,$C357)),3,4)))),0),IF($C357&gt;0,IF(($E357=INDEX(_xlfn.ANCHORARRAY(Sintesi!$C$14),1,$C357))*(INDEX(_xlfn.ANCHORARRAY(Sintesi!$C$15),1,$C357)&gt;0),0,IF(($E357=INDEX(_xlfn.ANCHORARRAY(Sintesi!$C$14),1,$C357))*(INDEX(_xlfn.ANCHORARRAY(Sintesi!$C$15),1,$C357)&lt;0)+($E357&gt;=LOOKUP(2,1/($E:$E&lt;&gt;""),$E:$E))*($E357&lt;=INDEX($E:$E,MATCH(TRUE,INDEX((ISNUMBER($E:$E)),0),0)))*($E357&gt;INDEX(_xlfn.ANCHORARRAY(Sintesi!$C$14),1,$C357))*($E357&lt;=INDEX(_xlfn.ANCHORARRAY(Sintesi!$C$15),1,$C357))*(INDEX(_xlfn.ANCHORARRAY(Sintesi!$C$15),1,$C357)&gt;0),1,IF(($E357&gt;=LOOKUP(2,1/($E:$E&lt;&gt;""),$E:$E))*($E357&lt;=INDEX($E:$E,MATCH(TRUE,INDEX((ISNUMBER($E:$E)),0),0)))*($E357&gt;INDEX(_xlfn.ANCHORARRAY(Sintesi!$C$14),1,$C357))*($E357&lt;INDEX(_xlfn.ANCHORARRAY(Sintesi!$C$16),1,$C357))*(INDEX(_xlfn.ANCHORARRAY(Sintesi!$C$15),1,$C357)&lt;0)+($E357&gt;=LOOKUP(2,1/($E:$E&lt;&gt;""),$E:$E))*($E357&lt;=INDEX($E:$E,MATCH(TRUE,INDEX((ISNUMBER($E:$E)),0),0)))*($E357&gt;INDEX(_xlfn.ANCHORARRAY(Sintesi!$C$15),1,$C357))*($E357&lt;INDEX(_xlfn.ANCHORARRAY(Sintesi!$C$16),1,$C357))*(INDEX(_xlfn.ANCHORARRAY(Sintesi!$C$15),1,$C357)&gt;0),2,IF($E357=(INDEX(_xlfn.ANCHORARRAY(Sintesi!$C$16),1,$C357)),3,4)))),0)),IF(ISNUMBER($E356),IF($C357&gt;0,IF(($E357=INDEX(_xlfn.ANCHORARRAY(Sintesi!$C$14),1,$C357))*(INDEX(_xlfn.ANCHORARRAY(Sintesi!$C$15),1,$C357)&gt;0),0,IF(($E357=INDEX(_xlfn.ANCHORARRAY(Sintesi!$C$14),1,$C357))*(INDEX(_xlfn.ANCHORARRAY(Sintesi!$C$15),1,$C357)&lt;0)+($E357&gt;=$E356)*($E357&lt;=$E358)*($E357&gt;INDEX(_xlfn.ANCHORARRAY(Sintesi!$C$14),1,$C357))*($E357&lt;=INDEX(_xlfn.ANCHORARRAY(Sintesi!$C$15),1,$C357))*(INDEX(_xlfn.ANCHORARRAY(Sintesi!$C$15),1,$C357)&gt;0),1,IF(($E357&gt;=$E356)*($E357&lt;=$E358)*($E357&gt;INDEX(_xlfn.ANCHORARRAY(Sintesi!$C$14),1,$C357))*($E357&lt;INDEX(_xlfn.ANCHORARRAY(Sintesi!$C$16),1,$C357))*(INDEX(_xlfn.ANCHORARRAY(Sintesi!$C$15),1,$C357)&lt;0)+($E357&gt;=$E356)*($E357&lt;=$E358)*($E357&gt;INDEX(_xlfn.ANCHORARRAY(Sintesi!$C$15),1,$C357))*($E357&lt;INDEX(_xlfn.ANCHORARRAY(Sintesi!$C$16),1,$C357))*(INDEX(_xlfn.ANCHORARRAY(Sintesi!$C$15),1,$C357)&gt;0),2,IF($E357=(INDEX(_xlfn.ANCHORARRAY(Sintesi!$C$16),1,$C357)),3,4)))),0),IF($C357&gt;0,IF(($E357=INDEX(_xlfn.ANCHORARRAY(Sintesi!$C$14),1,$C357))*(INDEX(_xlfn.ANCHORARRAY(Sintesi!$C$15),1,$C357)&gt;0),0,IF(($E357=INDEX(_xlfn.ANCHORARRAY(Sintesi!$C$14),1,$C357))*(INDEX(_xlfn.ANCHORARRAY(Sintesi!$C$15),1,$C357)&lt;0)+($E357&gt;=LOOKUP(2,1/($E:$E&lt;&gt;""),$E:$E))*($E357&lt;=$E358)*($E357&gt;INDEX(_xlfn.ANCHORARRAY(Sintesi!$C$14),1,$C357))*($E357&lt;=INDEX(_xlfn.ANCHORARRAY(Sintesi!$C$15),1,$C357))*(INDEX(_xlfn.ANCHORARRAY(Sintesi!$C$15),1,$C357)&gt;0),1,IF(($E357&gt;=LOOKUP(2,1/($E:$E&lt;&gt;""),$E:$E))*($E357&lt;=$E358)*($E357&gt;INDEX(_xlfn.ANCHORARRAY(Sintesi!$C$14),1,$C357))*($E357&lt;INDEX(_xlfn.ANCHORARRAY(Sintesi!$C$16),1,$C357))*(INDEX(_xlfn.ANCHORARRAY(Sintesi!$C$15),1,$C357)&lt;0)+($E357&gt;=LOOKUP(2,1/($E:$E&lt;&gt;""),$E:$E))*($E357&lt;=$E358)*($E357&gt;INDEX(_xlfn.ANCHORARRAY(Sintesi!$C$15),1,$C357))*($E357&lt;INDEX(_xlfn.ANCHORARRAY(Sintesi!$C$16),1,$C357))*(INDEX(_xlfn.ANCHORARRAY(Sintesi!$C$15),1,$C357)&gt;0),2,IF($E357=(INDEX(_xlfn.ANCHORARRAY(Sintesi!$C$16),1,$C357)),3,4)))),0)))</f>
        <v/>
      </c>
      <c r="E357" s="1">
        <f>'Paste cell here'!F357</f>
        <v/>
      </c>
      <c r="F357" s="1">
        <f>'Paste cell here'!C357</f>
        <v/>
      </c>
      <c r="G357" s="1">
        <f>'Paste cell here'!D357</f>
        <v/>
      </c>
      <c r="H357" s="1">
        <f>'Paste cell here'!E357</f>
        <v/>
      </c>
      <c r="I357" s="1">
        <f>'Paste cell here'!X357</f>
        <v/>
      </c>
      <c r="J357" s="1">
        <f>'Paste cell here'!Y357+'Paste cell here'!S357</f>
        <v/>
      </c>
      <c r="K357" s="1">
        <f>I357/H357</f>
        <v/>
      </c>
      <c r="L357" s="1">
        <f>AVERAGE(($F357+$G357)/2-($F357-$G357)/2*COS(PI()*(8-VLOOKUP(MONTH(B357),$O$1:$Q$13,3))/(VLOOKUP(MONTH(B357),$O$1:$Q$13,2)-VLOOKUP(MONTH(B357),$O$1:$Q$13,3))),($F357+$G357)/2-($F357-$G357)/2*COS(PI()*(9-VLOOKUP(MONTH(B357),$O$1:$Q$13,3))/(VLOOKUP(MONTH(B357),$O$1:$Q$13,2)-VLOOKUP(MONTH(B357),$O$1:$Q$13,3))),($F357+$G357)/2-($F357-$G357)/2*COS(PI()*(10-VLOOKUP(MONTH(B357),$O$1:$Q$13,3))/(VLOOKUP(MONTH(B357),$O$1:$Q$13,2)-VLOOKUP(MONTH(B357),$O$1:$Q$13,3))),($F357+$G357)/2-($F357-$G357)/2*COS(PI()*(11-VLOOKUP(MONTH(B357),$O$1:$Q$13,3))/(VLOOKUP(MONTH(B357),$O$1:$Q$13,2)-VLOOKUP(MONTH(B357),$O$1:$Q$13,3))),($F357+$G357)/2-($F357-$G357)/2*COS(PI()*(12-VLOOKUP(MONTH(B357),$O$1:$Q$13,3))/(VLOOKUP(MONTH(B357),$O$1:$Q$13,2)-VLOOKUP(MONTH(B357),$O$1:$Q$13,3))),($F357+$G357)/2-($F357-$G357)/2*COS(PI()*(13-VLOOKUP(MONTH(B357),$O$1:$Q$13,3))/(VLOOKUP(MONTH(B357),$O$1:$Q$13,2)-VLOOKUP(MONTH(B357),$O$1:$Q$13,3))),($F357+$G357)/2-($F357-$G357)/2*COS(PI()*(14-VLOOKUP(MONTH(B357),$O$1:$Q$13,3))/(VLOOKUP(MONTH(B357),$O$1:$Q$13,2)-VLOOKUP(MONTH(B357),$O$1:$Q$13,3))))</f>
        <v/>
      </c>
      <c r="M357" s="1">
        <f t="array" ref="M357">IF(AND(A357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,A357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),IF(L357&lt;_xlfn.IFNA(INDEX(_xlfn.ANCHORARRAY(Sintesi!$C$17)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,1,IF(L357&gt;=_xlfn.IFNA(INDEX(_xlfn.ANCHORARRAY(Sintesi!$C$18)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,0,1-(L357-_xlfn.IFNA(INDEX(_xlfn.ANCHORARRAY(Sintesi!$C$17)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)/(_xlfn.IFNA(INDEX(_xlfn.ANCHORARRAY(Sintesi!$C$18)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-_xlfn.IFNA(INDEX(_xlfn.ANCHORARRAY(Sintesi!$C$17)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))),0)</f>
        <v/>
      </c>
    </row>
    <row r="358">
      <c r="A358" s="1">
        <f>'Paste cell here'!A358</f>
        <v/>
      </c>
      <c r="B358" s="2">
        <f>DATE(Sintesi!$C$4-1,12,31)+A358</f>
        <v/>
      </c>
      <c r="C358" s="34">
        <f t="array" ref="C358">_xlfn.IFNA(MATCH(1,(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)*(_xlfn.ANCHORARRAY(Sintesi!$C$15)&gt;=0)+(_xlfn.ANCHORARRAY(Sintesi!$C$15)&lt;0),0),0)</f>
        <v/>
      </c>
      <c r="D358" s="1">
        <f t="array" ref="D358">IF(ISBLANK($E359),IF(ISNUMBER($E357),IF($C358&gt;0,IF(($E358=INDEX(_xlfn.ANCHORARRAY(Sintesi!$C$14),1,$C358))*(INDEX(_xlfn.ANCHORARRAY(Sintesi!$C$15),1,$C358)&gt;0),0,IF(($E358=INDEX(_xlfn.ANCHORARRAY(Sintesi!$C$14),1,$C358))*(INDEX(_xlfn.ANCHORARRAY(Sintesi!$C$15),1,$C358)&lt;0)+($E358&gt;=$E357)*($E358&lt;=INDEX($E:$E,MATCH(TRUE,INDEX((ISNUMBER($E:$E)),0),0)))*($E358&gt;INDEX(_xlfn.ANCHORARRAY(Sintesi!$C$14),1,$C358))*($E358&lt;=INDEX(_xlfn.ANCHORARRAY(Sintesi!$C$15),1,$C358))*(INDEX(_xlfn.ANCHORARRAY(Sintesi!$C$15),1,$C358)&gt;0),1,IF(($E358&gt;=$E357)*($E358&lt;=INDEX($E:$E,MATCH(TRUE,INDEX((ISNUMBER($E:$E)),0),0)))*($E358&gt;INDEX(_xlfn.ANCHORARRAY(Sintesi!$C$14),1,$C358))*($E358&lt;INDEX(_xlfn.ANCHORARRAY(Sintesi!$C$16),1,$C358))*(INDEX(_xlfn.ANCHORARRAY(Sintesi!$C$15),1,$C358)&lt;0)+($E358&gt;=$E357)*($E358&lt;=INDEX($E:$E,MATCH(TRUE,INDEX((ISNUMBER($E:$E)),0),0)))*($E358&gt;INDEX(_xlfn.ANCHORARRAY(Sintesi!$C$15),1,$C358))*($E358&lt;INDEX(_xlfn.ANCHORARRAY(Sintesi!$C$16),1,$C358))*(INDEX(_xlfn.ANCHORARRAY(Sintesi!$C$15),1,$C358)&gt;0),2,IF($E358=(INDEX(_xlfn.ANCHORARRAY(Sintesi!$C$16),1,$C358)),3,4)))),0),IF($C358&gt;0,IF(($E358=INDEX(_xlfn.ANCHORARRAY(Sintesi!$C$14),1,$C358))*(INDEX(_xlfn.ANCHORARRAY(Sintesi!$C$15),1,$C358)&gt;0),0,IF(($E358=INDEX(_xlfn.ANCHORARRAY(Sintesi!$C$14),1,$C358))*(INDEX(_xlfn.ANCHORARRAY(Sintesi!$C$15),1,$C358)&lt;0)+($E358&gt;=LOOKUP(2,1/($E:$E&lt;&gt;""),$E:$E))*($E358&lt;=INDEX($E:$E,MATCH(TRUE,INDEX((ISNUMBER($E:$E)),0),0)))*($E358&gt;INDEX(_xlfn.ANCHORARRAY(Sintesi!$C$14),1,$C358))*($E358&lt;=INDEX(_xlfn.ANCHORARRAY(Sintesi!$C$15),1,$C358))*(INDEX(_xlfn.ANCHORARRAY(Sintesi!$C$15),1,$C358)&gt;0),1,IF(($E358&gt;=LOOKUP(2,1/($E:$E&lt;&gt;""),$E:$E))*($E358&lt;=INDEX($E:$E,MATCH(TRUE,INDEX((ISNUMBER($E:$E)),0),0)))*($E358&gt;INDEX(_xlfn.ANCHORARRAY(Sintesi!$C$14),1,$C358))*($E358&lt;INDEX(_xlfn.ANCHORARRAY(Sintesi!$C$16),1,$C358))*(INDEX(_xlfn.ANCHORARRAY(Sintesi!$C$15),1,$C358)&lt;0)+($E358&gt;=LOOKUP(2,1/($E:$E&lt;&gt;""),$E:$E))*($E358&lt;=INDEX($E:$E,MATCH(TRUE,INDEX((ISNUMBER($E:$E)),0),0)))*($E358&gt;INDEX(_xlfn.ANCHORARRAY(Sintesi!$C$15),1,$C358))*($E358&lt;INDEX(_xlfn.ANCHORARRAY(Sintesi!$C$16),1,$C358))*(INDEX(_xlfn.ANCHORARRAY(Sintesi!$C$15),1,$C358)&gt;0),2,IF($E358=(INDEX(_xlfn.ANCHORARRAY(Sintesi!$C$16),1,$C358)),3,4)))),0)),IF(ISNUMBER($E357),IF($C358&gt;0,IF(($E358=INDEX(_xlfn.ANCHORARRAY(Sintesi!$C$14),1,$C358))*(INDEX(_xlfn.ANCHORARRAY(Sintesi!$C$15),1,$C358)&gt;0),0,IF(($E358=INDEX(_xlfn.ANCHORARRAY(Sintesi!$C$14),1,$C358))*(INDEX(_xlfn.ANCHORARRAY(Sintesi!$C$15),1,$C358)&lt;0)+($E358&gt;=$E357)*($E358&lt;=$E359)*($E358&gt;INDEX(_xlfn.ANCHORARRAY(Sintesi!$C$14),1,$C358))*($E358&lt;=INDEX(_xlfn.ANCHORARRAY(Sintesi!$C$15),1,$C358))*(INDEX(_xlfn.ANCHORARRAY(Sintesi!$C$15),1,$C358)&gt;0),1,IF(($E358&gt;=$E357)*($E358&lt;=$E359)*($E358&gt;INDEX(_xlfn.ANCHORARRAY(Sintesi!$C$14),1,$C358))*($E358&lt;INDEX(_xlfn.ANCHORARRAY(Sintesi!$C$16),1,$C358))*(INDEX(_xlfn.ANCHORARRAY(Sintesi!$C$15),1,$C358)&lt;0)+($E358&gt;=$E357)*($E358&lt;=$E359)*($E358&gt;INDEX(_xlfn.ANCHORARRAY(Sintesi!$C$15),1,$C358))*($E358&lt;INDEX(_xlfn.ANCHORARRAY(Sintesi!$C$16),1,$C358))*(INDEX(_xlfn.ANCHORARRAY(Sintesi!$C$15),1,$C358)&gt;0),2,IF($E358=(INDEX(_xlfn.ANCHORARRAY(Sintesi!$C$16),1,$C358)),3,4)))),0),IF($C358&gt;0,IF(($E358=INDEX(_xlfn.ANCHORARRAY(Sintesi!$C$14),1,$C358))*(INDEX(_xlfn.ANCHORARRAY(Sintesi!$C$15),1,$C358)&gt;0),0,IF(($E358=INDEX(_xlfn.ANCHORARRAY(Sintesi!$C$14),1,$C358))*(INDEX(_xlfn.ANCHORARRAY(Sintesi!$C$15),1,$C358)&lt;0)+($E358&gt;=LOOKUP(2,1/($E:$E&lt;&gt;""),$E:$E))*($E358&lt;=$E359)*($E358&gt;INDEX(_xlfn.ANCHORARRAY(Sintesi!$C$14),1,$C358))*($E358&lt;=INDEX(_xlfn.ANCHORARRAY(Sintesi!$C$15),1,$C358))*(INDEX(_xlfn.ANCHORARRAY(Sintesi!$C$15),1,$C358)&gt;0),1,IF(($E358&gt;=LOOKUP(2,1/($E:$E&lt;&gt;""),$E:$E))*($E358&lt;=$E359)*($E358&gt;INDEX(_xlfn.ANCHORARRAY(Sintesi!$C$14),1,$C358))*($E358&lt;INDEX(_xlfn.ANCHORARRAY(Sintesi!$C$16),1,$C358))*(INDEX(_xlfn.ANCHORARRAY(Sintesi!$C$15),1,$C358)&lt;0)+($E358&gt;=LOOKUP(2,1/($E:$E&lt;&gt;""),$E:$E))*($E358&lt;=$E359)*($E358&gt;INDEX(_xlfn.ANCHORARRAY(Sintesi!$C$15),1,$C358))*($E358&lt;INDEX(_xlfn.ANCHORARRAY(Sintesi!$C$16),1,$C358))*(INDEX(_xlfn.ANCHORARRAY(Sintesi!$C$15),1,$C358)&gt;0),2,IF($E358=(INDEX(_xlfn.ANCHORARRAY(Sintesi!$C$16),1,$C358)),3,4)))),0)))</f>
        <v/>
      </c>
      <c r="E358" s="1">
        <f>'Paste cell here'!F358</f>
        <v/>
      </c>
      <c r="F358" s="1">
        <f>'Paste cell here'!C358</f>
        <v/>
      </c>
      <c r="G358" s="1">
        <f>'Paste cell here'!D358</f>
        <v/>
      </c>
      <c r="H358" s="1">
        <f>'Paste cell here'!E358</f>
        <v/>
      </c>
      <c r="I358" s="1">
        <f>'Paste cell here'!X358</f>
        <v/>
      </c>
      <c r="J358" s="1">
        <f>'Paste cell here'!Y358+'Paste cell here'!S358</f>
        <v/>
      </c>
      <c r="K358" s="1">
        <f>I358/H358</f>
        <v/>
      </c>
      <c r="L358" s="1">
        <f>AVERAGE(($F358+$G358)/2-($F358-$G358)/2*COS(PI()*(8-VLOOKUP(MONTH(B358),$O$1:$Q$13,3))/(VLOOKUP(MONTH(B358),$O$1:$Q$13,2)-VLOOKUP(MONTH(B358),$O$1:$Q$13,3))),($F358+$G358)/2-($F358-$G358)/2*COS(PI()*(9-VLOOKUP(MONTH(B358),$O$1:$Q$13,3))/(VLOOKUP(MONTH(B358),$O$1:$Q$13,2)-VLOOKUP(MONTH(B358),$O$1:$Q$13,3))),($F358+$G358)/2-($F358-$G358)/2*COS(PI()*(10-VLOOKUP(MONTH(B358),$O$1:$Q$13,3))/(VLOOKUP(MONTH(B358),$O$1:$Q$13,2)-VLOOKUP(MONTH(B358),$O$1:$Q$13,3))),($F358+$G358)/2-($F358-$G358)/2*COS(PI()*(11-VLOOKUP(MONTH(B358),$O$1:$Q$13,3))/(VLOOKUP(MONTH(B358),$O$1:$Q$13,2)-VLOOKUP(MONTH(B358),$O$1:$Q$13,3))),($F358+$G358)/2-($F358-$G358)/2*COS(PI()*(12-VLOOKUP(MONTH(B358),$O$1:$Q$13,3))/(VLOOKUP(MONTH(B358),$O$1:$Q$13,2)-VLOOKUP(MONTH(B358),$O$1:$Q$13,3))),($F358+$G358)/2-($F358-$G358)/2*COS(PI()*(13-VLOOKUP(MONTH(B358),$O$1:$Q$13,3))/(VLOOKUP(MONTH(B358),$O$1:$Q$13,2)-VLOOKUP(MONTH(B358),$O$1:$Q$13,3))),($F358+$G358)/2-($F358-$G358)/2*COS(PI()*(14-VLOOKUP(MONTH(B358),$O$1:$Q$13,3))/(VLOOKUP(MONTH(B358),$O$1:$Q$13,2)-VLOOKUP(MONTH(B358),$O$1:$Q$13,3))))</f>
        <v/>
      </c>
      <c r="M358" s="1">
        <f t="array" ref="M358">IF(AND(A358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,A358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),IF(L358&lt;_xlfn.IFNA(INDEX(_xlfn.ANCHORARRAY(Sintesi!$C$17)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,1,IF(L358&gt;=_xlfn.IFNA(INDEX(_xlfn.ANCHORARRAY(Sintesi!$C$18)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,0,1-(L358-_xlfn.IFNA(INDEX(_xlfn.ANCHORARRAY(Sintesi!$C$17)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)/(_xlfn.IFNA(INDEX(_xlfn.ANCHORARRAY(Sintesi!$C$18)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-_xlfn.IFNA(INDEX(_xlfn.ANCHORARRAY(Sintesi!$C$17)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))),0)</f>
        <v/>
      </c>
    </row>
    <row r="359">
      <c r="A359" s="1">
        <f>'Paste cell here'!A359</f>
        <v/>
      </c>
      <c r="B359" s="2">
        <f>DATE(Sintesi!$C$4-1,12,31)+A359</f>
        <v/>
      </c>
      <c r="C359" s="34">
        <f t="array" ref="C359">_xlfn.IFNA(MATCH(1,(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)*(_xlfn.ANCHORARRAY(Sintesi!$C$15)&gt;=0)+(_xlfn.ANCHORARRAY(Sintesi!$C$15)&lt;0),0),0)</f>
        <v/>
      </c>
      <c r="D359" s="1">
        <f t="array" ref="D359">IF(ISBLANK($E360),IF(ISNUMBER($E358),IF($C359&gt;0,IF(($E359=INDEX(_xlfn.ANCHORARRAY(Sintesi!$C$14),1,$C359))*(INDEX(_xlfn.ANCHORARRAY(Sintesi!$C$15),1,$C359)&gt;0),0,IF(($E359=INDEX(_xlfn.ANCHORARRAY(Sintesi!$C$14),1,$C359))*(INDEX(_xlfn.ANCHORARRAY(Sintesi!$C$15),1,$C359)&lt;0)+($E359&gt;=$E358)*($E359&lt;=INDEX($E:$E,MATCH(TRUE,INDEX((ISNUMBER($E:$E)),0),0)))*($E359&gt;INDEX(_xlfn.ANCHORARRAY(Sintesi!$C$14),1,$C359))*($E359&lt;=INDEX(_xlfn.ANCHORARRAY(Sintesi!$C$15),1,$C359))*(INDEX(_xlfn.ANCHORARRAY(Sintesi!$C$15),1,$C359)&gt;0),1,IF(($E359&gt;=$E358)*($E359&lt;=INDEX($E:$E,MATCH(TRUE,INDEX((ISNUMBER($E:$E)),0),0)))*($E359&gt;INDEX(_xlfn.ANCHORARRAY(Sintesi!$C$14),1,$C359))*($E359&lt;INDEX(_xlfn.ANCHORARRAY(Sintesi!$C$16),1,$C359))*(INDEX(_xlfn.ANCHORARRAY(Sintesi!$C$15),1,$C359)&lt;0)+($E359&gt;=$E358)*($E359&lt;=INDEX($E:$E,MATCH(TRUE,INDEX((ISNUMBER($E:$E)),0),0)))*($E359&gt;INDEX(_xlfn.ANCHORARRAY(Sintesi!$C$15),1,$C359))*($E359&lt;INDEX(_xlfn.ANCHORARRAY(Sintesi!$C$16),1,$C359))*(INDEX(_xlfn.ANCHORARRAY(Sintesi!$C$15),1,$C359)&gt;0),2,IF($E359=(INDEX(_xlfn.ANCHORARRAY(Sintesi!$C$16),1,$C359)),3,4)))),0),IF($C359&gt;0,IF(($E359=INDEX(_xlfn.ANCHORARRAY(Sintesi!$C$14),1,$C359))*(INDEX(_xlfn.ANCHORARRAY(Sintesi!$C$15),1,$C359)&gt;0),0,IF(($E359=INDEX(_xlfn.ANCHORARRAY(Sintesi!$C$14),1,$C359))*(INDEX(_xlfn.ANCHORARRAY(Sintesi!$C$15),1,$C359)&lt;0)+($E359&gt;=LOOKUP(2,1/($E:$E&lt;&gt;""),$E:$E))*($E359&lt;=INDEX($E:$E,MATCH(TRUE,INDEX((ISNUMBER($E:$E)),0),0)))*($E359&gt;INDEX(_xlfn.ANCHORARRAY(Sintesi!$C$14),1,$C359))*($E359&lt;=INDEX(_xlfn.ANCHORARRAY(Sintesi!$C$15),1,$C359))*(INDEX(_xlfn.ANCHORARRAY(Sintesi!$C$15),1,$C359)&gt;0),1,IF(($E359&gt;=LOOKUP(2,1/($E:$E&lt;&gt;""),$E:$E))*($E359&lt;=INDEX($E:$E,MATCH(TRUE,INDEX((ISNUMBER($E:$E)),0),0)))*($E359&gt;INDEX(_xlfn.ANCHORARRAY(Sintesi!$C$14),1,$C359))*($E359&lt;INDEX(_xlfn.ANCHORARRAY(Sintesi!$C$16),1,$C359))*(INDEX(_xlfn.ANCHORARRAY(Sintesi!$C$15),1,$C359)&lt;0)+($E359&gt;=LOOKUP(2,1/($E:$E&lt;&gt;""),$E:$E))*($E359&lt;=INDEX($E:$E,MATCH(TRUE,INDEX((ISNUMBER($E:$E)),0),0)))*($E359&gt;INDEX(_xlfn.ANCHORARRAY(Sintesi!$C$15),1,$C359))*($E359&lt;INDEX(_xlfn.ANCHORARRAY(Sintesi!$C$16),1,$C359))*(INDEX(_xlfn.ANCHORARRAY(Sintesi!$C$15),1,$C359)&gt;0),2,IF($E359=(INDEX(_xlfn.ANCHORARRAY(Sintesi!$C$16),1,$C359)),3,4)))),0)),IF(ISNUMBER($E358),IF($C359&gt;0,IF(($E359=INDEX(_xlfn.ANCHORARRAY(Sintesi!$C$14),1,$C359))*(INDEX(_xlfn.ANCHORARRAY(Sintesi!$C$15),1,$C359)&gt;0),0,IF(($E359=INDEX(_xlfn.ANCHORARRAY(Sintesi!$C$14),1,$C359))*(INDEX(_xlfn.ANCHORARRAY(Sintesi!$C$15),1,$C359)&lt;0)+($E359&gt;=$E358)*($E359&lt;=$E360)*($E359&gt;INDEX(_xlfn.ANCHORARRAY(Sintesi!$C$14),1,$C359))*($E359&lt;=INDEX(_xlfn.ANCHORARRAY(Sintesi!$C$15),1,$C359))*(INDEX(_xlfn.ANCHORARRAY(Sintesi!$C$15),1,$C359)&gt;0),1,IF(($E359&gt;=$E358)*($E359&lt;=$E360)*($E359&gt;INDEX(_xlfn.ANCHORARRAY(Sintesi!$C$14),1,$C359))*($E359&lt;INDEX(_xlfn.ANCHORARRAY(Sintesi!$C$16),1,$C359))*(INDEX(_xlfn.ANCHORARRAY(Sintesi!$C$15),1,$C359)&lt;0)+($E359&gt;=$E358)*($E359&lt;=$E360)*($E359&gt;INDEX(_xlfn.ANCHORARRAY(Sintesi!$C$15),1,$C359))*($E359&lt;INDEX(_xlfn.ANCHORARRAY(Sintesi!$C$16),1,$C359))*(INDEX(_xlfn.ANCHORARRAY(Sintesi!$C$15),1,$C359)&gt;0),2,IF($E359=(INDEX(_xlfn.ANCHORARRAY(Sintesi!$C$16),1,$C359)),3,4)))),0),IF($C359&gt;0,IF(($E359=INDEX(_xlfn.ANCHORARRAY(Sintesi!$C$14),1,$C359))*(INDEX(_xlfn.ANCHORARRAY(Sintesi!$C$15),1,$C359)&gt;0),0,IF(($E359=INDEX(_xlfn.ANCHORARRAY(Sintesi!$C$14),1,$C359))*(INDEX(_xlfn.ANCHORARRAY(Sintesi!$C$15),1,$C359)&lt;0)+($E359&gt;=LOOKUP(2,1/($E:$E&lt;&gt;""),$E:$E))*($E359&lt;=$E360)*($E359&gt;INDEX(_xlfn.ANCHORARRAY(Sintesi!$C$14),1,$C359))*($E359&lt;=INDEX(_xlfn.ANCHORARRAY(Sintesi!$C$15),1,$C359))*(INDEX(_xlfn.ANCHORARRAY(Sintesi!$C$15),1,$C359)&gt;0),1,IF(($E359&gt;=LOOKUP(2,1/($E:$E&lt;&gt;""),$E:$E))*($E359&lt;=$E360)*($E359&gt;INDEX(_xlfn.ANCHORARRAY(Sintesi!$C$14),1,$C359))*($E359&lt;INDEX(_xlfn.ANCHORARRAY(Sintesi!$C$16),1,$C359))*(INDEX(_xlfn.ANCHORARRAY(Sintesi!$C$15),1,$C359)&lt;0)+($E359&gt;=LOOKUP(2,1/($E:$E&lt;&gt;""),$E:$E))*($E359&lt;=$E360)*($E359&gt;INDEX(_xlfn.ANCHORARRAY(Sintesi!$C$15),1,$C359))*($E359&lt;INDEX(_xlfn.ANCHORARRAY(Sintesi!$C$16),1,$C359))*(INDEX(_xlfn.ANCHORARRAY(Sintesi!$C$15),1,$C359)&gt;0),2,IF($E359=(INDEX(_xlfn.ANCHORARRAY(Sintesi!$C$16),1,$C359)),3,4)))),0)))</f>
        <v/>
      </c>
      <c r="E359" s="1">
        <f>'Paste cell here'!F359</f>
        <v/>
      </c>
      <c r="F359" s="1">
        <f>'Paste cell here'!C359</f>
        <v/>
      </c>
      <c r="G359" s="1">
        <f>'Paste cell here'!D359</f>
        <v/>
      </c>
      <c r="H359" s="1">
        <f>'Paste cell here'!E359</f>
        <v/>
      </c>
      <c r="I359" s="1">
        <f>'Paste cell here'!X359</f>
        <v/>
      </c>
      <c r="J359" s="1">
        <f>'Paste cell here'!Y359+'Paste cell here'!S359</f>
        <v/>
      </c>
      <c r="K359" s="1">
        <f>I359/H359</f>
        <v/>
      </c>
      <c r="L359" s="1">
        <f>AVERAGE(($F359+$G359)/2-($F359-$G359)/2*COS(PI()*(8-VLOOKUP(MONTH(B359),$O$1:$Q$13,3))/(VLOOKUP(MONTH(B359),$O$1:$Q$13,2)-VLOOKUP(MONTH(B359),$O$1:$Q$13,3))),($F359+$G359)/2-($F359-$G359)/2*COS(PI()*(9-VLOOKUP(MONTH(B359),$O$1:$Q$13,3))/(VLOOKUP(MONTH(B359),$O$1:$Q$13,2)-VLOOKUP(MONTH(B359),$O$1:$Q$13,3))),($F359+$G359)/2-($F359-$G359)/2*COS(PI()*(10-VLOOKUP(MONTH(B359),$O$1:$Q$13,3))/(VLOOKUP(MONTH(B359),$O$1:$Q$13,2)-VLOOKUP(MONTH(B359),$O$1:$Q$13,3))),($F359+$G359)/2-($F359-$G359)/2*COS(PI()*(11-VLOOKUP(MONTH(B359),$O$1:$Q$13,3))/(VLOOKUP(MONTH(B359),$O$1:$Q$13,2)-VLOOKUP(MONTH(B359),$O$1:$Q$13,3))),($F359+$G359)/2-($F359-$G359)/2*COS(PI()*(12-VLOOKUP(MONTH(B359),$O$1:$Q$13,3))/(VLOOKUP(MONTH(B359),$O$1:$Q$13,2)-VLOOKUP(MONTH(B359),$O$1:$Q$13,3))),($F359+$G359)/2-($F359-$G359)/2*COS(PI()*(13-VLOOKUP(MONTH(B359),$O$1:$Q$13,3))/(VLOOKUP(MONTH(B359),$O$1:$Q$13,2)-VLOOKUP(MONTH(B359),$O$1:$Q$13,3))),($F359+$G359)/2-($F359-$G359)/2*COS(PI()*(14-VLOOKUP(MONTH(B359),$O$1:$Q$13,3))/(VLOOKUP(MONTH(B359),$O$1:$Q$13,2)-VLOOKUP(MONTH(B359),$O$1:$Q$13,3))))</f>
        <v/>
      </c>
      <c r="M359" s="1">
        <f t="array" ref="M359">IF(AND(A359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,A359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),IF(L359&lt;_xlfn.IFNA(INDEX(_xlfn.ANCHORARRAY(Sintesi!$C$17)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,1,IF(L359&gt;=_xlfn.IFNA(INDEX(_xlfn.ANCHORARRAY(Sintesi!$C$18)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,0,1-(L359-_xlfn.IFNA(INDEX(_xlfn.ANCHORARRAY(Sintesi!$C$17)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)/(_xlfn.IFNA(INDEX(_xlfn.ANCHORARRAY(Sintesi!$C$18)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-_xlfn.IFNA(INDEX(_xlfn.ANCHORARRAY(Sintesi!$C$17)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))),0)</f>
        <v/>
      </c>
    </row>
    <row r="360">
      <c r="A360" s="1">
        <f>'Paste cell here'!A360</f>
        <v/>
      </c>
      <c r="B360" s="2">
        <f>DATE(Sintesi!$C$4-1,12,31)+A360</f>
        <v/>
      </c>
      <c r="C360" s="34">
        <f t="array" ref="C360">_xlfn.IFNA(MATCH(1,(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)*(_xlfn.ANCHORARRAY(Sintesi!$C$15)&gt;=0)+(_xlfn.ANCHORARRAY(Sintesi!$C$15)&lt;0),0),0)</f>
        <v/>
      </c>
      <c r="D360" s="1">
        <f t="array" ref="D360">IF(ISBLANK($E361),IF(ISNUMBER($E359),IF($C360&gt;0,IF(($E360=INDEX(_xlfn.ANCHORARRAY(Sintesi!$C$14),1,$C360))*(INDEX(_xlfn.ANCHORARRAY(Sintesi!$C$15),1,$C360)&gt;0),0,IF(($E360=INDEX(_xlfn.ANCHORARRAY(Sintesi!$C$14),1,$C360))*(INDEX(_xlfn.ANCHORARRAY(Sintesi!$C$15),1,$C360)&lt;0)+($E360&gt;=$E359)*($E360&lt;=INDEX($E:$E,MATCH(TRUE,INDEX((ISNUMBER($E:$E)),0),0)))*($E360&gt;INDEX(_xlfn.ANCHORARRAY(Sintesi!$C$14),1,$C360))*($E360&lt;=INDEX(_xlfn.ANCHORARRAY(Sintesi!$C$15),1,$C360))*(INDEX(_xlfn.ANCHORARRAY(Sintesi!$C$15),1,$C360)&gt;0),1,IF(($E360&gt;=$E359)*($E360&lt;=INDEX($E:$E,MATCH(TRUE,INDEX((ISNUMBER($E:$E)),0),0)))*($E360&gt;INDEX(_xlfn.ANCHORARRAY(Sintesi!$C$14),1,$C360))*($E360&lt;INDEX(_xlfn.ANCHORARRAY(Sintesi!$C$16),1,$C360))*(INDEX(_xlfn.ANCHORARRAY(Sintesi!$C$15),1,$C360)&lt;0)+($E360&gt;=$E359)*($E360&lt;=INDEX($E:$E,MATCH(TRUE,INDEX((ISNUMBER($E:$E)),0),0)))*($E360&gt;INDEX(_xlfn.ANCHORARRAY(Sintesi!$C$15),1,$C360))*($E360&lt;INDEX(_xlfn.ANCHORARRAY(Sintesi!$C$16),1,$C360))*(INDEX(_xlfn.ANCHORARRAY(Sintesi!$C$15),1,$C360)&gt;0),2,IF($E360=(INDEX(_xlfn.ANCHORARRAY(Sintesi!$C$16),1,$C360)),3,4)))),0),IF($C360&gt;0,IF(($E360=INDEX(_xlfn.ANCHORARRAY(Sintesi!$C$14),1,$C360))*(INDEX(_xlfn.ANCHORARRAY(Sintesi!$C$15),1,$C360)&gt;0),0,IF(($E360=INDEX(_xlfn.ANCHORARRAY(Sintesi!$C$14),1,$C360))*(INDEX(_xlfn.ANCHORARRAY(Sintesi!$C$15),1,$C360)&lt;0)+($E360&gt;=LOOKUP(2,1/($E:$E&lt;&gt;""),$E:$E))*($E360&lt;=INDEX($E:$E,MATCH(TRUE,INDEX((ISNUMBER($E:$E)),0),0)))*($E360&gt;INDEX(_xlfn.ANCHORARRAY(Sintesi!$C$14),1,$C360))*($E360&lt;=INDEX(_xlfn.ANCHORARRAY(Sintesi!$C$15),1,$C360))*(INDEX(_xlfn.ANCHORARRAY(Sintesi!$C$15),1,$C360)&gt;0),1,IF(($E360&gt;=LOOKUP(2,1/($E:$E&lt;&gt;""),$E:$E))*($E360&lt;=INDEX($E:$E,MATCH(TRUE,INDEX((ISNUMBER($E:$E)),0),0)))*($E360&gt;INDEX(_xlfn.ANCHORARRAY(Sintesi!$C$14),1,$C360))*($E360&lt;INDEX(_xlfn.ANCHORARRAY(Sintesi!$C$16),1,$C360))*(INDEX(_xlfn.ANCHORARRAY(Sintesi!$C$15),1,$C360)&lt;0)+($E360&gt;=LOOKUP(2,1/($E:$E&lt;&gt;""),$E:$E))*($E360&lt;=INDEX($E:$E,MATCH(TRUE,INDEX((ISNUMBER($E:$E)),0),0)))*($E360&gt;INDEX(_xlfn.ANCHORARRAY(Sintesi!$C$15),1,$C360))*($E360&lt;INDEX(_xlfn.ANCHORARRAY(Sintesi!$C$16),1,$C360))*(INDEX(_xlfn.ANCHORARRAY(Sintesi!$C$15),1,$C360)&gt;0),2,IF($E360=(INDEX(_xlfn.ANCHORARRAY(Sintesi!$C$16),1,$C360)),3,4)))),0)),IF(ISNUMBER($E359),IF($C360&gt;0,IF(($E360=INDEX(_xlfn.ANCHORARRAY(Sintesi!$C$14),1,$C360))*(INDEX(_xlfn.ANCHORARRAY(Sintesi!$C$15),1,$C360)&gt;0),0,IF(($E360=INDEX(_xlfn.ANCHORARRAY(Sintesi!$C$14),1,$C360))*(INDEX(_xlfn.ANCHORARRAY(Sintesi!$C$15),1,$C360)&lt;0)+($E360&gt;=$E359)*($E360&lt;=$E361)*($E360&gt;INDEX(_xlfn.ANCHORARRAY(Sintesi!$C$14),1,$C360))*($E360&lt;=INDEX(_xlfn.ANCHORARRAY(Sintesi!$C$15),1,$C360))*(INDEX(_xlfn.ANCHORARRAY(Sintesi!$C$15),1,$C360)&gt;0),1,IF(($E360&gt;=$E359)*($E360&lt;=$E361)*($E360&gt;INDEX(_xlfn.ANCHORARRAY(Sintesi!$C$14),1,$C360))*($E360&lt;INDEX(_xlfn.ANCHORARRAY(Sintesi!$C$16),1,$C360))*(INDEX(_xlfn.ANCHORARRAY(Sintesi!$C$15),1,$C360)&lt;0)+($E360&gt;=$E359)*($E360&lt;=$E361)*($E360&gt;INDEX(_xlfn.ANCHORARRAY(Sintesi!$C$15),1,$C360))*($E360&lt;INDEX(_xlfn.ANCHORARRAY(Sintesi!$C$16),1,$C360))*(INDEX(_xlfn.ANCHORARRAY(Sintesi!$C$15),1,$C360)&gt;0),2,IF($E360=(INDEX(_xlfn.ANCHORARRAY(Sintesi!$C$16),1,$C360)),3,4)))),0),IF($C360&gt;0,IF(($E360=INDEX(_xlfn.ANCHORARRAY(Sintesi!$C$14),1,$C360))*(INDEX(_xlfn.ANCHORARRAY(Sintesi!$C$15),1,$C360)&gt;0),0,IF(($E360=INDEX(_xlfn.ANCHORARRAY(Sintesi!$C$14),1,$C360))*(INDEX(_xlfn.ANCHORARRAY(Sintesi!$C$15),1,$C360)&lt;0)+($E360&gt;=LOOKUP(2,1/($E:$E&lt;&gt;""),$E:$E))*($E360&lt;=$E361)*($E360&gt;INDEX(_xlfn.ANCHORARRAY(Sintesi!$C$14),1,$C360))*($E360&lt;=INDEX(_xlfn.ANCHORARRAY(Sintesi!$C$15),1,$C360))*(INDEX(_xlfn.ANCHORARRAY(Sintesi!$C$15),1,$C360)&gt;0),1,IF(($E360&gt;=LOOKUP(2,1/($E:$E&lt;&gt;""),$E:$E))*($E360&lt;=$E361)*($E360&gt;INDEX(_xlfn.ANCHORARRAY(Sintesi!$C$14),1,$C360))*($E360&lt;INDEX(_xlfn.ANCHORARRAY(Sintesi!$C$16),1,$C360))*(INDEX(_xlfn.ANCHORARRAY(Sintesi!$C$15),1,$C360)&lt;0)+($E360&gt;=LOOKUP(2,1/($E:$E&lt;&gt;""),$E:$E))*($E360&lt;=$E361)*($E360&gt;INDEX(_xlfn.ANCHORARRAY(Sintesi!$C$15),1,$C360))*($E360&lt;INDEX(_xlfn.ANCHORARRAY(Sintesi!$C$16),1,$C360))*(INDEX(_xlfn.ANCHORARRAY(Sintesi!$C$15),1,$C360)&gt;0),2,IF($E360=(INDEX(_xlfn.ANCHORARRAY(Sintesi!$C$16),1,$C360)),3,4)))),0)))</f>
        <v/>
      </c>
      <c r="E360" s="1">
        <f>'Paste cell here'!F360</f>
        <v/>
      </c>
      <c r="F360" s="1">
        <f>'Paste cell here'!C360</f>
        <v/>
      </c>
      <c r="G360" s="1">
        <f>'Paste cell here'!D360</f>
        <v/>
      </c>
      <c r="H360" s="1">
        <f>'Paste cell here'!E360</f>
        <v/>
      </c>
      <c r="I360" s="1">
        <f>'Paste cell here'!X360</f>
        <v/>
      </c>
      <c r="J360" s="1">
        <f>'Paste cell here'!Y360+'Paste cell here'!S360</f>
        <v/>
      </c>
      <c r="K360" s="1">
        <f>I360/H360</f>
        <v/>
      </c>
      <c r="L360" s="1">
        <f>AVERAGE(($F360+$G360)/2-($F360-$G360)/2*COS(PI()*(8-VLOOKUP(MONTH(B360),$O$1:$Q$13,3))/(VLOOKUP(MONTH(B360),$O$1:$Q$13,2)-VLOOKUP(MONTH(B360),$O$1:$Q$13,3))),($F360+$G360)/2-($F360-$G360)/2*COS(PI()*(9-VLOOKUP(MONTH(B360),$O$1:$Q$13,3))/(VLOOKUP(MONTH(B360),$O$1:$Q$13,2)-VLOOKUP(MONTH(B360),$O$1:$Q$13,3))),($F360+$G360)/2-($F360-$G360)/2*COS(PI()*(10-VLOOKUP(MONTH(B360),$O$1:$Q$13,3))/(VLOOKUP(MONTH(B360),$O$1:$Q$13,2)-VLOOKUP(MONTH(B360),$O$1:$Q$13,3))),($F360+$G360)/2-($F360-$G360)/2*COS(PI()*(11-VLOOKUP(MONTH(B360),$O$1:$Q$13,3))/(VLOOKUP(MONTH(B360),$O$1:$Q$13,2)-VLOOKUP(MONTH(B360),$O$1:$Q$13,3))),($F360+$G360)/2-($F360-$G360)/2*COS(PI()*(12-VLOOKUP(MONTH(B360),$O$1:$Q$13,3))/(VLOOKUP(MONTH(B360),$O$1:$Q$13,2)-VLOOKUP(MONTH(B360),$O$1:$Q$13,3))),($F360+$G360)/2-($F360-$G360)/2*COS(PI()*(13-VLOOKUP(MONTH(B360),$O$1:$Q$13,3))/(VLOOKUP(MONTH(B360),$O$1:$Q$13,2)-VLOOKUP(MONTH(B360),$O$1:$Q$13,3))),($F360+$G360)/2-($F360-$G360)/2*COS(PI()*(14-VLOOKUP(MONTH(B360),$O$1:$Q$13,3))/(VLOOKUP(MONTH(B360),$O$1:$Q$13,2)-VLOOKUP(MONTH(B360),$O$1:$Q$13,3))))</f>
        <v/>
      </c>
      <c r="M360" s="1">
        <f t="array" ref="M360">IF(AND(A360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,A360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),IF(L360&lt;_xlfn.IFNA(INDEX(_xlfn.ANCHORARRAY(Sintesi!$C$17)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,1,IF(L360&gt;=_xlfn.IFNA(INDEX(_xlfn.ANCHORARRAY(Sintesi!$C$18)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,0,1-(L360-_xlfn.IFNA(INDEX(_xlfn.ANCHORARRAY(Sintesi!$C$17)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)/(_xlfn.IFNA(INDEX(_xlfn.ANCHORARRAY(Sintesi!$C$18)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-_xlfn.IFNA(INDEX(_xlfn.ANCHORARRAY(Sintesi!$C$17)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))),0)</f>
        <v/>
      </c>
    </row>
    <row r="361">
      <c r="A361" s="1">
        <f>'Paste cell here'!A361</f>
        <v/>
      </c>
      <c r="B361" s="2">
        <f>DATE(Sintesi!$C$4-1,12,31)+A361</f>
        <v/>
      </c>
      <c r="C361" s="34">
        <f t="array" ref="C361">_xlfn.IFNA(MATCH(1,(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)*(_xlfn.ANCHORARRAY(Sintesi!$C$15)&gt;=0)+(_xlfn.ANCHORARRAY(Sintesi!$C$15)&lt;0),0),0)</f>
        <v/>
      </c>
      <c r="D361" s="1">
        <f t="array" ref="D361">IF(ISBLANK($E362),IF(ISNUMBER($E360),IF($C361&gt;0,IF(($E361=INDEX(_xlfn.ANCHORARRAY(Sintesi!$C$14),1,$C361))*(INDEX(_xlfn.ANCHORARRAY(Sintesi!$C$15),1,$C361)&gt;0),0,IF(($E361=INDEX(_xlfn.ANCHORARRAY(Sintesi!$C$14),1,$C361))*(INDEX(_xlfn.ANCHORARRAY(Sintesi!$C$15),1,$C361)&lt;0)+($E361&gt;=$E360)*($E361&lt;=INDEX($E:$E,MATCH(TRUE,INDEX((ISNUMBER($E:$E)),0),0)))*($E361&gt;INDEX(_xlfn.ANCHORARRAY(Sintesi!$C$14),1,$C361))*($E361&lt;=INDEX(_xlfn.ANCHORARRAY(Sintesi!$C$15),1,$C361))*(INDEX(_xlfn.ANCHORARRAY(Sintesi!$C$15),1,$C361)&gt;0),1,IF(($E361&gt;=$E360)*($E361&lt;=INDEX($E:$E,MATCH(TRUE,INDEX((ISNUMBER($E:$E)),0),0)))*($E361&gt;INDEX(_xlfn.ANCHORARRAY(Sintesi!$C$14),1,$C361))*($E361&lt;INDEX(_xlfn.ANCHORARRAY(Sintesi!$C$16),1,$C361))*(INDEX(_xlfn.ANCHORARRAY(Sintesi!$C$15),1,$C361)&lt;0)+($E361&gt;=$E360)*($E361&lt;=INDEX($E:$E,MATCH(TRUE,INDEX((ISNUMBER($E:$E)),0),0)))*($E361&gt;INDEX(_xlfn.ANCHORARRAY(Sintesi!$C$15),1,$C361))*($E361&lt;INDEX(_xlfn.ANCHORARRAY(Sintesi!$C$16),1,$C361))*(INDEX(_xlfn.ANCHORARRAY(Sintesi!$C$15),1,$C361)&gt;0),2,IF($E361=(INDEX(_xlfn.ANCHORARRAY(Sintesi!$C$16),1,$C361)),3,4)))),0),IF($C361&gt;0,IF(($E361=INDEX(_xlfn.ANCHORARRAY(Sintesi!$C$14),1,$C361))*(INDEX(_xlfn.ANCHORARRAY(Sintesi!$C$15),1,$C361)&gt;0),0,IF(($E361=INDEX(_xlfn.ANCHORARRAY(Sintesi!$C$14),1,$C361))*(INDEX(_xlfn.ANCHORARRAY(Sintesi!$C$15),1,$C361)&lt;0)+($E361&gt;=LOOKUP(2,1/($E:$E&lt;&gt;""),$E:$E))*($E361&lt;=INDEX($E:$E,MATCH(TRUE,INDEX((ISNUMBER($E:$E)),0),0)))*($E361&gt;INDEX(_xlfn.ANCHORARRAY(Sintesi!$C$14),1,$C361))*($E361&lt;=INDEX(_xlfn.ANCHORARRAY(Sintesi!$C$15),1,$C361))*(INDEX(_xlfn.ANCHORARRAY(Sintesi!$C$15),1,$C361)&gt;0),1,IF(($E361&gt;=LOOKUP(2,1/($E:$E&lt;&gt;""),$E:$E))*($E361&lt;=INDEX($E:$E,MATCH(TRUE,INDEX((ISNUMBER($E:$E)),0),0)))*($E361&gt;INDEX(_xlfn.ANCHORARRAY(Sintesi!$C$14),1,$C361))*($E361&lt;INDEX(_xlfn.ANCHORARRAY(Sintesi!$C$16),1,$C361))*(INDEX(_xlfn.ANCHORARRAY(Sintesi!$C$15),1,$C361)&lt;0)+($E361&gt;=LOOKUP(2,1/($E:$E&lt;&gt;""),$E:$E))*($E361&lt;=INDEX($E:$E,MATCH(TRUE,INDEX((ISNUMBER($E:$E)),0),0)))*($E361&gt;INDEX(_xlfn.ANCHORARRAY(Sintesi!$C$15),1,$C361))*($E361&lt;INDEX(_xlfn.ANCHORARRAY(Sintesi!$C$16),1,$C361))*(INDEX(_xlfn.ANCHORARRAY(Sintesi!$C$15),1,$C361)&gt;0),2,IF($E361=(INDEX(_xlfn.ANCHORARRAY(Sintesi!$C$16),1,$C361)),3,4)))),0)),IF(ISNUMBER($E360),IF($C361&gt;0,IF(($E361=INDEX(_xlfn.ANCHORARRAY(Sintesi!$C$14),1,$C361))*(INDEX(_xlfn.ANCHORARRAY(Sintesi!$C$15),1,$C361)&gt;0),0,IF(($E361=INDEX(_xlfn.ANCHORARRAY(Sintesi!$C$14),1,$C361))*(INDEX(_xlfn.ANCHORARRAY(Sintesi!$C$15),1,$C361)&lt;0)+($E361&gt;=$E360)*($E361&lt;=$E362)*($E361&gt;INDEX(_xlfn.ANCHORARRAY(Sintesi!$C$14),1,$C361))*($E361&lt;=INDEX(_xlfn.ANCHORARRAY(Sintesi!$C$15),1,$C361))*(INDEX(_xlfn.ANCHORARRAY(Sintesi!$C$15),1,$C361)&gt;0),1,IF(($E361&gt;=$E360)*($E361&lt;=$E362)*($E361&gt;INDEX(_xlfn.ANCHORARRAY(Sintesi!$C$14),1,$C361))*($E361&lt;INDEX(_xlfn.ANCHORARRAY(Sintesi!$C$16),1,$C361))*(INDEX(_xlfn.ANCHORARRAY(Sintesi!$C$15),1,$C361)&lt;0)+($E361&gt;=$E360)*($E361&lt;=$E362)*($E361&gt;INDEX(_xlfn.ANCHORARRAY(Sintesi!$C$15),1,$C361))*($E361&lt;INDEX(_xlfn.ANCHORARRAY(Sintesi!$C$16),1,$C361))*(INDEX(_xlfn.ANCHORARRAY(Sintesi!$C$15),1,$C361)&gt;0),2,IF($E361=(INDEX(_xlfn.ANCHORARRAY(Sintesi!$C$16),1,$C361)),3,4)))),0),IF($C361&gt;0,IF(($E361=INDEX(_xlfn.ANCHORARRAY(Sintesi!$C$14),1,$C361))*(INDEX(_xlfn.ANCHORARRAY(Sintesi!$C$15),1,$C361)&gt;0),0,IF(($E361=INDEX(_xlfn.ANCHORARRAY(Sintesi!$C$14),1,$C361))*(INDEX(_xlfn.ANCHORARRAY(Sintesi!$C$15),1,$C361)&lt;0)+($E361&gt;=LOOKUP(2,1/($E:$E&lt;&gt;""),$E:$E))*($E361&lt;=$E362)*($E361&gt;INDEX(_xlfn.ANCHORARRAY(Sintesi!$C$14),1,$C361))*($E361&lt;=INDEX(_xlfn.ANCHORARRAY(Sintesi!$C$15),1,$C361))*(INDEX(_xlfn.ANCHORARRAY(Sintesi!$C$15),1,$C361)&gt;0),1,IF(($E361&gt;=LOOKUP(2,1/($E:$E&lt;&gt;""),$E:$E))*($E361&lt;=$E362)*($E361&gt;INDEX(_xlfn.ANCHORARRAY(Sintesi!$C$14),1,$C361))*($E361&lt;INDEX(_xlfn.ANCHORARRAY(Sintesi!$C$16),1,$C361))*(INDEX(_xlfn.ANCHORARRAY(Sintesi!$C$15),1,$C361)&lt;0)+($E361&gt;=LOOKUP(2,1/($E:$E&lt;&gt;""),$E:$E))*($E361&lt;=$E362)*($E361&gt;INDEX(_xlfn.ANCHORARRAY(Sintesi!$C$15),1,$C361))*($E361&lt;INDEX(_xlfn.ANCHORARRAY(Sintesi!$C$16),1,$C361))*(INDEX(_xlfn.ANCHORARRAY(Sintesi!$C$15),1,$C361)&gt;0),2,IF($E361=(INDEX(_xlfn.ANCHORARRAY(Sintesi!$C$16),1,$C361)),3,4)))),0)))</f>
        <v/>
      </c>
      <c r="E361" s="1">
        <f>'Paste cell here'!F361</f>
        <v/>
      </c>
      <c r="F361" s="1">
        <f>'Paste cell here'!C361</f>
        <v/>
      </c>
      <c r="G361" s="1">
        <f>'Paste cell here'!D361</f>
        <v/>
      </c>
      <c r="H361" s="1">
        <f>'Paste cell here'!E361</f>
        <v/>
      </c>
      <c r="I361" s="1">
        <f>'Paste cell here'!X361</f>
        <v/>
      </c>
      <c r="J361" s="1">
        <f>'Paste cell here'!Y361+'Paste cell here'!S361</f>
        <v/>
      </c>
      <c r="K361" s="1">
        <f>I361/H361</f>
        <v/>
      </c>
      <c r="L361" s="1">
        <f>AVERAGE(($F361+$G361)/2-($F361-$G361)/2*COS(PI()*(8-VLOOKUP(MONTH(B361),$O$1:$Q$13,3))/(VLOOKUP(MONTH(B361),$O$1:$Q$13,2)-VLOOKUP(MONTH(B361),$O$1:$Q$13,3))),($F361+$G361)/2-($F361-$G361)/2*COS(PI()*(9-VLOOKUP(MONTH(B361),$O$1:$Q$13,3))/(VLOOKUP(MONTH(B361),$O$1:$Q$13,2)-VLOOKUP(MONTH(B361),$O$1:$Q$13,3))),($F361+$G361)/2-($F361-$G361)/2*COS(PI()*(10-VLOOKUP(MONTH(B361),$O$1:$Q$13,3))/(VLOOKUP(MONTH(B361),$O$1:$Q$13,2)-VLOOKUP(MONTH(B361),$O$1:$Q$13,3))),($F361+$G361)/2-($F361-$G361)/2*COS(PI()*(11-VLOOKUP(MONTH(B361),$O$1:$Q$13,3))/(VLOOKUP(MONTH(B361),$O$1:$Q$13,2)-VLOOKUP(MONTH(B361),$O$1:$Q$13,3))),($F361+$G361)/2-($F361-$G361)/2*COS(PI()*(12-VLOOKUP(MONTH(B361),$O$1:$Q$13,3))/(VLOOKUP(MONTH(B361),$O$1:$Q$13,2)-VLOOKUP(MONTH(B361),$O$1:$Q$13,3))),($F361+$G361)/2-($F361-$G361)/2*COS(PI()*(13-VLOOKUP(MONTH(B361),$O$1:$Q$13,3))/(VLOOKUP(MONTH(B361),$O$1:$Q$13,2)-VLOOKUP(MONTH(B361),$O$1:$Q$13,3))),($F361+$G361)/2-($F361-$G361)/2*COS(PI()*(14-VLOOKUP(MONTH(B361),$O$1:$Q$13,3))/(VLOOKUP(MONTH(B361),$O$1:$Q$13,2)-VLOOKUP(MONTH(B361),$O$1:$Q$13,3))))</f>
        <v/>
      </c>
      <c r="M361" s="1">
        <f t="array" ref="M361">IF(AND(A361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,A361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),IF(L361&lt;_xlfn.IFNA(INDEX(_xlfn.ANCHORARRAY(Sintesi!$C$17)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,1,IF(L361&gt;=_xlfn.IFNA(INDEX(_xlfn.ANCHORARRAY(Sintesi!$C$18)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,0,1-(L361-_xlfn.IFNA(INDEX(_xlfn.ANCHORARRAY(Sintesi!$C$17)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)/(_xlfn.IFNA(INDEX(_xlfn.ANCHORARRAY(Sintesi!$C$18)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-_xlfn.IFNA(INDEX(_xlfn.ANCHORARRAY(Sintesi!$C$17)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))),0)</f>
        <v/>
      </c>
    </row>
    <row r="362">
      <c r="A362" s="1">
        <f>'Paste cell here'!A362</f>
        <v/>
      </c>
      <c r="B362" s="2">
        <f>DATE(Sintesi!$C$4-1,12,31)+A362</f>
        <v/>
      </c>
      <c r="C362" s="34">
        <f t="array" ref="C362">_xlfn.IFNA(MATCH(1,(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)*(_xlfn.ANCHORARRAY(Sintesi!$C$15)&gt;=0)+(_xlfn.ANCHORARRAY(Sintesi!$C$15)&lt;0),0),0)</f>
        <v/>
      </c>
      <c r="D362" s="1">
        <f t="array" ref="D362">IF(ISBLANK($E363),IF(ISNUMBER($E361),IF($C362&gt;0,IF(($E362=INDEX(_xlfn.ANCHORARRAY(Sintesi!$C$14),1,$C362))*(INDEX(_xlfn.ANCHORARRAY(Sintesi!$C$15),1,$C362)&gt;0),0,IF(($E362=INDEX(_xlfn.ANCHORARRAY(Sintesi!$C$14),1,$C362))*(INDEX(_xlfn.ANCHORARRAY(Sintesi!$C$15),1,$C362)&lt;0)+($E362&gt;=$E361)*($E362&lt;=INDEX($E:$E,MATCH(TRUE,INDEX((ISNUMBER($E:$E)),0),0)))*($E362&gt;INDEX(_xlfn.ANCHORARRAY(Sintesi!$C$14),1,$C362))*($E362&lt;=INDEX(_xlfn.ANCHORARRAY(Sintesi!$C$15),1,$C362))*(INDEX(_xlfn.ANCHORARRAY(Sintesi!$C$15),1,$C362)&gt;0),1,IF(($E362&gt;=$E361)*($E362&lt;=INDEX($E:$E,MATCH(TRUE,INDEX((ISNUMBER($E:$E)),0),0)))*($E362&gt;INDEX(_xlfn.ANCHORARRAY(Sintesi!$C$14),1,$C362))*($E362&lt;INDEX(_xlfn.ANCHORARRAY(Sintesi!$C$16),1,$C362))*(INDEX(_xlfn.ANCHORARRAY(Sintesi!$C$15),1,$C362)&lt;0)+($E362&gt;=$E361)*($E362&lt;=INDEX($E:$E,MATCH(TRUE,INDEX((ISNUMBER($E:$E)),0),0)))*($E362&gt;INDEX(_xlfn.ANCHORARRAY(Sintesi!$C$15),1,$C362))*($E362&lt;INDEX(_xlfn.ANCHORARRAY(Sintesi!$C$16),1,$C362))*(INDEX(_xlfn.ANCHORARRAY(Sintesi!$C$15),1,$C362)&gt;0),2,IF($E362=(INDEX(_xlfn.ANCHORARRAY(Sintesi!$C$16),1,$C362)),3,4)))),0),IF($C362&gt;0,IF(($E362=INDEX(_xlfn.ANCHORARRAY(Sintesi!$C$14),1,$C362))*(INDEX(_xlfn.ANCHORARRAY(Sintesi!$C$15),1,$C362)&gt;0),0,IF(($E362=INDEX(_xlfn.ANCHORARRAY(Sintesi!$C$14),1,$C362))*(INDEX(_xlfn.ANCHORARRAY(Sintesi!$C$15),1,$C362)&lt;0)+($E362&gt;=LOOKUP(2,1/($E:$E&lt;&gt;""),$E:$E))*($E362&lt;=INDEX($E:$E,MATCH(TRUE,INDEX((ISNUMBER($E:$E)),0),0)))*($E362&gt;INDEX(_xlfn.ANCHORARRAY(Sintesi!$C$14),1,$C362))*($E362&lt;=INDEX(_xlfn.ANCHORARRAY(Sintesi!$C$15),1,$C362))*(INDEX(_xlfn.ANCHORARRAY(Sintesi!$C$15),1,$C362)&gt;0),1,IF(($E362&gt;=LOOKUP(2,1/($E:$E&lt;&gt;""),$E:$E))*($E362&lt;=INDEX($E:$E,MATCH(TRUE,INDEX((ISNUMBER($E:$E)),0),0)))*($E362&gt;INDEX(_xlfn.ANCHORARRAY(Sintesi!$C$14),1,$C362))*($E362&lt;INDEX(_xlfn.ANCHORARRAY(Sintesi!$C$16),1,$C362))*(INDEX(_xlfn.ANCHORARRAY(Sintesi!$C$15),1,$C362)&lt;0)+($E362&gt;=LOOKUP(2,1/($E:$E&lt;&gt;""),$E:$E))*($E362&lt;=INDEX($E:$E,MATCH(TRUE,INDEX((ISNUMBER($E:$E)),0),0)))*($E362&gt;INDEX(_xlfn.ANCHORARRAY(Sintesi!$C$15),1,$C362))*($E362&lt;INDEX(_xlfn.ANCHORARRAY(Sintesi!$C$16),1,$C362))*(INDEX(_xlfn.ANCHORARRAY(Sintesi!$C$15),1,$C362)&gt;0),2,IF($E362=(INDEX(_xlfn.ANCHORARRAY(Sintesi!$C$16),1,$C362)),3,4)))),0)),IF(ISNUMBER($E361),IF($C362&gt;0,IF(($E362=INDEX(_xlfn.ANCHORARRAY(Sintesi!$C$14),1,$C362))*(INDEX(_xlfn.ANCHORARRAY(Sintesi!$C$15),1,$C362)&gt;0),0,IF(($E362=INDEX(_xlfn.ANCHORARRAY(Sintesi!$C$14),1,$C362))*(INDEX(_xlfn.ANCHORARRAY(Sintesi!$C$15),1,$C362)&lt;0)+($E362&gt;=$E361)*($E362&lt;=$E363)*($E362&gt;INDEX(_xlfn.ANCHORARRAY(Sintesi!$C$14),1,$C362))*($E362&lt;=INDEX(_xlfn.ANCHORARRAY(Sintesi!$C$15),1,$C362))*(INDEX(_xlfn.ANCHORARRAY(Sintesi!$C$15),1,$C362)&gt;0),1,IF(($E362&gt;=$E361)*($E362&lt;=$E363)*($E362&gt;INDEX(_xlfn.ANCHORARRAY(Sintesi!$C$14),1,$C362))*($E362&lt;INDEX(_xlfn.ANCHORARRAY(Sintesi!$C$16),1,$C362))*(INDEX(_xlfn.ANCHORARRAY(Sintesi!$C$15),1,$C362)&lt;0)+($E362&gt;=$E361)*($E362&lt;=$E363)*($E362&gt;INDEX(_xlfn.ANCHORARRAY(Sintesi!$C$15),1,$C362))*($E362&lt;INDEX(_xlfn.ANCHORARRAY(Sintesi!$C$16),1,$C362))*(INDEX(_xlfn.ANCHORARRAY(Sintesi!$C$15),1,$C362)&gt;0),2,IF($E362=(INDEX(_xlfn.ANCHORARRAY(Sintesi!$C$16),1,$C362)),3,4)))),0),IF($C362&gt;0,IF(($E362=INDEX(_xlfn.ANCHORARRAY(Sintesi!$C$14),1,$C362))*(INDEX(_xlfn.ANCHORARRAY(Sintesi!$C$15),1,$C362)&gt;0),0,IF(($E362=INDEX(_xlfn.ANCHORARRAY(Sintesi!$C$14),1,$C362))*(INDEX(_xlfn.ANCHORARRAY(Sintesi!$C$15),1,$C362)&lt;0)+($E362&gt;=LOOKUP(2,1/($E:$E&lt;&gt;""),$E:$E))*($E362&lt;=$E363)*($E362&gt;INDEX(_xlfn.ANCHORARRAY(Sintesi!$C$14),1,$C362))*($E362&lt;=INDEX(_xlfn.ANCHORARRAY(Sintesi!$C$15),1,$C362))*(INDEX(_xlfn.ANCHORARRAY(Sintesi!$C$15),1,$C362)&gt;0),1,IF(($E362&gt;=LOOKUP(2,1/($E:$E&lt;&gt;""),$E:$E))*($E362&lt;=$E363)*($E362&gt;INDEX(_xlfn.ANCHORARRAY(Sintesi!$C$14),1,$C362))*($E362&lt;INDEX(_xlfn.ANCHORARRAY(Sintesi!$C$16),1,$C362))*(INDEX(_xlfn.ANCHORARRAY(Sintesi!$C$15),1,$C362)&lt;0)+($E362&gt;=LOOKUP(2,1/($E:$E&lt;&gt;""),$E:$E))*($E362&lt;=$E363)*($E362&gt;INDEX(_xlfn.ANCHORARRAY(Sintesi!$C$15),1,$C362))*($E362&lt;INDEX(_xlfn.ANCHORARRAY(Sintesi!$C$16),1,$C362))*(INDEX(_xlfn.ANCHORARRAY(Sintesi!$C$15),1,$C362)&gt;0),2,IF($E362=(INDEX(_xlfn.ANCHORARRAY(Sintesi!$C$16),1,$C362)),3,4)))),0)))</f>
        <v/>
      </c>
      <c r="E362" s="1">
        <f>'Paste cell here'!F362</f>
        <v/>
      </c>
      <c r="F362" s="1">
        <f>'Paste cell here'!C362</f>
        <v/>
      </c>
      <c r="G362" s="1">
        <f>'Paste cell here'!D362</f>
        <v/>
      </c>
      <c r="H362" s="1">
        <f>'Paste cell here'!E362</f>
        <v/>
      </c>
      <c r="I362" s="1">
        <f>'Paste cell here'!X362</f>
        <v/>
      </c>
      <c r="J362" s="1">
        <f>'Paste cell here'!Y362+'Paste cell here'!S362</f>
        <v/>
      </c>
      <c r="K362" s="1">
        <f>I362/H362</f>
        <v/>
      </c>
      <c r="L362" s="1">
        <f>AVERAGE(($F362+$G362)/2-($F362-$G362)/2*COS(PI()*(8-VLOOKUP(MONTH(B362),$O$1:$Q$13,3))/(VLOOKUP(MONTH(B362),$O$1:$Q$13,2)-VLOOKUP(MONTH(B362),$O$1:$Q$13,3))),($F362+$G362)/2-($F362-$G362)/2*COS(PI()*(9-VLOOKUP(MONTH(B362),$O$1:$Q$13,3))/(VLOOKUP(MONTH(B362),$O$1:$Q$13,2)-VLOOKUP(MONTH(B362),$O$1:$Q$13,3))),($F362+$G362)/2-($F362-$G362)/2*COS(PI()*(10-VLOOKUP(MONTH(B362),$O$1:$Q$13,3))/(VLOOKUP(MONTH(B362),$O$1:$Q$13,2)-VLOOKUP(MONTH(B362),$O$1:$Q$13,3))),($F362+$G362)/2-($F362-$G362)/2*COS(PI()*(11-VLOOKUP(MONTH(B362),$O$1:$Q$13,3))/(VLOOKUP(MONTH(B362),$O$1:$Q$13,2)-VLOOKUP(MONTH(B362),$O$1:$Q$13,3))),($F362+$G362)/2-($F362-$G362)/2*COS(PI()*(12-VLOOKUP(MONTH(B362),$O$1:$Q$13,3))/(VLOOKUP(MONTH(B362),$O$1:$Q$13,2)-VLOOKUP(MONTH(B362),$O$1:$Q$13,3))),($F362+$G362)/2-($F362-$G362)/2*COS(PI()*(13-VLOOKUP(MONTH(B362),$O$1:$Q$13,3))/(VLOOKUP(MONTH(B362),$O$1:$Q$13,2)-VLOOKUP(MONTH(B362),$O$1:$Q$13,3))),($F362+$G362)/2-($F362-$G362)/2*COS(PI()*(14-VLOOKUP(MONTH(B362),$O$1:$Q$13,3))/(VLOOKUP(MONTH(B362),$O$1:$Q$13,2)-VLOOKUP(MONTH(B362),$O$1:$Q$13,3))))</f>
        <v/>
      </c>
      <c r="M362" s="1">
        <f t="array" ref="M362">IF(AND(A362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,A362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),IF(L362&lt;_xlfn.IFNA(INDEX(_xlfn.ANCHORARRAY(Sintesi!$C$17)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,1,IF(L362&gt;=_xlfn.IFNA(INDEX(_xlfn.ANCHORARRAY(Sintesi!$C$18)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,0,1-(L362-_xlfn.IFNA(INDEX(_xlfn.ANCHORARRAY(Sintesi!$C$17)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)/(_xlfn.IFNA(INDEX(_xlfn.ANCHORARRAY(Sintesi!$C$18)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-_xlfn.IFNA(INDEX(_xlfn.ANCHORARRAY(Sintesi!$C$17)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))),0)</f>
        <v/>
      </c>
    </row>
    <row r="363">
      <c r="A363" s="1">
        <f>'Paste cell here'!A363</f>
        <v/>
      </c>
      <c r="B363" s="2">
        <f>DATE(Sintesi!$C$4-1,12,31)+A363</f>
        <v/>
      </c>
      <c r="C363" s="34">
        <f t="array" ref="C363">_xlfn.IFNA(MATCH(1,(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)*(_xlfn.ANCHORARRAY(Sintesi!$C$15)&gt;=0)+(_xlfn.ANCHORARRAY(Sintesi!$C$15)&lt;0),0),0)</f>
        <v/>
      </c>
      <c r="D363" s="1">
        <f t="array" ref="D363">IF(ISBLANK($E364),IF(ISNUMBER($E362),IF($C363&gt;0,IF(($E363=INDEX(_xlfn.ANCHORARRAY(Sintesi!$C$14),1,$C363))*(INDEX(_xlfn.ANCHORARRAY(Sintesi!$C$15),1,$C363)&gt;0),0,IF(($E363=INDEX(_xlfn.ANCHORARRAY(Sintesi!$C$14),1,$C363))*(INDEX(_xlfn.ANCHORARRAY(Sintesi!$C$15),1,$C363)&lt;0)+($E363&gt;=$E362)*($E363&lt;=INDEX($E:$E,MATCH(TRUE,INDEX((ISNUMBER($E:$E)),0),0)))*($E363&gt;INDEX(_xlfn.ANCHORARRAY(Sintesi!$C$14),1,$C363))*($E363&lt;=INDEX(_xlfn.ANCHORARRAY(Sintesi!$C$15),1,$C363))*(INDEX(_xlfn.ANCHORARRAY(Sintesi!$C$15),1,$C363)&gt;0),1,IF(($E363&gt;=$E362)*($E363&lt;=INDEX($E:$E,MATCH(TRUE,INDEX((ISNUMBER($E:$E)),0),0)))*($E363&gt;INDEX(_xlfn.ANCHORARRAY(Sintesi!$C$14),1,$C363))*($E363&lt;INDEX(_xlfn.ANCHORARRAY(Sintesi!$C$16),1,$C363))*(INDEX(_xlfn.ANCHORARRAY(Sintesi!$C$15),1,$C363)&lt;0)+($E363&gt;=$E362)*($E363&lt;=INDEX($E:$E,MATCH(TRUE,INDEX((ISNUMBER($E:$E)),0),0)))*($E363&gt;INDEX(_xlfn.ANCHORARRAY(Sintesi!$C$15),1,$C363))*($E363&lt;INDEX(_xlfn.ANCHORARRAY(Sintesi!$C$16),1,$C363))*(INDEX(_xlfn.ANCHORARRAY(Sintesi!$C$15),1,$C363)&gt;0),2,IF($E363=(INDEX(_xlfn.ANCHORARRAY(Sintesi!$C$16),1,$C363)),3,4)))),0),IF($C363&gt;0,IF(($E363=INDEX(_xlfn.ANCHORARRAY(Sintesi!$C$14),1,$C363))*(INDEX(_xlfn.ANCHORARRAY(Sintesi!$C$15),1,$C363)&gt;0),0,IF(($E363=INDEX(_xlfn.ANCHORARRAY(Sintesi!$C$14),1,$C363))*(INDEX(_xlfn.ANCHORARRAY(Sintesi!$C$15),1,$C363)&lt;0)+($E363&gt;=LOOKUP(2,1/($E:$E&lt;&gt;""),$E:$E))*($E363&lt;=INDEX($E:$E,MATCH(TRUE,INDEX((ISNUMBER($E:$E)),0),0)))*($E363&gt;INDEX(_xlfn.ANCHORARRAY(Sintesi!$C$14),1,$C363))*($E363&lt;=INDEX(_xlfn.ANCHORARRAY(Sintesi!$C$15),1,$C363))*(INDEX(_xlfn.ANCHORARRAY(Sintesi!$C$15),1,$C363)&gt;0),1,IF(($E363&gt;=LOOKUP(2,1/($E:$E&lt;&gt;""),$E:$E))*($E363&lt;=INDEX($E:$E,MATCH(TRUE,INDEX((ISNUMBER($E:$E)),0),0)))*($E363&gt;INDEX(_xlfn.ANCHORARRAY(Sintesi!$C$14),1,$C363))*($E363&lt;INDEX(_xlfn.ANCHORARRAY(Sintesi!$C$16),1,$C363))*(INDEX(_xlfn.ANCHORARRAY(Sintesi!$C$15),1,$C363)&lt;0)+($E363&gt;=LOOKUP(2,1/($E:$E&lt;&gt;""),$E:$E))*($E363&lt;=INDEX($E:$E,MATCH(TRUE,INDEX((ISNUMBER($E:$E)),0),0)))*($E363&gt;INDEX(_xlfn.ANCHORARRAY(Sintesi!$C$15),1,$C363))*($E363&lt;INDEX(_xlfn.ANCHORARRAY(Sintesi!$C$16),1,$C363))*(INDEX(_xlfn.ANCHORARRAY(Sintesi!$C$15),1,$C363)&gt;0),2,IF($E363=(INDEX(_xlfn.ANCHORARRAY(Sintesi!$C$16),1,$C363)),3,4)))),0)),IF(ISNUMBER($E362),IF($C363&gt;0,IF(($E363=INDEX(_xlfn.ANCHORARRAY(Sintesi!$C$14),1,$C363))*(INDEX(_xlfn.ANCHORARRAY(Sintesi!$C$15),1,$C363)&gt;0),0,IF(($E363=INDEX(_xlfn.ANCHORARRAY(Sintesi!$C$14),1,$C363))*(INDEX(_xlfn.ANCHORARRAY(Sintesi!$C$15),1,$C363)&lt;0)+($E363&gt;=$E362)*($E363&lt;=$E364)*($E363&gt;INDEX(_xlfn.ANCHORARRAY(Sintesi!$C$14),1,$C363))*($E363&lt;=INDEX(_xlfn.ANCHORARRAY(Sintesi!$C$15),1,$C363))*(INDEX(_xlfn.ANCHORARRAY(Sintesi!$C$15),1,$C363)&gt;0),1,IF(($E363&gt;=$E362)*($E363&lt;=$E364)*($E363&gt;INDEX(_xlfn.ANCHORARRAY(Sintesi!$C$14),1,$C363))*($E363&lt;INDEX(_xlfn.ANCHORARRAY(Sintesi!$C$16),1,$C363))*(INDEX(_xlfn.ANCHORARRAY(Sintesi!$C$15),1,$C363)&lt;0)+($E363&gt;=$E362)*($E363&lt;=$E364)*($E363&gt;INDEX(_xlfn.ANCHORARRAY(Sintesi!$C$15),1,$C363))*($E363&lt;INDEX(_xlfn.ANCHORARRAY(Sintesi!$C$16),1,$C363))*(INDEX(_xlfn.ANCHORARRAY(Sintesi!$C$15),1,$C363)&gt;0),2,IF($E363=(INDEX(_xlfn.ANCHORARRAY(Sintesi!$C$16),1,$C363)),3,4)))),0),IF($C363&gt;0,IF(($E363=INDEX(_xlfn.ANCHORARRAY(Sintesi!$C$14),1,$C363))*(INDEX(_xlfn.ANCHORARRAY(Sintesi!$C$15),1,$C363)&gt;0),0,IF(($E363=INDEX(_xlfn.ANCHORARRAY(Sintesi!$C$14),1,$C363))*(INDEX(_xlfn.ANCHORARRAY(Sintesi!$C$15),1,$C363)&lt;0)+($E363&gt;=LOOKUP(2,1/($E:$E&lt;&gt;""),$E:$E))*($E363&lt;=$E364)*($E363&gt;INDEX(_xlfn.ANCHORARRAY(Sintesi!$C$14),1,$C363))*($E363&lt;=INDEX(_xlfn.ANCHORARRAY(Sintesi!$C$15),1,$C363))*(INDEX(_xlfn.ANCHORARRAY(Sintesi!$C$15),1,$C363)&gt;0),1,IF(($E363&gt;=LOOKUP(2,1/($E:$E&lt;&gt;""),$E:$E))*($E363&lt;=$E364)*($E363&gt;INDEX(_xlfn.ANCHORARRAY(Sintesi!$C$14),1,$C363))*($E363&lt;INDEX(_xlfn.ANCHORARRAY(Sintesi!$C$16),1,$C363))*(INDEX(_xlfn.ANCHORARRAY(Sintesi!$C$15),1,$C363)&lt;0)+($E363&gt;=LOOKUP(2,1/($E:$E&lt;&gt;""),$E:$E))*($E363&lt;=$E364)*($E363&gt;INDEX(_xlfn.ANCHORARRAY(Sintesi!$C$15),1,$C363))*($E363&lt;INDEX(_xlfn.ANCHORARRAY(Sintesi!$C$16),1,$C363))*(INDEX(_xlfn.ANCHORARRAY(Sintesi!$C$15),1,$C363)&gt;0),2,IF($E363=(INDEX(_xlfn.ANCHORARRAY(Sintesi!$C$16),1,$C363)),3,4)))),0)))</f>
        <v/>
      </c>
      <c r="E363" s="1">
        <f>'Paste cell here'!F363</f>
        <v/>
      </c>
      <c r="F363" s="1">
        <f>'Paste cell here'!C363</f>
        <v/>
      </c>
      <c r="G363" s="1">
        <f>'Paste cell here'!D363</f>
        <v/>
      </c>
      <c r="H363" s="1">
        <f>'Paste cell here'!E363</f>
        <v/>
      </c>
      <c r="I363" s="1">
        <f>'Paste cell here'!X363</f>
        <v/>
      </c>
      <c r="J363" s="1">
        <f>'Paste cell here'!Y363+'Paste cell here'!S363</f>
        <v/>
      </c>
      <c r="K363" s="1">
        <f>I363/H363</f>
        <v/>
      </c>
      <c r="L363" s="1">
        <f>AVERAGE(($F363+$G363)/2-($F363-$G363)/2*COS(PI()*(8-VLOOKUP(MONTH(B363),$O$1:$Q$13,3))/(VLOOKUP(MONTH(B363),$O$1:$Q$13,2)-VLOOKUP(MONTH(B363),$O$1:$Q$13,3))),($F363+$G363)/2-($F363-$G363)/2*COS(PI()*(9-VLOOKUP(MONTH(B363),$O$1:$Q$13,3))/(VLOOKUP(MONTH(B363),$O$1:$Q$13,2)-VLOOKUP(MONTH(B363),$O$1:$Q$13,3))),($F363+$G363)/2-($F363-$G363)/2*COS(PI()*(10-VLOOKUP(MONTH(B363),$O$1:$Q$13,3))/(VLOOKUP(MONTH(B363),$O$1:$Q$13,2)-VLOOKUP(MONTH(B363),$O$1:$Q$13,3))),($F363+$G363)/2-($F363-$G363)/2*COS(PI()*(11-VLOOKUP(MONTH(B363),$O$1:$Q$13,3))/(VLOOKUP(MONTH(B363),$O$1:$Q$13,2)-VLOOKUP(MONTH(B363),$O$1:$Q$13,3))),($F363+$G363)/2-($F363-$G363)/2*COS(PI()*(12-VLOOKUP(MONTH(B363),$O$1:$Q$13,3))/(VLOOKUP(MONTH(B363),$O$1:$Q$13,2)-VLOOKUP(MONTH(B363),$O$1:$Q$13,3))),($F363+$G363)/2-($F363-$G363)/2*COS(PI()*(13-VLOOKUP(MONTH(B363),$O$1:$Q$13,3))/(VLOOKUP(MONTH(B363),$O$1:$Q$13,2)-VLOOKUP(MONTH(B363),$O$1:$Q$13,3))),($F363+$G363)/2-($F363-$G363)/2*COS(PI()*(14-VLOOKUP(MONTH(B363),$O$1:$Q$13,3))/(VLOOKUP(MONTH(B363),$O$1:$Q$13,2)-VLOOKUP(MONTH(B363),$O$1:$Q$13,3))))</f>
        <v/>
      </c>
      <c r="M363" s="1">
        <f t="array" ref="M363">IF(AND(A363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,A363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),IF(L363&lt;_xlfn.IFNA(INDEX(_xlfn.ANCHORARRAY(Sintesi!$C$17)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,1,IF(L363&gt;=_xlfn.IFNA(INDEX(_xlfn.ANCHORARRAY(Sintesi!$C$18)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,0,1-(L363-_xlfn.IFNA(INDEX(_xlfn.ANCHORARRAY(Sintesi!$C$17)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)/(_xlfn.IFNA(INDEX(_xlfn.ANCHORARRAY(Sintesi!$C$18)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-_xlfn.IFNA(INDEX(_xlfn.ANCHORARRAY(Sintesi!$C$17)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))),0)</f>
        <v/>
      </c>
    </row>
    <row r="364">
      <c r="A364" s="1">
        <f>'Paste cell here'!A364</f>
        <v/>
      </c>
      <c r="B364" s="2">
        <f>DATE(Sintesi!$C$4-1,12,31)+A364</f>
        <v/>
      </c>
      <c r="C364" s="34">
        <f t="array" ref="C364">_xlfn.IFNA(MATCH(1,(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)*(_xlfn.ANCHORARRAY(Sintesi!$C$15)&gt;=0)+(_xlfn.ANCHORARRAY(Sintesi!$C$15)&lt;0),0),0)</f>
        <v/>
      </c>
      <c r="D364" s="1">
        <f t="array" ref="D364">IF(ISBLANK($E365),IF(ISNUMBER($E363),IF($C364&gt;0,IF(($E364=INDEX(_xlfn.ANCHORARRAY(Sintesi!$C$14),1,$C364))*(INDEX(_xlfn.ANCHORARRAY(Sintesi!$C$15),1,$C364)&gt;0),0,IF(($E364=INDEX(_xlfn.ANCHORARRAY(Sintesi!$C$14),1,$C364))*(INDEX(_xlfn.ANCHORARRAY(Sintesi!$C$15),1,$C364)&lt;0)+($E364&gt;=$E363)*($E364&lt;=INDEX($E:$E,MATCH(TRUE,INDEX((ISNUMBER($E:$E)),0),0)))*($E364&gt;INDEX(_xlfn.ANCHORARRAY(Sintesi!$C$14),1,$C364))*($E364&lt;=INDEX(_xlfn.ANCHORARRAY(Sintesi!$C$15),1,$C364))*(INDEX(_xlfn.ANCHORARRAY(Sintesi!$C$15),1,$C364)&gt;0),1,IF(($E364&gt;=$E363)*($E364&lt;=INDEX($E:$E,MATCH(TRUE,INDEX((ISNUMBER($E:$E)),0),0)))*($E364&gt;INDEX(_xlfn.ANCHORARRAY(Sintesi!$C$14),1,$C364))*($E364&lt;INDEX(_xlfn.ANCHORARRAY(Sintesi!$C$16),1,$C364))*(INDEX(_xlfn.ANCHORARRAY(Sintesi!$C$15),1,$C364)&lt;0)+($E364&gt;=$E363)*($E364&lt;=INDEX($E:$E,MATCH(TRUE,INDEX((ISNUMBER($E:$E)),0),0)))*($E364&gt;INDEX(_xlfn.ANCHORARRAY(Sintesi!$C$15),1,$C364))*($E364&lt;INDEX(_xlfn.ANCHORARRAY(Sintesi!$C$16),1,$C364))*(INDEX(_xlfn.ANCHORARRAY(Sintesi!$C$15),1,$C364)&gt;0),2,IF($E364=(INDEX(_xlfn.ANCHORARRAY(Sintesi!$C$16),1,$C364)),3,4)))),0),IF($C364&gt;0,IF(($E364=INDEX(_xlfn.ANCHORARRAY(Sintesi!$C$14),1,$C364))*(INDEX(_xlfn.ANCHORARRAY(Sintesi!$C$15),1,$C364)&gt;0),0,IF(($E364=INDEX(_xlfn.ANCHORARRAY(Sintesi!$C$14),1,$C364))*(INDEX(_xlfn.ANCHORARRAY(Sintesi!$C$15),1,$C364)&lt;0)+($E364&gt;=LOOKUP(2,1/($E:$E&lt;&gt;""),$E:$E))*($E364&lt;=INDEX($E:$E,MATCH(TRUE,INDEX((ISNUMBER($E:$E)),0),0)))*($E364&gt;INDEX(_xlfn.ANCHORARRAY(Sintesi!$C$14),1,$C364))*($E364&lt;=INDEX(_xlfn.ANCHORARRAY(Sintesi!$C$15),1,$C364))*(INDEX(_xlfn.ANCHORARRAY(Sintesi!$C$15),1,$C364)&gt;0),1,IF(($E364&gt;=LOOKUP(2,1/($E:$E&lt;&gt;""),$E:$E))*($E364&lt;=INDEX($E:$E,MATCH(TRUE,INDEX((ISNUMBER($E:$E)),0),0)))*($E364&gt;INDEX(_xlfn.ANCHORARRAY(Sintesi!$C$14),1,$C364))*($E364&lt;INDEX(_xlfn.ANCHORARRAY(Sintesi!$C$16),1,$C364))*(INDEX(_xlfn.ANCHORARRAY(Sintesi!$C$15),1,$C364)&lt;0)+($E364&gt;=LOOKUP(2,1/($E:$E&lt;&gt;""),$E:$E))*($E364&lt;=INDEX($E:$E,MATCH(TRUE,INDEX((ISNUMBER($E:$E)),0),0)))*($E364&gt;INDEX(_xlfn.ANCHORARRAY(Sintesi!$C$15),1,$C364))*($E364&lt;INDEX(_xlfn.ANCHORARRAY(Sintesi!$C$16),1,$C364))*(INDEX(_xlfn.ANCHORARRAY(Sintesi!$C$15),1,$C364)&gt;0),2,IF($E364=(INDEX(_xlfn.ANCHORARRAY(Sintesi!$C$16),1,$C364)),3,4)))),0)),IF(ISNUMBER($E363),IF($C364&gt;0,IF(($E364=INDEX(_xlfn.ANCHORARRAY(Sintesi!$C$14),1,$C364))*(INDEX(_xlfn.ANCHORARRAY(Sintesi!$C$15),1,$C364)&gt;0),0,IF(($E364=INDEX(_xlfn.ANCHORARRAY(Sintesi!$C$14),1,$C364))*(INDEX(_xlfn.ANCHORARRAY(Sintesi!$C$15),1,$C364)&lt;0)+($E364&gt;=$E363)*($E364&lt;=$E365)*($E364&gt;INDEX(_xlfn.ANCHORARRAY(Sintesi!$C$14),1,$C364))*($E364&lt;=INDEX(_xlfn.ANCHORARRAY(Sintesi!$C$15),1,$C364))*(INDEX(_xlfn.ANCHORARRAY(Sintesi!$C$15),1,$C364)&gt;0),1,IF(($E364&gt;=$E363)*($E364&lt;=$E365)*($E364&gt;INDEX(_xlfn.ANCHORARRAY(Sintesi!$C$14),1,$C364))*($E364&lt;INDEX(_xlfn.ANCHORARRAY(Sintesi!$C$16),1,$C364))*(INDEX(_xlfn.ANCHORARRAY(Sintesi!$C$15),1,$C364)&lt;0)+($E364&gt;=$E363)*($E364&lt;=$E365)*($E364&gt;INDEX(_xlfn.ANCHORARRAY(Sintesi!$C$15),1,$C364))*($E364&lt;INDEX(_xlfn.ANCHORARRAY(Sintesi!$C$16),1,$C364))*(INDEX(_xlfn.ANCHORARRAY(Sintesi!$C$15),1,$C364)&gt;0),2,IF($E364=(INDEX(_xlfn.ANCHORARRAY(Sintesi!$C$16),1,$C364)),3,4)))),0),IF($C364&gt;0,IF(($E364=INDEX(_xlfn.ANCHORARRAY(Sintesi!$C$14),1,$C364))*(INDEX(_xlfn.ANCHORARRAY(Sintesi!$C$15),1,$C364)&gt;0),0,IF(($E364=INDEX(_xlfn.ANCHORARRAY(Sintesi!$C$14),1,$C364))*(INDEX(_xlfn.ANCHORARRAY(Sintesi!$C$15),1,$C364)&lt;0)+($E364&gt;=LOOKUP(2,1/($E:$E&lt;&gt;""),$E:$E))*($E364&lt;=$E365)*($E364&gt;INDEX(_xlfn.ANCHORARRAY(Sintesi!$C$14),1,$C364))*($E364&lt;=INDEX(_xlfn.ANCHORARRAY(Sintesi!$C$15),1,$C364))*(INDEX(_xlfn.ANCHORARRAY(Sintesi!$C$15),1,$C364)&gt;0),1,IF(($E364&gt;=LOOKUP(2,1/($E:$E&lt;&gt;""),$E:$E))*($E364&lt;=$E365)*($E364&gt;INDEX(_xlfn.ANCHORARRAY(Sintesi!$C$14),1,$C364))*($E364&lt;INDEX(_xlfn.ANCHORARRAY(Sintesi!$C$16),1,$C364))*(INDEX(_xlfn.ANCHORARRAY(Sintesi!$C$15),1,$C364)&lt;0)+($E364&gt;=LOOKUP(2,1/($E:$E&lt;&gt;""),$E:$E))*($E364&lt;=$E365)*($E364&gt;INDEX(_xlfn.ANCHORARRAY(Sintesi!$C$15),1,$C364))*($E364&lt;INDEX(_xlfn.ANCHORARRAY(Sintesi!$C$16),1,$C364))*(INDEX(_xlfn.ANCHORARRAY(Sintesi!$C$15),1,$C364)&gt;0),2,IF($E364=(INDEX(_xlfn.ANCHORARRAY(Sintesi!$C$16),1,$C364)),3,4)))),0)))</f>
        <v/>
      </c>
      <c r="E364" s="1">
        <f>'Paste cell here'!F364</f>
        <v/>
      </c>
      <c r="F364" s="1">
        <f>'Paste cell here'!C364</f>
        <v/>
      </c>
      <c r="G364" s="1">
        <f>'Paste cell here'!D364</f>
        <v/>
      </c>
      <c r="H364" s="1">
        <f>'Paste cell here'!E364</f>
        <v/>
      </c>
      <c r="I364" s="1">
        <f>'Paste cell here'!X364</f>
        <v/>
      </c>
      <c r="J364" s="1">
        <f>'Paste cell here'!Y364+'Paste cell here'!S364</f>
        <v/>
      </c>
      <c r="K364" s="1">
        <f>I364/H364</f>
        <v/>
      </c>
      <c r="L364" s="1">
        <f>AVERAGE(($F364+$G364)/2-($F364-$G364)/2*COS(PI()*(8-VLOOKUP(MONTH(B364),$O$1:$Q$13,3))/(VLOOKUP(MONTH(B364),$O$1:$Q$13,2)-VLOOKUP(MONTH(B364),$O$1:$Q$13,3))),($F364+$G364)/2-($F364-$G364)/2*COS(PI()*(9-VLOOKUP(MONTH(B364),$O$1:$Q$13,3))/(VLOOKUP(MONTH(B364),$O$1:$Q$13,2)-VLOOKUP(MONTH(B364),$O$1:$Q$13,3))),($F364+$G364)/2-($F364-$G364)/2*COS(PI()*(10-VLOOKUP(MONTH(B364),$O$1:$Q$13,3))/(VLOOKUP(MONTH(B364),$O$1:$Q$13,2)-VLOOKUP(MONTH(B364),$O$1:$Q$13,3))),($F364+$G364)/2-($F364-$G364)/2*COS(PI()*(11-VLOOKUP(MONTH(B364),$O$1:$Q$13,3))/(VLOOKUP(MONTH(B364),$O$1:$Q$13,2)-VLOOKUP(MONTH(B364),$O$1:$Q$13,3))),($F364+$G364)/2-($F364-$G364)/2*COS(PI()*(12-VLOOKUP(MONTH(B364),$O$1:$Q$13,3))/(VLOOKUP(MONTH(B364),$O$1:$Q$13,2)-VLOOKUP(MONTH(B364),$O$1:$Q$13,3))),($F364+$G364)/2-($F364-$G364)/2*COS(PI()*(13-VLOOKUP(MONTH(B364),$O$1:$Q$13,3))/(VLOOKUP(MONTH(B364),$O$1:$Q$13,2)-VLOOKUP(MONTH(B364),$O$1:$Q$13,3))),($F364+$G364)/2-($F364-$G364)/2*COS(PI()*(14-VLOOKUP(MONTH(B364),$O$1:$Q$13,3))/(VLOOKUP(MONTH(B364),$O$1:$Q$13,2)-VLOOKUP(MONTH(B364),$O$1:$Q$13,3))))</f>
        <v/>
      </c>
      <c r="M364" s="1">
        <f t="array" ref="M364">IF(AND(A364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,A364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),IF(L364&lt;_xlfn.IFNA(INDEX(_xlfn.ANCHORARRAY(Sintesi!$C$17)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,1,IF(L364&gt;=_xlfn.IFNA(INDEX(_xlfn.ANCHORARRAY(Sintesi!$C$18)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,0,1-(L364-_xlfn.IFNA(INDEX(_xlfn.ANCHORARRAY(Sintesi!$C$17)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)/(_xlfn.IFNA(INDEX(_xlfn.ANCHORARRAY(Sintesi!$C$18)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-_xlfn.IFNA(INDEX(_xlfn.ANCHORARRAY(Sintesi!$C$17)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))),0)</f>
        <v/>
      </c>
    </row>
    <row r="365" ht="11.25" customHeight="1">
      <c r="A365" s="1">
        <f>'Paste cell here'!A365</f>
        <v/>
      </c>
      <c r="B365" s="2">
        <f>DATE(Sintesi!$C$4-1,12,31)+A365</f>
        <v/>
      </c>
      <c r="C365" s="34">
        <f t="array" ref="C365">_xlfn.IFNA(MATCH(1,(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)*(_xlfn.ANCHORARRAY(Sintesi!$C$15)&gt;=0)+(_xlfn.ANCHORARRAY(Sintesi!$C$15)&lt;0),0),0)</f>
        <v/>
      </c>
      <c r="D365" s="1">
        <f t="array" ref="D365">IF(ISBLANK($E366),IF(ISNUMBER($E364),IF($C365&gt;0,IF(($E365=INDEX(_xlfn.ANCHORARRAY(Sintesi!$C$14),1,$C365))*(INDEX(_xlfn.ANCHORARRAY(Sintesi!$C$15),1,$C365)&gt;0),0,IF(($E365=INDEX(_xlfn.ANCHORARRAY(Sintesi!$C$14),1,$C365))*(INDEX(_xlfn.ANCHORARRAY(Sintesi!$C$15),1,$C365)&lt;0)+($E365&gt;=$E364)*($E365&lt;=INDEX($E:$E,MATCH(TRUE,INDEX((ISNUMBER($E:$E)),0),0)))*($E365&gt;INDEX(_xlfn.ANCHORARRAY(Sintesi!$C$14),1,$C365))*($E365&lt;=INDEX(_xlfn.ANCHORARRAY(Sintesi!$C$15),1,$C365))*(INDEX(_xlfn.ANCHORARRAY(Sintesi!$C$15),1,$C365)&gt;0),1,IF(($E365&gt;=$E364)*($E365&lt;=INDEX($E:$E,MATCH(TRUE,INDEX((ISNUMBER($E:$E)),0),0)))*($E365&gt;INDEX(_xlfn.ANCHORARRAY(Sintesi!$C$14),1,$C365))*($E365&lt;INDEX(_xlfn.ANCHORARRAY(Sintesi!$C$16),1,$C365))*(INDEX(_xlfn.ANCHORARRAY(Sintesi!$C$15),1,$C365)&lt;0)+($E365&gt;=$E364)*($E365&lt;=INDEX($E:$E,MATCH(TRUE,INDEX((ISNUMBER($E:$E)),0),0)))*($E365&gt;INDEX(_xlfn.ANCHORARRAY(Sintesi!$C$15),1,$C365))*($E365&lt;INDEX(_xlfn.ANCHORARRAY(Sintesi!$C$16),1,$C365))*(INDEX(_xlfn.ANCHORARRAY(Sintesi!$C$15),1,$C365)&gt;0),2,IF($E365=(INDEX(_xlfn.ANCHORARRAY(Sintesi!$C$16),1,$C365)),3,4)))),0),IF($C365&gt;0,IF(($E365=INDEX(_xlfn.ANCHORARRAY(Sintesi!$C$14),1,$C365))*(INDEX(_xlfn.ANCHORARRAY(Sintesi!$C$15),1,$C365)&gt;0),0,IF(($E365=INDEX(_xlfn.ANCHORARRAY(Sintesi!$C$14),1,$C365))*(INDEX(_xlfn.ANCHORARRAY(Sintesi!$C$15),1,$C365)&lt;0)+($E365&gt;=LOOKUP(2,1/($E:$E&lt;&gt;""),$E:$E))*($E365&lt;=INDEX($E:$E,MATCH(TRUE,INDEX((ISNUMBER($E:$E)),0),0)))*($E365&gt;INDEX(_xlfn.ANCHORARRAY(Sintesi!$C$14),1,$C365))*($E365&lt;=INDEX(_xlfn.ANCHORARRAY(Sintesi!$C$15),1,$C365))*(INDEX(_xlfn.ANCHORARRAY(Sintesi!$C$15),1,$C365)&gt;0),1,IF(($E365&gt;=LOOKUP(2,1/($E:$E&lt;&gt;""),$E:$E))*($E365&lt;=INDEX($E:$E,MATCH(TRUE,INDEX((ISNUMBER($E:$E)),0),0)))*($E365&gt;INDEX(_xlfn.ANCHORARRAY(Sintesi!$C$14),1,$C365))*($E365&lt;INDEX(_xlfn.ANCHORARRAY(Sintesi!$C$16),1,$C365))*(INDEX(_xlfn.ANCHORARRAY(Sintesi!$C$15),1,$C365)&lt;0)+($E365&gt;=LOOKUP(2,1/($E:$E&lt;&gt;""),$E:$E))*($E365&lt;=INDEX($E:$E,MATCH(TRUE,INDEX((ISNUMBER($E:$E)),0),0)))*($E365&gt;INDEX(_xlfn.ANCHORARRAY(Sintesi!$C$15),1,$C365))*($E365&lt;INDEX(_xlfn.ANCHORARRAY(Sintesi!$C$16),1,$C365))*(INDEX(_xlfn.ANCHORARRAY(Sintesi!$C$15),1,$C365)&gt;0),2,IF($E365=(INDEX(_xlfn.ANCHORARRAY(Sintesi!$C$16),1,$C365)),3,4)))),0)),IF(ISNUMBER($E364),IF($C365&gt;0,IF(($E365=INDEX(_xlfn.ANCHORARRAY(Sintesi!$C$14),1,$C365))*(INDEX(_xlfn.ANCHORARRAY(Sintesi!$C$15),1,$C365)&gt;0),0,IF(($E365=INDEX(_xlfn.ANCHORARRAY(Sintesi!$C$14),1,$C365))*(INDEX(_xlfn.ANCHORARRAY(Sintesi!$C$15),1,$C365)&lt;0)+($E365&gt;=$E364)*($E365&lt;=$E366)*($E365&gt;INDEX(_xlfn.ANCHORARRAY(Sintesi!$C$14),1,$C365))*($E365&lt;=INDEX(_xlfn.ANCHORARRAY(Sintesi!$C$15),1,$C365))*(INDEX(_xlfn.ANCHORARRAY(Sintesi!$C$15),1,$C365)&gt;0),1,IF(($E365&gt;=$E364)*($E365&lt;=$E366)*($E365&gt;INDEX(_xlfn.ANCHORARRAY(Sintesi!$C$14),1,$C365))*($E365&lt;INDEX(_xlfn.ANCHORARRAY(Sintesi!$C$16),1,$C365))*(INDEX(_xlfn.ANCHORARRAY(Sintesi!$C$15),1,$C365)&lt;0)+($E365&gt;=$E364)*($E365&lt;=$E366)*($E365&gt;INDEX(_xlfn.ANCHORARRAY(Sintesi!$C$15),1,$C365))*($E365&lt;INDEX(_xlfn.ANCHORARRAY(Sintesi!$C$16),1,$C365))*(INDEX(_xlfn.ANCHORARRAY(Sintesi!$C$15),1,$C365)&gt;0),2,IF($E365=(INDEX(_xlfn.ANCHORARRAY(Sintesi!$C$16),1,$C365)),3,4)))),0),IF($C365&gt;0,IF(($E365=INDEX(_xlfn.ANCHORARRAY(Sintesi!$C$14),1,$C365))*(INDEX(_xlfn.ANCHORARRAY(Sintesi!$C$15),1,$C365)&gt;0),0,IF(($E365=INDEX(_xlfn.ANCHORARRAY(Sintesi!$C$14),1,$C365))*(INDEX(_xlfn.ANCHORARRAY(Sintesi!$C$15),1,$C365)&lt;0)+($E365&gt;=LOOKUP(2,1/($E:$E&lt;&gt;""),$E:$E))*($E365&lt;=$E366)*($E365&gt;INDEX(_xlfn.ANCHORARRAY(Sintesi!$C$14),1,$C365))*($E365&lt;=INDEX(_xlfn.ANCHORARRAY(Sintesi!$C$15),1,$C365))*(INDEX(_xlfn.ANCHORARRAY(Sintesi!$C$15),1,$C365)&gt;0),1,IF(($E365&gt;=LOOKUP(2,1/($E:$E&lt;&gt;""),$E:$E))*($E365&lt;=$E366)*($E365&gt;INDEX(_xlfn.ANCHORARRAY(Sintesi!$C$14),1,$C365))*($E365&lt;INDEX(_xlfn.ANCHORARRAY(Sintesi!$C$16),1,$C365))*(INDEX(_xlfn.ANCHORARRAY(Sintesi!$C$15),1,$C365)&lt;0)+($E365&gt;=LOOKUP(2,1/($E:$E&lt;&gt;""),$E:$E))*($E365&lt;=$E366)*($E365&gt;INDEX(_xlfn.ANCHORARRAY(Sintesi!$C$15),1,$C365))*($E365&lt;INDEX(_xlfn.ANCHORARRAY(Sintesi!$C$16),1,$C365))*(INDEX(_xlfn.ANCHORARRAY(Sintesi!$C$15),1,$C365)&gt;0),2,IF($E365=(INDEX(_xlfn.ANCHORARRAY(Sintesi!$C$16),1,$C365)),3,4)))),0)))</f>
        <v/>
      </c>
      <c r="E365" s="1">
        <f>'Paste cell here'!F365</f>
        <v/>
      </c>
      <c r="F365" s="1">
        <f>'Paste cell here'!C365</f>
        <v/>
      </c>
      <c r="G365" s="1">
        <f>'Paste cell here'!D365</f>
        <v/>
      </c>
      <c r="H365" s="1">
        <f>'Paste cell here'!E365</f>
        <v/>
      </c>
      <c r="I365" s="1">
        <f>'Paste cell here'!X365</f>
        <v/>
      </c>
      <c r="J365" s="1">
        <f>'Paste cell here'!Y365+'Paste cell here'!S365</f>
        <v/>
      </c>
      <c r="K365" s="1">
        <f>I365/H365</f>
        <v/>
      </c>
      <c r="L365" s="1">
        <f>AVERAGE(($F365+$G365)/2-($F365-$G365)/2*COS(PI()*(8-VLOOKUP(MONTH(B365),$O$1:$Q$13,3))/(VLOOKUP(MONTH(B365),$O$1:$Q$13,2)-VLOOKUP(MONTH(B365),$O$1:$Q$13,3))),($F365+$G365)/2-($F365-$G365)/2*COS(PI()*(9-VLOOKUP(MONTH(B365),$O$1:$Q$13,3))/(VLOOKUP(MONTH(B365),$O$1:$Q$13,2)-VLOOKUP(MONTH(B365),$O$1:$Q$13,3))),($F365+$G365)/2-($F365-$G365)/2*COS(PI()*(10-VLOOKUP(MONTH(B365),$O$1:$Q$13,3))/(VLOOKUP(MONTH(B365),$O$1:$Q$13,2)-VLOOKUP(MONTH(B365),$O$1:$Q$13,3))),($F365+$G365)/2-($F365-$G365)/2*COS(PI()*(11-VLOOKUP(MONTH(B365),$O$1:$Q$13,3))/(VLOOKUP(MONTH(B365),$O$1:$Q$13,2)-VLOOKUP(MONTH(B365),$O$1:$Q$13,3))),($F365+$G365)/2-($F365-$G365)/2*COS(PI()*(12-VLOOKUP(MONTH(B365),$O$1:$Q$13,3))/(VLOOKUP(MONTH(B365),$O$1:$Q$13,2)-VLOOKUP(MONTH(B365),$O$1:$Q$13,3))),($F365+$G365)/2-($F365-$G365)/2*COS(PI()*(13-VLOOKUP(MONTH(B365),$O$1:$Q$13,3))/(VLOOKUP(MONTH(B365),$O$1:$Q$13,2)-VLOOKUP(MONTH(B365),$O$1:$Q$13,3))),($F365+$G365)/2-($F365-$G365)/2*COS(PI()*(14-VLOOKUP(MONTH(B365),$O$1:$Q$13,3))/(VLOOKUP(MONTH(B365),$O$1:$Q$13,2)-VLOOKUP(MONTH(B365),$O$1:$Q$13,3))))</f>
        <v/>
      </c>
      <c r="M365" s="1">
        <f t="array" ref="M365">IF(AND(A365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,A365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366&gt;=_xlfn.ANCHORARRAY(Sintesi!$C$9))+(_xlfn.ANCHORARRAY(Sintesi!$C$9)&gt;_xlfn.ANCHORARRAY(Sintesi!$C$10))*(A366&lt;=_xlfn.ANCHORARRAY(Sintesi!$C$10))+(_xlfn.ANCHORARRAY(Sintesi!$C$9)&lt;_xlfn.ANCHORARRAY(Sintesi!$C$10))*(A366&gt;=_xlfn.ANCHORARRAY(Sintesi!$C$9))*(A366&lt;=_xlfn.ANCHORARRAY(Sintesi!$C$10)),0)),0)),IF(L365&lt;_xlfn.IFNA(INDEX(_xlfn.ANCHORARRAY(Sintesi!$C$17)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,1,IF(L365&gt;=_xlfn.IFNA(INDEX(_xlfn.ANCHORARRAY(Sintesi!$C$18)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,0,1-(L365-_xlfn.IFNA(INDEX(_xlfn.ANCHORARRAY(Sintesi!$C$17)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)/(_xlfn.IFNA(INDEX(_xlfn.ANCHORARRAY(Sintesi!$C$18)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-_xlfn.IFNA(INDEX(_xlfn.ANCHORARRAY(Sintesi!$C$17)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))),0)</f>
        <v/>
      </c>
    </row>
    <row r="366" ht="11.25" customHeight="1">
      <c r="A366" s="1">
        <f>'Paste cell here'!A366</f>
        <v/>
      </c>
      <c r="B366" s="2">
        <f>DATE(Sintesi!$C$4-1,12,31)+A366</f>
        <v/>
      </c>
      <c r="C366" s="34">
        <f t="array" ref="C366">_xlfn.IFNA(MATCH(1,((_xlfn.ANCHORARRAY(Sintesi!$C$9)&gt;_xlfn.ANCHORARRAY(Sintesi!$C$10))*(A366&gt;=_xlfn.ANCHORARRAY(Sintesi!$C$9))+(_xlfn.ANCHORARRAY(Sintesi!$C$9)&gt;_xlfn.ANCHORARRAY(Sintesi!$C$10))*(A366&lt;=_xlfn.ANCHORARRAY(Sintesi!$C$10))+(_xlfn.ANCHORARRAY(Sintesi!$C$9)&lt;_xlfn.ANCHORARRAY(Sintesi!$C$10))*(A366&gt;=_xlfn.ANCHORARRAY(Sintesi!$C$9))*(A366&lt;=_xlfn.ANCHORARRAY(Sintesi!$C$10)))*(_xlfn.ANCHORARRAY(Sintesi!$C$15)&gt;=0)+(_xlfn.ANCHORARRAY(Sintesi!$C$15)&lt;0),0),0)</f>
        <v/>
      </c>
      <c r="D366" s="1">
        <f t="array" ref="D366">IF(ISBLANK($E367),IF(ISNUMBER($E365),IF($C366&gt;0,IF(($E366=INDEX(_xlfn.ANCHORARRAY(Sintesi!$C$14),1,$C366))*(INDEX(_xlfn.ANCHORARRAY(Sintesi!$C$15),1,$C366)&gt;0),0,IF(($E366=INDEX(_xlfn.ANCHORARRAY(Sintesi!$C$14),1,$C366))*(INDEX(_xlfn.ANCHORARRAY(Sintesi!$C$15),1,$C366)&lt;0)+($E366&gt;=$E365)*($E366&lt;=INDEX($E:$E,MATCH(TRUE,INDEX((ISNUMBER($E:$E)),0),0)))*($E366&gt;INDEX(_xlfn.ANCHORARRAY(Sintesi!$C$14),1,$C366))*($E366&lt;=INDEX(_xlfn.ANCHORARRAY(Sintesi!$C$15),1,$C366))*(INDEX(_xlfn.ANCHORARRAY(Sintesi!$C$15),1,$C366)&gt;0),1,IF(($E366&gt;=$E365)*($E366&lt;=INDEX($E:$E,MATCH(TRUE,INDEX((ISNUMBER($E:$E)),0),0)))*($E366&gt;INDEX(_xlfn.ANCHORARRAY(Sintesi!$C$14),1,$C366))*($E366&lt;INDEX(_xlfn.ANCHORARRAY(Sintesi!$C$16),1,$C366))*(INDEX(_xlfn.ANCHORARRAY(Sintesi!$C$15),1,$C366)&lt;0)+($E366&gt;=$E365)*($E366&lt;=INDEX($E:$E,MATCH(TRUE,INDEX((ISNUMBER($E:$E)),0),0)))*($E366&gt;INDEX(_xlfn.ANCHORARRAY(Sintesi!$C$15),1,$C366))*($E366&lt;INDEX(_xlfn.ANCHORARRAY(Sintesi!$C$16),1,$C366))*(INDEX(_xlfn.ANCHORARRAY(Sintesi!$C$15),1,$C366)&gt;0),2,IF($E366=(INDEX(_xlfn.ANCHORARRAY(Sintesi!$C$16),1,$C366)),3,4)))),0),IF($C366&gt;0,IF(($E366=INDEX(_xlfn.ANCHORARRAY(Sintesi!$C$14),1,$C366))*(INDEX(_xlfn.ANCHORARRAY(Sintesi!$C$15),1,$C366)&gt;0),0,IF(($E366=INDEX(_xlfn.ANCHORARRAY(Sintesi!$C$14),1,$C366))*(INDEX(_xlfn.ANCHORARRAY(Sintesi!$C$15),1,$C366)&lt;0)+($E366&gt;=LOOKUP(2,1/($E:$E&lt;&gt;""),$E:$E))*($E366&lt;=INDEX($E:$E,MATCH(TRUE,INDEX((ISNUMBER($E:$E)),0),0)))*($E366&gt;INDEX(_xlfn.ANCHORARRAY(Sintesi!$C$14),1,$C366))*($E366&lt;=INDEX(_xlfn.ANCHORARRAY(Sintesi!$C$15),1,$C366))*(INDEX(_xlfn.ANCHORARRAY(Sintesi!$C$15),1,$C366)&gt;0),1,IF(($E366&gt;=LOOKUP(2,1/($E:$E&lt;&gt;""),$E:$E))*($E366&lt;=INDEX($E:$E,MATCH(TRUE,INDEX((ISNUMBER($E:$E)),0),0)))*($E366&gt;INDEX(_xlfn.ANCHORARRAY(Sintesi!$C$14),1,$C366))*($E366&lt;INDEX(_xlfn.ANCHORARRAY(Sintesi!$C$16),1,$C366))*(INDEX(_xlfn.ANCHORARRAY(Sintesi!$C$15),1,$C366)&lt;0)+($E366&gt;=LOOKUP(2,1/($E:$E&lt;&gt;""),$E:$E))*($E366&lt;=INDEX($E:$E,MATCH(TRUE,INDEX((ISNUMBER($E:$E)),0),0)))*($E366&gt;INDEX(_xlfn.ANCHORARRAY(Sintesi!$C$15),1,$C366))*($E366&lt;INDEX(_xlfn.ANCHORARRAY(Sintesi!$C$16),1,$C366))*(INDEX(_xlfn.ANCHORARRAY(Sintesi!$C$15),1,$C366)&gt;0),2,IF($E366=(INDEX(_xlfn.ANCHORARRAY(Sintesi!$C$16),1,$C366)),3,4)))),0)),IF(ISNUMBER($E365),IF($C366&gt;0,IF(($E366=INDEX(_xlfn.ANCHORARRAY(Sintesi!$C$14),1,$C366))*(INDEX(_xlfn.ANCHORARRAY(Sintesi!$C$15),1,$C366)&gt;0),0,IF(($E366=INDEX(_xlfn.ANCHORARRAY(Sintesi!$C$14),1,$C366))*(INDEX(_xlfn.ANCHORARRAY(Sintesi!$C$15),1,$C366)&lt;0)+($E366&gt;=$E365)*($E366&lt;=$E367)*($E366&gt;INDEX(_xlfn.ANCHORARRAY(Sintesi!$C$14),1,$C366))*($E366&lt;=INDEX(_xlfn.ANCHORARRAY(Sintesi!$C$15),1,$C366))*(INDEX(_xlfn.ANCHORARRAY(Sintesi!$C$15),1,$C366)&gt;0),1,IF(($E366&gt;=$E365)*($E366&lt;=$E367)*($E366&gt;INDEX(_xlfn.ANCHORARRAY(Sintesi!$C$14),1,$C366))*($E366&lt;INDEX(_xlfn.ANCHORARRAY(Sintesi!$C$16),1,$C366))*(INDEX(_xlfn.ANCHORARRAY(Sintesi!$C$15),1,$C366)&lt;0)+($E366&gt;=$E365)*($E366&lt;=$E367)*($E366&gt;INDEX(_xlfn.ANCHORARRAY(Sintesi!$C$15),1,$C366))*($E366&lt;INDEX(_xlfn.ANCHORARRAY(Sintesi!$C$16),1,$C366))*(INDEX(_xlfn.ANCHORARRAY(Sintesi!$C$15),1,$C366)&gt;0),2,IF($E366=(INDEX(_xlfn.ANCHORARRAY(Sintesi!$C$16),1,$C366)),3,4)))),0),IF($C366&gt;0,IF(($E366=INDEX(_xlfn.ANCHORARRAY(Sintesi!$C$14),1,$C366))*(INDEX(_xlfn.ANCHORARRAY(Sintesi!$C$15),1,$C366)&gt;0),0,IF(($E366=INDEX(_xlfn.ANCHORARRAY(Sintesi!$C$14),1,$C366))*(INDEX(_xlfn.ANCHORARRAY(Sintesi!$C$15),1,$C366)&lt;0)+($E366&gt;=LOOKUP(2,1/($E:$E&lt;&gt;""),$E:$E))*($E366&lt;=$E367)*($E366&gt;INDEX(_xlfn.ANCHORARRAY(Sintesi!$C$14),1,$C366))*($E366&lt;=INDEX(_xlfn.ANCHORARRAY(Sintesi!$C$15),1,$C366))*(INDEX(_xlfn.ANCHORARRAY(Sintesi!$C$15),1,$C366)&gt;0),1,IF(($E366&gt;=LOOKUP(2,1/($E:$E&lt;&gt;""),$E:$E))*($E366&lt;=$E367)*($E366&gt;INDEX(_xlfn.ANCHORARRAY(Sintesi!$C$14),1,$C366))*($E366&lt;INDEX(_xlfn.ANCHORARRAY(Sintesi!$C$16),1,$C366))*(INDEX(_xlfn.ANCHORARRAY(Sintesi!$C$15),1,$C366)&lt;0)+($E366&gt;=LOOKUP(2,1/($E:$E&lt;&gt;""),$E:$E))*($E366&lt;=$E367)*($E366&gt;INDEX(_xlfn.ANCHORARRAY(Sintesi!$C$15),1,$C366))*($E366&lt;INDEX(_xlfn.ANCHORARRAY(Sintesi!$C$16),1,$C366))*(INDEX(_xlfn.ANCHORARRAY(Sintesi!$C$15),1,$C366)&gt;0),2,IF($E366=(INDEX(_xlfn.ANCHORARRAY(Sintesi!$C$16),1,$C366)),3,4)))),0)))</f>
        <v/>
      </c>
      <c r="E366" s="1">
        <f>'Paste cell here'!F366</f>
        <v/>
      </c>
      <c r="F366" s="1">
        <f>'Paste cell here'!C366</f>
        <v/>
      </c>
      <c r="G366" s="1">
        <f>'Paste cell here'!D366</f>
        <v/>
      </c>
      <c r="H366" s="1">
        <f>'Paste cell here'!E366</f>
        <v/>
      </c>
      <c r="I366" s="1">
        <f>'Paste cell here'!X366</f>
        <v/>
      </c>
      <c r="J366" s="1">
        <f>'Paste cell here'!Y366+'Paste cell here'!S366</f>
        <v/>
      </c>
      <c r="K366" s="1">
        <f>I366/H366</f>
        <v/>
      </c>
      <c r="L366" s="1">
        <f>AVERAGE(($F366+$G366)/2-($F366-$G366)/2*COS(PI()*(8-VLOOKUP(MONTH(B366),$O$1:$Q$13,3))/(VLOOKUP(MONTH(B366),$O$1:$Q$13,2)-VLOOKUP(MONTH(B366),$O$1:$Q$13,3))),($F366+$G366)/2-($F366-$G366)/2*COS(PI()*(9-VLOOKUP(MONTH(B366),$O$1:$Q$13,3))/(VLOOKUP(MONTH(B366),$O$1:$Q$13,2)-VLOOKUP(MONTH(B366),$O$1:$Q$13,3))),($F366+$G366)/2-($F366-$G366)/2*COS(PI()*(10-VLOOKUP(MONTH(B366),$O$1:$Q$13,3))/(VLOOKUP(MONTH(B366),$O$1:$Q$13,2)-VLOOKUP(MONTH(B366),$O$1:$Q$13,3))),($F366+$G366)/2-($F366-$G366)/2*COS(PI()*(11-VLOOKUP(MONTH(B366),$O$1:$Q$13,3))/(VLOOKUP(MONTH(B366),$O$1:$Q$13,2)-VLOOKUP(MONTH(B366),$O$1:$Q$13,3))),($F366+$G366)/2-($F366-$G366)/2*COS(PI()*(12-VLOOKUP(MONTH(B366),$O$1:$Q$13,3))/(VLOOKUP(MONTH(B366),$O$1:$Q$13,2)-VLOOKUP(MONTH(B366),$O$1:$Q$13,3))),($F366+$G366)/2-($F366-$G366)/2*COS(PI()*(13-VLOOKUP(MONTH(B366),$O$1:$Q$13,3))/(VLOOKUP(MONTH(B366),$O$1:$Q$13,2)-VLOOKUP(MONTH(B366),$O$1:$Q$13,3))),($F366+$G366)/2-($F366-$G366)/2*COS(PI()*(14-VLOOKUP(MONTH(B366),$O$1:$Q$13,3))/(VLOOKUP(MONTH(B366),$O$1:$Q$13,2)-VLOOKUP(MONTH(B366),$O$1:$Q$13,3))))</f>
        <v/>
      </c>
      <c r="M366" s="1">
        <f t="array" ref="M366">IF(AND(A366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366&gt;=_xlfn.ANCHORARRAY(Sintesi!$C$9))+(_xlfn.ANCHORARRAY(Sintesi!$C$9)&gt;_xlfn.ANCHORARRAY(Sintesi!$C$10))*(A366&lt;=_xlfn.ANCHORARRAY(Sintesi!$C$10))+(_xlfn.ANCHORARRAY(Sintesi!$C$9)&lt;_xlfn.ANCHORARRAY(Sintesi!$C$10))*(A366&gt;=_xlfn.ANCHORARRAY(Sintesi!$C$9))*(A366&lt;=_xlfn.ANCHORARRAY(Sintesi!$C$10)),0)),0),A366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367&gt;=_xlfn.ANCHORARRAY(Sintesi!$C$9))+(_xlfn.ANCHORARRAY(Sintesi!$C$9)&gt;_xlfn.ANCHORARRAY(Sintesi!$C$10))*(A367&lt;=_xlfn.ANCHORARRAY(Sintesi!$C$10))+(_xlfn.ANCHORARRAY(Sintesi!$C$9)&lt;_xlfn.ANCHORARRAY(Sintesi!$C$10))*(A367&gt;=_xlfn.ANCHORARRAY(Sintesi!$C$9))*(A367&lt;=_xlfn.ANCHORARRAY(Sintesi!$C$10)),0)),0)),IF(L366&lt;_xlfn.IFNA(INDEX(_xlfn.ANCHORARRAY(Sintesi!$C$17)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,1,IF(L366&gt;=_xlfn.IFNA(INDEX(_xlfn.ANCHORARRAY(Sintesi!$C$18)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,0,1-(L366-_xlfn.IFNA(INDEX(_xlfn.ANCHORARRAY(Sintesi!$C$17)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)/(_xlfn.IFNA(INDEX(_xlfn.ANCHORARRAY(Sintesi!$C$18)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-_xlfn.IFNA(INDEX(_xlfn.ANCHORARRAY(Sintesi!$C$17)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))),0)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Foglio6">
    <outlinePr summaryBelow="1" summaryRight="1"/>
    <pageSetUpPr/>
  </sheetPr>
  <dimension ref="A1:Z370"/>
  <sheetViews>
    <sheetView zoomScale="120" zoomScaleNormal="55" workbookViewId="0">
      <pane xSplit="2" ySplit="1" topLeftCell="D102" activePane="bottomRight" state="frozen"/>
      <selection pane="topRight" activeCell="C1" sqref="C1"/>
      <selection pane="bottomLeft" activeCell="A2" sqref="A2"/>
      <selection pane="bottomRight" activeCell="D102" sqref="D102"/>
    </sheetView>
  </sheetViews>
  <sheetFormatPr baseColWidth="8" defaultColWidth="14.140625" defaultRowHeight="11.25"/>
  <cols>
    <col width="14.140625" customWidth="1" style="1" min="1" max="1"/>
    <col width="10.140625" bestFit="1" customWidth="1" style="1" min="2" max="2"/>
    <col width="14.140625" customWidth="1" style="1" min="3" max="4"/>
    <col width="15" customWidth="1" style="1" min="5" max="5"/>
    <col width="31.5703125" customWidth="1" style="1" min="6" max="6"/>
    <col width="19.42578125" customWidth="1" style="1" min="7" max="7"/>
    <col width="13.5703125" bestFit="1" customWidth="1" style="1" min="8" max="8"/>
    <col width="13.42578125" bestFit="1" customWidth="1" style="1" min="9" max="9"/>
    <col width="13.140625" bestFit="1" customWidth="1" style="1" min="10" max="10"/>
    <col width="14.140625" customWidth="1" style="1" min="11" max="12"/>
    <col width="14.42578125" bestFit="1" customWidth="1" style="1" min="13" max="13"/>
    <col width="15.42578125" bestFit="1" customWidth="1" style="1" min="14" max="14"/>
    <col width="16.42578125" bestFit="1" customWidth="1" style="1" min="15" max="15"/>
    <col width="16.42578125" customWidth="1" style="1" min="16" max="16"/>
    <col width="10.42578125" bestFit="1" customWidth="1" style="1" min="17" max="17"/>
    <col width="20.42578125" bestFit="1" customWidth="1" style="1" min="18" max="18"/>
    <col width="14.140625" customWidth="1" style="1" min="19" max="20"/>
    <col width="14.5703125" bestFit="1" customWidth="1" style="1" min="21" max="21"/>
    <col width="14.140625" customWidth="1" style="1" min="22" max="22"/>
    <col width="9.5703125" customWidth="1" style="1" min="23" max="23"/>
    <col width="14.140625" customWidth="1" style="1" min="24" max="16384"/>
  </cols>
  <sheetData>
    <row r="1" ht="23.25" customHeight="1">
      <c r="A1" s="3" t="inlineStr">
        <is>
          <t>Giorno giuliano</t>
        </is>
      </c>
      <c r="B1" s="3" t="inlineStr">
        <is>
          <t>Giorno</t>
        </is>
      </c>
      <c r="C1" s="3" t="inlineStr">
        <is>
          <t>Precipitazioni [mm]</t>
        </is>
      </c>
      <c r="D1" s="3" t="inlineStr">
        <is>
          <t>Irrigazione [mm]</t>
        </is>
      </c>
      <c r="E1" s="3" t="inlineStr">
        <is>
          <t>Pioggia efficace [mm]</t>
        </is>
      </c>
      <c r="F1" s="3" t="inlineStr">
        <is>
          <t>H2O disponibile lorda [mm]</t>
        </is>
      </c>
      <c r="G1" s="3" t="inlineStr">
        <is>
          <t>H2O disponibile netta [mm]</t>
        </is>
      </c>
      <c r="H1" s="3" t="inlineStr">
        <is>
          <t>Intercezione [mm]</t>
        </is>
      </c>
      <c r="I1" s="3" t="inlineStr">
        <is>
          <t>Scorrimento [mm]</t>
        </is>
      </c>
      <c r="J1" s="3" t="inlineStr">
        <is>
          <t>Infiltrazione [mm]</t>
        </is>
      </c>
      <c r="K1" s="3" t="inlineStr">
        <is>
          <t>Evaporazione [mm]</t>
        </is>
      </c>
      <c r="L1" s="3" t="inlineStr">
        <is>
          <t>Traspirazione [mm]</t>
        </is>
      </c>
      <c r="M1" s="3" t="inlineStr">
        <is>
          <t>Percolazione [mm]</t>
        </is>
      </c>
      <c r="N1" s="3" t="inlineStr">
        <is>
          <t>Risalita dal 2° strato [mm]</t>
        </is>
      </c>
      <c r="O1" s="3" t="inlineStr">
        <is>
          <t>Contenuto idrico [mm]</t>
        </is>
      </c>
      <c r="P1" s="3" t="inlineStr">
        <is>
          <t>Contenuto idrico antecedente [mm]</t>
        </is>
      </c>
      <c r="Q1" s="3" t="inlineStr">
        <is>
          <t>Ponding [mm]</t>
        </is>
      </c>
      <c r="R1" s="4" t="inlineStr">
        <is>
          <t>Bilancio [mm]</t>
        </is>
      </c>
      <c r="S1" s="6" t="inlineStr">
        <is>
          <t>Theta wp [%]</t>
        </is>
      </c>
      <c r="T1" s="6" t="inlineStr">
        <is>
          <t>Theta fc [%]</t>
        </is>
      </c>
      <c r="U1" s="3" t="inlineStr">
        <is>
          <t>Contenuto idrico [%]</t>
        </is>
      </c>
      <c r="V1" s="1" t="inlineStr">
        <is>
          <t>TAW I [%]</t>
        </is>
      </c>
      <c r="W1" s="4" t="inlineStr">
        <is>
          <t>p [-]</t>
        </is>
      </c>
      <c r="X1" s="1" t="inlineStr">
        <is>
          <t>RAW I [%]</t>
        </is>
      </c>
      <c r="Y1" s="1" t="inlineStr">
        <is>
          <t>FC-RAW</t>
        </is>
      </c>
      <c r="Z1" s="1" t="inlineStr">
        <is>
          <t>teta s</t>
        </is>
      </c>
    </row>
    <row r="2">
      <c r="A2" s="1" t="n">
        <v>1</v>
      </c>
      <c r="B2" s="2">
        <f>DATE(Sintesi!$C$4-1,12,31)+A2</f>
        <v/>
      </c>
      <c r="C2" s="1">
        <f>'Paste cell here'!B2</f>
        <v/>
      </c>
      <c r="D2" s="1">
        <f>'Paste cell here'!I2</f>
        <v/>
      </c>
      <c r="E2" s="1">
        <f>'Paste cell here'!J2</f>
        <v/>
      </c>
      <c r="F2" s="1">
        <f>'Paste cell here'!K2</f>
        <v/>
      </c>
      <c r="G2" s="1">
        <f>'Paste cell here'!L2</f>
        <v/>
      </c>
      <c r="H2" s="1">
        <f>'Paste cell here'!M2</f>
        <v/>
      </c>
      <c r="I2" s="1">
        <f>'Paste cell here'!N2</f>
        <v/>
      </c>
      <c r="J2" s="1">
        <f>'Paste cell here'!O2</f>
        <v/>
      </c>
      <c r="K2" s="1">
        <f>'Paste cell here'!Q2</f>
        <v/>
      </c>
      <c r="L2" s="1">
        <f>'Paste cell here'!S2</f>
        <v/>
      </c>
      <c r="M2" s="1">
        <f>'Paste cell here'!T2</f>
        <v/>
      </c>
      <c r="N2" s="1">
        <f>'Paste cell here'!W2</f>
        <v/>
      </c>
      <c r="O2" s="1">
        <f>'Paste cell here'!U2</f>
        <v/>
      </c>
      <c r="Q2" s="1">
        <f>'Paste cell here'!V2</f>
        <v/>
      </c>
      <c r="S2" s="7">
        <f>Sintesi!$C$30</f>
        <v/>
      </c>
      <c r="T2" s="7">
        <f>Sintesi!$C$29</f>
        <v/>
      </c>
      <c r="U2" s="5">
        <f>O2/(Sintesi!$C$5*1000)</f>
        <v/>
      </c>
      <c r="V2" s="1">
        <f>T2-S2</f>
        <v/>
      </c>
      <c r="W2" s="1" t="n">
        <v>0.699999995529651</v>
      </c>
      <c r="X2" s="1">
        <f>W2*V2</f>
        <v/>
      </c>
      <c r="Y2" s="1">
        <f>T2-X2</f>
        <v/>
      </c>
      <c r="Z2" s="1">
        <f>'Paste cellinfo here'!$B$11</f>
        <v/>
      </c>
    </row>
    <row r="3">
      <c r="A3" s="1" t="n">
        <v>2</v>
      </c>
      <c r="B3" s="2">
        <f>DATE(Sintesi!$C$4-1,12,31)+A3</f>
        <v/>
      </c>
      <c r="C3" s="1">
        <f>'Paste cell here'!B3</f>
        <v/>
      </c>
      <c r="D3" s="1">
        <f>'Paste cell here'!I3</f>
        <v/>
      </c>
      <c r="E3" s="1">
        <f>'Paste cell here'!J3</f>
        <v/>
      </c>
      <c r="F3" s="1">
        <f>'Paste cell here'!K3</f>
        <v/>
      </c>
      <c r="G3" s="1">
        <f>'Paste cell here'!L3</f>
        <v/>
      </c>
      <c r="H3" s="1">
        <f>'Paste cell here'!M3</f>
        <v/>
      </c>
      <c r="I3" s="1">
        <f>'Paste cell here'!N3</f>
        <v/>
      </c>
      <c r="J3" s="1">
        <f>'Paste cell here'!O3</f>
        <v/>
      </c>
      <c r="K3" s="1">
        <f>'Paste cell here'!Q3</f>
        <v/>
      </c>
      <c r="L3" s="1">
        <f>'Paste cell here'!S3</f>
        <v/>
      </c>
      <c r="M3" s="1">
        <f>'Paste cell here'!T3</f>
        <v/>
      </c>
      <c r="N3" s="1">
        <f>'Paste cell here'!W3</f>
        <v/>
      </c>
      <c r="O3" s="1">
        <f>'Paste cell here'!U3</f>
        <v/>
      </c>
      <c r="P3" s="1">
        <f>O2</f>
        <v/>
      </c>
      <c r="Q3" s="1">
        <f>'Paste cell here'!V3</f>
        <v/>
      </c>
      <c r="R3" s="1">
        <f>ABS(O2+C3+D3+N3+Q2-H3-I3-K3-L3-M3-O3-Q3)</f>
        <v/>
      </c>
      <c r="S3" s="7">
        <f>Sintesi!$C$30</f>
        <v/>
      </c>
      <c r="T3" s="7">
        <f>Sintesi!$C$29</f>
        <v/>
      </c>
      <c r="U3" s="5">
        <f>O3/(Sintesi!$C$5*1000)</f>
        <v/>
      </c>
      <c r="V3" s="1">
        <f>T3-S3</f>
        <v/>
      </c>
      <c r="W3" s="1" t="n">
        <v>0.683429960128341</v>
      </c>
      <c r="X3" s="1">
        <f>W3*V3</f>
        <v/>
      </c>
      <c r="Y3" s="1">
        <f>T3-X3</f>
        <v/>
      </c>
      <c r="Z3" s="1">
        <f>'Paste cellinfo here'!$B$11</f>
        <v/>
      </c>
    </row>
    <row r="4">
      <c r="A4" s="1" t="n">
        <v>3</v>
      </c>
      <c r="B4" s="2">
        <f>DATE(Sintesi!$C$4-1,12,31)+A4</f>
        <v/>
      </c>
      <c r="C4" s="1">
        <f>'Paste cell here'!B4</f>
        <v/>
      </c>
      <c r="D4" s="1">
        <f>'Paste cell here'!I4</f>
        <v/>
      </c>
      <c r="E4" s="1">
        <f>'Paste cell here'!J4</f>
        <v/>
      </c>
      <c r="F4" s="1">
        <f>'Paste cell here'!K4</f>
        <v/>
      </c>
      <c r="G4" s="1">
        <f>'Paste cell here'!L4</f>
        <v/>
      </c>
      <c r="H4" s="1">
        <f>'Paste cell here'!M4</f>
        <v/>
      </c>
      <c r="I4" s="1">
        <f>'Paste cell here'!N4</f>
        <v/>
      </c>
      <c r="J4" s="1">
        <f>'Paste cell here'!O4</f>
        <v/>
      </c>
      <c r="K4" s="1">
        <f>'Paste cell here'!Q4</f>
        <v/>
      </c>
      <c r="L4" s="1">
        <f>'Paste cell here'!S4</f>
        <v/>
      </c>
      <c r="M4" s="1">
        <f>'Paste cell here'!T4</f>
        <v/>
      </c>
      <c r="N4" s="1">
        <f>'Paste cell here'!W4</f>
        <v/>
      </c>
      <c r="O4" s="1">
        <f>'Paste cell here'!U4</f>
        <v/>
      </c>
      <c r="P4" s="1">
        <f>O3</f>
        <v/>
      </c>
      <c r="Q4" s="1">
        <f>'Paste cell here'!V4</f>
        <v/>
      </c>
      <c r="R4" s="1">
        <f>ABS(O3+C4+D4+N4+Q3-H4-I4-K4-L4-M4-O4-Q4)</f>
        <v/>
      </c>
      <c r="S4" s="7">
        <f>Sintesi!$C$30</f>
        <v/>
      </c>
      <c r="T4" s="7">
        <f>Sintesi!$C$29</f>
        <v/>
      </c>
      <c r="U4" s="5">
        <f>O4/(Sintesi!$C$5*1000)</f>
        <v/>
      </c>
      <c r="V4" s="1">
        <f>T4-S4</f>
        <v/>
      </c>
      <c r="W4" s="1" t="n">
        <v>0.672754833395608</v>
      </c>
      <c r="X4" s="1">
        <f>W4*V4</f>
        <v/>
      </c>
      <c r="Y4" s="1">
        <f>T4-X4</f>
        <v/>
      </c>
      <c r="Z4" s="1">
        <f>'Paste cellinfo here'!$B$11</f>
        <v/>
      </c>
    </row>
    <row r="5">
      <c r="A5" s="1" t="n">
        <v>4</v>
      </c>
      <c r="B5" s="2">
        <f>DATE(Sintesi!$C$4-1,12,31)+A5</f>
        <v/>
      </c>
      <c r="C5" s="1">
        <f>'Paste cell here'!B5</f>
        <v/>
      </c>
      <c r="D5" s="1">
        <f>'Paste cell here'!I5</f>
        <v/>
      </c>
      <c r="E5" s="1">
        <f>'Paste cell here'!J5</f>
        <v/>
      </c>
      <c r="F5" s="1">
        <f>'Paste cell here'!K5</f>
        <v/>
      </c>
      <c r="G5" s="1">
        <f>'Paste cell here'!L5</f>
        <v/>
      </c>
      <c r="H5" s="1">
        <f>'Paste cell here'!M5</f>
        <v/>
      </c>
      <c r="I5" s="1">
        <f>'Paste cell here'!N5</f>
        <v/>
      </c>
      <c r="J5" s="1">
        <f>'Paste cell here'!O5</f>
        <v/>
      </c>
      <c r="K5" s="1">
        <f>'Paste cell here'!Q5</f>
        <v/>
      </c>
      <c r="L5" s="1">
        <f>'Paste cell here'!S5</f>
        <v/>
      </c>
      <c r="M5" s="1">
        <f>'Paste cell here'!T5</f>
        <v/>
      </c>
      <c r="N5" s="1">
        <f>'Paste cell here'!W5</f>
        <v/>
      </c>
      <c r="O5" s="1">
        <f>'Paste cell here'!U5</f>
        <v/>
      </c>
      <c r="P5" s="1">
        <f>O4</f>
        <v/>
      </c>
      <c r="Q5" s="1">
        <f>'Paste cell here'!V5</f>
        <v/>
      </c>
      <c r="R5" s="1">
        <f>ABS(O4+C5+D5+N5+Q4-H5-I5-K5-L5-M5-O5-Q5)</f>
        <v/>
      </c>
      <c r="S5" s="7">
        <f>Sintesi!$C$30</f>
        <v/>
      </c>
      <c r="T5" s="7">
        <f>Sintesi!$C$29</f>
        <v/>
      </c>
      <c r="U5" s="5">
        <f>O5/(Sintesi!$C$5*1000)</f>
        <v/>
      </c>
      <c r="V5" s="1">
        <f>T5-S5</f>
        <v/>
      </c>
      <c r="W5" s="1" t="n">
        <v>0.6729335072685519</v>
      </c>
      <c r="X5" s="1">
        <f>W5*V5</f>
        <v/>
      </c>
      <c r="Y5" s="1">
        <f>T5-X5</f>
        <v/>
      </c>
      <c r="Z5" s="1">
        <f>'Paste cellinfo here'!$B$11</f>
        <v/>
      </c>
    </row>
    <row r="6">
      <c r="A6" s="1" t="n">
        <v>5</v>
      </c>
      <c r="B6" s="2">
        <f>DATE(Sintesi!$C$4-1,12,31)+A6</f>
        <v/>
      </c>
      <c r="C6" s="1">
        <f>'Paste cell here'!B6</f>
        <v/>
      </c>
      <c r="D6" s="1">
        <f>'Paste cell here'!I6</f>
        <v/>
      </c>
      <c r="E6" s="1">
        <f>'Paste cell here'!J6</f>
        <v/>
      </c>
      <c r="F6" s="1">
        <f>'Paste cell here'!K6</f>
        <v/>
      </c>
      <c r="G6" s="1">
        <f>'Paste cell here'!L6</f>
        <v/>
      </c>
      <c r="H6" s="1">
        <f>'Paste cell here'!M6</f>
        <v/>
      </c>
      <c r="I6" s="1">
        <f>'Paste cell here'!N6</f>
        <v/>
      </c>
      <c r="J6" s="1">
        <f>'Paste cell here'!O6</f>
        <v/>
      </c>
      <c r="K6" s="1">
        <f>'Paste cell here'!Q6</f>
        <v/>
      </c>
      <c r="L6" s="1">
        <f>'Paste cell here'!S6</f>
        <v/>
      </c>
      <c r="M6" s="1">
        <f>'Paste cell here'!T6</f>
        <v/>
      </c>
      <c r="N6" s="1">
        <f>'Paste cell here'!W6</f>
        <v/>
      </c>
      <c r="O6" s="1">
        <f>'Paste cell here'!U6</f>
        <v/>
      </c>
      <c r="P6" s="1">
        <f>O5</f>
        <v/>
      </c>
      <c r="Q6" s="1">
        <f>'Paste cell here'!V6</f>
        <v/>
      </c>
      <c r="R6" s="1">
        <f>ABS(O5+C6+D6+N6+Q5-H6-I6-K6-L6-M6-O6-Q6)</f>
        <v/>
      </c>
      <c r="S6" s="7">
        <f>Sintesi!$C$30</f>
        <v/>
      </c>
      <c r="T6" s="7">
        <f>Sintesi!$C$29</f>
        <v/>
      </c>
      <c r="U6" s="5">
        <f>O6/(Sintesi!$C$5*1000)</f>
        <v/>
      </c>
      <c r="V6" s="1">
        <f>T6-S6</f>
        <v/>
      </c>
      <c r="W6" s="1" t="n">
        <v>0.681731739481359</v>
      </c>
      <c r="X6" s="1">
        <f>W6*V6</f>
        <v/>
      </c>
      <c r="Y6" s="1">
        <f>T6-X6</f>
        <v/>
      </c>
      <c r="Z6" s="1">
        <f>'Paste cellinfo here'!$B$11</f>
        <v/>
      </c>
    </row>
    <row r="7">
      <c r="A7" s="1" t="n">
        <v>6</v>
      </c>
      <c r="B7" s="2">
        <f>DATE(Sintesi!$C$4-1,12,31)+A7</f>
        <v/>
      </c>
      <c r="C7" s="1">
        <f>'Paste cell here'!B7</f>
        <v/>
      </c>
      <c r="D7" s="1">
        <f>'Paste cell here'!I7</f>
        <v/>
      </c>
      <c r="E7" s="1">
        <f>'Paste cell here'!J7</f>
        <v/>
      </c>
      <c r="F7" s="1">
        <f>'Paste cell here'!K7</f>
        <v/>
      </c>
      <c r="G7" s="1">
        <f>'Paste cell here'!L7</f>
        <v/>
      </c>
      <c r="H7" s="1">
        <f>'Paste cell here'!M7</f>
        <v/>
      </c>
      <c r="I7" s="1">
        <f>'Paste cell here'!N7</f>
        <v/>
      </c>
      <c r="J7" s="1">
        <f>'Paste cell here'!O7</f>
        <v/>
      </c>
      <c r="K7" s="1">
        <f>'Paste cell here'!Q7</f>
        <v/>
      </c>
      <c r="L7" s="1">
        <f>'Paste cell here'!S7</f>
        <v/>
      </c>
      <c r="M7" s="1">
        <f>'Paste cell here'!T7</f>
        <v/>
      </c>
      <c r="N7" s="1">
        <f>'Paste cell here'!W7</f>
        <v/>
      </c>
      <c r="O7" s="1">
        <f>'Paste cell here'!U7</f>
        <v/>
      </c>
      <c r="P7" s="1">
        <f>O6</f>
        <v/>
      </c>
      <c r="Q7" s="1">
        <f>'Paste cell here'!V7</f>
        <v/>
      </c>
      <c r="R7" s="1">
        <f>ABS(O6+C7+D7+N7+Q6-H7-I7-K7-L7-M7-O7-Q7)</f>
        <v/>
      </c>
      <c r="S7" s="7">
        <f>Sintesi!$C$30</f>
        <v/>
      </c>
      <c r="T7" s="7">
        <f>Sintesi!$C$29</f>
        <v/>
      </c>
      <c r="U7" s="5">
        <f>O7/(Sintesi!$C$5*1000)</f>
        <v/>
      </c>
      <c r="V7" s="1">
        <f>T7-S7</f>
        <v/>
      </c>
      <c r="W7" s="1" t="n">
        <v>0.681738093755534</v>
      </c>
      <c r="X7" s="1">
        <f>W7*V7</f>
        <v/>
      </c>
      <c r="Y7" s="1">
        <f>T7-X7</f>
        <v/>
      </c>
      <c r="Z7" s="1">
        <f>'Paste cellinfo here'!$B$11</f>
        <v/>
      </c>
    </row>
    <row r="8">
      <c r="A8" s="1" t="n">
        <v>7</v>
      </c>
      <c r="B8" s="2">
        <f>DATE(Sintesi!$C$4-1,12,31)+A8</f>
        <v/>
      </c>
      <c r="C8" s="1">
        <f>'Paste cell here'!B8</f>
        <v/>
      </c>
      <c r="D8" s="1">
        <f>'Paste cell here'!I8</f>
        <v/>
      </c>
      <c r="E8" s="1">
        <f>'Paste cell here'!J8</f>
        <v/>
      </c>
      <c r="F8" s="1">
        <f>'Paste cell here'!K8</f>
        <v/>
      </c>
      <c r="G8" s="1">
        <f>'Paste cell here'!L8</f>
        <v/>
      </c>
      <c r="H8" s="1">
        <f>'Paste cell here'!M8</f>
        <v/>
      </c>
      <c r="I8" s="1">
        <f>'Paste cell here'!N8</f>
        <v/>
      </c>
      <c r="J8" s="1">
        <f>'Paste cell here'!O8</f>
        <v/>
      </c>
      <c r="K8" s="1">
        <f>'Paste cell here'!Q8</f>
        <v/>
      </c>
      <c r="L8" s="1">
        <f>'Paste cell here'!S8</f>
        <v/>
      </c>
      <c r="M8" s="1">
        <f>'Paste cell here'!T8</f>
        <v/>
      </c>
      <c r="N8" s="1">
        <f>'Paste cell here'!W8</f>
        <v/>
      </c>
      <c r="O8" s="1">
        <f>'Paste cell here'!U8</f>
        <v/>
      </c>
      <c r="P8" s="1">
        <f>O7</f>
        <v/>
      </c>
      <c r="Q8" s="1">
        <f>'Paste cell here'!V8</f>
        <v/>
      </c>
      <c r="R8" s="1">
        <f>ABS(O7+C8+D8+N8+Q7-H8-I8-K8-L8-M8-O8-Q8)</f>
        <v/>
      </c>
      <c r="S8" s="7">
        <f>Sintesi!$C$30</f>
        <v/>
      </c>
      <c r="T8" s="7">
        <f>Sintesi!$C$29</f>
        <v/>
      </c>
      <c r="U8" s="5">
        <f>O8/(Sintesi!$C$5*1000)</f>
        <v/>
      </c>
      <c r="V8" s="1">
        <f>T8-S8</f>
        <v/>
      </c>
      <c r="W8" s="1" t="n">
        <v>0.683608897752875</v>
      </c>
      <c r="X8" s="1">
        <f>W8*V8</f>
        <v/>
      </c>
      <c r="Y8" s="1">
        <f>T8-X8</f>
        <v/>
      </c>
      <c r="Z8" s="1">
        <f>'Paste cellinfo here'!$B$11</f>
        <v/>
      </c>
    </row>
    <row r="9">
      <c r="A9" s="1" t="n">
        <v>8</v>
      </c>
      <c r="B9" s="2">
        <f>DATE(Sintesi!$C$4-1,12,31)+A9</f>
        <v/>
      </c>
      <c r="C9" s="1">
        <f>'Paste cell here'!B9</f>
        <v/>
      </c>
      <c r="D9" s="1">
        <f>'Paste cell here'!I9</f>
        <v/>
      </c>
      <c r="E9" s="1">
        <f>'Paste cell here'!J9</f>
        <v/>
      </c>
      <c r="F9" s="1">
        <f>'Paste cell here'!K9</f>
        <v/>
      </c>
      <c r="G9" s="1">
        <f>'Paste cell here'!L9</f>
        <v/>
      </c>
      <c r="H9" s="1">
        <f>'Paste cell here'!M9</f>
        <v/>
      </c>
      <c r="I9" s="1">
        <f>'Paste cell here'!N9</f>
        <v/>
      </c>
      <c r="J9" s="1">
        <f>'Paste cell here'!O9</f>
        <v/>
      </c>
      <c r="K9" s="1">
        <f>'Paste cell here'!Q9</f>
        <v/>
      </c>
      <c r="L9" s="1">
        <f>'Paste cell here'!S9</f>
        <v/>
      </c>
      <c r="M9" s="1">
        <f>'Paste cell here'!T9</f>
        <v/>
      </c>
      <c r="N9" s="1">
        <f>'Paste cell here'!W9</f>
        <v/>
      </c>
      <c r="O9" s="1">
        <f>'Paste cell here'!U9</f>
        <v/>
      </c>
      <c r="P9" s="1">
        <f>O8</f>
        <v/>
      </c>
      <c r="Q9" s="1">
        <f>'Paste cell here'!V9</f>
        <v/>
      </c>
      <c r="R9" s="1">
        <f>ABS(O8+C9+D9+N9+Q8-H9-I9-K9-L9-M9-O9-Q9)</f>
        <v/>
      </c>
      <c r="S9" s="7">
        <f>Sintesi!$C$30</f>
        <v/>
      </c>
      <c r="T9" s="7">
        <f>Sintesi!$C$29</f>
        <v/>
      </c>
      <c r="U9" s="5">
        <f>O9/(Sintesi!$C$5*1000)</f>
        <v/>
      </c>
      <c r="V9" s="1">
        <f>T9-S9</f>
        <v/>
      </c>
      <c r="W9" s="1" t="n">
        <v>0.682589783167878</v>
      </c>
      <c r="X9" s="1">
        <f>W9*V9</f>
        <v/>
      </c>
      <c r="Y9" s="1">
        <f>T9-X9</f>
        <v/>
      </c>
      <c r="Z9" s="1">
        <f>'Paste cellinfo here'!$B$11</f>
        <v/>
      </c>
    </row>
    <row r="10">
      <c r="A10" s="1" t="n">
        <v>9</v>
      </c>
      <c r="B10" s="2">
        <f>DATE(Sintesi!$C$4-1,12,31)+A10</f>
        <v/>
      </c>
      <c r="C10" s="1">
        <f>'Paste cell here'!B10</f>
        <v/>
      </c>
      <c r="D10" s="1">
        <f>'Paste cell here'!I10</f>
        <v/>
      </c>
      <c r="E10" s="1">
        <f>'Paste cell here'!J10</f>
        <v/>
      </c>
      <c r="F10" s="1">
        <f>'Paste cell here'!K10</f>
        <v/>
      </c>
      <c r="G10" s="1">
        <f>'Paste cell here'!L10</f>
        <v/>
      </c>
      <c r="H10" s="1">
        <f>'Paste cell here'!M10</f>
        <v/>
      </c>
      <c r="I10" s="1">
        <f>'Paste cell here'!N10</f>
        <v/>
      </c>
      <c r="J10" s="1">
        <f>'Paste cell here'!O10</f>
        <v/>
      </c>
      <c r="K10" s="1">
        <f>'Paste cell here'!Q10</f>
        <v/>
      </c>
      <c r="L10" s="1">
        <f>'Paste cell here'!S10</f>
        <v/>
      </c>
      <c r="M10" s="1">
        <f>'Paste cell here'!T10</f>
        <v/>
      </c>
      <c r="N10" s="1">
        <f>'Paste cell here'!W10</f>
        <v/>
      </c>
      <c r="O10" s="1">
        <f>'Paste cell here'!U10</f>
        <v/>
      </c>
      <c r="P10" s="1">
        <f>O9</f>
        <v/>
      </c>
      <c r="Q10" s="1">
        <f>'Paste cell here'!V10</f>
        <v/>
      </c>
      <c r="R10" s="1">
        <f>ABS(O9+C10+D10+N10+Q9-H10-I10-K10-L10-M10-O10-Q10)</f>
        <v/>
      </c>
      <c r="S10" s="7">
        <f>Sintesi!$C$30</f>
        <v/>
      </c>
      <c r="T10" s="7">
        <f>Sintesi!$C$29</f>
        <v/>
      </c>
      <c r="U10" s="5">
        <f>O10/(Sintesi!$C$5*1000)</f>
        <v/>
      </c>
      <c r="V10" s="1">
        <f>T10-S10</f>
        <v/>
      </c>
      <c r="W10" s="1" t="n">
        <v>0.686143446300279</v>
      </c>
      <c r="X10" s="1">
        <f>W10*V10</f>
        <v/>
      </c>
      <c r="Y10" s="1">
        <f>T10-X10</f>
        <v/>
      </c>
      <c r="Z10" s="1">
        <f>'Paste cellinfo here'!$B$11</f>
        <v/>
      </c>
    </row>
    <row r="11">
      <c r="A11" s="1" t="n">
        <v>10</v>
      </c>
      <c r="B11" s="2">
        <f>DATE(Sintesi!$C$4-1,12,31)+A11</f>
        <v/>
      </c>
      <c r="C11" s="1">
        <f>'Paste cell here'!B11</f>
        <v/>
      </c>
      <c r="D11" s="1">
        <f>'Paste cell here'!I11</f>
        <v/>
      </c>
      <c r="E11" s="1">
        <f>'Paste cell here'!J11</f>
        <v/>
      </c>
      <c r="F11" s="1">
        <f>'Paste cell here'!K11</f>
        <v/>
      </c>
      <c r="G11" s="1">
        <f>'Paste cell here'!L11</f>
        <v/>
      </c>
      <c r="H11" s="1">
        <f>'Paste cell here'!M11</f>
        <v/>
      </c>
      <c r="I11" s="1">
        <f>'Paste cell here'!N11</f>
        <v/>
      </c>
      <c r="J11" s="1">
        <f>'Paste cell here'!O11</f>
        <v/>
      </c>
      <c r="K11" s="1">
        <f>'Paste cell here'!Q11</f>
        <v/>
      </c>
      <c r="L11" s="1">
        <f>'Paste cell here'!S11</f>
        <v/>
      </c>
      <c r="M11" s="1">
        <f>'Paste cell here'!T11</f>
        <v/>
      </c>
      <c r="N11" s="1">
        <f>'Paste cell here'!W11</f>
        <v/>
      </c>
      <c r="O11" s="1">
        <f>'Paste cell here'!U11</f>
        <v/>
      </c>
      <c r="P11" s="1">
        <f>O10</f>
        <v/>
      </c>
      <c r="Q11" s="1">
        <f>'Paste cell here'!V11</f>
        <v/>
      </c>
      <c r="R11" s="1">
        <f>ABS(O10+C11+D11+N11+Q10-H11-I11-K11-L11-M11-O11-Q11)</f>
        <v/>
      </c>
      <c r="S11" s="7">
        <f>Sintesi!$C$30</f>
        <v/>
      </c>
      <c r="T11" s="7">
        <f>Sintesi!$C$29</f>
        <v/>
      </c>
      <c r="U11" s="5">
        <f>O11/(Sintesi!$C$5*1000)</f>
        <v/>
      </c>
      <c r="V11" s="1">
        <f>T11-S11</f>
        <v/>
      </c>
      <c r="W11" s="1" t="n">
        <v>0.67579694797038</v>
      </c>
      <c r="X11" s="1">
        <f>W11*V11</f>
        <v/>
      </c>
      <c r="Y11" s="1">
        <f>T11-X11</f>
        <v/>
      </c>
      <c r="Z11" s="1">
        <f>'Paste cellinfo here'!$B$11</f>
        <v/>
      </c>
    </row>
    <row r="12">
      <c r="A12" s="1" t="n">
        <v>11</v>
      </c>
      <c r="B12" s="2">
        <f>DATE(Sintesi!$C$4-1,12,31)+A12</f>
        <v/>
      </c>
      <c r="C12" s="1">
        <f>'Paste cell here'!B12</f>
        <v/>
      </c>
      <c r="D12" s="1">
        <f>'Paste cell here'!I12</f>
        <v/>
      </c>
      <c r="E12" s="1">
        <f>'Paste cell here'!J12</f>
        <v/>
      </c>
      <c r="F12" s="1">
        <f>'Paste cell here'!K12</f>
        <v/>
      </c>
      <c r="G12" s="1">
        <f>'Paste cell here'!L12</f>
        <v/>
      </c>
      <c r="H12" s="1">
        <f>'Paste cell here'!M12</f>
        <v/>
      </c>
      <c r="I12" s="1">
        <f>'Paste cell here'!N12</f>
        <v/>
      </c>
      <c r="J12" s="1">
        <f>'Paste cell here'!O12</f>
        <v/>
      </c>
      <c r="K12" s="1">
        <f>'Paste cell here'!Q12</f>
        <v/>
      </c>
      <c r="L12" s="1">
        <f>'Paste cell here'!S12</f>
        <v/>
      </c>
      <c r="M12" s="1">
        <f>'Paste cell here'!T12</f>
        <v/>
      </c>
      <c r="N12" s="1">
        <f>'Paste cell here'!W12</f>
        <v/>
      </c>
      <c r="O12" s="1">
        <f>'Paste cell here'!U12</f>
        <v/>
      </c>
      <c r="P12" s="1">
        <f>O11</f>
        <v/>
      </c>
      <c r="Q12" s="1">
        <f>'Paste cell here'!V12</f>
        <v/>
      </c>
      <c r="R12" s="1">
        <f>ABS(O11+C12+D12+N12+Q11-H12-I12-K12-L12-M12-O12-Q12)</f>
        <v/>
      </c>
      <c r="S12" s="7">
        <f>Sintesi!$C$30</f>
        <v/>
      </c>
      <c r="T12" s="7">
        <f>Sintesi!$C$29</f>
        <v/>
      </c>
      <c r="U12" s="5">
        <f>O12/(Sintesi!$C$5*1000)</f>
        <v/>
      </c>
      <c r="V12" s="1">
        <f>T12-S12</f>
        <v/>
      </c>
      <c r="W12" s="1" t="n">
        <v>0.6687127579811351</v>
      </c>
      <c r="X12" s="1">
        <f>W12*V12</f>
        <v/>
      </c>
      <c r="Y12" s="1">
        <f>T12-X12</f>
        <v/>
      </c>
      <c r="Z12" s="1">
        <f>'Paste cellinfo here'!$B$11</f>
        <v/>
      </c>
    </row>
    <row r="13">
      <c r="A13" s="1" t="n">
        <v>12</v>
      </c>
      <c r="B13" s="2">
        <f>DATE(Sintesi!$C$4-1,12,31)+A13</f>
        <v/>
      </c>
      <c r="C13" s="1">
        <f>'Paste cell here'!B13</f>
        <v/>
      </c>
      <c r="D13" s="1">
        <f>'Paste cell here'!I13</f>
        <v/>
      </c>
      <c r="E13" s="1">
        <f>'Paste cell here'!J13</f>
        <v/>
      </c>
      <c r="F13" s="1">
        <f>'Paste cell here'!K13</f>
        <v/>
      </c>
      <c r="G13" s="1">
        <f>'Paste cell here'!L13</f>
        <v/>
      </c>
      <c r="H13" s="1">
        <f>'Paste cell here'!M13</f>
        <v/>
      </c>
      <c r="I13" s="1">
        <f>'Paste cell here'!N13</f>
        <v/>
      </c>
      <c r="J13" s="1">
        <f>'Paste cell here'!O13</f>
        <v/>
      </c>
      <c r="K13" s="1">
        <f>'Paste cell here'!Q13</f>
        <v/>
      </c>
      <c r="L13" s="1">
        <f>'Paste cell here'!S13</f>
        <v/>
      </c>
      <c r="M13" s="1">
        <f>'Paste cell here'!T13</f>
        <v/>
      </c>
      <c r="N13" s="1">
        <f>'Paste cell here'!W13</f>
        <v/>
      </c>
      <c r="O13" s="1">
        <f>'Paste cell here'!U13</f>
        <v/>
      </c>
      <c r="P13" s="1">
        <f>O12</f>
        <v/>
      </c>
      <c r="Q13" s="1">
        <f>'Paste cell here'!V13</f>
        <v/>
      </c>
      <c r="R13" s="1">
        <f>ABS(O12+C13+D13+N13+Q12-H13-I13-K13-L13-M13-O13-Q13)</f>
        <v/>
      </c>
      <c r="S13" s="7">
        <f>Sintesi!$C$30</f>
        <v/>
      </c>
      <c r="T13" s="7">
        <f>Sintesi!$C$29</f>
        <v/>
      </c>
      <c r="U13" s="5">
        <f>O13/(Sintesi!$C$5*1000)</f>
        <v/>
      </c>
      <c r="V13" s="1">
        <f>T13-S13</f>
        <v/>
      </c>
      <c r="W13" s="1" t="n">
        <v>0.675894907584167</v>
      </c>
      <c r="X13" s="1">
        <f>W13*V13</f>
        <v/>
      </c>
      <c r="Y13" s="1">
        <f>T13-X13</f>
        <v/>
      </c>
      <c r="Z13" s="1">
        <f>'Paste cellinfo here'!$B$11</f>
        <v/>
      </c>
    </row>
    <row r="14">
      <c r="A14" s="1" t="n">
        <v>13</v>
      </c>
      <c r="B14" s="2">
        <f>DATE(Sintesi!$C$4-1,12,31)+A14</f>
        <v/>
      </c>
      <c r="C14" s="1">
        <f>'Paste cell here'!B14</f>
        <v/>
      </c>
      <c r="D14" s="1">
        <f>'Paste cell here'!I14</f>
        <v/>
      </c>
      <c r="E14" s="1">
        <f>'Paste cell here'!J14</f>
        <v/>
      </c>
      <c r="F14" s="1">
        <f>'Paste cell here'!K14</f>
        <v/>
      </c>
      <c r="G14" s="1">
        <f>'Paste cell here'!L14</f>
        <v/>
      </c>
      <c r="H14" s="1">
        <f>'Paste cell here'!M14</f>
        <v/>
      </c>
      <c r="I14" s="1">
        <f>'Paste cell here'!N14</f>
        <v/>
      </c>
      <c r="J14" s="1">
        <f>'Paste cell here'!O14</f>
        <v/>
      </c>
      <c r="K14" s="1">
        <f>'Paste cell here'!Q14</f>
        <v/>
      </c>
      <c r="L14" s="1">
        <f>'Paste cell here'!S14</f>
        <v/>
      </c>
      <c r="M14" s="1">
        <f>'Paste cell here'!T14</f>
        <v/>
      </c>
      <c r="N14" s="1">
        <f>'Paste cell here'!W14</f>
        <v/>
      </c>
      <c r="O14" s="1">
        <f>'Paste cell here'!U14</f>
        <v/>
      </c>
      <c r="P14" s="1">
        <f>O13</f>
        <v/>
      </c>
      <c r="Q14" s="1">
        <f>'Paste cell here'!V14</f>
        <v/>
      </c>
      <c r="R14" s="1">
        <f>ABS(O13+C14+D14+N14+Q13-H14-I14-K14-L14-M14-O14-Q14)</f>
        <v/>
      </c>
      <c r="S14" s="7">
        <f>Sintesi!$C$30</f>
        <v/>
      </c>
      <c r="T14" s="7">
        <f>Sintesi!$C$29</f>
        <v/>
      </c>
      <c r="U14" s="5">
        <f>O14/(Sintesi!$C$5*1000)</f>
        <v/>
      </c>
      <c r="V14" s="1">
        <f>T14-S14</f>
        <v/>
      </c>
      <c r="W14" s="1" t="n">
        <v>0.678624865584512</v>
      </c>
      <c r="X14" s="1">
        <f>W14*V14</f>
        <v/>
      </c>
      <c r="Y14" s="1">
        <f>T14-X14</f>
        <v/>
      </c>
      <c r="Z14" s="1">
        <f>'Paste cellinfo here'!$B$11</f>
        <v/>
      </c>
    </row>
    <row r="15">
      <c r="A15" s="1" t="n">
        <v>14</v>
      </c>
      <c r="B15" s="2">
        <f>DATE(Sintesi!$C$4-1,12,31)+A15</f>
        <v/>
      </c>
      <c r="C15" s="1">
        <f>'Paste cell here'!B15</f>
        <v/>
      </c>
      <c r="D15" s="1">
        <f>'Paste cell here'!I15</f>
        <v/>
      </c>
      <c r="E15" s="1">
        <f>'Paste cell here'!J15</f>
        <v/>
      </c>
      <c r="F15" s="1">
        <f>'Paste cell here'!K15</f>
        <v/>
      </c>
      <c r="G15" s="1">
        <f>'Paste cell here'!L15</f>
        <v/>
      </c>
      <c r="H15" s="1">
        <f>'Paste cell here'!M15</f>
        <v/>
      </c>
      <c r="I15" s="1">
        <f>'Paste cell here'!N15</f>
        <v/>
      </c>
      <c r="J15" s="1">
        <f>'Paste cell here'!O15</f>
        <v/>
      </c>
      <c r="K15" s="1">
        <f>'Paste cell here'!Q15</f>
        <v/>
      </c>
      <c r="L15" s="1">
        <f>'Paste cell here'!S15</f>
        <v/>
      </c>
      <c r="M15" s="1">
        <f>'Paste cell here'!T15</f>
        <v/>
      </c>
      <c r="N15" s="1">
        <f>'Paste cell here'!W15</f>
        <v/>
      </c>
      <c r="O15" s="1">
        <f>'Paste cell here'!U15</f>
        <v/>
      </c>
      <c r="P15" s="1">
        <f>O14</f>
        <v/>
      </c>
      <c r="Q15" s="1">
        <f>'Paste cell here'!V15</f>
        <v/>
      </c>
      <c r="R15" s="1">
        <f>ABS(O14+C15+D15+N15+Q14-H15-I15-K15-L15-M15-O15-Q15)</f>
        <v/>
      </c>
      <c r="S15" s="7">
        <f>Sintesi!$C$30</f>
        <v/>
      </c>
      <c r="T15" s="7">
        <f>Sintesi!$C$29</f>
        <v/>
      </c>
      <c r="U15" s="5">
        <f>O15/(Sintesi!$C$5*1000)</f>
        <v/>
      </c>
      <c r="V15" s="1">
        <f>T15-S15</f>
        <v/>
      </c>
      <c r="W15" s="1" t="n">
        <v>0.686878456200226</v>
      </c>
      <c r="X15" s="1">
        <f>W15*V15</f>
        <v/>
      </c>
      <c r="Y15" s="1">
        <f>T15-X15</f>
        <v/>
      </c>
      <c r="Z15" s="1">
        <f>'Paste cellinfo here'!$B$11</f>
        <v/>
      </c>
    </row>
    <row r="16">
      <c r="A16" s="1" t="n">
        <v>15</v>
      </c>
      <c r="B16" s="2">
        <f>DATE(Sintesi!$C$4-1,12,31)+A16</f>
        <v/>
      </c>
      <c r="C16" s="1">
        <f>'Paste cell here'!B16</f>
        <v/>
      </c>
      <c r="D16" s="1">
        <f>'Paste cell here'!I16</f>
        <v/>
      </c>
      <c r="E16" s="1">
        <f>'Paste cell here'!J16</f>
        <v/>
      </c>
      <c r="F16" s="1">
        <f>'Paste cell here'!K16</f>
        <v/>
      </c>
      <c r="G16" s="1">
        <f>'Paste cell here'!L16</f>
        <v/>
      </c>
      <c r="H16" s="1">
        <f>'Paste cell here'!M16</f>
        <v/>
      </c>
      <c r="I16" s="1">
        <f>'Paste cell here'!N16</f>
        <v/>
      </c>
      <c r="J16" s="1">
        <f>'Paste cell here'!O16</f>
        <v/>
      </c>
      <c r="K16" s="1">
        <f>'Paste cell here'!Q16</f>
        <v/>
      </c>
      <c r="L16" s="1">
        <f>'Paste cell here'!S16</f>
        <v/>
      </c>
      <c r="M16" s="1">
        <f>'Paste cell here'!T16</f>
        <v/>
      </c>
      <c r="N16" s="1">
        <f>'Paste cell here'!W16</f>
        <v/>
      </c>
      <c r="O16" s="1">
        <f>'Paste cell here'!U16</f>
        <v/>
      </c>
      <c r="P16" s="1">
        <f>O15</f>
        <v/>
      </c>
      <c r="Q16" s="1">
        <f>'Paste cell here'!V16</f>
        <v/>
      </c>
      <c r="R16" s="1">
        <f>ABS(O15+C16+D16+N16+Q15-H16-I16-K16-L16-M16-O16-Q16)</f>
        <v/>
      </c>
      <c r="S16" s="7">
        <f>Sintesi!$C$30</f>
        <v/>
      </c>
      <c r="T16" s="7">
        <f>Sintesi!$C$29</f>
        <v/>
      </c>
      <c r="U16" s="5">
        <f>O16/(Sintesi!$C$5*1000)</f>
        <v/>
      </c>
      <c r="V16" s="1">
        <f>T16-S16</f>
        <v/>
      </c>
      <c r="W16" s="1" t="n">
        <v>0.639604127032172</v>
      </c>
      <c r="X16" s="1">
        <f>W16*V16</f>
        <v/>
      </c>
      <c r="Y16" s="1">
        <f>T16-X16</f>
        <v/>
      </c>
      <c r="Z16" s="1">
        <f>'Paste cellinfo here'!$B$11</f>
        <v/>
      </c>
    </row>
    <row r="17">
      <c r="A17" s="1" t="n">
        <v>16</v>
      </c>
      <c r="B17" s="2">
        <f>DATE(Sintesi!$C$4-1,12,31)+A17</f>
        <v/>
      </c>
      <c r="C17" s="1">
        <f>'Paste cell here'!B17</f>
        <v/>
      </c>
      <c r="D17" s="1">
        <f>'Paste cell here'!I17</f>
        <v/>
      </c>
      <c r="E17" s="1">
        <f>'Paste cell here'!J17</f>
        <v/>
      </c>
      <c r="F17" s="1">
        <f>'Paste cell here'!K17</f>
        <v/>
      </c>
      <c r="G17" s="1">
        <f>'Paste cell here'!L17</f>
        <v/>
      </c>
      <c r="H17" s="1">
        <f>'Paste cell here'!M17</f>
        <v/>
      </c>
      <c r="I17" s="1">
        <f>'Paste cell here'!N17</f>
        <v/>
      </c>
      <c r="J17" s="1">
        <f>'Paste cell here'!O17</f>
        <v/>
      </c>
      <c r="K17" s="1">
        <f>'Paste cell here'!Q17</f>
        <v/>
      </c>
      <c r="L17" s="1">
        <f>'Paste cell here'!S17</f>
        <v/>
      </c>
      <c r="M17" s="1">
        <f>'Paste cell here'!T17</f>
        <v/>
      </c>
      <c r="N17" s="1">
        <f>'Paste cell here'!W17</f>
        <v/>
      </c>
      <c r="O17" s="1">
        <f>'Paste cell here'!U17</f>
        <v/>
      </c>
      <c r="P17" s="1">
        <f>O16</f>
        <v/>
      </c>
      <c r="Q17" s="1">
        <f>'Paste cell here'!V17</f>
        <v/>
      </c>
      <c r="R17" s="1">
        <f>ABS(O16+C17+D17+N17+Q16-H17-I17-K17-L17-M17-O17-Q17)</f>
        <v/>
      </c>
      <c r="S17" s="7">
        <f>Sintesi!$C$30</f>
        <v/>
      </c>
      <c r="T17" s="7">
        <f>Sintesi!$C$29</f>
        <v/>
      </c>
      <c r="U17" s="5">
        <f>O17/(Sintesi!$C$5*1000)</f>
        <v/>
      </c>
      <c r="V17" s="1">
        <f>T17-S17</f>
        <v/>
      </c>
      <c r="W17" s="1" t="n">
        <v>0.674028623727713</v>
      </c>
      <c r="X17" s="1">
        <f>W17*V17</f>
        <v/>
      </c>
      <c r="Y17" s="1">
        <f>T17-X17</f>
        <v/>
      </c>
      <c r="Z17" s="1">
        <f>'Paste cellinfo here'!$B$11</f>
        <v/>
      </c>
    </row>
    <row r="18">
      <c r="A18" s="1" t="n">
        <v>17</v>
      </c>
      <c r="B18" s="2">
        <f>DATE(Sintesi!$C$4-1,12,31)+A18</f>
        <v/>
      </c>
      <c r="C18" s="1">
        <f>'Paste cell here'!B18</f>
        <v/>
      </c>
      <c r="D18" s="1">
        <f>'Paste cell here'!I18</f>
        <v/>
      </c>
      <c r="E18" s="1">
        <f>'Paste cell here'!J18</f>
        <v/>
      </c>
      <c r="F18" s="1">
        <f>'Paste cell here'!K18</f>
        <v/>
      </c>
      <c r="G18" s="1">
        <f>'Paste cell here'!L18</f>
        <v/>
      </c>
      <c r="H18" s="1">
        <f>'Paste cell here'!M18</f>
        <v/>
      </c>
      <c r="I18" s="1">
        <f>'Paste cell here'!N18</f>
        <v/>
      </c>
      <c r="J18" s="1">
        <f>'Paste cell here'!O18</f>
        <v/>
      </c>
      <c r="K18" s="1">
        <f>'Paste cell here'!Q18</f>
        <v/>
      </c>
      <c r="L18" s="1">
        <f>'Paste cell here'!S18</f>
        <v/>
      </c>
      <c r="M18" s="1">
        <f>'Paste cell here'!T18</f>
        <v/>
      </c>
      <c r="N18" s="1">
        <f>'Paste cell here'!W18</f>
        <v/>
      </c>
      <c r="O18" s="1">
        <f>'Paste cell here'!U18</f>
        <v/>
      </c>
      <c r="P18" s="1">
        <f>O17</f>
        <v/>
      </c>
      <c r="Q18" s="1">
        <f>'Paste cell here'!V18</f>
        <v/>
      </c>
      <c r="R18" s="1">
        <f>ABS(O17+C18+D18+N18+Q17-H18-I18-K18-L18-M18-O18-Q18)</f>
        <v/>
      </c>
      <c r="S18" s="7">
        <f>Sintesi!$C$30</f>
        <v/>
      </c>
      <c r="T18" s="7">
        <f>Sintesi!$C$29</f>
        <v/>
      </c>
      <c r="U18" s="5">
        <f>O18/(Sintesi!$C$5*1000)</f>
        <v/>
      </c>
      <c r="V18" s="1">
        <f>T18-S18</f>
        <v/>
      </c>
      <c r="W18" s="1" t="n">
        <v>0.671213395301532</v>
      </c>
      <c r="X18" s="1">
        <f>W18*V18</f>
        <v/>
      </c>
      <c r="Y18" s="1">
        <f>T18-X18</f>
        <v/>
      </c>
      <c r="Z18" s="1">
        <f>'Paste cellinfo here'!$B$11</f>
        <v/>
      </c>
    </row>
    <row r="19">
      <c r="A19" s="1" t="n">
        <v>18</v>
      </c>
      <c r="B19" s="2">
        <f>DATE(Sintesi!$C$4-1,12,31)+A19</f>
        <v/>
      </c>
      <c r="C19" s="1">
        <f>'Paste cell here'!B19</f>
        <v/>
      </c>
      <c r="D19" s="1">
        <f>'Paste cell here'!I19</f>
        <v/>
      </c>
      <c r="E19" s="1">
        <f>'Paste cell here'!J19</f>
        <v/>
      </c>
      <c r="F19" s="1">
        <f>'Paste cell here'!K19</f>
        <v/>
      </c>
      <c r="G19" s="1">
        <f>'Paste cell here'!L19</f>
        <v/>
      </c>
      <c r="H19" s="1">
        <f>'Paste cell here'!M19</f>
        <v/>
      </c>
      <c r="I19" s="1">
        <f>'Paste cell here'!N19</f>
        <v/>
      </c>
      <c r="J19" s="1">
        <f>'Paste cell here'!O19</f>
        <v/>
      </c>
      <c r="K19" s="1">
        <f>'Paste cell here'!Q19</f>
        <v/>
      </c>
      <c r="L19" s="1">
        <f>'Paste cell here'!S19</f>
        <v/>
      </c>
      <c r="M19" s="1">
        <f>'Paste cell here'!T19</f>
        <v/>
      </c>
      <c r="N19" s="1">
        <f>'Paste cell here'!W19</f>
        <v/>
      </c>
      <c r="O19" s="1">
        <f>'Paste cell here'!U19</f>
        <v/>
      </c>
      <c r="P19" s="1">
        <f>O18</f>
        <v/>
      </c>
      <c r="Q19" s="1">
        <f>'Paste cell here'!V19</f>
        <v/>
      </c>
      <c r="R19" s="1">
        <f>ABS(O18+C19+D19+N19+Q18-H19-I19-K19-L19-M19-O19-Q19)</f>
        <v/>
      </c>
      <c r="S19" s="7">
        <f>Sintesi!$C$30</f>
        <v/>
      </c>
      <c r="T19" s="7">
        <f>Sintesi!$C$29</f>
        <v/>
      </c>
      <c r="U19" s="5">
        <f>O19/(Sintesi!$C$5*1000)</f>
        <v/>
      </c>
      <c r="V19" s="1">
        <f>T19-S19</f>
        <v/>
      </c>
      <c r="W19" s="1" t="n">
        <v>0.681139484052562</v>
      </c>
      <c r="X19" s="1">
        <f>W19*V19</f>
        <v/>
      </c>
      <c r="Y19" s="1">
        <f>T19-X19</f>
        <v/>
      </c>
      <c r="Z19" s="1">
        <f>'Paste cellinfo here'!$B$11</f>
        <v/>
      </c>
    </row>
    <row r="20">
      <c r="A20" s="1" t="n">
        <v>19</v>
      </c>
      <c r="B20" s="2">
        <f>DATE(Sintesi!$C$4-1,12,31)+A20</f>
        <v/>
      </c>
      <c r="C20" s="1">
        <f>'Paste cell here'!B20</f>
        <v/>
      </c>
      <c r="D20" s="1">
        <f>'Paste cell here'!I20</f>
        <v/>
      </c>
      <c r="E20" s="1">
        <f>'Paste cell here'!J20</f>
        <v/>
      </c>
      <c r="F20" s="1">
        <f>'Paste cell here'!K20</f>
        <v/>
      </c>
      <c r="G20" s="1">
        <f>'Paste cell here'!L20</f>
        <v/>
      </c>
      <c r="H20" s="1">
        <f>'Paste cell here'!M20</f>
        <v/>
      </c>
      <c r="I20" s="1">
        <f>'Paste cell here'!N20</f>
        <v/>
      </c>
      <c r="J20" s="1">
        <f>'Paste cell here'!O20</f>
        <v/>
      </c>
      <c r="K20" s="1">
        <f>'Paste cell here'!Q20</f>
        <v/>
      </c>
      <c r="L20" s="1">
        <f>'Paste cell here'!S20</f>
        <v/>
      </c>
      <c r="M20" s="1">
        <f>'Paste cell here'!T20</f>
        <v/>
      </c>
      <c r="N20" s="1">
        <f>'Paste cell here'!W20</f>
        <v/>
      </c>
      <c r="O20" s="1">
        <f>'Paste cell here'!U20</f>
        <v/>
      </c>
      <c r="P20" s="1">
        <f>O19</f>
        <v/>
      </c>
      <c r="Q20" s="1">
        <f>'Paste cell here'!V20</f>
        <v/>
      </c>
      <c r="R20" s="1">
        <f>ABS(O19+C20+D20+N20+Q19-H20-I20-K20-L20-M20-O20-Q20)</f>
        <v/>
      </c>
      <c r="S20" s="7">
        <f>Sintesi!$C$30</f>
        <v/>
      </c>
      <c r="T20" s="7">
        <f>Sintesi!$C$29</f>
        <v/>
      </c>
      <c r="U20" s="5">
        <f>O20/(Sintesi!$C$5*1000)</f>
        <v/>
      </c>
      <c r="V20" s="1">
        <f>T20-S20</f>
        <v/>
      </c>
      <c r="W20" s="1" t="n">
        <v>0.670263869056302</v>
      </c>
      <c r="X20" s="1">
        <f>W20*V20</f>
        <v/>
      </c>
      <c r="Y20" s="1">
        <f>T20-X20</f>
        <v/>
      </c>
      <c r="Z20" s="1">
        <f>'Paste cellinfo here'!$B$11</f>
        <v/>
      </c>
    </row>
    <row r="21">
      <c r="A21" s="1" t="n">
        <v>20</v>
      </c>
      <c r="B21" s="2">
        <f>DATE(Sintesi!$C$4-1,12,31)+A21</f>
        <v/>
      </c>
      <c r="C21" s="1">
        <f>'Paste cell here'!B21</f>
        <v/>
      </c>
      <c r="D21" s="1">
        <f>'Paste cell here'!I21</f>
        <v/>
      </c>
      <c r="E21" s="1">
        <f>'Paste cell here'!J21</f>
        <v/>
      </c>
      <c r="F21" s="1">
        <f>'Paste cell here'!K21</f>
        <v/>
      </c>
      <c r="G21" s="1">
        <f>'Paste cell here'!L21</f>
        <v/>
      </c>
      <c r="H21" s="1">
        <f>'Paste cell here'!M21</f>
        <v/>
      </c>
      <c r="I21" s="1">
        <f>'Paste cell here'!N21</f>
        <v/>
      </c>
      <c r="J21" s="1">
        <f>'Paste cell here'!O21</f>
        <v/>
      </c>
      <c r="K21" s="1">
        <f>'Paste cell here'!Q21</f>
        <v/>
      </c>
      <c r="L21" s="1">
        <f>'Paste cell here'!S21</f>
        <v/>
      </c>
      <c r="M21" s="1">
        <f>'Paste cell here'!T21</f>
        <v/>
      </c>
      <c r="N21" s="1">
        <f>'Paste cell here'!W21</f>
        <v/>
      </c>
      <c r="O21" s="1">
        <f>'Paste cell here'!U21</f>
        <v/>
      </c>
      <c r="P21" s="1">
        <f>O20</f>
        <v/>
      </c>
      <c r="Q21" s="1">
        <f>'Paste cell here'!V21</f>
        <v/>
      </c>
      <c r="R21" s="1">
        <f>ABS(O20+C21+D21+N21+Q20-H21-I21-K21-L21-M21-O21-Q21)</f>
        <v/>
      </c>
      <c r="S21" s="7">
        <f>Sintesi!$C$30</f>
        <v/>
      </c>
      <c r="T21" s="7">
        <f>Sintesi!$C$29</f>
        <v/>
      </c>
      <c r="U21" s="5">
        <f>O21/(Sintesi!$C$5*1000)</f>
        <v/>
      </c>
      <c r="V21" s="1">
        <f>T21-S21</f>
        <v/>
      </c>
      <c r="W21" s="1" t="n">
        <v>0.6691488897843459</v>
      </c>
      <c r="X21" s="1">
        <f>W21*V21</f>
        <v/>
      </c>
      <c r="Y21" s="1">
        <f>T21-X21</f>
        <v/>
      </c>
      <c r="Z21" s="1">
        <f>'Paste cellinfo here'!$B$11</f>
        <v/>
      </c>
    </row>
    <row r="22">
      <c r="A22" s="1" t="n">
        <v>21</v>
      </c>
      <c r="B22" s="2">
        <f>DATE(Sintesi!$C$4-1,12,31)+A22</f>
        <v/>
      </c>
      <c r="C22" s="1">
        <f>'Paste cell here'!B22</f>
        <v/>
      </c>
      <c r="D22" s="1">
        <f>'Paste cell here'!I22</f>
        <v/>
      </c>
      <c r="E22" s="1">
        <f>'Paste cell here'!J22</f>
        <v/>
      </c>
      <c r="F22" s="1">
        <f>'Paste cell here'!K22</f>
        <v/>
      </c>
      <c r="G22" s="1">
        <f>'Paste cell here'!L22</f>
        <v/>
      </c>
      <c r="H22" s="1">
        <f>'Paste cell here'!M22</f>
        <v/>
      </c>
      <c r="I22" s="1">
        <f>'Paste cell here'!N22</f>
        <v/>
      </c>
      <c r="J22" s="1">
        <f>'Paste cell here'!O22</f>
        <v/>
      </c>
      <c r="K22" s="1">
        <f>'Paste cell here'!Q22</f>
        <v/>
      </c>
      <c r="L22" s="1">
        <f>'Paste cell here'!S22</f>
        <v/>
      </c>
      <c r="M22" s="1">
        <f>'Paste cell here'!T22</f>
        <v/>
      </c>
      <c r="N22" s="1">
        <f>'Paste cell here'!W22</f>
        <v/>
      </c>
      <c r="O22" s="1">
        <f>'Paste cell here'!U22</f>
        <v/>
      </c>
      <c r="P22" s="1">
        <f>O21</f>
        <v/>
      </c>
      <c r="Q22" s="1">
        <f>'Paste cell here'!V22</f>
        <v/>
      </c>
      <c r="R22" s="1">
        <f>ABS(O21+C22+D22+N22+Q21-H22-I22-K22-L22-M22-O22-Q22)</f>
        <v/>
      </c>
      <c r="S22" s="7">
        <f>Sintesi!$C$30</f>
        <v/>
      </c>
      <c r="T22" s="7">
        <f>Sintesi!$C$29</f>
        <v/>
      </c>
      <c r="U22" s="5">
        <f>O22/(Sintesi!$C$5*1000)</f>
        <v/>
      </c>
      <c r="V22" s="1">
        <f>T22-S22</f>
        <v/>
      </c>
      <c r="W22" s="1" t="n">
        <v>0.683915076682296</v>
      </c>
      <c r="X22" s="1">
        <f>W22*V22</f>
        <v/>
      </c>
      <c r="Y22" s="1">
        <f>T22-X22</f>
        <v/>
      </c>
      <c r="Z22" s="1">
        <f>'Paste cellinfo here'!$B$11</f>
        <v/>
      </c>
    </row>
    <row r="23">
      <c r="A23" s="1" t="n">
        <v>22</v>
      </c>
      <c r="B23" s="2">
        <f>DATE(Sintesi!$C$4-1,12,31)+A23</f>
        <v/>
      </c>
      <c r="C23" s="1">
        <f>'Paste cell here'!B23</f>
        <v/>
      </c>
      <c r="D23" s="1">
        <f>'Paste cell here'!I23</f>
        <v/>
      </c>
      <c r="E23" s="1">
        <f>'Paste cell here'!J23</f>
        <v/>
      </c>
      <c r="F23" s="1">
        <f>'Paste cell here'!K23</f>
        <v/>
      </c>
      <c r="G23" s="1">
        <f>'Paste cell here'!L23</f>
        <v/>
      </c>
      <c r="H23" s="1">
        <f>'Paste cell here'!M23</f>
        <v/>
      </c>
      <c r="I23" s="1">
        <f>'Paste cell here'!N23</f>
        <v/>
      </c>
      <c r="J23" s="1">
        <f>'Paste cell here'!O23</f>
        <v/>
      </c>
      <c r="K23" s="1">
        <f>'Paste cell here'!Q23</f>
        <v/>
      </c>
      <c r="L23" s="1">
        <f>'Paste cell here'!S23</f>
        <v/>
      </c>
      <c r="M23" s="1">
        <f>'Paste cell here'!T23</f>
        <v/>
      </c>
      <c r="N23" s="1">
        <f>'Paste cell here'!W23</f>
        <v/>
      </c>
      <c r="O23" s="1">
        <f>'Paste cell here'!U23</f>
        <v/>
      </c>
      <c r="P23" s="1">
        <f>O22</f>
        <v/>
      </c>
      <c r="Q23" s="1">
        <f>'Paste cell here'!V23</f>
        <v/>
      </c>
      <c r="R23" s="1">
        <f>ABS(O22+C23+D23+N23+Q22-H23-I23-K23-L23-M23-O23-Q23)</f>
        <v/>
      </c>
      <c r="S23" s="7">
        <f>Sintesi!$C$30</f>
        <v/>
      </c>
      <c r="T23" s="7">
        <f>Sintesi!$C$29</f>
        <v/>
      </c>
      <c r="U23" s="5">
        <f>O23/(Sintesi!$C$5*1000)</f>
        <v/>
      </c>
      <c r="V23" s="1">
        <f>T23-S23</f>
        <v/>
      </c>
      <c r="W23" s="1" t="n">
        <v>0.682366863322456</v>
      </c>
      <c r="X23" s="1">
        <f>W23*V23</f>
        <v/>
      </c>
      <c r="Y23" s="1">
        <f>T23-X23</f>
        <v/>
      </c>
      <c r="Z23" s="1">
        <f>'Paste cellinfo here'!$B$11</f>
        <v/>
      </c>
    </row>
    <row r="24">
      <c r="A24" s="1" t="n">
        <v>23</v>
      </c>
      <c r="B24" s="2">
        <f>DATE(Sintesi!$C$4-1,12,31)+A24</f>
        <v/>
      </c>
      <c r="C24" s="1">
        <f>'Paste cell here'!B24</f>
        <v/>
      </c>
      <c r="D24" s="1">
        <f>'Paste cell here'!I24</f>
        <v/>
      </c>
      <c r="E24" s="1">
        <f>'Paste cell here'!J24</f>
        <v/>
      </c>
      <c r="F24" s="1">
        <f>'Paste cell here'!K24</f>
        <v/>
      </c>
      <c r="G24" s="1">
        <f>'Paste cell here'!L24</f>
        <v/>
      </c>
      <c r="H24" s="1">
        <f>'Paste cell here'!M24</f>
        <v/>
      </c>
      <c r="I24" s="1">
        <f>'Paste cell here'!N24</f>
        <v/>
      </c>
      <c r="J24" s="1">
        <f>'Paste cell here'!O24</f>
        <v/>
      </c>
      <c r="K24" s="1">
        <f>'Paste cell here'!Q24</f>
        <v/>
      </c>
      <c r="L24" s="1">
        <f>'Paste cell here'!S24</f>
        <v/>
      </c>
      <c r="M24" s="1">
        <f>'Paste cell here'!T24</f>
        <v/>
      </c>
      <c r="N24" s="1">
        <f>'Paste cell here'!W24</f>
        <v/>
      </c>
      <c r="O24" s="1">
        <f>'Paste cell here'!U24</f>
        <v/>
      </c>
      <c r="P24" s="1">
        <f>O23</f>
        <v/>
      </c>
      <c r="Q24" s="1">
        <f>'Paste cell here'!V24</f>
        <v/>
      </c>
      <c r="R24" s="1">
        <f>ABS(O23+C24+D24+N24+Q23-H24-I24-K24-L24-M24-O24-Q24)</f>
        <v/>
      </c>
      <c r="S24" s="7">
        <f>Sintesi!$C$30</f>
        <v/>
      </c>
      <c r="T24" s="7">
        <f>Sintesi!$C$29</f>
        <v/>
      </c>
      <c r="U24" s="5">
        <f>O24/(Sintesi!$C$5*1000)</f>
        <v/>
      </c>
      <c r="V24" s="1">
        <f>T24-S24</f>
        <v/>
      </c>
      <c r="W24" s="1" t="n">
        <v>0.6810321776924591</v>
      </c>
      <c r="X24" s="1">
        <f>W24*V24</f>
        <v/>
      </c>
      <c r="Y24" s="1">
        <f>T24-X24</f>
        <v/>
      </c>
      <c r="Z24" s="1">
        <f>'Paste cellinfo here'!$B$11</f>
        <v/>
      </c>
    </row>
    <row r="25">
      <c r="A25" s="1" t="n">
        <v>24</v>
      </c>
      <c r="B25" s="2">
        <f>DATE(Sintesi!$C$4-1,12,31)+A25</f>
        <v/>
      </c>
      <c r="C25" s="1">
        <f>'Paste cell here'!B25</f>
        <v/>
      </c>
      <c r="D25" s="1">
        <f>'Paste cell here'!I25</f>
        <v/>
      </c>
      <c r="E25" s="1">
        <f>'Paste cell here'!J25</f>
        <v/>
      </c>
      <c r="F25" s="1">
        <f>'Paste cell here'!K25</f>
        <v/>
      </c>
      <c r="G25" s="1">
        <f>'Paste cell here'!L25</f>
        <v/>
      </c>
      <c r="H25" s="1">
        <f>'Paste cell here'!M25</f>
        <v/>
      </c>
      <c r="I25" s="1">
        <f>'Paste cell here'!N25</f>
        <v/>
      </c>
      <c r="J25" s="1">
        <f>'Paste cell here'!O25</f>
        <v/>
      </c>
      <c r="K25" s="1">
        <f>'Paste cell here'!Q25</f>
        <v/>
      </c>
      <c r="L25" s="1">
        <f>'Paste cell here'!S25</f>
        <v/>
      </c>
      <c r="M25" s="1">
        <f>'Paste cell here'!T25</f>
        <v/>
      </c>
      <c r="N25" s="1">
        <f>'Paste cell here'!W25</f>
        <v/>
      </c>
      <c r="O25" s="1">
        <f>'Paste cell here'!U25</f>
        <v/>
      </c>
      <c r="P25" s="1">
        <f>O24</f>
        <v/>
      </c>
      <c r="Q25" s="1">
        <f>'Paste cell here'!V25</f>
        <v/>
      </c>
      <c r="R25" s="1">
        <f>ABS(O24+C25+D25+N25+Q24-H25-I25-K25-L25-M25-O25-Q25)</f>
        <v/>
      </c>
      <c r="S25" s="7">
        <f>Sintesi!$C$30</f>
        <v/>
      </c>
      <c r="T25" s="7">
        <f>Sintesi!$C$29</f>
        <v/>
      </c>
      <c r="U25" s="5">
        <f>O25/(Sintesi!$C$5*1000)</f>
        <v/>
      </c>
      <c r="V25" s="1">
        <f>T25-S25</f>
        <v/>
      </c>
      <c r="W25" s="1" t="n">
        <v>0.67770925983232</v>
      </c>
      <c r="X25" s="1">
        <f>W25*V25</f>
        <v/>
      </c>
      <c r="Y25" s="1">
        <f>T25-X25</f>
        <v/>
      </c>
      <c r="Z25" s="1">
        <f>'Paste cellinfo here'!$B$11</f>
        <v/>
      </c>
    </row>
    <row r="26">
      <c r="A26" s="1" t="n">
        <v>25</v>
      </c>
      <c r="B26" s="2">
        <f>DATE(Sintesi!$C$4-1,12,31)+A26</f>
        <v/>
      </c>
      <c r="C26" s="1">
        <f>'Paste cell here'!B26</f>
        <v/>
      </c>
      <c r="D26" s="1">
        <f>'Paste cell here'!I26</f>
        <v/>
      </c>
      <c r="E26" s="1">
        <f>'Paste cell here'!J26</f>
        <v/>
      </c>
      <c r="F26" s="1">
        <f>'Paste cell here'!K26</f>
        <v/>
      </c>
      <c r="G26" s="1">
        <f>'Paste cell here'!L26</f>
        <v/>
      </c>
      <c r="H26" s="1">
        <f>'Paste cell here'!M26</f>
        <v/>
      </c>
      <c r="I26" s="1">
        <f>'Paste cell here'!N26</f>
        <v/>
      </c>
      <c r="J26" s="1">
        <f>'Paste cell here'!O26</f>
        <v/>
      </c>
      <c r="K26" s="1">
        <f>'Paste cell here'!Q26</f>
        <v/>
      </c>
      <c r="L26" s="1">
        <f>'Paste cell here'!S26</f>
        <v/>
      </c>
      <c r="M26" s="1">
        <f>'Paste cell here'!T26</f>
        <v/>
      </c>
      <c r="N26" s="1">
        <f>'Paste cell here'!W26</f>
        <v/>
      </c>
      <c r="O26" s="1">
        <f>'Paste cell here'!U26</f>
        <v/>
      </c>
      <c r="P26" s="1">
        <f>O25</f>
        <v/>
      </c>
      <c r="Q26" s="1">
        <f>'Paste cell here'!V26</f>
        <v/>
      </c>
      <c r="R26" s="1">
        <f>ABS(O25+C26+D26+N26+Q25-H26-I26-K26-L26-M26-O26-Q26)</f>
        <v/>
      </c>
      <c r="S26" s="7">
        <f>Sintesi!$C$30</f>
        <v/>
      </c>
      <c r="T26" s="7">
        <f>Sintesi!$C$29</f>
        <v/>
      </c>
      <c r="U26" s="5">
        <f>O26/(Sintesi!$C$5*1000)</f>
        <v/>
      </c>
      <c r="V26" s="1">
        <f>T26-S26</f>
        <v/>
      </c>
      <c r="W26" s="1" t="n">
        <v>0.676192849664069</v>
      </c>
      <c r="X26" s="1">
        <f>W26*V26</f>
        <v/>
      </c>
      <c r="Y26" s="1">
        <f>T26-X26</f>
        <v/>
      </c>
      <c r="Z26" s="1">
        <f>'Paste cellinfo here'!$B$11</f>
        <v/>
      </c>
    </row>
    <row r="27">
      <c r="A27" s="1" t="n">
        <v>26</v>
      </c>
      <c r="B27" s="2">
        <f>DATE(Sintesi!$C$4-1,12,31)+A27</f>
        <v/>
      </c>
      <c r="C27" s="1">
        <f>'Paste cell here'!B27</f>
        <v/>
      </c>
      <c r="D27" s="1">
        <f>'Paste cell here'!I27</f>
        <v/>
      </c>
      <c r="E27" s="1">
        <f>'Paste cell here'!J27</f>
        <v/>
      </c>
      <c r="F27" s="1">
        <f>'Paste cell here'!K27</f>
        <v/>
      </c>
      <c r="G27" s="1">
        <f>'Paste cell here'!L27</f>
        <v/>
      </c>
      <c r="H27" s="1">
        <f>'Paste cell here'!M27</f>
        <v/>
      </c>
      <c r="I27" s="1">
        <f>'Paste cell here'!N27</f>
        <v/>
      </c>
      <c r="J27" s="1">
        <f>'Paste cell here'!O27</f>
        <v/>
      </c>
      <c r="K27" s="1">
        <f>'Paste cell here'!Q27</f>
        <v/>
      </c>
      <c r="L27" s="1">
        <f>'Paste cell here'!S27</f>
        <v/>
      </c>
      <c r="M27" s="1">
        <f>'Paste cell here'!T27</f>
        <v/>
      </c>
      <c r="N27" s="1">
        <f>'Paste cell here'!W27</f>
        <v/>
      </c>
      <c r="O27" s="1">
        <f>'Paste cell here'!U27</f>
        <v/>
      </c>
      <c r="P27" s="1">
        <f>O26</f>
        <v/>
      </c>
      <c r="Q27" s="1">
        <f>'Paste cell here'!V27</f>
        <v/>
      </c>
      <c r="R27" s="1">
        <f>ABS(O26+C27+D27+N27+Q26-H27-I27-K27-L27-M27-O27-Q27)</f>
        <v/>
      </c>
      <c r="S27" s="7">
        <f>Sintesi!$C$30</f>
        <v/>
      </c>
      <c r="T27" s="7">
        <f>Sintesi!$C$29</f>
        <v/>
      </c>
      <c r="U27" s="5">
        <f>O27/(Sintesi!$C$5*1000)</f>
        <v/>
      </c>
      <c r="V27" s="1">
        <f>T27-S27</f>
        <v/>
      </c>
      <c r="W27" s="1" t="n">
        <v>0.679034601068646</v>
      </c>
      <c r="X27" s="1">
        <f>W27*V27</f>
        <v/>
      </c>
      <c r="Y27" s="1">
        <f>T27-X27</f>
        <v/>
      </c>
      <c r="Z27" s="1">
        <f>'Paste cellinfo here'!$B$11</f>
        <v/>
      </c>
    </row>
    <row r="28">
      <c r="A28" s="1" t="n">
        <v>27</v>
      </c>
      <c r="B28" s="2">
        <f>DATE(Sintesi!$C$4-1,12,31)+A28</f>
        <v/>
      </c>
      <c r="C28" s="1">
        <f>'Paste cell here'!B28</f>
        <v/>
      </c>
      <c r="D28" s="1">
        <f>'Paste cell here'!I28</f>
        <v/>
      </c>
      <c r="E28" s="1">
        <f>'Paste cell here'!J28</f>
        <v/>
      </c>
      <c r="F28" s="1">
        <f>'Paste cell here'!K28</f>
        <v/>
      </c>
      <c r="G28" s="1">
        <f>'Paste cell here'!L28</f>
        <v/>
      </c>
      <c r="H28" s="1">
        <f>'Paste cell here'!M28</f>
        <v/>
      </c>
      <c r="I28" s="1">
        <f>'Paste cell here'!N28</f>
        <v/>
      </c>
      <c r="J28" s="1">
        <f>'Paste cell here'!O28</f>
        <v/>
      </c>
      <c r="K28" s="1">
        <f>'Paste cell here'!Q28</f>
        <v/>
      </c>
      <c r="L28" s="1">
        <f>'Paste cell here'!S28</f>
        <v/>
      </c>
      <c r="M28" s="1">
        <f>'Paste cell here'!T28</f>
        <v/>
      </c>
      <c r="N28" s="1">
        <f>'Paste cell here'!W28</f>
        <v/>
      </c>
      <c r="O28" s="1">
        <f>'Paste cell here'!U28</f>
        <v/>
      </c>
      <c r="P28" s="1">
        <f>O27</f>
        <v/>
      </c>
      <c r="Q28" s="1">
        <f>'Paste cell here'!V28</f>
        <v/>
      </c>
      <c r="R28" s="1">
        <f>ABS(O27+C28+D28+N28+Q27-H28-I28-K28-L28-M28-O28-Q28)</f>
        <v/>
      </c>
      <c r="S28" s="7">
        <f>Sintesi!$C$30</f>
        <v/>
      </c>
      <c r="T28" s="7">
        <f>Sintesi!$C$29</f>
        <v/>
      </c>
      <c r="U28" s="5">
        <f>O28/(Sintesi!$C$5*1000)</f>
        <v/>
      </c>
      <c r="V28" s="1">
        <f>T28-S28</f>
        <v/>
      </c>
      <c r="W28" s="1" t="n">
        <v>0.678636501135233</v>
      </c>
      <c r="X28" s="1">
        <f>W28*V28</f>
        <v/>
      </c>
      <c r="Y28" s="1">
        <f>T28-X28</f>
        <v/>
      </c>
      <c r="Z28" s="1">
        <f>'Paste cellinfo here'!$B$11</f>
        <v/>
      </c>
    </row>
    <row r="29">
      <c r="A29" s="1" t="n">
        <v>28</v>
      </c>
      <c r="B29" s="2">
        <f>DATE(Sintesi!$C$4-1,12,31)+A29</f>
        <v/>
      </c>
      <c r="C29" s="1">
        <f>'Paste cell here'!B29</f>
        <v/>
      </c>
      <c r="D29" s="1">
        <f>'Paste cell here'!I29</f>
        <v/>
      </c>
      <c r="E29" s="1">
        <f>'Paste cell here'!J29</f>
        <v/>
      </c>
      <c r="F29" s="1">
        <f>'Paste cell here'!K29</f>
        <v/>
      </c>
      <c r="G29" s="1">
        <f>'Paste cell here'!L29</f>
        <v/>
      </c>
      <c r="H29" s="1">
        <f>'Paste cell here'!M29</f>
        <v/>
      </c>
      <c r="I29" s="1">
        <f>'Paste cell here'!N29</f>
        <v/>
      </c>
      <c r="J29" s="1">
        <f>'Paste cell here'!O29</f>
        <v/>
      </c>
      <c r="K29" s="1">
        <f>'Paste cell here'!Q29</f>
        <v/>
      </c>
      <c r="L29" s="1">
        <f>'Paste cell here'!S29</f>
        <v/>
      </c>
      <c r="M29" s="1">
        <f>'Paste cell here'!T29</f>
        <v/>
      </c>
      <c r="N29" s="1">
        <f>'Paste cell here'!W29</f>
        <v/>
      </c>
      <c r="O29" s="1">
        <f>'Paste cell here'!U29</f>
        <v/>
      </c>
      <c r="P29" s="1">
        <f>O28</f>
        <v/>
      </c>
      <c r="Q29" s="1">
        <f>'Paste cell here'!V29</f>
        <v/>
      </c>
      <c r="R29" s="1">
        <f>ABS(O28+C29+D29+N29+Q28-H29-I29-K29-L29-M29-O29-Q29)</f>
        <v/>
      </c>
      <c r="S29" s="7">
        <f>Sintesi!$C$30</f>
        <v/>
      </c>
      <c r="T29" s="7">
        <f>Sintesi!$C$29</f>
        <v/>
      </c>
      <c r="U29" s="5">
        <f>O29/(Sintesi!$C$5*1000)</f>
        <v/>
      </c>
      <c r="V29" s="1">
        <f>T29-S29</f>
        <v/>
      </c>
      <c r="W29" s="1" t="n">
        <v>0.675478702491196</v>
      </c>
      <c r="X29" s="1">
        <f>W29*V29</f>
        <v/>
      </c>
      <c r="Y29" s="1">
        <f>T29-X29</f>
        <v/>
      </c>
      <c r="Z29" s="1">
        <f>'Paste cellinfo here'!$B$11</f>
        <v/>
      </c>
    </row>
    <row r="30">
      <c r="A30" s="1" t="n">
        <v>29</v>
      </c>
      <c r="B30" s="2">
        <f>DATE(Sintesi!$C$4-1,12,31)+A30</f>
        <v/>
      </c>
      <c r="C30" s="1">
        <f>'Paste cell here'!B30</f>
        <v/>
      </c>
      <c r="D30" s="1">
        <f>'Paste cell here'!I30</f>
        <v/>
      </c>
      <c r="E30" s="1">
        <f>'Paste cell here'!J30</f>
        <v/>
      </c>
      <c r="F30" s="1">
        <f>'Paste cell here'!K30</f>
        <v/>
      </c>
      <c r="G30" s="1">
        <f>'Paste cell here'!L30</f>
        <v/>
      </c>
      <c r="H30" s="1">
        <f>'Paste cell here'!M30</f>
        <v/>
      </c>
      <c r="I30" s="1">
        <f>'Paste cell here'!N30</f>
        <v/>
      </c>
      <c r="J30" s="1">
        <f>'Paste cell here'!O30</f>
        <v/>
      </c>
      <c r="K30" s="1">
        <f>'Paste cell here'!Q30</f>
        <v/>
      </c>
      <c r="L30" s="1">
        <f>'Paste cell here'!S30</f>
        <v/>
      </c>
      <c r="M30" s="1">
        <f>'Paste cell here'!T30</f>
        <v/>
      </c>
      <c r="N30" s="1">
        <f>'Paste cell here'!W30</f>
        <v/>
      </c>
      <c r="O30" s="1">
        <f>'Paste cell here'!U30</f>
        <v/>
      </c>
      <c r="P30" s="1">
        <f>O29</f>
        <v/>
      </c>
      <c r="Q30" s="1">
        <f>'Paste cell here'!V30</f>
        <v/>
      </c>
      <c r="R30" s="1">
        <f>ABS(O29+C30+D30+N30+Q29-H30-I30-K30-L30-M30-O30-Q30)</f>
        <v/>
      </c>
      <c r="S30" s="7">
        <f>Sintesi!$C$30</f>
        <v/>
      </c>
      <c r="T30" s="7">
        <f>Sintesi!$C$29</f>
        <v/>
      </c>
      <c r="U30" s="5">
        <f>O30/(Sintesi!$C$5*1000)</f>
        <v/>
      </c>
      <c r="V30" s="1">
        <f>T30-S30</f>
        <v/>
      </c>
      <c r="W30" s="1" t="n">
        <v>0.676416994320739</v>
      </c>
      <c r="X30" s="1">
        <f>W30*V30</f>
        <v/>
      </c>
      <c r="Y30" s="1">
        <f>T30-X30</f>
        <v/>
      </c>
      <c r="Z30" s="1">
        <f>'Paste cellinfo here'!$B$11</f>
        <v/>
      </c>
    </row>
    <row r="31">
      <c r="A31" s="1" t="n">
        <v>30</v>
      </c>
      <c r="B31" s="2">
        <f>DATE(Sintesi!$C$4-1,12,31)+A31</f>
        <v/>
      </c>
      <c r="C31" s="1">
        <f>'Paste cell here'!B31</f>
        <v/>
      </c>
      <c r="D31" s="1">
        <f>'Paste cell here'!I31</f>
        <v/>
      </c>
      <c r="E31" s="1">
        <f>'Paste cell here'!J31</f>
        <v/>
      </c>
      <c r="F31" s="1">
        <f>'Paste cell here'!K31</f>
        <v/>
      </c>
      <c r="G31" s="1">
        <f>'Paste cell here'!L31</f>
        <v/>
      </c>
      <c r="H31" s="1">
        <f>'Paste cell here'!M31</f>
        <v/>
      </c>
      <c r="I31" s="1">
        <f>'Paste cell here'!N31</f>
        <v/>
      </c>
      <c r="J31" s="1">
        <f>'Paste cell here'!O31</f>
        <v/>
      </c>
      <c r="K31" s="1">
        <f>'Paste cell here'!Q31</f>
        <v/>
      </c>
      <c r="L31" s="1">
        <f>'Paste cell here'!S31</f>
        <v/>
      </c>
      <c r="M31" s="1">
        <f>'Paste cell here'!T31</f>
        <v/>
      </c>
      <c r="N31" s="1">
        <f>'Paste cell here'!W31</f>
        <v/>
      </c>
      <c r="O31" s="1">
        <f>'Paste cell here'!U31</f>
        <v/>
      </c>
      <c r="P31" s="1">
        <f>O30</f>
        <v/>
      </c>
      <c r="Q31" s="1">
        <f>'Paste cell here'!V31</f>
        <v/>
      </c>
      <c r="R31" s="1">
        <f>ABS(O30+C31+D31+N31+Q30-H31-I31-K31-L31-M31-O31-Q31)</f>
        <v/>
      </c>
      <c r="S31" s="7">
        <f>Sintesi!$C$30</f>
        <v/>
      </c>
      <c r="T31" s="7">
        <f>Sintesi!$C$29</f>
        <v/>
      </c>
      <c r="U31" s="5">
        <f>O31/(Sintesi!$C$5*1000)</f>
        <v/>
      </c>
      <c r="V31" s="1">
        <f>T31-S31</f>
        <v/>
      </c>
      <c r="W31" s="1" t="n">
        <v>0.674892182946354</v>
      </c>
      <c r="X31" s="1">
        <f>W31*V31</f>
        <v/>
      </c>
      <c r="Y31" s="1">
        <f>T31-X31</f>
        <v/>
      </c>
      <c r="Z31" s="1">
        <f>'Paste cellinfo here'!$B$11</f>
        <v/>
      </c>
    </row>
    <row r="32">
      <c r="A32" s="1" t="n">
        <v>31</v>
      </c>
      <c r="B32" s="2">
        <f>DATE(Sintesi!$C$4-1,12,31)+A32</f>
        <v/>
      </c>
      <c r="C32" s="1">
        <f>'Paste cell here'!B32</f>
        <v/>
      </c>
      <c r="D32" s="1">
        <f>'Paste cell here'!I32</f>
        <v/>
      </c>
      <c r="E32" s="1">
        <f>'Paste cell here'!J32</f>
        <v/>
      </c>
      <c r="F32" s="1">
        <f>'Paste cell here'!K32</f>
        <v/>
      </c>
      <c r="G32" s="1">
        <f>'Paste cell here'!L32</f>
        <v/>
      </c>
      <c r="H32" s="1">
        <f>'Paste cell here'!M32</f>
        <v/>
      </c>
      <c r="I32" s="1">
        <f>'Paste cell here'!N32</f>
        <v/>
      </c>
      <c r="J32" s="1">
        <f>'Paste cell here'!O32</f>
        <v/>
      </c>
      <c r="K32" s="1">
        <f>'Paste cell here'!Q32</f>
        <v/>
      </c>
      <c r="L32" s="1">
        <f>'Paste cell here'!S32</f>
        <v/>
      </c>
      <c r="M32" s="1">
        <f>'Paste cell here'!T32</f>
        <v/>
      </c>
      <c r="N32" s="1">
        <f>'Paste cell here'!W32</f>
        <v/>
      </c>
      <c r="O32" s="1">
        <f>'Paste cell here'!U32</f>
        <v/>
      </c>
      <c r="P32" s="1">
        <f>O31</f>
        <v/>
      </c>
      <c r="Q32" s="1">
        <f>'Paste cell here'!V32</f>
        <v/>
      </c>
      <c r="R32" s="1">
        <f>ABS(O31+C32+D32+N32+Q31-H32-I32-K32-L32-M32-O32-Q32)</f>
        <v/>
      </c>
      <c r="S32" s="7">
        <f>Sintesi!$C$30</f>
        <v/>
      </c>
      <c r="T32" s="7">
        <f>Sintesi!$C$29</f>
        <v/>
      </c>
      <c r="U32" s="5">
        <f>O32/(Sintesi!$C$5*1000)</f>
        <v/>
      </c>
      <c r="V32" s="1">
        <f>T32-S32</f>
        <v/>
      </c>
      <c r="W32" s="1" t="n">
        <v>0.66968617505104</v>
      </c>
      <c r="X32" s="1">
        <f>W32*V32</f>
        <v/>
      </c>
      <c r="Y32" s="1">
        <f>T32-X32</f>
        <v/>
      </c>
      <c r="Z32" s="1">
        <f>'Paste cellinfo here'!$B$11</f>
        <v/>
      </c>
    </row>
    <row r="33">
      <c r="A33" s="1" t="n">
        <v>32</v>
      </c>
      <c r="B33" s="2">
        <f>DATE(Sintesi!$C$4-1,12,31)+A33</f>
        <v/>
      </c>
      <c r="C33" s="1">
        <f>'Paste cell here'!B33</f>
        <v/>
      </c>
      <c r="D33" s="1">
        <f>'Paste cell here'!I33</f>
        <v/>
      </c>
      <c r="E33" s="1">
        <f>'Paste cell here'!J33</f>
        <v/>
      </c>
      <c r="F33" s="1">
        <f>'Paste cell here'!K33</f>
        <v/>
      </c>
      <c r="G33" s="1">
        <f>'Paste cell here'!L33</f>
        <v/>
      </c>
      <c r="H33" s="1">
        <f>'Paste cell here'!M33</f>
        <v/>
      </c>
      <c r="I33" s="1">
        <f>'Paste cell here'!N33</f>
        <v/>
      </c>
      <c r="J33" s="1">
        <f>'Paste cell here'!O33</f>
        <v/>
      </c>
      <c r="K33" s="1">
        <f>'Paste cell here'!Q33</f>
        <v/>
      </c>
      <c r="L33" s="1">
        <f>'Paste cell here'!S33</f>
        <v/>
      </c>
      <c r="M33" s="1">
        <f>'Paste cell here'!T33</f>
        <v/>
      </c>
      <c r="N33" s="1">
        <f>'Paste cell here'!W33</f>
        <v/>
      </c>
      <c r="O33" s="1">
        <f>'Paste cell here'!U33</f>
        <v/>
      </c>
      <c r="P33" s="1">
        <f>O32</f>
        <v/>
      </c>
      <c r="Q33" s="1">
        <f>'Paste cell here'!V33</f>
        <v/>
      </c>
      <c r="R33" s="1">
        <f>ABS(O32+C33+D33+N33+Q32-H33-I33-K33-L33-M33-O33-Q33)</f>
        <v/>
      </c>
      <c r="S33" s="7">
        <f>Sintesi!$C$30</f>
        <v/>
      </c>
      <c r="T33" s="7">
        <f>Sintesi!$C$29</f>
        <v/>
      </c>
      <c r="U33" s="5">
        <f>O33/(Sintesi!$C$5*1000)</f>
        <v/>
      </c>
      <c r="V33" s="1">
        <f>T33-S33</f>
        <v/>
      </c>
      <c r="W33" s="1" t="n">
        <v>0.676582665355197</v>
      </c>
      <c r="X33" s="1">
        <f>W33*V33</f>
        <v/>
      </c>
      <c r="Y33" s="1">
        <f>T33-X33</f>
        <v/>
      </c>
      <c r="Z33" s="1">
        <f>'Paste cellinfo here'!$B$11</f>
        <v/>
      </c>
    </row>
    <row r="34">
      <c r="A34" s="1" t="n">
        <v>33</v>
      </c>
      <c r="B34" s="2">
        <f>DATE(Sintesi!$C$4-1,12,31)+A34</f>
        <v/>
      </c>
      <c r="C34" s="1">
        <f>'Paste cell here'!B34</f>
        <v/>
      </c>
      <c r="D34" s="1">
        <f>'Paste cell here'!I34</f>
        <v/>
      </c>
      <c r="E34" s="1">
        <f>'Paste cell here'!J34</f>
        <v/>
      </c>
      <c r="F34" s="1">
        <f>'Paste cell here'!K34</f>
        <v/>
      </c>
      <c r="G34" s="1">
        <f>'Paste cell here'!L34</f>
        <v/>
      </c>
      <c r="H34" s="1">
        <f>'Paste cell here'!M34</f>
        <v/>
      </c>
      <c r="I34" s="1">
        <f>'Paste cell here'!N34</f>
        <v/>
      </c>
      <c r="J34" s="1">
        <f>'Paste cell here'!O34</f>
        <v/>
      </c>
      <c r="K34" s="1">
        <f>'Paste cell here'!Q34</f>
        <v/>
      </c>
      <c r="L34" s="1">
        <f>'Paste cell here'!S34</f>
        <v/>
      </c>
      <c r="M34" s="1">
        <f>'Paste cell here'!T34</f>
        <v/>
      </c>
      <c r="N34" s="1">
        <f>'Paste cell here'!W34</f>
        <v/>
      </c>
      <c r="O34" s="1">
        <f>'Paste cell here'!U34</f>
        <v/>
      </c>
      <c r="P34" s="1">
        <f>O33</f>
        <v/>
      </c>
      <c r="Q34" s="1">
        <f>'Paste cell here'!V34</f>
        <v/>
      </c>
      <c r="R34" s="1">
        <f>ABS(O33+C34+D34+N34+Q33-H34-I34-K34-L34-M34-O34-Q34)</f>
        <v/>
      </c>
      <c r="S34" s="7">
        <f>Sintesi!$C$30</f>
        <v/>
      </c>
      <c r="T34" s="7">
        <f>Sintesi!$C$29</f>
        <v/>
      </c>
      <c r="U34" s="5">
        <f>O34/(Sintesi!$C$5*1000)</f>
        <v/>
      </c>
      <c r="V34" s="1">
        <f>T34-S34</f>
        <v/>
      </c>
      <c r="W34" s="1" t="n">
        <v>0.678494166785309</v>
      </c>
      <c r="X34" s="1">
        <f>W34*V34</f>
        <v/>
      </c>
      <c r="Y34" s="1">
        <f>T34-X34</f>
        <v/>
      </c>
      <c r="Z34" s="1">
        <f>'Paste cellinfo here'!$B$11</f>
        <v/>
      </c>
    </row>
    <row r="35">
      <c r="A35" s="1" t="n">
        <v>34</v>
      </c>
      <c r="B35" s="2">
        <f>DATE(Sintesi!$C$4-1,12,31)+A35</f>
        <v/>
      </c>
      <c r="C35" s="1">
        <f>'Paste cell here'!B35</f>
        <v/>
      </c>
      <c r="D35" s="1">
        <f>'Paste cell here'!I35</f>
        <v/>
      </c>
      <c r="E35" s="1">
        <f>'Paste cell here'!J35</f>
        <v/>
      </c>
      <c r="F35" s="1">
        <f>'Paste cell here'!K35</f>
        <v/>
      </c>
      <c r="G35" s="1">
        <f>'Paste cell here'!L35</f>
        <v/>
      </c>
      <c r="H35" s="1">
        <f>'Paste cell here'!M35</f>
        <v/>
      </c>
      <c r="I35" s="1">
        <f>'Paste cell here'!N35</f>
        <v/>
      </c>
      <c r="J35" s="1">
        <f>'Paste cell here'!O35</f>
        <v/>
      </c>
      <c r="K35" s="1">
        <f>'Paste cell here'!Q35</f>
        <v/>
      </c>
      <c r="L35" s="1">
        <f>'Paste cell here'!S35</f>
        <v/>
      </c>
      <c r="M35" s="1">
        <f>'Paste cell here'!T35</f>
        <v/>
      </c>
      <c r="N35" s="1">
        <f>'Paste cell here'!W35</f>
        <v/>
      </c>
      <c r="O35" s="1">
        <f>'Paste cell here'!U35</f>
        <v/>
      </c>
      <c r="P35" s="1">
        <f>O34</f>
        <v/>
      </c>
      <c r="Q35" s="1">
        <f>'Paste cell here'!V35</f>
        <v/>
      </c>
      <c r="R35" s="1">
        <f>ABS(O34+C35+D35+N35+Q34-H35-I35-K35-L35-M35-O35-Q35)</f>
        <v/>
      </c>
      <c r="S35" s="7">
        <f>Sintesi!$C$30</f>
        <v/>
      </c>
      <c r="T35" s="7">
        <f>Sintesi!$C$29</f>
        <v/>
      </c>
      <c r="U35" s="5">
        <f>O35/(Sintesi!$C$5*1000)</f>
        <v/>
      </c>
      <c r="V35" s="1">
        <f>T35-S35</f>
        <v/>
      </c>
      <c r="W35" s="1" t="n">
        <v>0.6772930745478249</v>
      </c>
      <c r="X35" s="1">
        <f>W35*V35</f>
        <v/>
      </c>
      <c r="Y35" s="1">
        <f>T35-X35</f>
        <v/>
      </c>
      <c r="Z35" s="1">
        <f>'Paste cellinfo here'!$B$11</f>
        <v/>
      </c>
    </row>
    <row r="36">
      <c r="A36" s="1" t="n">
        <v>35</v>
      </c>
      <c r="B36" s="2">
        <f>DATE(Sintesi!$C$4-1,12,31)+A36</f>
        <v/>
      </c>
      <c r="C36" s="1">
        <f>'Paste cell here'!B36</f>
        <v/>
      </c>
      <c r="D36" s="1">
        <f>'Paste cell here'!I36</f>
        <v/>
      </c>
      <c r="E36" s="1">
        <f>'Paste cell here'!J36</f>
        <v/>
      </c>
      <c r="F36" s="1">
        <f>'Paste cell here'!K36</f>
        <v/>
      </c>
      <c r="G36" s="1">
        <f>'Paste cell here'!L36</f>
        <v/>
      </c>
      <c r="H36" s="1">
        <f>'Paste cell here'!M36</f>
        <v/>
      </c>
      <c r="I36" s="1">
        <f>'Paste cell here'!N36</f>
        <v/>
      </c>
      <c r="J36" s="1">
        <f>'Paste cell here'!O36</f>
        <v/>
      </c>
      <c r="K36" s="1">
        <f>'Paste cell here'!Q36</f>
        <v/>
      </c>
      <c r="L36" s="1">
        <f>'Paste cell here'!S36</f>
        <v/>
      </c>
      <c r="M36" s="1">
        <f>'Paste cell here'!T36</f>
        <v/>
      </c>
      <c r="N36" s="1">
        <f>'Paste cell here'!W36</f>
        <v/>
      </c>
      <c r="O36" s="1">
        <f>'Paste cell here'!U36</f>
        <v/>
      </c>
      <c r="P36" s="1">
        <f>O35</f>
        <v/>
      </c>
      <c r="Q36" s="1">
        <f>'Paste cell here'!V36</f>
        <v/>
      </c>
      <c r="R36" s="1">
        <f>ABS(O35+C36+D36+N36+Q35-H36-I36-K36-L36-M36-O36-Q36)</f>
        <v/>
      </c>
      <c r="S36" s="7">
        <f>Sintesi!$C$30</f>
        <v/>
      </c>
      <c r="T36" s="7">
        <f>Sintesi!$C$29</f>
        <v/>
      </c>
      <c r="U36" s="5">
        <f>O36/(Sintesi!$C$5*1000)</f>
        <v/>
      </c>
      <c r="V36" s="1">
        <f>T36-S36</f>
        <v/>
      </c>
      <c r="W36" s="1" t="n">
        <v>0.6802869350791581</v>
      </c>
      <c r="X36" s="1">
        <f>W36*V36</f>
        <v/>
      </c>
      <c r="Y36" s="1">
        <f>T36-X36</f>
        <v/>
      </c>
      <c r="Z36" s="1">
        <f>'Paste cellinfo here'!$B$11</f>
        <v/>
      </c>
    </row>
    <row r="37">
      <c r="A37" s="1" t="n">
        <v>36</v>
      </c>
      <c r="B37" s="2">
        <f>DATE(Sintesi!$C$4-1,12,31)+A37</f>
        <v/>
      </c>
      <c r="C37" s="1">
        <f>'Paste cell here'!B37</f>
        <v/>
      </c>
      <c r="D37" s="1">
        <f>'Paste cell here'!I37</f>
        <v/>
      </c>
      <c r="E37" s="1">
        <f>'Paste cell here'!J37</f>
        <v/>
      </c>
      <c r="F37" s="1">
        <f>'Paste cell here'!K37</f>
        <v/>
      </c>
      <c r="G37" s="1">
        <f>'Paste cell here'!L37</f>
        <v/>
      </c>
      <c r="H37" s="1">
        <f>'Paste cell here'!M37</f>
        <v/>
      </c>
      <c r="I37" s="1">
        <f>'Paste cell here'!N37</f>
        <v/>
      </c>
      <c r="J37" s="1">
        <f>'Paste cell here'!O37</f>
        <v/>
      </c>
      <c r="K37" s="1">
        <f>'Paste cell here'!Q37</f>
        <v/>
      </c>
      <c r="L37" s="1">
        <f>'Paste cell here'!S37</f>
        <v/>
      </c>
      <c r="M37" s="1">
        <f>'Paste cell here'!T37</f>
        <v/>
      </c>
      <c r="N37" s="1">
        <f>'Paste cell here'!W37</f>
        <v/>
      </c>
      <c r="O37" s="1">
        <f>'Paste cell here'!U37</f>
        <v/>
      </c>
      <c r="P37" s="1">
        <f>O36</f>
        <v/>
      </c>
      <c r="Q37" s="1">
        <f>'Paste cell here'!V37</f>
        <v/>
      </c>
      <c r="R37" s="1">
        <f>ABS(O36+C37+D37+N37+Q36-H37-I37-K37-L37-M37-O37-Q37)</f>
        <v/>
      </c>
      <c r="S37" s="7">
        <f>Sintesi!$C$30</f>
        <v/>
      </c>
      <c r="T37" s="7">
        <f>Sintesi!$C$29</f>
        <v/>
      </c>
      <c r="U37" s="5">
        <f>O37/(Sintesi!$C$5*1000)</f>
        <v/>
      </c>
      <c r="V37" s="1">
        <f>T37-S37</f>
        <v/>
      </c>
      <c r="W37" s="1" t="n">
        <v>0.654028034695352</v>
      </c>
      <c r="X37" s="1">
        <f>W37*V37</f>
        <v/>
      </c>
      <c r="Y37" s="1">
        <f>T37-X37</f>
        <v/>
      </c>
      <c r="Z37" s="1">
        <f>'Paste cellinfo here'!$B$11</f>
        <v/>
      </c>
    </row>
    <row r="38">
      <c r="A38" s="1" t="n">
        <v>37</v>
      </c>
      <c r="B38" s="2">
        <f>DATE(Sintesi!$C$4-1,12,31)+A38</f>
        <v/>
      </c>
      <c r="C38" s="1">
        <f>'Paste cell here'!B38</f>
        <v/>
      </c>
      <c r="D38" s="1">
        <f>'Paste cell here'!I38</f>
        <v/>
      </c>
      <c r="E38" s="1">
        <f>'Paste cell here'!J38</f>
        <v/>
      </c>
      <c r="F38" s="1">
        <f>'Paste cell here'!K38</f>
        <v/>
      </c>
      <c r="G38" s="1">
        <f>'Paste cell here'!L38</f>
        <v/>
      </c>
      <c r="H38" s="1">
        <f>'Paste cell here'!M38</f>
        <v/>
      </c>
      <c r="I38" s="1">
        <f>'Paste cell here'!N38</f>
        <v/>
      </c>
      <c r="J38" s="1">
        <f>'Paste cell here'!O38</f>
        <v/>
      </c>
      <c r="K38" s="1">
        <f>'Paste cell here'!Q38</f>
        <v/>
      </c>
      <c r="L38" s="1">
        <f>'Paste cell here'!S38</f>
        <v/>
      </c>
      <c r="M38" s="1">
        <f>'Paste cell here'!T38</f>
        <v/>
      </c>
      <c r="N38" s="1">
        <f>'Paste cell here'!W38</f>
        <v/>
      </c>
      <c r="O38" s="1">
        <f>'Paste cell here'!U38</f>
        <v/>
      </c>
      <c r="P38" s="1">
        <f>O37</f>
        <v/>
      </c>
      <c r="Q38" s="1">
        <f>'Paste cell here'!V38</f>
        <v/>
      </c>
      <c r="R38" s="1">
        <f>ABS(O37+C38+D38+N38+Q37-H38-I38-K38-L38-M38-O38-Q38)</f>
        <v/>
      </c>
      <c r="S38" s="7">
        <f>Sintesi!$C$30</f>
        <v/>
      </c>
      <c r="T38" s="7">
        <f>Sintesi!$C$29</f>
        <v/>
      </c>
      <c r="U38" s="5">
        <f>O38/(Sintesi!$C$5*1000)</f>
        <v/>
      </c>
      <c r="V38" s="1">
        <f>T38-S38</f>
        <v/>
      </c>
      <c r="W38" s="1" t="n">
        <v>0.6666405899291939</v>
      </c>
      <c r="X38" s="1">
        <f>W38*V38</f>
        <v/>
      </c>
      <c r="Y38" s="1">
        <f>T38-X38</f>
        <v/>
      </c>
      <c r="Z38" s="1">
        <f>'Paste cellinfo here'!$B$11</f>
        <v/>
      </c>
    </row>
    <row r="39">
      <c r="A39" s="1" t="n">
        <v>38</v>
      </c>
      <c r="B39" s="2">
        <f>DATE(Sintesi!$C$4-1,12,31)+A39</f>
        <v/>
      </c>
      <c r="C39" s="1">
        <f>'Paste cell here'!B39</f>
        <v/>
      </c>
      <c r="D39" s="1">
        <f>'Paste cell here'!I39</f>
        <v/>
      </c>
      <c r="E39" s="1">
        <f>'Paste cell here'!J39</f>
        <v/>
      </c>
      <c r="F39" s="1">
        <f>'Paste cell here'!K39</f>
        <v/>
      </c>
      <c r="G39" s="1">
        <f>'Paste cell here'!L39</f>
        <v/>
      </c>
      <c r="H39" s="1">
        <f>'Paste cell here'!M39</f>
        <v/>
      </c>
      <c r="I39" s="1">
        <f>'Paste cell here'!N39</f>
        <v/>
      </c>
      <c r="J39" s="1">
        <f>'Paste cell here'!O39</f>
        <v/>
      </c>
      <c r="K39" s="1">
        <f>'Paste cell here'!Q39</f>
        <v/>
      </c>
      <c r="L39" s="1">
        <f>'Paste cell here'!S39</f>
        <v/>
      </c>
      <c r="M39" s="1">
        <f>'Paste cell here'!T39</f>
        <v/>
      </c>
      <c r="N39" s="1">
        <f>'Paste cell here'!W39</f>
        <v/>
      </c>
      <c r="O39" s="1">
        <f>'Paste cell here'!U39</f>
        <v/>
      </c>
      <c r="P39" s="1">
        <f>O38</f>
        <v/>
      </c>
      <c r="Q39" s="1">
        <f>'Paste cell here'!V39</f>
        <v/>
      </c>
      <c r="R39" s="1">
        <f>ABS(O38+C39+D39+N39+Q38-H39-I39-K39-L39-M39-O39-Q39)</f>
        <v/>
      </c>
      <c r="S39" s="7">
        <f>Sintesi!$C$30</f>
        <v/>
      </c>
      <c r="T39" s="7">
        <f>Sintesi!$C$29</f>
        <v/>
      </c>
      <c r="U39" s="5">
        <f>O39/(Sintesi!$C$5*1000)</f>
        <v/>
      </c>
      <c r="V39" s="1">
        <f>T39-S39</f>
        <v/>
      </c>
      <c r="W39" s="1" t="n">
        <v>0.664334919830699</v>
      </c>
      <c r="X39" s="1">
        <f>W39*V39</f>
        <v/>
      </c>
      <c r="Y39" s="1">
        <f>T39-X39</f>
        <v/>
      </c>
      <c r="Z39" s="1">
        <f>'Paste cellinfo here'!$B$11</f>
        <v/>
      </c>
    </row>
    <row r="40">
      <c r="A40" s="1" t="n">
        <v>39</v>
      </c>
      <c r="B40" s="2">
        <f>DATE(Sintesi!$C$4-1,12,31)+A40</f>
        <v/>
      </c>
      <c r="C40" s="1">
        <f>'Paste cell here'!B40</f>
        <v/>
      </c>
      <c r="D40" s="1">
        <f>'Paste cell here'!I40</f>
        <v/>
      </c>
      <c r="E40" s="1">
        <f>'Paste cell here'!J40</f>
        <v/>
      </c>
      <c r="F40" s="1">
        <f>'Paste cell here'!K40</f>
        <v/>
      </c>
      <c r="G40" s="1">
        <f>'Paste cell here'!L40</f>
        <v/>
      </c>
      <c r="H40" s="1">
        <f>'Paste cell here'!M40</f>
        <v/>
      </c>
      <c r="I40" s="1">
        <f>'Paste cell here'!N40</f>
        <v/>
      </c>
      <c r="J40" s="1">
        <f>'Paste cell here'!O40</f>
        <v/>
      </c>
      <c r="K40" s="1">
        <f>'Paste cell here'!Q40</f>
        <v/>
      </c>
      <c r="L40" s="1">
        <f>'Paste cell here'!S40</f>
        <v/>
      </c>
      <c r="M40" s="1">
        <f>'Paste cell here'!T40</f>
        <v/>
      </c>
      <c r="N40" s="1">
        <f>'Paste cell here'!W40</f>
        <v/>
      </c>
      <c r="O40" s="1">
        <f>'Paste cell here'!U40</f>
        <v/>
      </c>
      <c r="P40" s="1">
        <f>O39</f>
        <v/>
      </c>
      <c r="Q40" s="1">
        <f>'Paste cell here'!V40</f>
        <v/>
      </c>
      <c r="R40" s="1">
        <f>ABS(O39+C40+D40+N40+Q39-H40-I40-K40-L40-M40-O40-Q40)</f>
        <v/>
      </c>
      <c r="S40" s="7">
        <f>Sintesi!$C$30</f>
        <v/>
      </c>
      <c r="T40" s="7">
        <f>Sintesi!$C$29</f>
        <v/>
      </c>
      <c r="U40" s="5">
        <f>O40/(Sintesi!$C$5*1000)</f>
        <v/>
      </c>
      <c r="V40" s="1">
        <f>T40-S40</f>
        <v/>
      </c>
      <c r="W40" s="1" t="n">
        <v>0.6705477401723829</v>
      </c>
      <c r="X40" s="1">
        <f>W40*V40</f>
        <v/>
      </c>
      <c r="Y40" s="1">
        <f>T40-X40</f>
        <v/>
      </c>
      <c r="Z40" s="1">
        <f>'Paste cellinfo here'!$B$11</f>
        <v/>
      </c>
    </row>
    <row r="41">
      <c r="A41" s="1" t="n">
        <v>40</v>
      </c>
      <c r="B41" s="2">
        <f>DATE(Sintesi!$C$4-1,12,31)+A41</f>
        <v/>
      </c>
      <c r="C41" s="1">
        <f>'Paste cell here'!B41</f>
        <v/>
      </c>
      <c r="D41" s="1">
        <f>'Paste cell here'!I41</f>
        <v/>
      </c>
      <c r="E41" s="1">
        <f>'Paste cell here'!J41</f>
        <v/>
      </c>
      <c r="F41" s="1">
        <f>'Paste cell here'!K41</f>
        <v/>
      </c>
      <c r="G41" s="1">
        <f>'Paste cell here'!L41</f>
        <v/>
      </c>
      <c r="H41" s="1">
        <f>'Paste cell here'!M41</f>
        <v/>
      </c>
      <c r="I41" s="1">
        <f>'Paste cell here'!N41</f>
        <v/>
      </c>
      <c r="J41" s="1">
        <f>'Paste cell here'!O41</f>
        <v/>
      </c>
      <c r="K41" s="1">
        <f>'Paste cell here'!Q41</f>
        <v/>
      </c>
      <c r="L41" s="1">
        <f>'Paste cell here'!S41</f>
        <v/>
      </c>
      <c r="M41" s="1">
        <f>'Paste cell here'!T41</f>
        <v/>
      </c>
      <c r="N41" s="1">
        <f>'Paste cell here'!W41</f>
        <v/>
      </c>
      <c r="O41" s="1">
        <f>'Paste cell here'!U41</f>
        <v/>
      </c>
      <c r="P41" s="1">
        <f>O40</f>
        <v/>
      </c>
      <c r="Q41" s="1">
        <f>'Paste cell here'!V41</f>
        <v/>
      </c>
      <c r="R41" s="1">
        <f>ABS(O40+C41+D41+N41+Q40-H41-I41-K41-L41-M41-O41-Q41)</f>
        <v/>
      </c>
      <c r="S41" s="7">
        <f>Sintesi!$C$30</f>
        <v/>
      </c>
      <c r="T41" s="7">
        <f>Sintesi!$C$29</f>
        <v/>
      </c>
      <c r="U41" s="5">
        <f>O41/(Sintesi!$C$5*1000)</f>
        <v/>
      </c>
      <c r="V41" s="1">
        <f>T41-S41</f>
        <v/>
      </c>
      <c r="W41" s="1" t="n">
        <v>0.666901380976414</v>
      </c>
      <c r="X41" s="1">
        <f>W41*V41</f>
        <v/>
      </c>
      <c r="Y41" s="1">
        <f>T41-X41</f>
        <v/>
      </c>
      <c r="Z41" s="1">
        <f>'Paste cellinfo here'!$B$11</f>
        <v/>
      </c>
    </row>
    <row r="42">
      <c r="A42" s="1" t="n">
        <v>41</v>
      </c>
      <c r="B42" s="2">
        <f>DATE(Sintesi!$C$4-1,12,31)+A42</f>
        <v/>
      </c>
      <c r="C42" s="1">
        <f>'Paste cell here'!B42</f>
        <v/>
      </c>
      <c r="D42" s="1">
        <f>'Paste cell here'!I42</f>
        <v/>
      </c>
      <c r="E42" s="1">
        <f>'Paste cell here'!J42</f>
        <v/>
      </c>
      <c r="F42" s="1">
        <f>'Paste cell here'!K42</f>
        <v/>
      </c>
      <c r="G42" s="1">
        <f>'Paste cell here'!L42</f>
        <v/>
      </c>
      <c r="H42" s="1">
        <f>'Paste cell here'!M42</f>
        <v/>
      </c>
      <c r="I42" s="1">
        <f>'Paste cell here'!N42</f>
        <v/>
      </c>
      <c r="J42" s="1">
        <f>'Paste cell here'!O42</f>
        <v/>
      </c>
      <c r="K42" s="1">
        <f>'Paste cell here'!Q42</f>
        <v/>
      </c>
      <c r="L42" s="1">
        <f>'Paste cell here'!S42</f>
        <v/>
      </c>
      <c r="M42" s="1">
        <f>'Paste cell here'!T42</f>
        <v/>
      </c>
      <c r="N42" s="1">
        <f>'Paste cell here'!W42</f>
        <v/>
      </c>
      <c r="O42" s="1">
        <f>'Paste cell here'!U42</f>
        <v/>
      </c>
      <c r="P42" s="1">
        <f>O41</f>
        <v/>
      </c>
      <c r="Q42" s="1">
        <f>'Paste cell here'!V42</f>
        <v/>
      </c>
      <c r="R42" s="1">
        <f>ABS(O41+C42+D42+N42+Q41-H42-I42-K42-L42-M42-O42-Q42)</f>
        <v/>
      </c>
      <c r="S42" s="7">
        <f>Sintesi!$C$30</f>
        <v/>
      </c>
      <c r="T42" s="7">
        <f>Sintesi!$C$29</f>
        <v/>
      </c>
      <c r="U42" s="5">
        <f>O42/(Sintesi!$C$5*1000)</f>
        <v/>
      </c>
      <c r="V42" s="1">
        <f>T42-S42</f>
        <v/>
      </c>
      <c r="W42" s="1" t="n">
        <v>0.657987283753335</v>
      </c>
      <c r="X42" s="1">
        <f>W42*V42</f>
        <v/>
      </c>
      <c r="Y42" s="1">
        <f>T42-X42</f>
        <v/>
      </c>
      <c r="Z42" s="1">
        <f>'Paste cellinfo here'!$B$11</f>
        <v/>
      </c>
    </row>
    <row r="43">
      <c r="A43" s="1" t="n">
        <v>42</v>
      </c>
      <c r="B43" s="2">
        <f>DATE(Sintesi!$C$4-1,12,31)+A43</f>
        <v/>
      </c>
      <c r="C43" s="1">
        <f>'Paste cell here'!B43</f>
        <v/>
      </c>
      <c r="D43" s="1">
        <f>'Paste cell here'!I43</f>
        <v/>
      </c>
      <c r="E43" s="1">
        <f>'Paste cell here'!J43</f>
        <v/>
      </c>
      <c r="F43" s="1">
        <f>'Paste cell here'!K43</f>
        <v/>
      </c>
      <c r="G43" s="1">
        <f>'Paste cell here'!L43</f>
        <v/>
      </c>
      <c r="H43" s="1">
        <f>'Paste cell here'!M43</f>
        <v/>
      </c>
      <c r="I43" s="1">
        <f>'Paste cell here'!N43</f>
        <v/>
      </c>
      <c r="J43" s="1">
        <f>'Paste cell here'!O43</f>
        <v/>
      </c>
      <c r="K43" s="1">
        <f>'Paste cell here'!Q43</f>
        <v/>
      </c>
      <c r="L43" s="1">
        <f>'Paste cell here'!S43</f>
        <v/>
      </c>
      <c r="M43" s="1">
        <f>'Paste cell here'!T43</f>
        <v/>
      </c>
      <c r="N43" s="1">
        <f>'Paste cell here'!W43</f>
        <v/>
      </c>
      <c r="O43" s="1">
        <f>'Paste cell here'!U43</f>
        <v/>
      </c>
      <c r="P43" s="1">
        <f>O42</f>
        <v/>
      </c>
      <c r="Q43" s="1">
        <f>'Paste cell here'!V43</f>
        <v/>
      </c>
      <c r="R43" s="1">
        <f>ABS(O42+C43+D43+N43+Q42-H43-I43-K43-L43-M43-O43-Q43)</f>
        <v/>
      </c>
      <c r="S43" s="7">
        <f>Sintesi!$C$30</f>
        <v/>
      </c>
      <c r="T43" s="7">
        <f>Sintesi!$C$29</f>
        <v/>
      </c>
      <c r="U43" s="5">
        <f>O43/(Sintesi!$C$5*1000)</f>
        <v/>
      </c>
      <c r="V43" s="1">
        <f>T43-S43</f>
        <v/>
      </c>
      <c r="W43" s="1" t="n">
        <v>0.675512334901847</v>
      </c>
      <c r="X43" s="1">
        <f>W43*V43</f>
        <v/>
      </c>
      <c r="Y43" s="1">
        <f>T43-X43</f>
        <v/>
      </c>
      <c r="Z43" s="1">
        <f>'Paste cellinfo here'!$B$11</f>
        <v/>
      </c>
    </row>
    <row r="44">
      <c r="A44" s="1" t="n">
        <v>43</v>
      </c>
      <c r="B44" s="2">
        <f>DATE(Sintesi!$C$4-1,12,31)+A44</f>
        <v/>
      </c>
      <c r="C44" s="1">
        <f>'Paste cell here'!B44</f>
        <v/>
      </c>
      <c r="D44" s="1">
        <f>'Paste cell here'!I44</f>
        <v/>
      </c>
      <c r="E44" s="1">
        <f>'Paste cell here'!J44</f>
        <v/>
      </c>
      <c r="F44" s="1">
        <f>'Paste cell here'!K44</f>
        <v/>
      </c>
      <c r="G44" s="1">
        <f>'Paste cell here'!L44</f>
        <v/>
      </c>
      <c r="H44" s="1">
        <f>'Paste cell here'!M44</f>
        <v/>
      </c>
      <c r="I44" s="1">
        <f>'Paste cell here'!N44</f>
        <v/>
      </c>
      <c r="J44" s="1">
        <f>'Paste cell here'!O44</f>
        <v/>
      </c>
      <c r="K44" s="1">
        <f>'Paste cell here'!Q44</f>
        <v/>
      </c>
      <c r="L44" s="1">
        <f>'Paste cell here'!S44</f>
        <v/>
      </c>
      <c r="M44" s="1">
        <f>'Paste cell here'!T44</f>
        <v/>
      </c>
      <c r="N44" s="1">
        <f>'Paste cell here'!W44</f>
        <v/>
      </c>
      <c r="O44" s="1">
        <f>'Paste cell here'!U44</f>
        <v/>
      </c>
      <c r="P44" s="1">
        <f>O43</f>
        <v/>
      </c>
      <c r="Q44" s="1">
        <f>'Paste cell here'!V44</f>
        <v/>
      </c>
      <c r="R44" s="1">
        <f>ABS(O43+C44+D44+N44+Q43-H44-I44-K44-L44-M44-O44-Q44)</f>
        <v/>
      </c>
      <c r="S44" s="7">
        <f>Sintesi!$C$30</f>
        <v/>
      </c>
      <c r="T44" s="7">
        <f>Sintesi!$C$29</f>
        <v/>
      </c>
      <c r="U44" s="5">
        <f>O44/(Sintesi!$C$5*1000)</f>
        <v/>
      </c>
      <c r="V44" s="1">
        <f>T44-S44</f>
        <v/>
      </c>
      <c r="W44" s="1" t="n">
        <v>0.63005349831226</v>
      </c>
      <c r="X44" s="1">
        <f>W44*V44</f>
        <v/>
      </c>
      <c r="Y44" s="1">
        <f>T44-X44</f>
        <v/>
      </c>
      <c r="Z44" s="1">
        <f>'Paste cellinfo here'!$B$11</f>
        <v/>
      </c>
    </row>
    <row r="45">
      <c r="A45" s="1" t="n">
        <v>44</v>
      </c>
      <c r="B45" s="2">
        <f>DATE(Sintesi!$C$4-1,12,31)+A45</f>
        <v/>
      </c>
      <c r="C45" s="1">
        <f>'Paste cell here'!B45</f>
        <v/>
      </c>
      <c r="D45" s="1">
        <f>'Paste cell here'!I45</f>
        <v/>
      </c>
      <c r="E45" s="1">
        <f>'Paste cell here'!J45</f>
        <v/>
      </c>
      <c r="F45" s="1">
        <f>'Paste cell here'!K45</f>
        <v/>
      </c>
      <c r="G45" s="1">
        <f>'Paste cell here'!L45</f>
        <v/>
      </c>
      <c r="H45" s="1">
        <f>'Paste cell here'!M45</f>
        <v/>
      </c>
      <c r="I45" s="1">
        <f>'Paste cell here'!N45</f>
        <v/>
      </c>
      <c r="J45" s="1">
        <f>'Paste cell here'!O45</f>
        <v/>
      </c>
      <c r="K45" s="1">
        <f>'Paste cell here'!Q45</f>
        <v/>
      </c>
      <c r="L45" s="1">
        <f>'Paste cell here'!S45</f>
        <v/>
      </c>
      <c r="M45" s="1">
        <f>'Paste cell here'!T45</f>
        <v/>
      </c>
      <c r="N45" s="1">
        <f>'Paste cell here'!W45</f>
        <v/>
      </c>
      <c r="O45" s="1">
        <f>'Paste cell here'!U45</f>
        <v/>
      </c>
      <c r="P45" s="1">
        <f>O44</f>
        <v/>
      </c>
      <c r="Q45" s="1">
        <f>'Paste cell here'!V45</f>
        <v/>
      </c>
      <c r="R45" s="1">
        <f>ABS(O44+C45+D45+N45+Q44-H45-I45-K45-L45-M45-O45-Q45)</f>
        <v/>
      </c>
      <c r="S45" s="7">
        <f>Sintesi!$C$30</f>
        <v/>
      </c>
      <c r="T45" s="7">
        <f>Sintesi!$C$29</f>
        <v/>
      </c>
      <c r="U45" s="5">
        <f>O45/(Sintesi!$C$5*1000)</f>
        <v/>
      </c>
      <c r="V45" s="1">
        <f>T45-S45</f>
        <v/>
      </c>
      <c r="W45" s="1" t="n">
        <v>0.647381603802632</v>
      </c>
      <c r="X45" s="1">
        <f>W45*V45</f>
        <v/>
      </c>
      <c r="Y45" s="1">
        <f>T45-X45</f>
        <v/>
      </c>
      <c r="Z45" s="1">
        <f>'Paste cellinfo here'!$B$11</f>
        <v/>
      </c>
    </row>
    <row r="46">
      <c r="A46" s="1" t="n">
        <v>45</v>
      </c>
      <c r="B46" s="2">
        <f>DATE(Sintesi!$C$4-1,12,31)+A46</f>
        <v/>
      </c>
      <c r="C46" s="1">
        <f>'Paste cell here'!B46</f>
        <v/>
      </c>
      <c r="D46" s="1">
        <f>'Paste cell here'!I46</f>
        <v/>
      </c>
      <c r="E46" s="1">
        <f>'Paste cell here'!J46</f>
        <v/>
      </c>
      <c r="F46" s="1">
        <f>'Paste cell here'!K46</f>
        <v/>
      </c>
      <c r="G46" s="1">
        <f>'Paste cell here'!L46</f>
        <v/>
      </c>
      <c r="H46" s="1">
        <f>'Paste cell here'!M46</f>
        <v/>
      </c>
      <c r="I46" s="1">
        <f>'Paste cell here'!N46</f>
        <v/>
      </c>
      <c r="J46" s="1">
        <f>'Paste cell here'!O46</f>
        <v/>
      </c>
      <c r="K46" s="1">
        <f>'Paste cell here'!Q46</f>
        <v/>
      </c>
      <c r="L46" s="1">
        <f>'Paste cell here'!S46</f>
        <v/>
      </c>
      <c r="M46" s="1">
        <f>'Paste cell here'!T46</f>
        <v/>
      </c>
      <c r="N46" s="1">
        <f>'Paste cell here'!W46</f>
        <v/>
      </c>
      <c r="O46" s="1">
        <f>'Paste cell here'!U46</f>
        <v/>
      </c>
      <c r="P46" s="1">
        <f>O45</f>
        <v/>
      </c>
      <c r="Q46" s="1">
        <f>'Paste cell here'!V46</f>
        <v/>
      </c>
      <c r="R46" s="1">
        <f>ABS(O45+C46+D46+N46+Q45-H46-I46-K46-L46-M46-O46-Q46)</f>
        <v/>
      </c>
      <c r="S46" s="7">
        <f>Sintesi!$C$30</f>
        <v/>
      </c>
      <c r="T46" s="7">
        <f>Sintesi!$C$29</f>
        <v/>
      </c>
      <c r="U46" s="5">
        <f>O46/(Sintesi!$C$5*1000)</f>
        <v/>
      </c>
      <c r="V46" s="1">
        <f>T46-S46</f>
        <v/>
      </c>
      <c r="W46" s="1" t="n">
        <v>0.652808407027381</v>
      </c>
      <c r="X46" s="1">
        <f>W46*V46</f>
        <v/>
      </c>
      <c r="Y46" s="1">
        <f>T46-X46</f>
        <v/>
      </c>
      <c r="Z46" s="1">
        <f>'Paste cellinfo here'!$B$11</f>
        <v/>
      </c>
    </row>
    <row r="47">
      <c r="A47" s="1" t="n">
        <v>46</v>
      </c>
      <c r="B47" s="2">
        <f>DATE(Sintesi!$C$4-1,12,31)+A47</f>
        <v/>
      </c>
      <c r="C47" s="1">
        <f>'Paste cell here'!B47</f>
        <v/>
      </c>
      <c r="D47" s="1">
        <f>'Paste cell here'!I47</f>
        <v/>
      </c>
      <c r="E47" s="1">
        <f>'Paste cell here'!J47</f>
        <v/>
      </c>
      <c r="F47" s="1">
        <f>'Paste cell here'!K47</f>
        <v/>
      </c>
      <c r="G47" s="1">
        <f>'Paste cell here'!L47</f>
        <v/>
      </c>
      <c r="H47" s="1">
        <f>'Paste cell here'!M47</f>
        <v/>
      </c>
      <c r="I47" s="1">
        <f>'Paste cell here'!N47</f>
        <v/>
      </c>
      <c r="J47" s="1">
        <f>'Paste cell here'!O47</f>
        <v/>
      </c>
      <c r="K47" s="1">
        <f>'Paste cell here'!Q47</f>
        <v/>
      </c>
      <c r="L47" s="1">
        <f>'Paste cell here'!S47</f>
        <v/>
      </c>
      <c r="M47" s="1">
        <f>'Paste cell here'!T47</f>
        <v/>
      </c>
      <c r="N47" s="1">
        <f>'Paste cell here'!W47</f>
        <v/>
      </c>
      <c r="O47" s="1">
        <f>'Paste cell here'!U47</f>
        <v/>
      </c>
      <c r="P47" s="1">
        <f>O46</f>
        <v/>
      </c>
      <c r="Q47" s="1">
        <f>'Paste cell here'!V47</f>
        <v/>
      </c>
      <c r="R47" s="1">
        <f>ABS(O46+C47+D47+N47+Q46-H47-I47-K47-L47-M47-O47-Q47)</f>
        <v/>
      </c>
      <c r="S47" s="7">
        <f>Sintesi!$C$30</f>
        <v/>
      </c>
      <c r="T47" s="7">
        <f>Sintesi!$C$29</f>
        <v/>
      </c>
      <c r="U47" s="5">
        <f>O47/(Sintesi!$C$5*1000)</f>
        <v/>
      </c>
      <c r="V47" s="1">
        <f>T47-S47</f>
        <v/>
      </c>
      <c r="W47" s="1" t="n">
        <v>0.653257629029329</v>
      </c>
      <c r="X47" s="1">
        <f>W47*V47</f>
        <v/>
      </c>
      <c r="Y47" s="1">
        <f>T47-X47</f>
        <v/>
      </c>
      <c r="Z47" s="1">
        <f>'Paste cellinfo here'!$B$11</f>
        <v/>
      </c>
    </row>
    <row r="48">
      <c r="A48" s="1" t="n">
        <v>47</v>
      </c>
      <c r="B48" s="2">
        <f>DATE(Sintesi!$C$4-1,12,31)+A48</f>
        <v/>
      </c>
      <c r="C48" s="1">
        <f>'Paste cell here'!B48</f>
        <v/>
      </c>
      <c r="D48" s="1">
        <f>'Paste cell here'!I48</f>
        <v/>
      </c>
      <c r="E48" s="1">
        <f>'Paste cell here'!J48</f>
        <v/>
      </c>
      <c r="F48" s="1">
        <f>'Paste cell here'!K48</f>
        <v/>
      </c>
      <c r="G48" s="1">
        <f>'Paste cell here'!L48</f>
        <v/>
      </c>
      <c r="H48" s="1">
        <f>'Paste cell here'!M48</f>
        <v/>
      </c>
      <c r="I48" s="1">
        <f>'Paste cell here'!N48</f>
        <v/>
      </c>
      <c r="J48" s="1">
        <f>'Paste cell here'!O48</f>
        <v/>
      </c>
      <c r="K48" s="1">
        <f>'Paste cell here'!Q48</f>
        <v/>
      </c>
      <c r="L48" s="1">
        <f>'Paste cell here'!S48</f>
        <v/>
      </c>
      <c r="M48" s="1">
        <f>'Paste cell here'!T48</f>
        <v/>
      </c>
      <c r="N48" s="1">
        <f>'Paste cell here'!W48</f>
        <v/>
      </c>
      <c r="O48" s="1">
        <f>'Paste cell here'!U48</f>
        <v/>
      </c>
      <c r="P48" s="1">
        <f>O47</f>
        <v/>
      </c>
      <c r="Q48" s="1">
        <f>'Paste cell here'!V48</f>
        <v/>
      </c>
      <c r="R48" s="1">
        <f>ABS(O47+C48+D48+N48+Q47-H48-I48-K48-L48-M48-O48-Q48)</f>
        <v/>
      </c>
      <c r="S48" s="7">
        <f>Sintesi!$C$30</f>
        <v/>
      </c>
      <c r="T48" s="7">
        <f>Sintesi!$C$29</f>
        <v/>
      </c>
      <c r="U48" s="5">
        <f>O48/(Sintesi!$C$5*1000)</f>
        <v/>
      </c>
      <c r="V48" s="1">
        <f>T48-S48</f>
        <v/>
      </c>
      <c r="W48" s="1" t="n">
        <v>0.6495506822973049</v>
      </c>
      <c r="X48" s="1">
        <f>W48*V48</f>
        <v/>
      </c>
      <c r="Y48" s="1">
        <f>T48-X48</f>
        <v/>
      </c>
      <c r="Z48" s="1">
        <f>'Paste cellinfo here'!$B$11</f>
        <v/>
      </c>
    </row>
    <row r="49">
      <c r="A49" s="1" t="n">
        <v>48</v>
      </c>
      <c r="B49" s="2">
        <f>DATE(Sintesi!$C$4-1,12,31)+A49</f>
        <v/>
      </c>
      <c r="C49" s="1">
        <f>'Paste cell here'!B49</f>
        <v/>
      </c>
      <c r="D49" s="1">
        <f>'Paste cell here'!I49</f>
        <v/>
      </c>
      <c r="E49" s="1">
        <f>'Paste cell here'!J49</f>
        <v/>
      </c>
      <c r="F49" s="1">
        <f>'Paste cell here'!K49</f>
        <v/>
      </c>
      <c r="G49" s="1">
        <f>'Paste cell here'!L49</f>
        <v/>
      </c>
      <c r="H49" s="1">
        <f>'Paste cell here'!M49</f>
        <v/>
      </c>
      <c r="I49" s="1">
        <f>'Paste cell here'!N49</f>
        <v/>
      </c>
      <c r="J49" s="1">
        <f>'Paste cell here'!O49</f>
        <v/>
      </c>
      <c r="K49" s="1">
        <f>'Paste cell here'!Q49</f>
        <v/>
      </c>
      <c r="L49" s="1">
        <f>'Paste cell here'!S49</f>
        <v/>
      </c>
      <c r="M49" s="1">
        <f>'Paste cell here'!T49</f>
        <v/>
      </c>
      <c r="N49" s="1">
        <f>'Paste cell here'!W49</f>
        <v/>
      </c>
      <c r="O49" s="1">
        <f>'Paste cell here'!U49</f>
        <v/>
      </c>
      <c r="P49" s="1">
        <f>O48</f>
        <v/>
      </c>
      <c r="Q49" s="1">
        <f>'Paste cell here'!V49</f>
        <v/>
      </c>
      <c r="R49" s="1">
        <f>ABS(O48+C49+D49+N49+Q48-H49-I49-K49-L49-M49-O49-Q49)</f>
        <v/>
      </c>
      <c r="S49" s="7">
        <f>Sintesi!$C$30</f>
        <v/>
      </c>
      <c r="T49" s="7">
        <f>Sintesi!$C$29</f>
        <v/>
      </c>
      <c r="U49" s="5">
        <f>O49/(Sintesi!$C$5*1000)</f>
        <v/>
      </c>
      <c r="V49" s="1">
        <f>T49-S49</f>
        <v/>
      </c>
      <c r="W49" s="1" t="n">
        <v>0.648569807858712</v>
      </c>
      <c r="X49" s="1">
        <f>W49*V49</f>
        <v/>
      </c>
      <c r="Y49" s="1">
        <f>T49-X49</f>
        <v/>
      </c>
      <c r="Z49" s="1">
        <f>'Paste cellinfo here'!$B$11</f>
        <v/>
      </c>
    </row>
    <row r="50">
      <c r="A50" s="1" t="n">
        <v>49</v>
      </c>
      <c r="B50" s="2">
        <f>DATE(Sintesi!$C$4-1,12,31)+A50</f>
        <v/>
      </c>
      <c r="C50" s="1">
        <f>'Paste cell here'!B50</f>
        <v/>
      </c>
      <c r="D50" s="1">
        <f>'Paste cell here'!I50</f>
        <v/>
      </c>
      <c r="E50" s="1">
        <f>'Paste cell here'!J50</f>
        <v/>
      </c>
      <c r="F50" s="1">
        <f>'Paste cell here'!K50</f>
        <v/>
      </c>
      <c r="G50" s="1">
        <f>'Paste cell here'!L50</f>
        <v/>
      </c>
      <c r="H50" s="1">
        <f>'Paste cell here'!M50</f>
        <v/>
      </c>
      <c r="I50" s="1">
        <f>'Paste cell here'!N50</f>
        <v/>
      </c>
      <c r="J50" s="1">
        <f>'Paste cell here'!O50</f>
        <v/>
      </c>
      <c r="K50" s="1">
        <f>'Paste cell here'!Q50</f>
        <v/>
      </c>
      <c r="L50" s="1">
        <f>'Paste cell here'!S50</f>
        <v/>
      </c>
      <c r="M50" s="1">
        <f>'Paste cell here'!T50</f>
        <v/>
      </c>
      <c r="N50" s="1">
        <f>'Paste cell here'!W50</f>
        <v/>
      </c>
      <c r="O50" s="1">
        <f>'Paste cell here'!U50</f>
        <v/>
      </c>
      <c r="P50" s="1">
        <f>O49</f>
        <v/>
      </c>
      <c r="Q50" s="1">
        <f>'Paste cell here'!V50</f>
        <v/>
      </c>
      <c r="R50" s="1">
        <f>ABS(O49+C50+D50+N50+Q49-H50-I50-K50-L50-M50-O50-Q50)</f>
        <v/>
      </c>
      <c r="S50" s="7">
        <f>Sintesi!$C$30</f>
        <v/>
      </c>
      <c r="T50" s="7">
        <f>Sintesi!$C$29</f>
        <v/>
      </c>
      <c r="U50" s="5">
        <f>O50/(Sintesi!$C$5*1000)</f>
        <v/>
      </c>
      <c r="V50" s="1">
        <f>T50-S50</f>
        <v/>
      </c>
      <c r="W50" s="1" t="n">
        <v>0.643614286911104</v>
      </c>
      <c r="X50" s="1">
        <f>W50*V50</f>
        <v/>
      </c>
      <c r="Y50" s="1">
        <f>T50-X50</f>
        <v/>
      </c>
      <c r="Z50" s="1">
        <f>'Paste cellinfo here'!$B$11</f>
        <v/>
      </c>
    </row>
    <row r="51">
      <c r="A51" s="1" t="n">
        <v>50</v>
      </c>
      <c r="B51" s="2">
        <f>DATE(Sintesi!$C$4-1,12,31)+A51</f>
        <v/>
      </c>
      <c r="C51" s="1">
        <f>'Paste cell here'!B51</f>
        <v/>
      </c>
      <c r="D51" s="1">
        <f>'Paste cell here'!I51</f>
        <v/>
      </c>
      <c r="E51" s="1">
        <f>'Paste cell here'!J51</f>
        <v/>
      </c>
      <c r="F51" s="1">
        <f>'Paste cell here'!K51</f>
        <v/>
      </c>
      <c r="G51" s="1">
        <f>'Paste cell here'!L51</f>
        <v/>
      </c>
      <c r="H51" s="1">
        <f>'Paste cell here'!M51</f>
        <v/>
      </c>
      <c r="I51" s="1">
        <f>'Paste cell here'!N51</f>
        <v/>
      </c>
      <c r="J51" s="1">
        <f>'Paste cell here'!O51</f>
        <v/>
      </c>
      <c r="K51" s="1">
        <f>'Paste cell here'!Q51</f>
        <v/>
      </c>
      <c r="L51" s="1">
        <f>'Paste cell here'!S51</f>
        <v/>
      </c>
      <c r="M51" s="1">
        <f>'Paste cell here'!T51</f>
        <v/>
      </c>
      <c r="N51" s="1">
        <f>'Paste cell here'!W51</f>
        <v/>
      </c>
      <c r="O51" s="1">
        <f>'Paste cell here'!U51</f>
        <v/>
      </c>
      <c r="P51" s="1">
        <f>O50</f>
        <v/>
      </c>
      <c r="Q51" s="1">
        <f>'Paste cell here'!V51</f>
        <v/>
      </c>
      <c r="R51" s="1">
        <f>ABS(O50+C51+D51+N51+Q50-H51-I51-K51-L51-M51-O51-Q51)</f>
        <v/>
      </c>
      <c r="S51" s="7">
        <f>Sintesi!$C$30</f>
        <v/>
      </c>
      <c r="T51" s="7">
        <f>Sintesi!$C$29</f>
        <v/>
      </c>
      <c r="U51" s="5">
        <f>O51/(Sintesi!$C$5*1000)</f>
        <v/>
      </c>
      <c r="V51" s="1">
        <f>T51-S51</f>
        <v/>
      </c>
      <c r="W51" s="1" t="n">
        <v>0.646910725781631</v>
      </c>
      <c r="X51" s="1">
        <f>W51*V51</f>
        <v/>
      </c>
      <c r="Y51" s="1">
        <f>T51-X51</f>
        <v/>
      </c>
      <c r="Z51" s="1">
        <f>'Paste cellinfo here'!$B$11</f>
        <v/>
      </c>
    </row>
    <row r="52">
      <c r="A52" s="1" t="n">
        <v>51</v>
      </c>
      <c r="B52" s="2">
        <f>DATE(Sintesi!$C$4-1,12,31)+A52</f>
        <v/>
      </c>
      <c r="C52" s="1">
        <f>'Paste cell here'!B52</f>
        <v/>
      </c>
      <c r="D52" s="1">
        <f>'Paste cell here'!I52</f>
        <v/>
      </c>
      <c r="E52" s="1">
        <f>'Paste cell here'!J52</f>
        <v/>
      </c>
      <c r="F52" s="1">
        <f>'Paste cell here'!K52</f>
        <v/>
      </c>
      <c r="G52" s="1">
        <f>'Paste cell here'!L52</f>
        <v/>
      </c>
      <c r="H52" s="1">
        <f>'Paste cell here'!M52</f>
        <v/>
      </c>
      <c r="I52" s="1">
        <f>'Paste cell here'!N52</f>
        <v/>
      </c>
      <c r="J52" s="1">
        <f>'Paste cell here'!O52</f>
        <v/>
      </c>
      <c r="K52" s="1">
        <f>'Paste cell here'!Q52</f>
        <v/>
      </c>
      <c r="L52" s="1">
        <f>'Paste cell here'!S52</f>
        <v/>
      </c>
      <c r="M52" s="1">
        <f>'Paste cell here'!T52</f>
        <v/>
      </c>
      <c r="N52" s="1">
        <f>'Paste cell here'!W52</f>
        <v/>
      </c>
      <c r="O52" s="1">
        <f>'Paste cell here'!U52</f>
        <v/>
      </c>
      <c r="P52" s="1">
        <f>O51</f>
        <v/>
      </c>
      <c r="Q52" s="1">
        <f>'Paste cell here'!V52</f>
        <v/>
      </c>
      <c r="R52" s="1">
        <f>ABS(O51+C52+D52+N52+Q51-H52-I52-K52-L52-M52-O52-Q52)</f>
        <v/>
      </c>
      <c r="S52" s="7">
        <f>Sintesi!$C$30</f>
        <v/>
      </c>
      <c r="T52" s="7">
        <f>Sintesi!$C$29</f>
        <v/>
      </c>
      <c r="U52" s="5">
        <f>O52/(Sintesi!$C$5*1000)</f>
        <v/>
      </c>
      <c r="V52" s="1">
        <f>T52-S52</f>
        <v/>
      </c>
      <c r="W52" s="1" t="n">
        <v>0.646904103477803</v>
      </c>
      <c r="X52" s="1">
        <f>W52*V52</f>
        <v/>
      </c>
      <c r="Y52" s="1">
        <f>T52-X52</f>
        <v/>
      </c>
      <c r="Z52" s="1">
        <f>'Paste cellinfo here'!$B$11</f>
        <v/>
      </c>
    </row>
    <row r="53">
      <c r="A53" s="1" t="n">
        <v>52</v>
      </c>
      <c r="B53" s="2">
        <f>DATE(Sintesi!$C$4-1,12,31)+A53</f>
        <v/>
      </c>
      <c r="C53" s="1">
        <f>'Paste cell here'!B53</f>
        <v/>
      </c>
      <c r="D53" s="1">
        <f>'Paste cell here'!I53</f>
        <v/>
      </c>
      <c r="E53" s="1">
        <f>'Paste cell here'!J53</f>
        <v/>
      </c>
      <c r="F53" s="1">
        <f>'Paste cell here'!K53</f>
        <v/>
      </c>
      <c r="G53" s="1">
        <f>'Paste cell here'!L53</f>
        <v/>
      </c>
      <c r="H53" s="1">
        <f>'Paste cell here'!M53</f>
        <v/>
      </c>
      <c r="I53" s="1">
        <f>'Paste cell here'!N53</f>
        <v/>
      </c>
      <c r="J53" s="1">
        <f>'Paste cell here'!O53</f>
        <v/>
      </c>
      <c r="K53" s="1">
        <f>'Paste cell here'!Q53</f>
        <v/>
      </c>
      <c r="L53" s="1">
        <f>'Paste cell here'!S53</f>
        <v/>
      </c>
      <c r="M53" s="1">
        <f>'Paste cell here'!T53</f>
        <v/>
      </c>
      <c r="N53" s="1">
        <f>'Paste cell here'!W53</f>
        <v/>
      </c>
      <c r="O53" s="1">
        <f>'Paste cell here'!U53</f>
        <v/>
      </c>
      <c r="P53" s="1">
        <f>O52</f>
        <v/>
      </c>
      <c r="Q53" s="1">
        <f>'Paste cell here'!V53</f>
        <v/>
      </c>
      <c r="R53" s="1">
        <f>ABS(O52+C53+D53+N53+Q52-H53-I53-K53-L53-M53-O53-Q53)</f>
        <v/>
      </c>
      <c r="S53" s="7">
        <f>Sintesi!$C$30</f>
        <v/>
      </c>
      <c r="T53" s="7">
        <f>Sintesi!$C$29</f>
        <v/>
      </c>
      <c r="U53" s="5">
        <f>O53/(Sintesi!$C$5*1000)</f>
        <v/>
      </c>
      <c r="V53" s="1">
        <f>T53-S53</f>
        <v/>
      </c>
      <c r="W53" s="1" t="n">
        <v>0.657422102106874</v>
      </c>
      <c r="X53" s="1">
        <f>W53*V53</f>
        <v/>
      </c>
      <c r="Y53" s="1">
        <f>T53-X53</f>
        <v/>
      </c>
      <c r="Z53" s="1">
        <f>'Paste cellinfo here'!$B$11</f>
        <v/>
      </c>
    </row>
    <row r="54">
      <c r="A54" s="1" t="n">
        <v>53</v>
      </c>
      <c r="B54" s="2">
        <f>DATE(Sintesi!$C$4-1,12,31)+A54</f>
        <v/>
      </c>
      <c r="C54" s="1">
        <f>'Paste cell here'!B54</f>
        <v/>
      </c>
      <c r="D54" s="1">
        <f>'Paste cell here'!I54</f>
        <v/>
      </c>
      <c r="E54" s="1">
        <f>'Paste cell here'!J54</f>
        <v/>
      </c>
      <c r="F54" s="1">
        <f>'Paste cell here'!K54</f>
        <v/>
      </c>
      <c r="G54" s="1">
        <f>'Paste cell here'!L54</f>
        <v/>
      </c>
      <c r="H54" s="1">
        <f>'Paste cell here'!M54</f>
        <v/>
      </c>
      <c r="I54" s="1">
        <f>'Paste cell here'!N54</f>
        <v/>
      </c>
      <c r="J54" s="1">
        <f>'Paste cell here'!O54</f>
        <v/>
      </c>
      <c r="K54" s="1">
        <f>'Paste cell here'!Q54</f>
        <v/>
      </c>
      <c r="L54" s="1">
        <f>'Paste cell here'!S54</f>
        <v/>
      </c>
      <c r="M54" s="1">
        <f>'Paste cell here'!T54</f>
        <v/>
      </c>
      <c r="N54" s="1">
        <f>'Paste cell here'!W54</f>
        <v/>
      </c>
      <c r="O54" s="1">
        <f>'Paste cell here'!U54</f>
        <v/>
      </c>
      <c r="P54" s="1">
        <f>O53</f>
        <v/>
      </c>
      <c r="Q54" s="1">
        <f>'Paste cell here'!V54</f>
        <v/>
      </c>
      <c r="R54" s="1">
        <f>ABS(O53+C54+D54+N54+Q53-H54-I54-K54-L54-M54-O54-Q54)</f>
        <v/>
      </c>
      <c r="S54" s="7">
        <f>Sintesi!$C$30</f>
        <v/>
      </c>
      <c r="T54" s="7">
        <f>Sintesi!$C$29</f>
        <v/>
      </c>
      <c r="U54" s="5">
        <f>O54/(Sintesi!$C$5*1000)</f>
        <v/>
      </c>
      <c r="V54" s="1">
        <f>T54-S54</f>
        <v/>
      </c>
      <c r="W54" s="1" t="n">
        <v>0.65370491806769</v>
      </c>
      <c r="X54" s="1">
        <f>W54*V54</f>
        <v/>
      </c>
      <c r="Y54" s="1">
        <f>T54-X54</f>
        <v/>
      </c>
      <c r="Z54" s="1">
        <f>'Paste cellinfo here'!$B$11</f>
        <v/>
      </c>
    </row>
    <row r="55">
      <c r="A55" s="1" t="n">
        <v>54</v>
      </c>
      <c r="B55" s="2">
        <f>DATE(Sintesi!$C$4-1,12,31)+A55</f>
        <v/>
      </c>
      <c r="C55" s="1">
        <f>'Paste cell here'!B55</f>
        <v/>
      </c>
      <c r="D55" s="1">
        <f>'Paste cell here'!I55</f>
        <v/>
      </c>
      <c r="E55" s="1">
        <f>'Paste cell here'!J55</f>
        <v/>
      </c>
      <c r="F55" s="1">
        <f>'Paste cell here'!K55</f>
        <v/>
      </c>
      <c r="G55" s="1">
        <f>'Paste cell here'!L55</f>
        <v/>
      </c>
      <c r="H55" s="1">
        <f>'Paste cell here'!M55</f>
        <v/>
      </c>
      <c r="I55" s="1">
        <f>'Paste cell here'!N55</f>
        <v/>
      </c>
      <c r="J55" s="1">
        <f>'Paste cell here'!O55</f>
        <v/>
      </c>
      <c r="K55" s="1">
        <f>'Paste cell here'!Q55</f>
        <v/>
      </c>
      <c r="L55" s="1">
        <f>'Paste cell here'!S55</f>
        <v/>
      </c>
      <c r="M55" s="1">
        <f>'Paste cell here'!T55</f>
        <v/>
      </c>
      <c r="N55" s="1">
        <f>'Paste cell here'!W55</f>
        <v/>
      </c>
      <c r="O55" s="1">
        <f>'Paste cell here'!U55</f>
        <v/>
      </c>
      <c r="P55" s="1">
        <f>O54</f>
        <v/>
      </c>
      <c r="Q55" s="1">
        <f>'Paste cell here'!V55</f>
        <v/>
      </c>
      <c r="R55" s="1">
        <f>ABS(O54+C55+D55+N55+Q54-H55-I55-K55-L55-M55-O55-Q55)</f>
        <v/>
      </c>
      <c r="S55" s="7">
        <f>Sintesi!$C$30</f>
        <v/>
      </c>
      <c r="T55" s="7">
        <f>Sintesi!$C$29</f>
        <v/>
      </c>
      <c r="U55" s="5">
        <f>O55/(Sintesi!$C$5*1000)</f>
        <v/>
      </c>
      <c r="V55" s="1">
        <f>T55-S55</f>
        <v/>
      </c>
      <c r="W55" s="1" t="n">
        <v>0.6349419936645599</v>
      </c>
      <c r="X55" s="1">
        <f>W55*V55</f>
        <v/>
      </c>
      <c r="Y55" s="1">
        <f>T55-X55</f>
        <v/>
      </c>
      <c r="Z55" s="1">
        <f>'Paste cellinfo here'!$B$11</f>
        <v/>
      </c>
    </row>
    <row r="56">
      <c r="A56" s="1" t="n">
        <v>55</v>
      </c>
      <c r="B56" s="2">
        <f>DATE(Sintesi!$C$4-1,12,31)+A56</f>
        <v/>
      </c>
      <c r="C56" s="1">
        <f>'Paste cell here'!B56</f>
        <v/>
      </c>
      <c r="D56" s="1">
        <f>'Paste cell here'!I56</f>
        <v/>
      </c>
      <c r="E56" s="1">
        <f>'Paste cell here'!J56</f>
        <v/>
      </c>
      <c r="F56" s="1">
        <f>'Paste cell here'!K56</f>
        <v/>
      </c>
      <c r="G56" s="1">
        <f>'Paste cell here'!L56</f>
        <v/>
      </c>
      <c r="H56" s="1">
        <f>'Paste cell here'!M56</f>
        <v/>
      </c>
      <c r="I56" s="1">
        <f>'Paste cell here'!N56</f>
        <v/>
      </c>
      <c r="J56" s="1">
        <f>'Paste cell here'!O56</f>
        <v/>
      </c>
      <c r="K56" s="1">
        <f>'Paste cell here'!Q56</f>
        <v/>
      </c>
      <c r="L56" s="1">
        <f>'Paste cell here'!S56</f>
        <v/>
      </c>
      <c r="M56" s="1">
        <f>'Paste cell here'!T56</f>
        <v/>
      </c>
      <c r="N56" s="1">
        <f>'Paste cell here'!W56</f>
        <v/>
      </c>
      <c r="O56" s="1">
        <f>'Paste cell here'!U56</f>
        <v/>
      </c>
      <c r="P56" s="1">
        <f>O55</f>
        <v/>
      </c>
      <c r="Q56" s="1">
        <f>'Paste cell here'!V56</f>
        <v/>
      </c>
      <c r="R56" s="1">
        <f>ABS(O55+C56+D56+N56+Q55-H56-I56-K56-L56-M56-O56-Q56)</f>
        <v/>
      </c>
      <c r="S56" s="7">
        <f>Sintesi!$C$30</f>
        <v/>
      </c>
      <c r="T56" s="7">
        <f>Sintesi!$C$29</f>
        <v/>
      </c>
      <c r="U56" s="5">
        <f>O56/(Sintesi!$C$5*1000)</f>
        <v/>
      </c>
      <c r="V56" s="1">
        <f>T56-S56</f>
        <v/>
      </c>
      <c r="W56" s="1" t="n">
        <v>0.636364284717198</v>
      </c>
      <c r="X56" s="1">
        <f>W56*V56</f>
        <v/>
      </c>
      <c r="Y56" s="1">
        <f>T56-X56</f>
        <v/>
      </c>
      <c r="Z56" s="1">
        <f>'Paste cellinfo here'!$B$11</f>
        <v/>
      </c>
    </row>
    <row r="57">
      <c r="A57" s="1" t="n">
        <v>56</v>
      </c>
      <c r="B57" s="2">
        <f>DATE(Sintesi!$C$4-1,12,31)+A57</f>
        <v/>
      </c>
      <c r="C57" s="1">
        <f>'Paste cell here'!B57</f>
        <v/>
      </c>
      <c r="D57" s="1">
        <f>'Paste cell here'!I57</f>
        <v/>
      </c>
      <c r="E57" s="1">
        <f>'Paste cell here'!J57</f>
        <v/>
      </c>
      <c r="F57" s="1">
        <f>'Paste cell here'!K57</f>
        <v/>
      </c>
      <c r="G57" s="1">
        <f>'Paste cell here'!L57</f>
        <v/>
      </c>
      <c r="H57" s="1">
        <f>'Paste cell here'!M57</f>
        <v/>
      </c>
      <c r="I57" s="1">
        <f>'Paste cell here'!N57</f>
        <v/>
      </c>
      <c r="J57" s="1">
        <f>'Paste cell here'!O57</f>
        <v/>
      </c>
      <c r="K57" s="1">
        <f>'Paste cell here'!Q57</f>
        <v/>
      </c>
      <c r="L57" s="1">
        <f>'Paste cell here'!S57</f>
        <v/>
      </c>
      <c r="M57" s="1">
        <f>'Paste cell here'!T57</f>
        <v/>
      </c>
      <c r="N57" s="1">
        <f>'Paste cell here'!W57</f>
        <v/>
      </c>
      <c r="O57" s="1">
        <f>'Paste cell here'!U57</f>
        <v/>
      </c>
      <c r="P57" s="1">
        <f>O56</f>
        <v/>
      </c>
      <c r="Q57" s="1">
        <f>'Paste cell here'!V57</f>
        <v/>
      </c>
      <c r="R57" s="1">
        <f>ABS(O56+C57+D57+N57+Q56-H57-I57-K57-L57-M57-O57-Q57)</f>
        <v/>
      </c>
      <c r="S57" s="7">
        <f>Sintesi!$C$30</f>
        <v/>
      </c>
      <c r="T57" s="7">
        <f>Sintesi!$C$29</f>
        <v/>
      </c>
      <c r="U57" s="5">
        <f>O57/(Sintesi!$C$5*1000)</f>
        <v/>
      </c>
      <c r="V57" s="1">
        <f>T57-S57</f>
        <v/>
      </c>
      <c r="W57" s="1" t="n">
        <v>0.650261594242736</v>
      </c>
      <c r="X57" s="1">
        <f>W57*V57</f>
        <v/>
      </c>
      <c r="Y57" s="1">
        <f>T57-X57</f>
        <v/>
      </c>
      <c r="Z57" s="1">
        <f>'Paste cellinfo here'!$B$11</f>
        <v/>
      </c>
    </row>
    <row r="58">
      <c r="A58" s="1" t="n">
        <v>57</v>
      </c>
      <c r="B58" s="2">
        <f>DATE(Sintesi!$C$4-1,12,31)+A58</f>
        <v/>
      </c>
      <c r="C58" s="1">
        <f>'Paste cell here'!B58</f>
        <v/>
      </c>
      <c r="D58" s="1">
        <f>'Paste cell here'!I58</f>
        <v/>
      </c>
      <c r="E58" s="1">
        <f>'Paste cell here'!J58</f>
        <v/>
      </c>
      <c r="F58" s="1">
        <f>'Paste cell here'!K58</f>
        <v/>
      </c>
      <c r="G58" s="1">
        <f>'Paste cell here'!L58</f>
        <v/>
      </c>
      <c r="H58" s="1">
        <f>'Paste cell here'!M58</f>
        <v/>
      </c>
      <c r="I58" s="1">
        <f>'Paste cell here'!N58</f>
        <v/>
      </c>
      <c r="J58" s="1">
        <f>'Paste cell here'!O58</f>
        <v/>
      </c>
      <c r="K58" s="1">
        <f>'Paste cell here'!Q58</f>
        <v/>
      </c>
      <c r="L58" s="1">
        <f>'Paste cell here'!S58</f>
        <v/>
      </c>
      <c r="M58" s="1">
        <f>'Paste cell here'!T58</f>
        <v/>
      </c>
      <c r="N58" s="1">
        <f>'Paste cell here'!W58</f>
        <v/>
      </c>
      <c r="O58" s="1">
        <f>'Paste cell here'!U58</f>
        <v/>
      </c>
      <c r="P58" s="1">
        <f>O57</f>
        <v/>
      </c>
      <c r="Q58" s="1">
        <f>'Paste cell here'!V58</f>
        <v/>
      </c>
      <c r="R58" s="1">
        <f>ABS(O57+C58+D58+N58+Q57-H58-I58-K58-L58-M58-O58-Q58)</f>
        <v/>
      </c>
      <c r="S58" s="7">
        <f>Sintesi!$C$30</f>
        <v/>
      </c>
      <c r="T58" s="7">
        <f>Sintesi!$C$29</f>
        <v/>
      </c>
      <c r="U58" s="5">
        <f>O58/(Sintesi!$C$5*1000)</f>
        <v/>
      </c>
      <c r="V58" s="1">
        <f>T58-S58</f>
        <v/>
      </c>
      <c r="W58" s="1" t="n">
        <v>0.633954159369858</v>
      </c>
      <c r="X58" s="1">
        <f>W58*V58</f>
        <v/>
      </c>
      <c r="Y58" s="1">
        <f>T58-X58</f>
        <v/>
      </c>
      <c r="Z58" s="1">
        <f>'Paste cellinfo here'!$B$11</f>
        <v/>
      </c>
    </row>
    <row r="59">
      <c r="A59" s="1" t="n">
        <v>58</v>
      </c>
      <c r="B59" s="2">
        <f>DATE(Sintesi!$C$4-1,12,31)+A59</f>
        <v/>
      </c>
      <c r="C59" s="1">
        <f>'Paste cell here'!B59</f>
        <v/>
      </c>
      <c r="D59" s="1">
        <f>'Paste cell here'!I59</f>
        <v/>
      </c>
      <c r="E59" s="1">
        <f>'Paste cell here'!J59</f>
        <v/>
      </c>
      <c r="F59" s="1">
        <f>'Paste cell here'!K59</f>
        <v/>
      </c>
      <c r="G59" s="1">
        <f>'Paste cell here'!L59</f>
        <v/>
      </c>
      <c r="H59" s="1">
        <f>'Paste cell here'!M59</f>
        <v/>
      </c>
      <c r="I59" s="1">
        <f>'Paste cell here'!N59</f>
        <v/>
      </c>
      <c r="J59" s="1">
        <f>'Paste cell here'!O59</f>
        <v/>
      </c>
      <c r="K59" s="1">
        <f>'Paste cell here'!Q59</f>
        <v/>
      </c>
      <c r="L59" s="1">
        <f>'Paste cell here'!S59</f>
        <v/>
      </c>
      <c r="M59" s="1">
        <f>'Paste cell here'!T59</f>
        <v/>
      </c>
      <c r="N59" s="1">
        <f>'Paste cell here'!W59</f>
        <v/>
      </c>
      <c r="O59" s="1">
        <f>'Paste cell here'!U59</f>
        <v/>
      </c>
      <c r="P59" s="1">
        <f>O58</f>
        <v/>
      </c>
      <c r="Q59" s="1">
        <f>'Paste cell here'!V59</f>
        <v/>
      </c>
      <c r="R59" s="1">
        <f>ABS(O58+C59+D59+N59+Q58-H59-I59-K59-L59-M59-O59-Q59)</f>
        <v/>
      </c>
      <c r="S59" s="7">
        <f>Sintesi!$C$30</f>
        <v/>
      </c>
      <c r="T59" s="7">
        <f>Sintesi!$C$29</f>
        <v/>
      </c>
      <c r="U59" s="5">
        <f>O59/(Sintesi!$C$5*1000)</f>
        <v/>
      </c>
      <c r="V59" s="1">
        <f>T59-S59</f>
        <v/>
      </c>
      <c r="W59" s="1" t="n">
        <v>0.624346417084933</v>
      </c>
      <c r="X59" s="1">
        <f>W59*V59</f>
        <v/>
      </c>
      <c r="Y59" s="1">
        <f>T59-X59</f>
        <v/>
      </c>
      <c r="Z59" s="1">
        <f>'Paste cellinfo here'!$B$11</f>
        <v/>
      </c>
    </row>
    <row r="60">
      <c r="A60" s="1" t="n">
        <v>59</v>
      </c>
      <c r="B60" s="2">
        <f>DATE(Sintesi!$C$4-1,12,31)+A60</f>
        <v/>
      </c>
      <c r="C60" s="1">
        <f>'Paste cell here'!B60</f>
        <v/>
      </c>
      <c r="D60" s="1">
        <f>'Paste cell here'!I60</f>
        <v/>
      </c>
      <c r="E60" s="1">
        <f>'Paste cell here'!J60</f>
        <v/>
      </c>
      <c r="F60" s="1">
        <f>'Paste cell here'!K60</f>
        <v/>
      </c>
      <c r="G60" s="1">
        <f>'Paste cell here'!L60</f>
        <v/>
      </c>
      <c r="H60" s="1">
        <f>'Paste cell here'!M60</f>
        <v/>
      </c>
      <c r="I60" s="1">
        <f>'Paste cell here'!N60</f>
        <v/>
      </c>
      <c r="J60" s="1">
        <f>'Paste cell here'!O60</f>
        <v/>
      </c>
      <c r="K60" s="1">
        <f>'Paste cell here'!Q60</f>
        <v/>
      </c>
      <c r="L60" s="1">
        <f>'Paste cell here'!S60</f>
        <v/>
      </c>
      <c r="M60" s="1">
        <f>'Paste cell here'!T60</f>
        <v/>
      </c>
      <c r="N60" s="1">
        <f>'Paste cell here'!W60</f>
        <v/>
      </c>
      <c r="O60" s="1">
        <f>'Paste cell here'!U60</f>
        <v/>
      </c>
      <c r="P60" s="1">
        <f>O59</f>
        <v/>
      </c>
      <c r="Q60" s="1">
        <f>'Paste cell here'!V60</f>
        <v/>
      </c>
      <c r="R60" s="1">
        <f>ABS(O59+C60+D60+N60+Q59-H60-I60-K60-L60-M60-O60-Q60)</f>
        <v/>
      </c>
      <c r="S60" s="7">
        <f>Sintesi!$C$30</f>
        <v/>
      </c>
      <c r="T60" s="7">
        <f>Sintesi!$C$29</f>
        <v/>
      </c>
      <c r="U60" s="5">
        <f>O60/(Sintesi!$C$5*1000)</f>
        <v/>
      </c>
      <c r="V60" s="1">
        <f>T60-S60</f>
        <v/>
      </c>
      <c r="W60" s="1" t="n">
        <v>0.612546505691193</v>
      </c>
      <c r="X60" s="1">
        <f>W60*V60</f>
        <v/>
      </c>
      <c r="Y60" s="1">
        <f>T60-X60</f>
        <v/>
      </c>
      <c r="Z60" s="1">
        <f>'Paste cellinfo here'!$B$11</f>
        <v/>
      </c>
    </row>
    <row r="61">
      <c r="A61" s="1" t="n">
        <v>60</v>
      </c>
      <c r="B61" s="2">
        <f>DATE(Sintesi!$C$4-1,12,31)+A61</f>
        <v/>
      </c>
      <c r="C61" s="1">
        <f>'Paste cell here'!B61</f>
        <v/>
      </c>
      <c r="D61" s="1">
        <f>'Paste cell here'!I61</f>
        <v/>
      </c>
      <c r="E61" s="1">
        <f>'Paste cell here'!J61</f>
        <v/>
      </c>
      <c r="F61" s="1">
        <f>'Paste cell here'!K61</f>
        <v/>
      </c>
      <c r="G61" s="1">
        <f>'Paste cell here'!L61</f>
        <v/>
      </c>
      <c r="H61" s="1">
        <f>'Paste cell here'!M61</f>
        <v/>
      </c>
      <c r="I61" s="1">
        <f>'Paste cell here'!N61</f>
        <v/>
      </c>
      <c r="J61" s="1">
        <f>'Paste cell here'!O61</f>
        <v/>
      </c>
      <c r="K61" s="1">
        <f>'Paste cell here'!Q61</f>
        <v/>
      </c>
      <c r="L61" s="1">
        <f>'Paste cell here'!S61</f>
        <v/>
      </c>
      <c r="M61" s="1">
        <f>'Paste cell here'!T61</f>
        <v/>
      </c>
      <c r="N61" s="1">
        <f>'Paste cell here'!W61</f>
        <v/>
      </c>
      <c r="O61" s="1">
        <f>'Paste cell here'!U61</f>
        <v/>
      </c>
      <c r="P61" s="1">
        <f>O60</f>
        <v/>
      </c>
      <c r="Q61" s="1">
        <f>'Paste cell here'!V61</f>
        <v/>
      </c>
      <c r="R61" s="1">
        <f>ABS(O60+C61+D61+N61+Q60-H61-I61-K61-L61-M61-O61-Q61)</f>
        <v/>
      </c>
      <c r="S61" s="7">
        <f>Sintesi!$C$30</f>
        <v/>
      </c>
      <c r="T61" s="7">
        <f>Sintesi!$C$29</f>
        <v/>
      </c>
      <c r="U61" s="5">
        <f>O61/(Sintesi!$C$5*1000)</f>
        <v/>
      </c>
      <c r="V61" s="1">
        <f>T61-S61</f>
        <v/>
      </c>
      <c r="W61" s="1" t="n">
        <v>0.621551095834962</v>
      </c>
      <c r="X61" s="1">
        <f>W61*V61</f>
        <v/>
      </c>
      <c r="Y61" s="1">
        <f>T61-X61</f>
        <v/>
      </c>
      <c r="Z61" s="1">
        <f>'Paste cellinfo here'!$B$11</f>
        <v/>
      </c>
    </row>
    <row r="62">
      <c r="A62" s="1" t="n">
        <v>61</v>
      </c>
      <c r="B62" s="2">
        <f>DATE(Sintesi!$C$4-1,12,31)+A62</f>
        <v/>
      </c>
      <c r="C62" s="1">
        <f>'Paste cell here'!B62</f>
        <v/>
      </c>
      <c r="D62" s="1">
        <f>'Paste cell here'!I62</f>
        <v/>
      </c>
      <c r="E62" s="1">
        <f>'Paste cell here'!J62</f>
        <v/>
      </c>
      <c r="F62" s="1">
        <f>'Paste cell here'!K62</f>
        <v/>
      </c>
      <c r="G62" s="1">
        <f>'Paste cell here'!L62</f>
        <v/>
      </c>
      <c r="H62" s="1">
        <f>'Paste cell here'!M62</f>
        <v/>
      </c>
      <c r="I62" s="1">
        <f>'Paste cell here'!N62</f>
        <v/>
      </c>
      <c r="J62" s="1">
        <f>'Paste cell here'!O62</f>
        <v/>
      </c>
      <c r="K62" s="1">
        <f>'Paste cell here'!Q62</f>
        <v/>
      </c>
      <c r="L62" s="1">
        <f>'Paste cell here'!S62</f>
        <v/>
      </c>
      <c r="M62" s="1">
        <f>'Paste cell here'!T62</f>
        <v/>
      </c>
      <c r="N62" s="1">
        <f>'Paste cell here'!W62</f>
        <v/>
      </c>
      <c r="O62" s="1">
        <f>'Paste cell here'!U62</f>
        <v/>
      </c>
      <c r="P62" s="1">
        <f>O61</f>
        <v/>
      </c>
      <c r="Q62" s="1">
        <f>'Paste cell here'!V62</f>
        <v/>
      </c>
      <c r="R62" s="1">
        <f>ABS(O61+C62+D62+N62+Q61-H62-I62-K62-L62-M62-O62-Q62)</f>
        <v/>
      </c>
      <c r="S62" s="7">
        <f>Sintesi!$C$30</f>
        <v/>
      </c>
      <c r="T62" s="7">
        <f>Sintesi!$C$29</f>
        <v/>
      </c>
      <c r="U62" s="5">
        <f>O62/(Sintesi!$C$5*1000)</f>
        <v/>
      </c>
      <c r="V62" s="1">
        <f>T62-S62</f>
        <v/>
      </c>
      <c r="W62" s="1" t="n">
        <v>0.648114072942635</v>
      </c>
      <c r="X62" s="1">
        <f>W62*V62</f>
        <v/>
      </c>
      <c r="Y62" s="1">
        <f>T62-X62</f>
        <v/>
      </c>
      <c r="Z62" s="1">
        <f>'Paste cellinfo here'!$B$11</f>
        <v/>
      </c>
    </row>
    <row r="63">
      <c r="A63" s="1" t="n">
        <v>62</v>
      </c>
      <c r="B63" s="2">
        <f>DATE(Sintesi!$C$4-1,12,31)+A63</f>
        <v/>
      </c>
      <c r="C63" s="1">
        <f>'Paste cell here'!B63</f>
        <v/>
      </c>
      <c r="D63" s="1">
        <f>'Paste cell here'!I63</f>
        <v/>
      </c>
      <c r="E63" s="1">
        <f>'Paste cell here'!J63</f>
        <v/>
      </c>
      <c r="F63" s="1">
        <f>'Paste cell here'!K63</f>
        <v/>
      </c>
      <c r="G63" s="1">
        <f>'Paste cell here'!L63</f>
        <v/>
      </c>
      <c r="H63" s="1">
        <f>'Paste cell here'!M63</f>
        <v/>
      </c>
      <c r="I63" s="1">
        <f>'Paste cell here'!N63</f>
        <v/>
      </c>
      <c r="J63" s="1">
        <f>'Paste cell here'!O63</f>
        <v/>
      </c>
      <c r="K63" s="1">
        <f>'Paste cell here'!Q63</f>
        <v/>
      </c>
      <c r="L63" s="1">
        <f>'Paste cell here'!S63</f>
        <v/>
      </c>
      <c r="M63" s="1">
        <f>'Paste cell here'!T63</f>
        <v/>
      </c>
      <c r="N63" s="1">
        <f>'Paste cell here'!W63</f>
        <v/>
      </c>
      <c r="O63" s="1">
        <f>'Paste cell here'!U63</f>
        <v/>
      </c>
      <c r="P63" s="1">
        <f>O62</f>
        <v/>
      </c>
      <c r="Q63" s="1">
        <f>'Paste cell here'!V63</f>
        <v/>
      </c>
      <c r="R63" s="1">
        <f>ABS(O62+C63+D63+N63+Q62-H63-I63-K63-L63-M63-O63-Q63)</f>
        <v/>
      </c>
      <c r="S63" s="7">
        <f>Sintesi!$C$30</f>
        <v/>
      </c>
      <c r="T63" s="7">
        <f>Sintesi!$C$29</f>
        <v/>
      </c>
      <c r="U63" s="5">
        <f>O63/(Sintesi!$C$5*1000)</f>
        <v/>
      </c>
      <c r="V63" s="1">
        <f>T63-S63</f>
        <v/>
      </c>
      <c r="W63" s="1" t="n">
        <v>0.63119632841887</v>
      </c>
      <c r="X63" s="1">
        <f>W63*V63</f>
        <v/>
      </c>
      <c r="Y63" s="1">
        <f>T63-X63</f>
        <v/>
      </c>
      <c r="Z63" s="1">
        <f>'Paste cellinfo here'!$B$11</f>
        <v/>
      </c>
    </row>
    <row r="64">
      <c r="A64" s="1" t="n">
        <v>63</v>
      </c>
      <c r="B64" s="2">
        <f>DATE(Sintesi!$C$4-1,12,31)+A64</f>
        <v/>
      </c>
      <c r="C64" s="1">
        <f>'Paste cell here'!B64</f>
        <v/>
      </c>
      <c r="D64" s="1">
        <f>'Paste cell here'!I64</f>
        <v/>
      </c>
      <c r="E64" s="1">
        <f>'Paste cell here'!J64</f>
        <v/>
      </c>
      <c r="F64" s="1">
        <f>'Paste cell here'!K64</f>
        <v/>
      </c>
      <c r="G64" s="1">
        <f>'Paste cell here'!L64</f>
        <v/>
      </c>
      <c r="H64" s="1">
        <f>'Paste cell here'!M64</f>
        <v/>
      </c>
      <c r="I64" s="1">
        <f>'Paste cell here'!N64</f>
        <v/>
      </c>
      <c r="J64" s="1">
        <f>'Paste cell here'!O64</f>
        <v/>
      </c>
      <c r="K64" s="1">
        <f>'Paste cell here'!Q64</f>
        <v/>
      </c>
      <c r="L64" s="1">
        <f>'Paste cell here'!S64</f>
        <v/>
      </c>
      <c r="M64" s="1">
        <f>'Paste cell here'!T64</f>
        <v/>
      </c>
      <c r="N64" s="1">
        <f>'Paste cell here'!W64</f>
        <v/>
      </c>
      <c r="O64" s="1">
        <f>'Paste cell here'!U64</f>
        <v/>
      </c>
      <c r="P64" s="1">
        <f>O63</f>
        <v/>
      </c>
      <c r="Q64" s="1">
        <f>'Paste cell here'!V64</f>
        <v/>
      </c>
      <c r="R64" s="1">
        <f>ABS(O63+C64+D64+N64+Q63-H64-I64-K64-L64-M64-O64-Q64)</f>
        <v/>
      </c>
      <c r="S64" s="7">
        <f>Sintesi!$C$30</f>
        <v/>
      </c>
      <c r="T64" s="7">
        <f>Sintesi!$C$29</f>
        <v/>
      </c>
      <c r="U64" s="5">
        <f>O64/(Sintesi!$C$5*1000)</f>
        <v/>
      </c>
      <c r="V64" s="1">
        <f>T64-S64</f>
        <v/>
      </c>
      <c r="W64" s="1" t="n">
        <v>0.621311940681647</v>
      </c>
      <c r="X64" s="1">
        <f>W64*V64</f>
        <v/>
      </c>
      <c r="Y64" s="1">
        <f>T64-X64</f>
        <v/>
      </c>
      <c r="Z64" s="1">
        <f>'Paste cellinfo here'!$B$11</f>
        <v/>
      </c>
    </row>
    <row r="65">
      <c r="A65" s="1" t="n">
        <v>64</v>
      </c>
      <c r="B65" s="2">
        <f>DATE(Sintesi!$C$4-1,12,31)+A65</f>
        <v/>
      </c>
      <c r="C65" s="1">
        <f>'Paste cell here'!B65</f>
        <v/>
      </c>
      <c r="D65" s="1">
        <f>'Paste cell here'!I65</f>
        <v/>
      </c>
      <c r="E65" s="1">
        <f>'Paste cell here'!J65</f>
        <v/>
      </c>
      <c r="F65" s="1">
        <f>'Paste cell here'!K65</f>
        <v/>
      </c>
      <c r="G65" s="1">
        <f>'Paste cell here'!L65</f>
        <v/>
      </c>
      <c r="H65" s="1">
        <f>'Paste cell here'!M65</f>
        <v/>
      </c>
      <c r="I65" s="1">
        <f>'Paste cell here'!N65</f>
        <v/>
      </c>
      <c r="J65" s="1">
        <f>'Paste cell here'!O65</f>
        <v/>
      </c>
      <c r="K65" s="1">
        <f>'Paste cell here'!Q65</f>
        <v/>
      </c>
      <c r="L65" s="1">
        <f>'Paste cell here'!S65</f>
        <v/>
      </c>
      <c r="M65" s="1">
        <f>'Paste cell here'!T65</f>
        <v/>
      </c>
      <c r="N65" s="1">
        <f>'Paste cell here'!W65</f>
        <v/>
      </c>
      <c r="O65" s="1">
        <f>'Paste cell here'!U65</f>
        <v/>
      </c>
      <c r="P65" s="1">
        <f>O64</f>
        <v/>
      </c>
      <c r="Q65" s="1">
        <f>'Paste cell here'!V65</f>
        <v/>
      </c>
      <c r="R65" s="1">
        <f>ABS(O64+C65+D65+N65+Q64-H65-I65-K65-L65-M65-O65-Q65)</f>
        <v/>
      </c>
      <c r="S65" s="7">
        <f>Sintesi!$C$30</f>
        <v/>
      </c>
      <c r="T65" s="7">
        <f>Sintesi!$C$29</f>
        <v/>
      </c>
      <c r="U65" s="5">
        <f>O65/(Sintesi!$C$5*1000)</f>
        <v/>
      </c>
      <c r="V65" s="1">
        <f>T65-S65</f>
        <v/>
      </c>
      <c r="W65" s="1" t="n">
        <v>0.643870114175102</v>
      </c>
      <c r="X65" s="1">
        <f>W65*V65</f>
        <v/>
      </c>
      <c r="Y65" s="1">
        <f>T65-X65</f>
        <v/>
      </c>
      <c r="Z65" s="1">
        <f>'Paste cellinfo here'!$B$11</f>
        <v/>
      </c>
    </row>
    <row r="66">
      <c r="A66" s="1" t="n">
        <v>65</v>
      </c>
      <c r="B66" s="2">
        <f>DATE(Sintesi!$C$4-1,12,31)+A66</f>
        <v/>
      </c>
      <c r="C66" s="1">
        <f>'Paste cell here'!B66</f>
        <v/>
      </c>
      <c r="D66" s="1">
        <f>'Paste cell here'!I66</f>
        <v/>
      </c>
      <c r="E66" s="1">
        <f>'Paste cell here'!J66</f>
        <v/>
      </c>
      <c r="F66" s="1">
        <f>'Paste cell here'!K66</f>
        <v/>
      </c>
      <c r="G66" s="1">
        <f>'Paste cell here'!L66</f>
        <v/>
      </c>
      <c r="H66" s="1">
        <f>'Paste cell here'!M66</f>
        <v/>
      </c>
      <c r="I66" s="1">
        <f>'Paste cell here'!N66</f>
        <v/>
      </c>
      <c r="J66" s="1">
        <f>'Paste cell here'!O66</f>
        <v/>
      </c>
      <c r="K66" s="1">
        <f>'Paste cell here'!Q66</f>
        <v/>
      </c>
      <c r="L66" s="1">
        <f>'Paste cell here'!S66</f>
        <v/>
      </c>
      <c r="M66" s="1">
        <f>'Paste cell here'!T66</f>
        <v/>
      </c>
      <c r="N66" s="1">
        <f>'Paste cell here'!W66</f>
        <v/>
      </c>
      <c r="O66" s="1">
        <f>'Paste cell here'!U66</f>
        <v/>
      </c>
      <c r="P66" s="1">
        <f>O65</f>
        <v/>
      </c>
      <c r="Q66" s="1">
        <f>'Paste cell here'!V66</f>
        <v/>
      </c>
      <c r="R66" s="1">
        <f>ABS(O65+C66+D66+N66+Q65-H66-I66-K66-L66-M66-O66-Q66)</f>
        <v/>
      </c>
      <c r="S66" s="7">
        <f>Sintesi!$C$30</f>
        <v/>
      </c>
      <c r="T66" s="7">
        <f>Sintesi!$C$29</f>
        <v/>
      </c>
      <c r="U66" s="5">
        <f>O66/(Sintesi!$C$5*1000)</f>
        <v/>
      </c>
      <c r="V66" s="1">
        <f>T66-S66</f>
        <v/>
      </c>
      <c r="W66" s="1" t="n">
        <v>0.618878459438749</v>
      </c>
      <c r="X66" s="1">
        <f>W66*V66</f>
        <v/>
      </c>
      <c r="Y66" s="1">
        <f>T66-X66</f>
        <v/>
      </c>
      <c r="Z66" s="1">
        <f>'Paste cellinfo here'!$B$11</f>
        <v/>
      </c>
    </row>
    <row r="67">
      <c r="A67" s="1" t="n">
        <v>66</v>
      </c>
      <c r="B67" s="2">
        <f>DATE(Sintesi!$C$4-1,12,31)+A67</f>
        <v/>
      </c>
      <c r="C67" s="1">
        <f>'Paste cell here'!B67</f>
        <v/>
      </c>
      <c r="D67" s="1">
        <f>'Paste cell here'!I67</f>
        <v/>
      </c>
      <c r="E67" s="1">
        <f>'Paste cell here'!J67</f>
        <v/>
      </c>
      <c r="F67" s="1">
        <f>'Paste cell here'!K67</f>
        <v/>
      </c>
      <c r="G67" s="1">
        <f>'Paste cell here'!L67</f>
        <v/>
      </c>
      <c r="H67" s="1">
        <f>'Paste cell here'!M67</f>
        <v/>
      </c>
      <c r="I67" s="1">
        <f>'Paste cell here'!N67</f>
        <v/>
      </c>
      <c r="J67" s="1">
        <f>'Paste cell here'!O67</f>
        <v/>
      </c>
      <c r="K67" s="1">
        <f>'Paste cell here'!Q67</f>
        <v/>
      </c>
      <c r="L67" s="1">
        <f>'Paste cell here'!S67</f>
        <v/>
      </c>
      <c r="M67" s="1">
        <f>'Paste cell here'!T67</f>
        <v/>
      </c>
      <c r="N67" s="1">
        <f>'Paste cell here'!W67</f>
        <v/>
      </c>
      <c r="O67" s="1">
        <f>'Paste cell here'!U67</f>
        <v/>
      </c>
      <c r="P67" s="1">
        <f>O66</f>
        <v/>
      </c>
      <c r="Q67" s="1">
        <f>'Paste cell here'!V67</f>
        <v/>
      </c>
      <c r="R67" s="1">
        <f>ABS(O66+C67+D67+N67+Q66-H67-I67-K67-L67-M67-O67-Q67)</f>
        <v/>
      </c>
      <c r="S67" s="7">
        <f>Sintesi!$C$30</f>
        <v/>
      </c>
      <c r="T67" s="7">
        <f>Sintesi!$C$29</f>
        <v/>
      </c>
      <c r="U67" s="5">
        <f>O67/(Sintesi!$C$5*1000)</f>
        <v/>
      </c>
      <c r="V67" s="1">
        <f>T67-S67</f>
        <v/>
      </c>
      <c r="W67" s="1" t="n">
        <v>0.627909615053721</v>
      </c>
      <c r="X67" s="1">
        <f>W67*V67</f>
        <v/>
      </c>
      <c r="Y67" s="1">
        <f>T67-X67</f>
        <v/>
      </c>
      <c r="Z67" s="1">
        <f>'Paste cellinfo here'!$B$11</f>
        <v/>
      </c>
    </row>
    <row r="68">
      <c r="A68" s="1" t="n">
        <v>67</v>
      </c>
      <c r="B68" s="2">
        <f>DATE(Sintesi!$C$4-1,12,31)+A68</f>
        <v/>
      </c>
      <c r="C68" s="1">
        <f>'Paste cell here'!B68</f>
        <v/>
      </c>
      <c r="D68" s="1">
        <f>'Paste cell here'!I68</f>
        <v/>
      </c>
      <c r="E68" s="1">
        <f>'Paste cell here'!J68</f>
        <v/>
      </c>
      <c r="F68" s="1">
        <f>'Paste cell here'!K68</f>
        <v/>
      </c>
      <c r="G68" s="1">
        <f>'Paste cell here'!L68</f>
        <v/>
      </c>
      <c r="H68" s="1">
        <f>'Paste cell here'!M68</f>
        <v/>
      </c>
      <c r="I68" s="1">
        <f>'Paste cell here'!N68</f>
        <v/>
      </c>
      <c r="J68" s="1">
        <f>'Paste cell here'!O68</f>
        <v/>
      </c>
      <c r="K68" s="1">
        <f>'Paste cell here'!Q68</f>
        <v/>
      </c>
      <c r="L68" s="1">
        <f>'Paste cell here'!S68</f>
        <v/>
      </c>
      <c r="M68" s="1">
        <f>'Paste cell here'!T68</f>
        <v/>
      </c>
      <c r="N68" s="1">
        <f>'Paste cell here'!W68</f>
        <v/>
      </c>
      <c r="O68" s="1">
        <f>'Paste cell here'!U68</f>
        <v/>
      </c>
      <c r="P68" s="1">
        <f>O67</f>
        <v/>
      </c>
      <c r="Q68" s="1">
        <f>'Paste cell here'!V68</f>
        <v/>
      </c>
      <c r="R68" s="1">
        <f>ABS(O67+C68+D68+N68+Q67-H68-I68-K68-L68-M68-O68-Q68)</f>
        <v/>
      </c>
      <c r="S68" s="7">
        <f>Sintesi!$C$30</f>
        <v/>
      </c>
      <c r="T68" s="7">
        <f>Sintesi!$C$29</f>
        <v/>
      </c>
      <c r="U68" s="5">
        <f>O68/(Sintesi!$C$5*1000)</f>
        <v/>
      </c>
      <c r="V68" s="1">
        <f>T68-S68</f>
        <v/>
      </c>
      <c r="W68" s="1" t="n">
        <v>0.642318769030528</v>
      </c>
      <c r="X68" s="1">
        <f>W68*V68</f>
        <v/>
      </c>
      <c r="Y68" s="1">
        <f>T68-X68</f>
        <v/>
      </c>
      <c r="Z68" s="1">
        <f>'Paste cellinfo here'!$B$11</f>
        <v/>
      </c>
    </row>
    <row r="69">
      <c r="A69" s="1" t="n">
        <v>68</v>
      </c>
      <c r="B69" s="2">
        <f>DATE(Sintesi!$C$4-1,12,31)+A69</f>
        <v/>
      </c>
      <c r="C69" s="1">
        <f>'Paste cell here'!B69</f>
        <v/>
      </c>
      <c r="D69" s="1">
        <f>'Paste cell here'!I69</f>
        <v/>
      </c>
      <c r="E69" s="1">
        <f>'Paste cell here'!J69</f>
        <v/>
      </c>
      <c r="F69" s="1">
        <f>'Paste cell here'!K69</f>
        <v/>
      </c>
      <c r="G69" s="1">
        <f>'Paste cell here'!L69</f>
        <v/>
      </c>
      <c r="H69" s="1">
        <f>'Paste cell here'!M69</f>
        <v/>
      </c>
      <c r="I69" s="1">
        <f>'Paste cell here'!N69</f>
        <v/>
      </c>
      <c r="J69" s="1">
        <f>'Paste cell here'!O69</f>
        <v/>
      </c>
      <c r="K69" s="1">
        <f>'Paste cell here'!Q69</f>
        <v/>
      </c>
      <c r="L69" s="1">
        <f>'Paste cell here'!S69</f>
        <v/>
      </c>
      <c r="M69" s="1">
        <f>'Paste cell here'!T69</f>
        <v/>
      </c>
      <c r="N69" s="1">
        <f>'Paste cell here'!W69</f>
        <v/>
      </c>
      <c r="O69" s="1">
        <f>'Paste cell here'!U69</f>
        <v/>
      </c>
      <c r="P69" s="1">
        <f>O68</f>
        <v/>
      </c>
      <c r="Q69" s="1">
        <f>'Paste cell here'!V69</f>
        <v/>
      </c>
      <c r="R69" s="1">
        <f>ABS(O68+C69+D69+N69+Q68-H69-I69-K69-L69-M69-O69-Q69)</f>
        <v/>
      </c>
      <c r="S69" s="7">
        <f>Sintesi!$C$30</f>
        <v/>
      </c>
      <c r="T69" s="7">
        <f>Sintesi!$C$29</f>
        <v/>
      </c>
      <c r="U69" s="5">
        <f>O69/(Sintesi!$C$5*1000)</f>
        <v/>
      </c>
      <c r="V69" s="1">
        <f>T69-S69</f>
        <v/>
      </c>
      <c r="W69" s="1" t="n">
        <v>0.620824969335561</v>
      </c>
      <c r="X69" s="1">
        <f>W69*V69</f>
        <v/>
      </c>
      <c r="Y69" s="1">
        <f>T69-X69</f>
        <v/>
      </c>
      <c r="Z69" s="1">
        <f>'Paste cellinfo here'!$B$11</f>
        <v/>
      </c>
    </row>
    <row r="70">
      <c r="A70" s="1" t="n">
        <v>69</v>
      </c>
      <c r="B70" s="2">
        <f>DATE(Sintesi!$C$4-1,12,31)+A70</f>
        <v/>
      </c>
      <c r="C70" s="1">
        <f>'Paste cell here'!B70</f>
        <v/>
      </c>
      <c r="D70" s="1">
        <f>'Paste cell here'!I70</f>
        <v/>
      </c>
      <c r="E70" s="1">
        <f>'Paste cell here'!J70</f>
        <v/>
      </c>
      <c r="F70" s="1">
        <f>'Paste cell here'!K70</f>
        <v/>
      </c>
      <c r="G70" s="1">
        <f>'Paste cell here'!L70</f>
        <v/>
      </c>
      <c r="H70" s="1">
        <f>'Paste cell here'!M70</f>
        <v/>
      </c>
      <c r="I70" s="1">
        <f>'Paste cell here'!N70</f>
        <v/>
      </c>
      <c r="J70" s="1">
        <f>'Paste cell here'!O70</f>
        <v/>
      </c>
      <c r="K70" s="1">
        <f>'Paste cell here'!Q70</f>
        <v/>
      </c>
      <c r="L70" s="1">
        <f>'Paste cell here'!S70</f>
        <v/>
      </c>
      <c r="M70" s="1">
        <f>'Paste cell here'!T70</f>
        <v/>
      </c>
      <c r="N70" s="1">
        <f>'Paste cell here'!W70</f>
        <v/>
      </c>
      <c r="O70" s="1">
        <f>'Paste cell here'!U70</f>
        <v/>
      </c>
      <c r="P70" s="1">
        <f>O69</f>
        <v/>
      </c>
      <c r="Q70" s="1">
        <f>'Paste cell here'!V70</f>
        <v/>
      </c>
      <c r="R70" s="1">
        <f>ABS(O69+C70+D70+N70+Q69-H70-I70-K70-L70-M70-O70-Q70)</f>
        <v/>
      </c>
      <c r="S70" s="7">
        <f>Sintesi!$C$30</f>
        <v/>
      </c>
      <c r="T70" s="7">
        <f>Sintesi!$C$29</f>
        <v/>
      </c>
      <c r="U70" s="5">
        <f>O70/(Sintesi!$C$5*1000)</f>
        <v/>
      </c>
      <c r="V70" s="1">
        <f>T70-S70</f>
        <v/>
      </c>
      <c r="W70" s="1" t="n">
        <v>0.607388162785695</v>
      </c>
      <c r="X70" s="1">
        <f>W70*V70</f>
        <v/>
      </c>
      <c r="Y70" s="1">
        <f>T70-X70</f>
        <v/>
      </c>
      <c r="Z70" s="1">
        <f>'Paste cellinfo here'!$B$11</f>
        <v/>
      </c>
    </row>
    <row r="71">
      <c r="A71" s="1" t="n">
        <v>70</v>
      </c>
      <c r="B71" s="2">
        <f>DATE(Sintesi!$C$4-1,12,31)+A71</f>
        <v/>
      </c>
      <c r="C71" s="1">
        <f>'Paste cell here'!B71</f>
        <v/>
      </c>
      <c r="D71" s="1">
        <f>'Paste cell here'!I71</f>
        <v/>
      </c>
      <c r="E71" s="1">
        <f>'Paste cell here'!J71</f>
        <v/>
      </c>
      <c r="F71" s="1">
        <f>'Paste cell here'!K71</f>
        <v/>
      </c>
      <c r="G71" s="1">
        <f>'Paste cell here'!L71</f>
        <v/>
      </c>
      <c r="H71" s="1">
        <f>'Paste cell here'!M71</f>
        <v/>
      </c>
      <c r="I71" s="1">
        <f>'Paste cell here'!N71</f>
        <v/>
      </c>
      <c r="J71" s="1">
        <f>'Paste cell here'!O71</f>
        <v/>
      </c>
      <c r="K71" s="1">
        <f>'Paste cell here'!Q71</f>
        <v/>
      </c>
      <c r="L71" s="1">
        <f>'Paste cell here'!S71</f>
        <v/>
      </c>
      <c r="M71" s="1">
        <f>'Paste cell here'!T71</f>
        <v/>
      </c>
      <c r="N71" s="1">
        <f>'Paste cell here'!W71</f>
        <v/>
      </c>
      <c r="O71" s="1">
        <f>'Paste cell here'!U71</f>
        <v/>
      </c>
      <c r="P71" s="1">
        <f>O70</f>
        <v/>
      </c>
      <c r="Q71" s="1">
        <f>'Paste cell here'!V71</f>
        <v/>
      </c>
      <c r="R71" s="1">
        <f>ABS(O70+C71+D71+N71+Q70-H71-I71-K71-L71-M71-O71-Q71)</f>
        <v/>
      </c>
      <c r="S71" s="7">
        <f>Sintesi!$C$30</f>
        <v/>
      </c>
      <c r="T71" s="7">
        <f>Sintesi!$C$29</f>
        <v/>
      </c>
      <c r="U71" s="5">
        <f>O71/(Sintesi!$C$5*1000)</f>
        <v/>
      </c>
      <c r="V71" s="1">
        <f>T71-S71</f>
        <v/>
      </c>
      <c r="W71" s="1" t="n">
        <v>0.61468644755971</v>
      </c>
      <c r="X71" s="1">
        <f>W71*V71</f>
        <v/>
      </c>
      <c r="Y71" s="1">
        <f>T71-X71</f>
        <v/>
      </c>
      <c r="Z71" s="1">
        <f>'Paste cellinfo here'!$B$11</f>
        <v/>
      </c>
    </row>
    <row r="72">
      <c r="A72" s="1" t="n">
        <v>71</v>
      </c>
      <c r="B72" s="2">
        <f>DATE(Sintesi!$C$4-1,12,31)+A72</f>
        <v/>
      </c>
      <c r="C72" s="1">
        <f>'Paste cell here'!B72</f>
        <v/>
      </c>
      <c r="D72" s="1">
        <f>'Paste cell here'!I72</f>
        <v/>
      </c>
      <c r="E72" s="1">
        <f>'Paste cell here'!J72</f>
        <v/>
      </c>
      <c r="F72" s="1">
        <f>'Paste cell here'!K72</f>
        <v/>
      </c>
      <c r="G72" s="1">
        <f>'Paste cell here'!L72</f>
        <v/>
      </c>
      <c r="H72" s="1">
        <f>'Paste cell here'!M72</f>
        <v/>
      </c>
      <c r="I72" s="1">
        <f>'Paste cell here'!N72</f>
        <v/>
      </c>
      <c r="J72" s="1">
        <f>'Paste cell here'!O72</f>
        <v/>
      </c>
      <c r="K72" s="1">
        <f>'Paste cell here'!Q72</f>
        <v/>
      </c>
      <c r="L72" s="1">
        <f>'Paste cell here'!S72</f>
        <v/>
      </c>
      <c r="M72" s="1">
        <f>'Paste cell here'!T72</f>
        <v/>
      </c>
      <c r="N72" s="1">
        <f>'Paste cell here'!W72</f>
        <v/>
      </c>
      <c r="O72" s="1">
        <f>'Paste cell here'!U72</f>
        <v/>
      </c>
      <c r="P72" s="1">
        <f>O71</f>
        <v/>
      </c>
      <c r="Q72" s="1">
        <f>'Paste cell here'!V72</f>
        <v/>
      </c>
      <c r="R72" s="1">
        <f>ABS(O71+C72+D72+N72+Q71-H72-I72-K72-L72-M72-O72-Q72)</f>
        <v/>
      </c>
      <c r="S72" s="7">
        <f>Sintesi!$C$30</f>
        <v/>
      </c>
      <c r="T72" s="7">
        <f>Sintesi!$C$29</f>
        <v/>
      </c>
      <c r="U72" s="5">
        <f>O72/(Sintesi!$C$5*1000)</f>
        <v/>
      </c>
      <c r="V72" s="1">
        <f>T72-S72</f>
        <v/>
      </c>
      <c r="W72" s="1" t="n">
        <v>0.555117911593362</v>
      </c>
      <c r="X72" s="1">
        <f>W72*V72</f>
        <v/>
      </c>
      <c r="Y72" s="1">
        <f>T72-X72</f>
        <v/>
      </c>
      <c r="Z72" s="1">
        <f>'Paste cellinfo here'!$B$11</f>
        <v/>
      </c>
    </row>
    <row r="73">
      <c r="A73" s="1" t="n">
        <v>72</v>
      </c>
      <c r="B73" s="2">
        <f>DATE(Sintesi!$C$4-1,12,31)+A73</f>
        <v/>
      </c>
      <c r="C73" s="1">
        <f>'Paste cell here'!B73</f>
        <v/>
      </c>
      <c r="D73" s="1">
        <f>'Paste cell here'!I73</f>
        <v/>
      </c>
      <c r="E73" s="1">
        <f>'Paste cell here'!J73</f>
        <v/>
      </c>
      <c r="F73" s="1">
        <f>'Paste cell here'!K73</f>
        <v/>
      </c>
      <c r="G73" s="1">
        <f>'Paste cell here'!L73</f>
        <v/>
      </c>
      <c r="H73" s="1">
        <f>'Paste cell here'!M73</f>
        <v/>
      </c>
      <c r="I73" s="1">
        <f>'Paste cell here'!N73</f>
        <v/>
      </c>
      <c r="J73" s="1">
        <f>'Paste cell here'!O73</f>
        <v/>
      </c>
      <c r="K73" s="1">
        <f>'Paste cell here'!Q73</f>
        <v/>
      </c>
      <c r="L73" s="1">
        <f>'Paste cell here'!S73</f>
        <v/>
      </c>
      <c r="M73" s="1">
        <f>'Paste cell here'!T73</f>
        <v/>
      </c>
      <c r="N73" s="1">
        <f>'Paste cell here'!W73</f>
        <v/>
      </c>
      <c r="O73" s="1">
        <f>'Paste cell here'!U73</f>
        <v/>
      </c>
      <c r="P73" s="1">
        <f>O72</f>
        <v/>
      </c>
      <c r="Q73" s="1">
        <f>'Paste cell here'!V73</f>
        <v/>
      </c>
      <c r="R73" s="1">
        <f>ABS(O72+C73+D73+N73+Q72-H73-I73-K73-L73-M73-O73-Q73)</f>
        <v/>
      </c>
      <c r="S73" s="7">
        <f>Sintesi!$C$30</f>
        <v/>
      </c>
      <c r="T73" s="7">
        <f>Sintesi!$C$29</f>
        <v/>
      </c>
      <c r="U73" s="5">
        <f>O73/(Sintesi!$C$5*1000)</f>
        <v/>
      </c>
      <c r="V73" s="1">
        <f>T73-S73</f>
        <v/>
      </c>
      <c r="W73" s="1" t="n">
        <v>0.58215459590409</v>
      </c>
      <c r="X73" s="1">
        <f>W73*V73</f>
        <v/>
      </c>
      <c r="Y73" s="1">
        <f>T73-X73</f>
        <v/>
      </c>
      <c r="Z73" s="1">
        <f>'Paste cellinfo here'!$B$11</f>
        <v/>
      </c>
    </row>
    <row r="74">
      <c r="A74" s="1" t="n">
        <v>73</v>
      </c>
      <c r="B74" s="2">
        <f>DATE(Sintesi!$C$4-1,12,31)+A74</f>
        <v/>
      </c>
      <c r="C74" s="1">
        <f>'Paste cell here'!B74</f>
        <v/>
      </c>
      <c r="D74" s="1">
        <f>'Paste cell here'!I74</f>
        <v/>
      </c>
      <c r="E74" s="1">
        <f>'Paste cell here'!J74</f>
        <v/>
      </c>
      <c r="F74" s="1">
        <f>'Paste cell here'!K74</f>
        <v/>
      </c>
      <c r="G74" s="1">
        <f>'Paste cell here'!L74</f>
        <v/>
      </c>
      <c r="H74" s="1">
        <f>'Paste cell here'!M74</f>
        <v/>
      </c>
      <c r="I74" s="1">
        <f>'Paste cell here'!N74</f>
        <v/>
      </c>
      <c r="J74" s="1">
        <f>'Paste cell here'!O74</f>
        <v/>
      </c>
      <c r="K74" s="1">
        <f>'Paste cell here'!Q74</f>
        <v/>
      </c>
      <c r="L74" s="1">
        <f>'Paste cell here'!S74</f>
        <v/>
      </c>
      <c r="M74" s="1">
        <f>'Paste cell here'!T74</f>
        <v/>
      </c>
      <c r="N74" s="1">
        <f>'Paste cell here'!W74</f>
        <v/>
      </c>
      <c r="O74" s="1">
        <f>'Paste cell here'!U74</f>
        <v/>
      </c>
      <c r="P74" s="1">
        <f>O73</f>
        <v/>
      </c>
      <c r="Q74" s="1">
        <f>'Paste cell here'!V74</f>
        <v/>
      </c>
      <c r="R74" s="1">
        <f>ABS(O73+C74+D74+N74+Q73-H74-I74-K74-L74-M74-O74-Q74)</f>
        <v/>
      </c>
      <c r="S74" s="7">
        <f>Sintesi!$C$30</f>
        <v/>
      </c>
      <c r="T74" s="7">
        <f>Sintesi!$C$29</f>
        <v/>
      </c>
      <c r="U74" s="5">
        <f>O74/(Sintesi!$C$5*1000)</f>
        <v/>
      </c>
      <c r="V74" s="1">
        <f>T74-S74</f>
        <v/>
      </c>
      <c r="W74" s="1" t="n">
        <v>0.623692048651298</v>
      </c>
      <c r="X74" s="1">
        <f>W74*V74</f>
        <v/>
      </c>
      <c r="Y74" s="1">
        <f>T74-X74</f>
        <v/>
      </c>
      <c r="Z74" s="1">
        <f>'Paste cellinfo here'!$B$11</f>
        <v/>
      </c>
    </row>
    <row r="75">
      <c r="A75" s="1" t="n">
        <v>74</v>
      </c>
      <c r="B75" s="2">
        <f>DATE(Sintesi!$C$4-1,12,31)+A75</f>
        <v/>
      </c>
      <c r="C75" s="1">
        <f>'Paste cell here'!B75</f>
        <v/>
      </c>
      <c r="D75" s="1">
        <f>'Paste cell here'!I75</f>
        <v/>
      </c>
      <c r="E75" s="1">
        <f>'Paste cell here'!J75</f>
        <v/>
      </c>
      <c r="F75" s="1">
        <f>'Paste cell here'!K75</f>
        <v/>
      </c>
      <c r="G75" s="1">
        <f>'Paste cell here'!L75</f>
        <v/>
      </c>
      <c r="H75" s="1">
        <f>'Paste cell here'!M75</f>
        <v/>
      </c>
      <c r="I75" s="1">
        <f>'Paste cell here'!N75</f>
        <v/>
      </c>
      <c r="J75" s="1">
        <f>'Paste cell here'!O75</f>
        <v/>
      </c>
      <c r="K75" s="1">
        <f>'Paste cell here'!Q75</f>
        <v/>
      </c>
      <c r="L75" s="1">
        <f>'Paste cell here'!S75</f>
        <v/>
      </c>
      <c r="M75" s="1">
        <f>'Paste cell here'!T75</f>
        <v/>
      </c>
      <c r="N75" s="1">
        <f>'Paste cell here'!W75</f>
        <v/>
      </c>
      <c r="O75" s="1">
        <f>'Paste cell here'!U75</f>
        <v/>
      </c>
      <c r="P75" s="1">
        <f>O74</f>
        <v/>
      </c>
      <c r="Q75" s="1">
        <f>'Paste cell here'!V75</f>
        <v/>
      </c>
      <c r="R75" s="1">
        <f>ABS(O74+C75+D75+N75+Q74-H75-I75-K75-L75-M75-O75-Q75)</f>
        <v/>
      </c>
      <c r="S75" s="7">
        <f>Sintesi!$C$30</f>
        <v/>
      </c>
      <c r="T75" s="7">
        <f>Sintesi!$C$29</f>
        <v/>
      </c>
      <c r="U75" s="5">
        <f>O75/(Sintesi!$C$5*1000)</f>
        <v/>
      </c>
      <c r="V75" s="1">
        <f>T75-S75</f>
        <v/>
      </c>
      <c r="W75" s="1" t="n">
        <v>0.604177076992832</v>
      </c>
      <c r="X75" s="1">
        <f>W75*V75</f>
        <v/>
      </c>
      <c r="Y75" s="1">
        <f>T75-X75</f>
        <v/>
      </c>
      <c r="Z75" s="1">
        <f>'Paste cellinfo here'!$B$11</f>
        <v/>
      </c>
    </row>
    <row r="76">
      <c r="A76" s="1" t="n">
        <v>75</v>
      </c>
      <c r="B76" s="2">
        <f>DATE(Sintesi!$C$4-1,12,31)+A76</f>
        <v/>
      </c>
      <c r="C76" s="1">
        <f>'Paste cell here'!B76</f>
        <v/>
      </c>
      <c r="D76" s="1">
        <f>'Paste cell here'!I76</f>
        <v/>
      </c>
      <c r="E76" s="1">
        <f>'Paste cell here'!J76</f>
        <v/>
      </c>
      <c r="F76" s="1">
        <f>'Paste cell here'!K76</f>
        <v/>
      </c>
      <c r="G76" s="1">
        <f>'Paste cell here'!L76</f>
        <v/>
      </c>
      <c r="H76" s="1">
        <f>'Paste cell here'!M76</f>
        <v/>
      </c>
      <c r="I76" s="1">
        <f>'Paste cell here'!N76</f>
        <v/>
      </c>
      <c r="J76" s="1">
        <f>'Paste cell here'!O76</f>
        <v/>
      </c>
      <c r="K76" s="1">
        <f>'Paste cell here'!Q76</f>
        <v/>
      </c>
      <c r="L76" s="1">
        <f>'Paste cell here'!S76</f>
        <v/>
      </c>
      <c r="M76" s="1">
        <f>'Paste cell here'!T76</f>
        <v/>
      </c>
      <c r="N76" s="1">
        <f>'Paste cell here'!W76</f>
        <v/>
      </c>
      <c r="O76" s="1">
        <f>'Paste cell here'!U76</f>
        <v/>
      </c>
      <c r="P76" s="1">
        <f>O75</f>
        <v/>
      </c>
      <c r="Q76" s="1">
        <f>'Paste cell here'!V76</f>
        <v/>
      </c>
      <c r="R76" s="1">
        <f>ABS(O75+C76+D76+N76+Q75-H76-I76-K76-L76-M76-O76-Q76)</f>
        <v/>
      </c>
      <c r="S76" s="7">
        <f>Sintesi!$C$30</f>
        <v/>
      </c>
      <c r="T76" s="7">
        <f>Sintesi!$C$29</f>
        <v/>
      </c>
      <c r="U76" s="5">
        <f>O76/(Sintesi!$C$5*1000)</f>
        <v/>
      </c>
      <c r="V76" s="1">
        <f>T76-S76</f>
        <v/>
      </c>
      <c r="W76" s="1" t="n">
        <v>0.581730303957545</v>
      </c>
      <c r="X76" s="1">
        <f>W76*V76</f>
        <v/>
      </c>
      <c r="Y76" s="1">
        <f>T76-X76</f>
        <v/>
      </c>
      <c r="Z76" s="1">
        <f>'Paste cellinfo here'!$B$11</f>
        <v/>
      </c>
    </row>
    <row r="77">
      <c r="A77" s="1" t="n">
        <v>76</v>
      </c>
      <c r="B77" s="2">
        <f>DATE(Sintesi!$C$4-1,12,31)+A77</f>
        <v/>
      </c>
      <c r="C77" s="1">
        <f>'Paste cell here'!B77</f>
        <v/>
      </c>
      <c r="D77" s="1">
        <f>'Paste cell here'!I77</f>
        <v/>
      </c>
      <c r="E77" s="1">
        <f>'Paste cell here'!J77</f>
        <v/>
      </c>
      <c r="F77" s="1">
        <f>'Paste cell here'!K77</f>
        <v/>
      </c>
      <c r="G77" s="1">
        <f>'Paste cell here'!L77</f>
        <v/>
      </c>
      <c r="H77" s="1">
        <f>'Paste cell here'!M77</f>
        <v/>
      </c>
      <c r="I77" s="1">
        <f>'Paste cell here'!N77</f>
        <v/>
      </c>
      <c r="J77" s="1">
        <f>'Paste cell here'!O77</f>
        <v/>
      </c>
      <c r="K77" s="1">
        <f>'Paste cell here'!Q77</f>
        <v/>
      </c>
      <c r="L77" s="1">
        <f>'Paste cell here'!S77</f>
        <v/>
      </c>
      <c r="M77" s="1">
        <f>'Paste cell here'!T77</f>
        <v/>
      </c>
      <c r="N77" s="1">
        <f>'Paste cell here'!W77</f>
        <v/>
      </c>
      <c r="O77" s="1">
        <f>'Paste cell here'!U77</f>
        <v/>
      </c>
      <c r="P77" s="1">
        <f>O76</f>
        <v/>
      </c>
      <c r="Q77" s="1">
        <f>'Paste cell here'!V77</f>
        <v/>
      </c>
      <c r="R77" s="1">
        <f>ABS(O76+C77+D77+N77+Q76-H77-I77-K77-L77-M77-O77-Q77)</f>
        <v/>
      </c>
      <c r="S77" s="7">
        <f>Sintesi!$C$30</f>
        <v/>
      </c>
      <c r="T77" s="7">
        <f>Sintesi!$C$29</f>
        <v/>
      </c>
      <c r="U77" s="5">
        <f>O77/(Sintesi!$C$5*1000)</f>
        <v/>
      </c>
      <c r="V77" s="1">
        <f>T77-S77</f>
        <v/>
      </c>
      <c r="W77" s="1" t="n">
        <v>0.595737244242859</v>
      </c>
      <c r="X77" s="1">
        <f>W77*V77</f>
        <v/>
      </c>
      <c r="Y77" s="1">
        <f>T77-X77</f>
        <v/>
      </c>
      <c r="Z77" s="1">
        <f>'Paste cellinfo here'!$B$11</f>
        <v/>
      </c>
    </row>
    <row r="78">
      <c r="A78" s="1" t="n">
        <v>77</v>
      </c>
      <c r="B78" s="2">
        <f>DATE(Sintesi!$C$4-1,12,31)+A78</f>
        <v/>
      </c>
      <c r="C78" s="1">
        <f>'Paste cell here'!B78</f>
        <v/>
      </c>
      <c r="D78" s="1">
        <f>'Paste cell here'!I78</f>
        <v/>
      </c>
      <c r="E78" s="1">
        <f>'Paste cell here'!J78</f>
        <v/>
      </c>
      <c r="F78" s="1">
        <f>'Paste cell here'!K78</f>
        <v/>
      </c>
      <c r="G78" s="1">
        <f>'Paste cell here'!L78</f>
        <v/>
      </c>
      <c r="H78" s="1">
        <f>'Paste cell here'!M78</f>
        <v/>
      </c>
      <c r="I78" s="1">
        <f>'Paste cell here'!N78</f>
        <v/>
      </c>
      <c r="J78" s="1">
        <f>'Paste cell here'!O78</f>
        <v/>
      </c>
      <c r="K78" s="1">
        <f>'Paste cell here'!Q78</f>
        <v/>
      </c>
      <c r="L78" s="1">
        <f>'Paste cell here'!S78</f>
        <v/>
      </c>
      <c r="M78" s="1">
        <f>'Paste cell here'!T78</f>
        <v/>
      </c>
      <c r="N78" s="1">
        <f>'Paste cell here'!W78</f>
        <v/>
      </c>
      <c r="O78" s="1">
        <f>'Paste cell here'!U78</f>
        <v/>
      </c>
      <c r="P78" s="1">
        <f>O77</f>
        <v/>
      </c>
      <c r="Q78" s="1">
        <f>'Paste cell here'!V78</f>
        <v/>
      </c>
      <c r="R78" s="1">
        <f>ABS(O77+C78+D78+N78+Q77-H78-I78-K78-L78-M78-O78-Q78)</f>
        <v/>
      </c>
      <c r="S78" s="7">
        <f>Sintesi!$C$30</f>
        <v/>
      </c>
      <c r="T78" s="7">
        <f>Sintesi!$C$29</f>
        <v/>
      </c>
      <c r="U78" s="5">
        <f>O78/(Sintesi!$C$5*1000)</f>
        <v/>
      </c>
      <c r="V78" s="1">
        <f>T78-S78</f>
        <v/>
      </c>
      <c r="W78" s="1" t="n">
        <v>0.621087194576407</v>
      </c>
      <c r="X78" s="1">
        <f>W78*V78</f>
        <v/>
      </c>
      <c r="Y78" s="1">
        <f>T78-X78</f>
        <v/>
      </c>
      <c r="Z78" s="1">
        <f>'Paste cellinfo here'!$B$11</f>
        <v/>
      </c>
    </row>
    <row r="79">
      <c r="A79" s="1" t="n">
        <v>78</v>
      </c>
      <c r="B79" s="2">
        <f>DATE(Sintesi!$C$4-1,12,31)+A79</f>
        <v/>
      </c>
      <c r="C79" s="1">
        <f>'Paste cell here'!B79</f>
        <v/>
      </c>
      <c r="D79" s="1">
        <f>'Paste cell here'!I79</f>
        <v/>
      </c>
      <c r="E79" s="1">
        <f>'Paste cell here'!J79</f>
        <v/>
      </c>
      <c r="F79" s="1">
        <f>'Paste cell here'!K79</f>
        <v/>
      </c>
      <c r="G79" s="1">
        <f>'Paste cell here'!L79</f>
        <v/>
      </c>
      <c r="H79" s="1">
        <f>'Paste cell here'!M79</f>
        <v/>
      </c>
      <c r="I79" s="1">
        <f>'Paste cell here'!N79</f>
        <v/>
      </c>
      <c r="J79" s="1">
        <f>'Paste cell here'!O79</f>
        <v/>
      </c>
      <c r="K79" s="1">
        <f>'Paste cell here'!Q79</f>
        <v/>
      </c>
      <c r="L79" s="1">
        <f>'Paste cell here'!S79</f>
        <v/>
      </c>
      <c r="M79" s="1">
        <f>'Paste cell here'!T79</f>
        <v/>
      </c>
      <c r="N79" s="1">
        <f>'Paste cell here'!W79</f>
        <v/>
      </c>
      <c r="O79" s="1">
        <f>'Paste cell here'!U79</f>
        <v/>
      </c>
      <c r="P79" s="1">
        <f>O78</f>
        <v/>
      </c>
      <c r="Q79" s="1">
        <f>'Paste cell here'!V79</f>
        <v/>
      </c>
      <c r="R79" s="1">
        <f>ABS(O78+C79+D79+N79+Q78-H79-I79-K79-L79-M79-O79-Q79)</f>
        <v/>
      </c>
      <c r="S79" s="7">
        <f>Sintesi!$C$30</f>
        <v/>
      </c>
      <c r="T79" s="7">
        <f>Sintesi!$C$29</f>
        <v/>
      </c>
      <c r="U79" s="5">
        <f>O79/(Sintesi!$C$5*1000)</f>
        <v/>
      </c>
      <c r="V79" s="1">
        <f>T79-S79</f>
        <v/>
      </c>
      <c r="W79" s="1" t="n">
        <v>0.6369376228872849</v>
      </c>
      <c r="X79" s="1">
        <f>W79*V79</f>
        <v/>
      </c>
      <c r="Y79" s="1">
        <f>T79-X79</f>
        <v/>
      </c>
      <c r="Z79" s="1">
        <f>'Paste cellinfo here'!$B$11</f>
        <v/>
      </c>
    </row>
    <row r="80">
      <c r="A80" s="1" t="n">
        <v>79</v>
      </c>
      <c r="B80" s="2">
        <f>DATE(Sintesi!$C$4-1,12,31)+A80</f>
        <v/>
      </c>
      <c r="C80" s="1">
        <f>'Paste cell here'!B80</f>
        <v/>
      </c>
      <c r="D80" s="1">
        <f>'Paste cell here'!I80</f>
        <v/>
      </c>
      <c r="E80" s="1">
        <f>'Paste cell here'!J80</f>
        <v/>
      </c>
      <c r="F80" s="1">
        <f>'Paste cell here'!K80</f>
        <v/>
      </c>
      <c r="G80" s="1">
        <f>'Paste cell here'!L80</f>
        <v/>
      </c>
      <c r="H80" s="1">
        <f>'Paste cell here'!M80</f>
        <v/>
      </c>
      <c r="I80" s="1">
        <f>'Paste cell here'!N80</f>
        <v/>
      </c>
      <c r="J80" s="1">
        <f>'Paste cell here'!O80</f>
        <v/>
      </c>
      <c r="K80" s="1">
        <f>'Paste cell here'!Q80</f>
        <v/>
      </c>
      <c r="L80" s="1">
        <f>'Paste cell here'!S80</f>
        <v/>
      </c>
      <c r="M80" s="1">
        <f>'Paste cell here'!T80</f>
        <v/>
      </c>
      <c r="N80" s="1">
        <f>'Paste cell here'!W80</f>
        <v/>
      </c>
      <c r="O80" s="1">
        <f>'Paste cell here'!U80</f>
        <v/>
      </c>
      <c r="P80" s="1">
        <f>O79</f>
        <v/>
      </c>
      <c r="Q80" s="1">
        <f>'Paste cell here'!V80</f>
        <v/>
      </c>
      <c r="R80" s="1">
        <f>ABS(O79+C80+D80+N80+Q79-H80-I80-K80-L80-M80-O80-Q80)</f>
        <v/>
      </c>
      <c r="S80" s="7">
        <f>Sintesi!$C$30</f>
        <v/>
      </c>
      <c r="T80" s="7">
        <f>Sintesi!$C$29</f>
        <v/>
      </c>
      <c r="U80" s="5">
        <f>O80/(Sintesi!$C$5*1000)</f>
        <v/>
      </c>
      <c r="V80" s="1">
        <f>T80-S80</f>
        <v/>
      </c>
      <c r="W80" s="1" t="n">
        <v>0.602582709090259</v>
      </c>
      <c r="X80" s="1">
        <f>W80*V80</f>
        <v/>
      </c>
      <c r="Y80" s="1">
        <f>T80-X80</f>
        <v/>
      </c>
      <c r="Z80" s="1">
        <f>'Paste cellinfo here'!$B$11</f>
        <v/>
      </c>
    </row>
    <row r="81">
      <c r="A81" s="1" t="n">
        <v>80</v>
      </c>
      <c r="B81" s="2">
        <f>DATE(Sintesi!$C$4-1,12,31)+A81</f>
        <v/>
      </c>
      <c r="C81" s="1">
        <f>'Paste cell here'!B81</f>
        <v/>
      </c>
      <c r="D81" s="1">
        <f>'Paste cell here'!I81</f>
        <v/>
      </c>
      <c r="E81" s="1">
        <f>'Paste cell here'!J81</f>
        <v/>
      </c>
      <c r="F81" s="1">
        <f>'Paste cell here'!K81</f>
        <v/>
      </c>
      <c r="G81" s="1">
        <f>'Paste cell here'!L81</f>
        <v/>
      </c>
      <c r="H81" s="1">
        <f>'Paste cell here'!M81</f>
        <v/>
      </c>
      <c r="I81" s="1">
        <f>'Paste cell here'!N81</f>
        <v/>
      </c>
      <c r="J81" s="1">
        <f>'Paste cell here'!O81</f>
        <v/>
      </c>
      <c r="K81" s="1">
        <f>'Paste cell here'!Q81</f>
        <v/>
      </c>
      <c r="L81" s="1">
        <f>'Paste cell here'!S81</f>
        <v/>
      </c>
      <c r="M81" s="1">
        <f>'Paste cell here'!T81</f>
        <v/>
      </c>
      <c r="N81" s="1">
        <f>'Paste cell here'!W81</f>
        <v/>
      </c>
      <c r="O81" s="1">
        <f>'Paste cell here'!U81</f>
        <v/>
      </c>
      <c r="P81" s="1">
        <f>O80</f>
        <v/>
      </c>
      <c r="Q81" s="1">
        <f>'Paste cell here'!V81</f>
        <v/>
      </c>
      <c r="R81" s="1">
        <f>ABS(O80+C81+D81+N81+Q80-H81-I81-K81-L81-M81-O81-Q81)</f>
        <v/>
      </c>
      <c r="S81" s="7">
        <f>Sintesi!$C$30</f>
        <v/>
      </c>
      <c r="T81" s="7">
        <f>Sintesi!$C$29</f>
        <v/>
      </c>
      <c r="U81" s="5">
        <f>O81/(Sintesi!$C$5*1000)</f>
        <v/>
      </c>
      <c r="V81" s="1">
        <f>T81-S81</f>
        <v/>
      </c>
      <c r="W81" s="1" t="n">
        <v>0.586821457960631</v>
      </c>
      <c r="X81" s="1">
        <f>W81*V81</f>
        <v/>
      </c>
      <c r="Y81" s="1">
        <f>T81-X81</f>
        <v/>
      </c>
      <c r="Z81" s="1">
        <f>'Paste cellinfo here'!$B$11</f>
        <v/>
      </c>
    </row>
    <row r="82">
      <c r="A82" s="1" t="n">
        <v>81</v>
      </c>
      <c r="B82" s="2">
        <f>DATE(Sintesi!$C$4-1,12,31)+A82</f>
        <v/>
      </c>
      <c r="C82" s="1">
        <f>'Paste cell here'!B82</f>
        <v/>
      </c>
      <c r="D82" s="1">
        <f>'Paste cell here'!I82</f>
        <v/>
      </c>
      <c r="E82" s="1">
        <f>'Paste cell here'!J82</f>
        <v/>
      </c>
      <c r="F82" s="1">
        <f>'Paste cell here'!K82</f>
        <v/>
      </c>
      <c r="G82" s="1">
        <f>'Paste cell here'!L82</f>
        <v/>
      </c>
      <c r="H82" s="1">
        <f>'Paste cell here'!M82</f>
        <v/>
      </c>
      <c r="I82" s="1">
        <f>'Paste cell here'!N82</f>
        <v/>
      </c>
      <c r="J82" s="1">
        <f>'Paste cell here'!O82</f>
        <v/>
      </c>
      <c r="K82" s="1">
        <f>'Paste cell here'!Q82</f>
        <v/>
      </c>
      <c r="L82" s="1">
        <f>'Paste cell here'!S82</f>
        <v/>
      </c>
      <c r="M82" s="1">
        <f>'Paste cell here'!T82</f>
        <v/>
      </c>
      <c r="N82" s="1">
        <f>'Paste cell here'!W82</f>
        <v/>
      </c>
      <c r="O82" s="1">
        <f>'Paste cell here'!U82</f>
        <v/>
      </c>
      <c r="P82" s="1">
        <f>O81</f>
        <v/>
      </c>
      <c r="Q82" s="1">
        <f>'Paste cell here'!V82</f>
        <v/>
      </c>
      <c r="R82" s="1">
        <f>ABS(O81+C82+D82+N82+Q81-H82-I82-K82-L82-M82-O82-Q82)</f>
        <v/>
      </c>
      <c r="S82" s="7">
        <f>Sintesi!$C$30</f>
        <v/>
      </c>
      <c r="T82" s="7">
        <f>Sintesi!$C$29</f>
        <v/>
      </c>
      <c r="U82" s="5">
        <f>O82/(Sintesi!$C$5*1000)</f>
        <v/>
      </c>
      <c r="V82" s="1">
        <f>T82-S82</f>
        <v/>
      </c>
      <c r="W82" s="1" t="n">
        <v>0.5935488482234</v>
      </c>
      <c r="X82" s="1">
        <f>W82*V82</f>
        <v/>
      </c>
      <c r="Y82" s="1">
        <f>T82-X82</f>
        <v/>
      </c>
      <c r="Z82" s="1">
        <f>'Paste cellinfo here'!$B$11</f>
        <v/>
      </c>
    </row>
    <row r="83">
      <c r="A83" s="1" t="n">
        <v>82</v>
      </c>
      <c r="B83" s="2">
        <f>DATE(Sintesi!$C$4-1,12,31)+A83</f>
        <v/>
      </c>
      <c r="C83" s="1">
        <f>'Paste cell here'!B83</f>
        <v/>
      </c>
      <c r="D83" s="1">
        <f>'Paste cell here'!I83</f>
        <v/>
      </c>
      <c r="E83" s="1">
        <f>'Paste cell here'!J83</f>
        <v/>
      </c>
      <c r="F83" s="1">
        <f>'Paste cell here'!K83</f>
        <v/>
      </c>
      <c r="G83" s="1">
        <f>'Paste cell here'!L83</f>
        <v/>
      </c>
      <c r="H83" s="1">
        <f>'Paste cell here'!M83</f>
        <v/>
      </c>
      <c r="I83" s="1">
        <f>'Paste cell here'!N83</f>
        <v/>
      </c>
      <c r="J83" s="1">
        <f>'Paste cell here'!O83</f>
        <v/>
      </c>
      <c r="K83" s="1">
        <f>'Paste cell here'!Q83</f>
        <v/>
      </c>
      <c r="L83" s="1">
        <f>'Paste cell here'!S83</f>
        <v/>
      </c>
      <c r="M83" s="1">
        <f>'Paste cell here'!T83</f>
        <v/>
      </c>
      <c r="N83" s="1">
        <f>'Paste cell here'!W83</f>
        <v/>
      </c>
      <c r="O83" s="1">
        <f>'Paste cell here'!U83</f>
        <v/>
      </c>
      <c r="P83" s="1">
        <f>O82</f>
        <v/>
      </c>
      <c r="Q83" s="1">
        <f>'Paste cell here'!V83</f>
        <v/>
      </c>
      <c r="R83" s="1">
        <f>ABS(O82+C83+D83+N83+Q82-H83-I83-K83-L83-M83-O83-Q83)</f>
        <v/>
      </c>
      <c r="S83" s="7">
        <f>Sintesi!$C$30</f>
        <v/>
      </c>
      <c r="T83" s="7">
        <f>Sintesi!$C$29</f>
        <v/>
      </c>
      <c r="U83" s="5">
        <f>O83/(Sintesi!$C$5*1000)</f>
        <v/>
      </c>
      <c r="V83" s="1">
        <f>T83-S83</f>
        <v/>
      </c>
      <c r="W83" s="1" t="n">
        <v>0.588238511791062</v>
      </c>
      <c r="X83" s="1">
        <f>W83*V83</f>
        <v/>
      </c>
      <c r="Y83" s="1">
        <f>T83-X83</f>
        <v/>
      </c>
      <c r="Z83" s="1">
        <f>'Paste cellinfo here'!$B$11</f>
        <v/>
      </c>
    </row>
    <row r="84">
      <c r="A84" s="1" t="n">
        <v>83</v>
      </c>
      <c r="B84" s="2">
        <f>DATE(Sintesi!$C$4-1,12,31)+A84</f>
        <v/>
      </c>
      <c r="C84" s="1">
        <f>'Paste cell here'!B84</f>
        <v/>
      </c>
      <c r="D84" s="1">
        <f>'Paste cell here'!I84</f>
        <v/>
      </c>
      <c r="E84" s="1">
        <f>'Paste cell here'!J84</f>
        <v/>
      </c>
      <c r="F84" s="1">
        <f>'Paste cell here'!K84</f>
        <v/>
      </c>
      <c r="G84" s="1">
        <f>'Paste cell here'!L84</f>
        <v/>
      </c>
      <c r="H84" s="1">
        <f>'Paste cell here'!M84</f>
        <v/>
      </c>
      <c r="I84" s="1">
        <f>'Paste cell here'!N84</f>
        <v/>
      </c>
      <c r="J84" s="1">
        <f>'Paste cell here'!O84</f>
        <v/>
      </c>
      <c r="K84" s="1">
        <f>'Paste cell here'!Q84</f>
        <v/>
      </c>
      <c r="L84" s="1">
        <f>'Paste cell here'!S84</f>
        <v/>
      </c>
      <c r="M84" s="1">
        <f>'Paste cell here'!T84</f>
        <v/>
      </c>
      <c r="N84" s="1">
        <f>'Paste cell here'!W84</f>
        <v/>
      </c>
      <c r="O84" s="1">
        <f>'Paste cell here'!U84</f>
        <v/>
      </c>
      <c r="P84" s="1">
        <f>O83</f>
        <v/>
      </c>
      <c r="Q84" s="1">
        <f>'Paste cell here'!V84</f>
        <v/>
      </c>
      <c r="R84" s="1">
        <f>ABS(O83+C84+D84+N84+Q83-H84-I84-K84-L84-M84-O84-Q84)</f>
        <v/>
      </c>
      <c r="S84" s="7">
        <f>Sintesi!$C$30</f>
        <v/>
      </c>
      <c r="T84" s="7">
        <f>Sintesi!$C$29</f>
        <v/>
      </c>
      <c r="U84" s="5">
        <f>O84/(Sintesi!$C$5*1000)</f>
        <v/>
      </c>
      <c r="V84" s="1">
        <f>T84-S84</f>
        <v/>
      </c>
      <c r="W84" s="1" t="n">
        <v>0.576036707906212</v>
      </c>
      <c r="X84" s="1">
        <f>W84*V84</f>
        <v/>
      </c>
      <c r="Y84" s="1">
        <f>T84-X84</f>
        <v/>
      </c>
      <c r="Z84" s="1">
        <f>'Paste cellinfo here'!$B$11</f>
        <v/>
      </c>
    </row>
    <row r="85">
      <c r="A85" s="1" t="n">
        <v>84</v>
      </c>
      <c r="B85" s="2">
        <f>DATE(Sintesi!$C$4-1,12,31)+A85</f>
        <v/>
      </c>
      <c r="C85" s="1">
        <f>'Paste cell here'!B85</f>
        <v/>
      </c>
      <c r="D85" s="1">
        <f>'Paste cell here'!I85</f>
        <v/>
      </c>
      <c r="E85" s="1">
        <f>'Paste cell here'!J85</f>
        <v/>
      </c>
      <c r="F85" s="1">
        <f>'Paste cell here'!K85</f>
        <v/>
      </c>
      <c r="G85" s="1">
        <f>'Paste cell here'!L85</f>
        <v/>
      </c>
      <c r="H85" s="1">
        <f>'Paste cell here'!M85</f>
        <v/>
      </c>
      <c r="I85" s="1">
        <f>'Paste cell here'!N85</f>
        <v/>
      </c>
      <c r="J85" s="1">
        <f>'Paste cell here'!O85</f>
        <v/>
      </c>
      <c r="K85" s="1">
        <f>'Paste cell here'!Q85</f>
        <v/>
      </c>
      <c r="L85" s="1">
        <f>'Paste cell here'!S85</f>
        <v/>
      </c>
      <c r="M85" s="1">
        <f>'Paste cell here'!T85</f>
        <v/>
      </c>
      <c r="N85" s="1">
        <f>'Paste cell here'!W85</f>
        <v/>
      </c>
      <c r="O85" s="1">
        <f>'Paste cell here'!U85</f>
        <v/>
      </c>
      <c r="P85" s="1">
        <f>O84</f>
        <v/>
      </c>
      <c r="Q85" s="1">
        <f>'Paste cell here'!V85</f>
        <v/>
      </c>
      <c r="R85" s="1">
        <f>ABS(O84+C85+D85+N85+Q84-H85-I85-K85-L85-M85-O85-Q85)</f>
        <v/>
      </c>
      <c r="S85" s="7">
        <f>Sintesi!$C$30</f>
        <v/>
      </c>
      <c r="T85" s="7">
        <f>Sintesi!$C$29</f>
        <v/>
      </c>
      <c r="U85" s="5">
        <f>O85/(Sintesi!$C$5*1000)</f>
        <v/>
      </c>
      <c r="V85" s="1">
        <f>T85-S85</f>
        <v/>
      </c>
      <c r="W85" s="1" t="n">
        <v>0.563989381875981</v>
      </c>
      <c r="X85" s="1">
        <f>W85*V85</f>
        <v/>
      </c>
      <c r="Y85" s="1">
        <f>T85-X85</f>
        <v/>
      </c>
      <c r="Z85" s="1">
        <f>'Paste cellinfo here'!$B$11</f>
        <v/>
      </c>
    </row>
    <row r="86">
      <c r="A86" s="1" t="n">
        <v>85</v>
      </c>
      <c r="B86" s="2">
        <f>DATE(Sintesi!$C$4-1,12,31)+A86</f>
        <v/>
      </c>
      <c r="C86" s="1">
        <f>'Paste cell here'!B86</f>
        <v/>
      </c>
      <c r="D86" s="1">
        <f>'Paste cell here'!I86</f>
        <v/>
      </c>
      <c r="E86" s="1">
        <f>'Paste cell here'!J86</f>
        <v/>
      </c>
      <c r="F86" s="1">
        <f>'Paste cell here'!K86</f>
        <v/>
      </c>
      <c r="G86" s="1">
        <f>'Paste cell here'!L86</f>
        <v/>
      </c>
      <c r="H86" s="1">
        <f>'Paste cell here'!M86</f>
        <v/>
      </c>
      <c r="I86" s="1">
        <f>'Paste cell here'!N86</f>
        <v/>
      </c>
      <c r="J86" s="1">
        <f>'Paste cell here'!O86</f>
        <v/>
      </c>
      <c r="K86" s="1">
        <f>'Paste cell here'!Q86</f>
        <v/>
      </c>
      <c r="L86" s="1">
        <f>'Paste cell here'!S86</f>
        <v/>
      </c>
      <c r="M86" s="1">
        <f>'Paste cell here'!T86</f>
        <v/>
      </c>
      <c r="N86" s="1">
        <f>'Paste cell here'!W86</f>
        <v/>
      </c>
      <c r="O86" s="1">
        <f>'Paste cell here'!U86</f>
        <v/>
      </c>
      <c r="P86" s="1">
        <f>O85</f>
        <v/>
      </c>
      <c r="Q86" s="1">
        <f>'Paste cell here'!V86</f>
        <v/>
      </c>
      <c r="R86" s="1">
        <f>ABS(O85+C86+D86+N86+Q85-H86-I86-K86-L86-M86-O86-Q86)</f>
        <v/>
      </c>
      <c r="S86" s="7">
        <f>Sintesi!$C$30</f>
        <v/>
      </c>
      <c r="T86" s="7">
        <f>Sintesi!$C$29</f>
        <v/>
      </c>
      <c r="U86" s="5">
        <f>O86/(Sintesi!$C$5*1000)</f>
        <v/>
      </c>
      <c r="V86" s="1">
        <f>T86-S86</f>
        <v/>
      </c>
      <c r="W86" s="1" t="n">
        <v>0.549763992919528</v>
      </c>
      <c r="X86" s="1">
        <f>W86*V86</f>
        <v/>
      </c>
      <c r="Y86" s="1">
        <f>T86-X86</f>
        <v/>
      </c>
      <c r="Z86" s="1">
        <f>'Paste cellinfo here'!$B$11</f>
        <v/>
      </c>
    </row>
    <row r="87">
      <c r="A87" s="1" t="n">
        <v>86</v>
      </c>
      <c r="B87" s="2">
        <f>DATE(Sintesi!$C$4-1,12,31)+A87</f>
        <v/>
      </c>
      <c r="C87" s="1">
        <f>'Paste cell here'!B87</f>
        <v/>
      </c>
      <c r="D87" s="1">
        <f>'Paste cell here'!I87</f>
        <v/>
      </c>
      <c r="E87" s="1">
        <f>'Paste cell here'!J87</f>
        <v/>
      </c>
      <c r="F87" s="1">
        <f>'Paste cell here'!K87</f>
        <v/>
      </c>
      <c r="G87" s="1">
        <f>'Paste cell here'!L87</f>
        <v/>
      </c>
      <c r="H87" s="1">
        <f>'Paste cell here'!M87</f>
        <v/>
      </c>
      <c r="I87" s="1">
        <f>'Paste cell here'!N87</f>
        <v/>
      </c>
      <c r="J87" s="1">
        <f>'Paste cell here'!O87</f>
        <v/>
      </c>
      <c r="K87" s="1">
        <f>'Paste cell here'!Q87</f>
        <v/>
      </c>
      <c r="L87" s="1">
        <f>'Paste cell here'!S87</f>
        <v/>
      </c>
      <c r="M87" s="1">
        <f>'Paste cell here'!T87</f>
        <v/>
      </c>
      <c r="N87" s="1">
        <f>'Paste cell here'!W87</f>
        <v/>
      </c>
      <c r="O87" s="1">
        <f>'Paste cell here'!U87</f>
        <v/>
      </c>
      <c r="P87" s="1">
        <f>O86</f>
        <v/>
      </c>
      <c r="Q87" s="1">
        <f>'Paste cell here'!V87</f>
        <v/>
      </c>
      <c r="R87" s="1">
        <f>ABS(O86+C87+D87+N87+Q86-H87-I87-K87-L87-M87-O87-Q87)</f>
        <v/>
      </c>
      <c r="S87" s="7">
        <f>Sintesi!$C$30</f>
        <v/>
      </c>
      <c r="T87" s="7">
        <f>Sintesi!$C$29</f>
        <v/>
      </c>
      <c r="U87" s="5">
        <f>O87/(Sintesi!$C$5*1000)</f>
        <v/>
      </c>
      <c r="V87" s="1">
        <f>T87-S87</f>
        <v/>
      </c>
      <c r="W87" s="1" t="n">
        <v>0.549819734993119</v>
      </c>
      <c r="X87" s="1">
        <f>W87*V87</f>
        <v/>
      </c>
      <c r="Y87" s="1">
        <f>T87-X87</f>
        <v/>
      </c>
      <c r="Z87" s="1">
        <f>'Paste cellinfo here'!$B$11</f>
        <v/>
      </c>
    </row>
    <row r="88">
      <c r="A88" s="1" t="n">
        <v>87</v>
      </c>
      <c r="B88" s="2">
        <f>DATE(Sintesi!$C$4-1,12,31)+A88</f>
        <v/>
      </c>
      <c r="C88" s="1">
        <f>'Paste cell here'!B88</f>
        <v/>
      </c>
      <c r="D88" s="1">
        <f>'Paste cell here'!I88</f>
        <v/>
      </c>
      <c r="E88" s="1">
        <f>'Paste cell here'!J88</f>
        <v/>
      </c>
      <c r="F88" s="1">
        <f>'Paste cell here'!K88</f>
        <v/>
      </c>
      <c r="G88" s="1">
        <f>'Paste cell here'!L88</f>
        <v/>
      </c>
      <c r="H88" s="1">
        <f>'Paste cell here'!M88</f>
        <v/>
      </c>
      <c r="I88" s="1">
        <f>'Paste cell here'!N88</f>
        <v/>
      </c>
      <c r="J88" s="1">
        <f>'Paste cell here'!O88</f>
        <v/>
      </c>
      <c r="K88" s="1">
        <f>'Paste cell here'!Q88</f>
        <v/>
      </c>
      <c r="L88" s="1">
        <f>'Paste cell here'!S88</f>
        <v/>
      </c>
      <c r="M88" s="1">
        <f>'Paste cell here'!T88</f>
        <v/>
      </c>
      <c r="N88" s="1">
        <f>'Paste cell here'!W88</f>
        <v/>
      </c>
      <c r="O88" s="1">
        <f>'Paste cell here'!U88</f>
        <v/>
      </c>
      <c r="P88" s="1">
        <f>O87</f>
        <v/>
      </c>
      <c r="Q88" s="1">
        <f>'Paste cell here'!V88</f>
        <v/>
      </c>
      <c r="R88" s="1">
        <f>ABS(O87+C88+D88+N88+Q87-H88-I88-K88-L88-M88-O88-Q88)</f>
        <v/>
      </c>
      <c r="S88" s="7">
        <f>Sintesi!$C$30</f>
        <v/>
      </c>
      <c r="T88" s="7">
        <f>Sintesi!$C$29</f>
        <v/>
      </c>
      <c r="U88" s="5">
        <f>O88/(Sintesi!$C$5*1000)</f>
        <v/>
      </c>
      <c r="V88" s="1">
        <f>T88-S88</f>
        <v/>
      </c>
      <c r="W88" s="1" t="n">
        <v>0.578664412941659</v>
      </c>
      <c r="X88" s="1">
        <f>W88*V88</f>
        <v/>
      </c>
      <c r="Y88" s="1">
        <f>T88-X88</f>
        <v/>
      </c>
      <c r="Z88" s="1">
        <f>'Paste cellinfo here'!$B$11</f>
        <v/>
      </c>
    </row>
    <row r="89">
      <c r="A89" s="1" t="n">
        <v>88</v>
      </c>
      <c r="B89" s="2">
        <f>DATE(Sintesi!$C$4-1,12,31)+A89</f>
        <v/>
      </c>
      <c r="C89" s="1">
        <f>'Paste cell here'!B89</f>
        <v/>
      </c>
      <c r="D89" s="1">
        <f>'Paste cell here'!I89</f>
        <v/>
      </c>
      <c r="E89" s="1">
        <f>'Paste cell here'!J89</f>
        <v/>
      </c>
      <c r="F89" s="1">
        <f>'Paste cell here'!K89</f>
        <v/>
      </c>
      <c r="G89" s="1">
        <f>'Paste cell here'!L89</f>
        <v/>
      </c>
      <c r="H89" s="1">
        <f>'Paste cell here'!M89</f>
        <v/>
      </c>
      <c r="I89" s="1">
        <f>'Paste cell here'!N89</f>
        <v/>
      </c>
      <c r="J89" s="1">
        <f>'Paste cell here'!O89</f>
        <v/>
      </c>
      <c r="K89" s="1">
        <f>'Paste cell here'!Q89</f>
        <v/>
      </c>
      <c r="L89" s="1">
        <f>'Paste cell here'!S89</f>
        <v/>
      </c>
      <c r="M89" s="1">
        <f>'Paste cell here'!T89</f>
        <v/>
      </c>
      <c r="N89" s="1">
        <f>'Paste cell here'!W89</f>
        <v/>
      </c>
      <c r="O89" s="1">
        <f>'Paste cell here'!U89</f>
        <v/>
      </c>
      <c r="P89" s="1">
        <f>O88</f>
        <v/>
      </c>
      <c r="Q89" s="1">
        <f>'Paste cell here'!V89</f>
        <v/>
      </c>
      <c r="R89" s="1">
        <f>ABS(O88+C89+D89+N89+Q88-H89-I89-K89-L89-M89-O89-Q89)</f>
        <v/>
      </c>
      <c r="S89" s="7">
        <f>Sintesi!$C$30</f>
        <v/>
      </c>
      <c r="T89" s="7">
        <f>Sintesi!$C$29</f>
        <v/>
      </c>
      <c r="U89" s="5">
        <f>O89/(Sintesi!$C$5*1000)</f>
        <v/>
      </c>
      <c r="V89" s="1">
        <f>T89-S89</f>
        <v/>
      </c>
      <c r="W89" s="1" t="n">
        <v>0.58084964295243</v>
      </c>
      <c r="X89" s="1">
        <f>W89*V89</f>
        <v/>
      </c>
      <c r="Y89" s="1">
        <f>T89-X89</f>
        <v/>
      </c>
      <c r="Z89" s="1">
        <f>'Paste cellinfo here'!$B$11</f>
        <v/>
      </c>
    </row>
    <row r="90">
      <c r="A90" s="1" t="n">
        <v>89</v>
      </c>
      <c r="B90" s="2">
        <f>DATE(Sintesi!$C$4-1,12,31)+A90</f>
        <v/>
      </c>
      <c r="C90" s="1">
        <f>'Paste cell here'!B90</f>
        <v/>
      </c>
      <c r="D90" s="1">
        <f>'Paste cell here'!I90</f>
        <v/>
      </c>
      <c r="E90" s="1">
        <f>'Paste cell here'!J90</f>
        <v/>
      </c>
      <c r="F90" s="1">
        <f>'Paste cell here'!K90</f>
        <v/>
      </c>
      <c r="G90" s="1">
        <f>'Paste cell here'!L90</f>
        <v/>
      </c>
      <c r="H90" s="1">
        <f>'Paste cell here'!M90</f>
        <v/>
      </c>
      <c r="I90" s="1">
        <f>'Paste cell here'!N90</f>
        <v/>
      </c>
      <c r="J90" s="1">
        <f>'Paste cell here'!O90</f>
        <v/>
      </c>
      <c r="K90" s="1">
        <f>'Paste cell here'!Q90</f>
        <v/>
      </c>
      <c r="L90" s="1">
        <f>'Paste cell here'!S90</f>
        <v/>
      </c>
      <c r="M90" s="1">
        <f>'Paste cell here'!T90</f>
        <v/>
      </c>
      <c r="N90" s="1">
        <f>'Paste cell here'!W90</f>
        <v/>
      </c>
      <c r="O90" s="1">
        <f>'Paste cell here'!U90</f>
        <v/>
      </c>
      <c r="P90" s="1">
        <f>O89</f>
        <v/>
      </c>
      <c r="Q90" s="1">
        <f>'Paste cell here'!V90</f>
        <v/>
      </c>
      <c r="R90" s="1">
        <f>ABS(O89+C90+D90+N90+Q89-H90-I90-K90-L90-M90-O90-Q90)</f>
        <v/>
      </c>
      <c r="S90" s="7">
        <f>Sintesi!$C$30</f>
        <v/>
      </c>
      <c r="T90" s="7">
        <f>Sintesi!$C$29</f>
        <v/>
      </c>
      <c r="U90" s="5">
        <f>O90/(Sintesi!$C$5*1000)</f>
        <v/>
      </c>
      <c r="V90" s="1">
        <f>T90-S90</f>
        <v/>
      </c>
      <c r="W90" s="1" t="n">
        <v>0.578856302156021</v>
      </c>
      <c r="X90" s="1">
        <f>W90*V90</f>
        <v/>
      </c>
      <c r="Y90" s="1">
        <f>T90-X90</f>
        <v/>
      </c>
      <c r="Z90" s="1">
        <f>'Paste cellinfo here'!$B$11</f>
        <v/>
      </c>
    </row>
    <row r="91">
      <c r="A91" s="1" t="n">
        <v>90</v>
      </c>
      <c r="B91" s="2">
        <f>DATE(Sintesi!$C$4-1,12,31)+A91</f>
        <v/>
      </c>
      <c r="C91" s="1">
        <f>'Paste cell here'!B91</f>
        <v/>
      </c>
      <c r="D91" s="1">
        <f>'Paste cell here'!I91</f>
        <v/>
      </c>
      <c r="E91" s="1">
        <f>'Paste cell here'!J91</f>
        <v/>
      </c>
      <c r="F91" s="1">
        <f>'Paste cell here'!K91</f>
        <v/>
      </c>
      <c r="G91" s="1">
        <f>'Paste cell here'!L91</f>
        <v/>
      </c>
      <c r="H91" s="1">
        <f>'Paste cell here'!M91</f>
        <v/>
      </c>
      <c r="I91" s="1">
        <f>'Paste cell here'!N91</f>
        <v/>
      </c>
      <c r="J91" s="1">
        <f>'Paste cell here'!O91</f>
        <v/>
      </c>
      <c r="K91" s="1">
        <f>'Paste cell here'!Q91</f>
        <v/>
      </c>
      <c r="L91" s="1">
        <f>'Paste cell here'!S91</f>
        <v/>
      </c>
      <c r="M91" s="1">
        <f>'Paste cell here'!T91</f>
        <v/>
      </c>
      <c r="N91" s="1">
        <f>'Paste cell here'!W91</f>
        <v/>
      </c>
      <c r="O91" s="1">
        <f>'Paste cell here'!U91</f>
        <v/>
      </c>
      <c r="P91" s="1">
        <f>O90</f>
        <v/>
      </c>
      <c r="Q91" s="1">
        <f>'Paste cell here'!V91</f>
        <v/>
      </c>
      <c r="R91" s="1">
        <f>ABS(O90+C91+D91+N91+Q90-H91-I91-K91-L91-M91-O91-Q91)</f>
        <v/>
      </c>
      <c r="S91" s="7">
        <f>Sintesi!$C$30</f>
        <v/>
      </c>
      <c r="T91" s="7">
        <f>Sintesi!$C$29</f>
        <v/>
      </c>
      <c r="U91" s="5">
        <f>O91/(Sintesi!$C$5*1000)</f>
        <v/>
      </c>
      <c r="V91" s="1">
        <f>T91-S91</f>
        <v/>
      </c>
      <c r="W91" s="1" t="n">
        <v>0.5625517277732081</v>
      </c>
      <c r="X91" s="1">
        <f>W91*V91</f>
        <v/>
      </c>
      <c r="Y91" s="1">
        <f>T91-X91</f>
        <v/>
      </c>
      <c r="Z91" s="1">
        <f>'Paste cellinfo here'!$B$11</f>
        <v/>
      </c>
    </row>
    <row r="92">
      <c r="A92" s="1" t="n">
        <v>91</v>
      </c>
      <c r="B92" s="2">
        <f>DATE(Sintesi!$C$4-1,12,31)+A92</f>
        <v/>
      </c>
      <c r="C92" s="1">
        <f>'Paste cell here'!B92</f>
        <v/>
      </c>
      <c r="D92" s="1">
        <f>'Paste cell here'!I92</f>
        <v/>
      </c>
      <c r="E92" s="1">
        <f>'Paste cell here'!J92</f>
        <v/>
      </c>
      <c r="F92" s="1">
        <f>'Paste cell here'!K92</f>
        <v/>
      </c>
      <c r="G92" s="1">
        <f>'Paste cell here'!L92</f>
        <v/>
      </c>
      <c r="H92" s="1">
        <f>'Paste cell here'!M92</f>
        <v/>
      </c>
      <c r="I92" s="1">
        <f>'Paste cell here'!N92</f>
        <v/>
      </c>
      <c r="J92" s="1">
        <f>'Paste cell here'!O92</f>
        <v/>
      </c>
      <c r="K92" s="1">
        <f>'Paste cell here'!Q92</f>
        <v/>
      </c>
      <c r="L92" s="1">
        <f>'Paste cell here'!S92</f>
        <v/>
      </c>
      <c r="M92" s="1">
        <f>'Paste cell here'!T92</f>
        <v/>
      </c>
      <c r="N92" s="1">
        <f>'Paste cell here'!W92</f>
        <v/>
      </c>
      <c r="O92" s="1">
        <f>'Paste cell here'!U92</f>
        <v/>
      </c>
      <c r="P92" s="1">
        <f>O91</f>
        <v/>
      </c>
      <c r="Q92" s="1">
        <f>'Paste cell here'!V92</f>
        <v/>
      </c>
      <c r="R92" s="1">
        <f>ABS(O91+C92+D92+N92+Q91-H92-I92-K92-L92-M92-O92-Q92)</f>
        <v/>
      </c>
      <c r="S92" s="7">
        <f>Sintesi!$C$30</f>
        <v/>
      </c>
      <c r="T92" s="7">
        <f>Sintesi!$C$29</f>
        <v/>
      </c>
      <c r="U92" s="5">
        <f>O92/(Sintesi!$C$5*1000)</f>
        <v/>
      </c>
      <c r="V92" s="1">
        <f>T92-S92</f>
        <v/>
      </c>
      <c r="W92" s="1" t="n">
        <v>0.55488562889482</v>
      </c>
      <c r="X92" s="1">
        <f>W92*V92</f>
        <v/>
      </c>
      <c r="Y92" s="1">
        <f>T92-X92</f>
        <v/>
      </c>
      <c r="Z92" s="1">
        <f>'Paste cellinfo here'!$B$11</f>
        <v/>
      </c>
    </row>
    <row r="93">
      <c r="A93" s="1" t="n">
        <v>92</v>
      </c>
      <c r="B93" s="2">
        <f>DATE(Sintesi!$C$4-1,12,31)+A93</f>
        <v/>
      </c>
      <c r="C93" s="1">
        <f>'Paste cell here'!B93</f>
        <v/>
      </c>
      <c r="D93" s="1">
        <f>'Paste cell here'!I93</f>
        <v/>
      </c>
      <c r="E93" s="1">
        <f>'Paste cell here'!J93</f>
        <v/>
      </c>
      <c r="F93" s="1">
        <f>'Paste cell here'!K93</f>
        <v/>
      </c>
      <c r="G93" s="1">
        <f>'Paste cell here'!L93</f>
        <v/>
      </c>
      <c r="H93" s="1">
        <f>'Paste cell here'!M93</f>
        <v/>
      </c>
      <c r="I93" s="1">
        <f>'Paste cell here'!N93</f>
        <v/>
      </c>
      <c r="J93" s="1">
        <f>'Paste cell here'!O93</f>
        <v/>
      </c>
      <c r="K93" s="1">
        <f>'Paste cell here'!Q93</f>
        <v/>
      </c>
      <c r="L93" s="1">
        <f>'Paste cell here'!S93</f>
        <v/>
      </c>
      <c r="M93" s="1">
        <f>'Paste cell here'!T93</f>
        <v/>
      </c>
      <c r="N93" s="1">
        <f>'Paste cell here'!W93</f>
        <v/>
      </c>
      <c r="O93" s="1">
        <f>'Paste cell here'!U93</f>
        <v/>
      </c>
      <c r="P93" s="1">
        <f>O92</f>
        <v/>
      </c>
      <c r="Q93" s="1">
        <f>'Paste cell here'!V93</f>
        <v/>
      </c>
      <c r="R93" s="1">
        <f>ABS(O92+C93+D93+N93+Q92-H93-I93-K93-L93-M93-O93-Q93)</f>
        <v/>
      </c>
      <c r="S93" s="7">
        <f>Sintesi!$C$30</f>
        <v/>
      </c>
      <c r="T93" s="7">
        <f>Sintesi!$C$29</f>
        <v/>
      </c>
      <c r="U93" s="5">
        <f>O93/(Sintesi!$C$5*1000)</f>
        <v/>
      </c>
      <c r="V93" s="1">
        <f>T93-S93</f>
        <v/>
      </c>
      <c r="W93" s="1" t="n">
        <v>0.5312852316989209</v>
      </c>
      <c r="X93" s="1">
        <f>W93*V93</f>
        <v/>
      </c>
      <c r="Y93" s="1">
        <f>T93-X93</f>
        <v/>
      </c>
      <c r="Z93" s="1">
        <f>'Paste cellinfo here'!$B$11</f>
        <v/>
      </c>
    </row>
    <row r="94">
      <c r="A94" s="1" t="n">
        <v>93</v>
      </c>
      <c r="B94" s="2">
        <f>DATE(Sintesi!$C$4-1,12,31)+A94</f>
        <v/>
      </c>
      <c r="C94" s="1">
        <f>'Paste cell here'!B94</f>
        <v/>
      </c>
      <c r="D94" s="1">
        <f>'Paste cell here'!I94</f>
        <v/>
      </c>
      <c r="E94" s="1">
        <f>'Paste cell here'!J94</f>
        <v/>
      </c>
      <c r="F94" s="1">
        <f>'Paste cell here'!K94</f>
        <v/>
      </c>
      <c r="G94" s="1">
        <f>'Paste cell here'!L94</f>
        <v/>
      </c>
      <c r="H94" s="1">
        <f>'Paste cell here'!M94</f>
        <v/>
      </c>
      <c r="I94" s="1">
        <f>'Paste cell here'!N94</f>
        <v/>
      </c>
      <c r="J94" s="1">
        <f>'Paste cell here'!O94</f>
        <v/>
      </c>
      <c r="K94" s="1">
        <f>'Paste cell here'!Q94</f>
        <v/>
      </c>
      <c r="L94" s="1">
        <f>'Paste cell here'!S94</f>
        <v/>
      </c>
      <c r="M94" s="1">
        <f>'Paste cell here'!T94</f>
        <v/>
      </c>
      <c r="N94" s="1">
        <f>'Paste cell here'!W94</f>
        <v/>
      </c>
      <c r="O94" s="1">
        <f>'Paste cell here'!U94</f>
        <v/>
      </c>
      <c r="P94" s="1">
        <f>O93</f>
        <v/>
      </c>
      <c r="Q94" s="1">
        <f>'Paste cell here'!V94</f>
        <v/>
      </c>
      <c r="R94" s="1">
        <f>ABS(O93+C94+D94+N94+Q93-H94-I94-K94-L94-M94-O94-Q94)</f>
        <v/>
      </c>
      <c r="S94" s="7">
        <f>Sintesi!$C$30</f>
        <v/>
      </c>
      <c r="T94" s="7">
        <f>Sintesi!$C$29</f>
        <v/>
      </c>
      <c r="U94" s="5">
        <f>O94/(Sintesi!$C$5*1000)</f>
        <v/>
      </c>
      <c r="V94" s="1">
        <f>T94-S94</f>
        <v/>
      </c>
      <c r="W94" s="1" t="n">
        <v>0.54756804439161</v>
      </c>
      <c r="X94" s="1">
        <f>W94*V94</f>
        <v/>
      </c>
      <c r="Y94" s="1">
        <f>T94-X94</f>
        <v/>
      </c>
      <c r="Z94" s="1">
        <f>'Paste cellinfo here'!$B$11</f>
        <v/>
      </c>
    </row>
    <row r="95">
      <c r="A95" s="1" t="n">
        <v>94</v>
      </c>
      <c r="B95" s="2">
        <f>DATE(Sintesi!$C$4-1,12,31)+A95</f>
        <v/>
      </c>
      <c r="C95" s="1">
        <f>'Paste cell here'!B95</f>
        <v/>
      </c>
      <c r="D95" s="1">
        <f>'Paste cell here'!I95</f>
        <v/>
      </c>
      <c r="E95" s="1">
        <f>'Paste cell here'!J95</f>
        <v/>
      </c>
      <c r="F95" s="1">
        <f>'Paste cell here'!K95</f>
        <v/>
      </c>
      <c r="G95" s="1">
        <f>'Paste cell here'!L95</f>
        <v/>
      </c>
      <c r="H95" s="1">
        <f>'Paste cell here'!M95</f>
        <v/>
      </c>
      <c r="I95" s="1">
        <f>'Paste cell here'!N95</f>
        <v/>
      </c>
      <c r="J95" s="1">
        <f>'Paste cell here'!O95</f>
        <v/>
      </c>
      <c r="K95" s="1">
        <f>'Paste cell here'!Q95</f>
        <v/>
      </c>
      <c r="L95" s="1">
        <f>'Paste cell here'!S95</f>
        <v/>
      </c>
      <c r="M95" s="1">
        <f>'Paste cell here'!T95</f>
        <v/>
      </c>
      <c r="N95" s="1">
        <f>'Paste cell here'!W95</f>
        <v/>
      </c>
      <c r="O95" s="1">
        <f>'Paste cell here'!U95</f>
        <v/>
      </c>
      <c r="P95" s="1">
        <f>O94</f>
        <v/>
      </c>
      <c r="Q95" s="1">
        <f>'Paste cell here'!V95</f>
        <v/>
      </c>
      <c r="R95" s="1">
        <f>ABS(O94+C95+D95+N95+Q94-H95-I95-K95-L95-M95-O95-Q95)</f>
        <v/>
      </c>
      <c r="S95" s="7">
        <f>Sintesi!$C$30</f>
        <v/>
      </c>
      <c r="T95" s="7">
        <f>Sintesi!$C$29</f>
        <v/>
      </c>
      <c r="U95" s="5">
        <f>O95/(Sintesi!$C$5*1000)</f>
        <v/>
      </c>
      <c r="V95" s="1">
        <f>T95-S95</f>
        <v/>
      </c>
      <c r="W95" s="1" t="n">
        <v>0.617832719811705</v>
      </c>
      <c r="X95" s="1">
        <f>W95*V95</f>
        <v/>
      </c>
      <c r="Y95" s="1">
        <f>T95-X95</f>
        <v/>
      </c>
      <c r="Z95" s="1">
        <f>'Paste cellinfo here'!$B$11</f>
        <v/>
      </c>
    </row>
    <row r="96">
      <c r="A96" s="1" t="n">
        <v>95</v>
      </c>
      <c r="B96" s="2">
        <f>DATE(Sintesi!$C$4-1,12,31)+A96</f>
        <v/>
      </c>
      <c r="C96" s="1">
        <f>'Paste cell here'!B96</f>
        <v/>
      </c>
      <c r="D96" s="1">
        <f>'Paste cell here'!I96</f>
        <v/>
      </c>
      <c r="E96" s="1">
        <f>'Paste cell here'!J96</f>
        <v/>
      </c>
      <c r="F96" s="1">
        <f>'Paste cell here'!K96</f>
        <v/>
      </c>
      <c r="G96" s="1">
        <f>'Paste cell here'!L96</f>
        <v/>
      </c>
      <c r="H96" s="1">
        <f>'Paste cell here'!M96</f>
        <v/>
      </c>
      <c r="I96" s="1">
        <f>'Paste cell here'!N96</f>
        <v/>
      </c>
      <c r="J96" s="1">
        <f>'Paste cell here'!O96</f>
        <v/>
      </c>
      <c r="K96" s="1">
        <f>'Paste cell here'!Q96</f>
        <v/>
      </c>
      <c r="L96" s="1">
        <f>'Paste cell here'!S96</f>
        <v/>
      </c>
      <c r="M96" s="1">
        <f>'Paste cell here'!T96</f>
        <v/>
      </c>
      <c r="N96" s="1">
        <f>'Paste cell here'!W96</f>
        <v/>
      </c>
      <c r="O96" s="1">
        <f>'Paste cell here'!U96</f>
        <v/>
      </c>
      <c r="P96" s="1">
        <f>O95</f>
        <v/>
      </c>
      <c r="Q96" s="1">
        <f>'Paste cell here'!V96</f>
        <v/>
      </c>
      <c r="R96" s="1">
        <f>ABS(O95+C96+D96+N96+Q95-H96-I96-K96-L96-M96-O96-Q96)</f>
        <v/>
      </c>
      <c r="S96" s="7">
        <f>Sintesi!$C$30</f>
        <v/>
      </c>
      <c r="T96" s="7">
        <f>Sintesi!$C$29</f>
        <v/>
      </c>
      <c r="U96" s="5">
        <f>O96/(Sintesi!$C$5*1000)</f>
        <v/>
      </c>
      <c r="V96" s="1">
        <f>T96-S96</f>
        <v/>
      </c>
      <c r="W96" s="1" t="n">
        <v>0.649745526627</v>
      </c>
      <c r="X96" s="1">
        <f>W96*V96</f>
        <v/>
      </c>
      <c r="Y96" s="1">
        <f>T96-X96</f>
        <v/>
      </c>
      <c r="Z96" s="1">
        <f>'Paste cellinfo here'!$B$11</f>
        <v/>
      </c>
    </row>
    <row r="97">
      <c r="A97" s="1" t="n">
        <v>96</v>
      </c>
      <c r="B97" s="2">
        <f>DATE(Sintesi!$C$4-1,12,31)+A97</f>
        <v/>
      </c>
      <c r="C97" s="1">
        <f>'Paste cell here'!B97</f>
        <v/>
      </c>
      <c r="D97" s="1">
        <f>'Paste cell here'!I97</f>
        <v/>
      </c>
      <c r="E97" s="1">
        <f>'Paste cell here'!J97</f>
        <v/>
      </c>
      <c r="F97" s="1">
        <f>'Paste cell here'!K97</f>
        <v/>
      </c>
      <c r="G97" s="1">
        <f>'Paste cell here'!L97</f>
        <v/>
      </c>
      <c r="H97" s="1">
        <f>'Paste cell here'!M97</f>
        <v/>
      </c>
      <c r="I97" s="1">
        <f>'Paste cell here'!N97</f>
        <v/>
      </c>
      <c r="J97" s="1">
        <f>'Paste cell here'!O97</f>
        <v/>
      </c>
      <c r="K97" s="1">
        <f>'Paste cell here'!Q97</f>
        <v/>
      </c>
      <c r="L97" s="1">
        <f>'Paste cell here'!S97</f>
        <v/>
      </c>
      <c r="M97" s="1">
        <f>'Paste cell here'!T97</f>
        <v/>
      </c>
      <c r="N97" s="1">
        <f>'Paste cell here'!W97</f>
        <v/>
      </c>
      <c r="O97" s="1">
        <f>'Paste cell here'!U97</f>
        <v/>
      </c>
      <c r="P97" s="1">
        <f>O96</f>
        <v/>
      </c>
      <c r="Q97" s="1">
        <f>'Paste cell here'!V97</f>
        <v/>
      </c>
      <c r="R97" s="1">
        <f>ABS(O96+C97+D97+N97+Q96-H97-I97-K97-L97-M97-O97-Q97)</f>
        <v/>
      </c>
      <c r="S97" s="7">
        <f>Sintesi!$C$30</f>
        <v/>
      </c>
      <c r="T97" s="7">
        <f>Sintesi!$C$29</f>
        <v/>
      </c>
      <c r="U97" s="5">
        <f>O97/(Sintesi!$C$5*1000)</f>
        <v/>
      </c>
      <c r="V97" s="1">
        <f>T97-S97</f>
        <v/>
      </c>
      <c r="W97" s="1" t="n">
        <v>0.617154032905637</v>
      </c>
      <c r="X97" s="1">
        <f>W97*V97</f>
        <v/>
      </c>
      <c r="Y97" s="1">
        <f>T97-X97</f>
        <v/>
      </c>
      <c r="Z97" s="1">
        <f>'Paste cellinfo here'!$B$11</f>
        <v/>
      </c>
    </row>
    <row r="98">
      <c r="A98" s="1" t="n">
        <v>97</v>
      </c>
      <c r="B98" s="2">
        <f>DATE(Sintesi!$C$4-1,12,31)+A98</f>
        <v/>
      </c>
      <c r="C98" s="1">
        <f>'Paste cell here'!B98</f>
        <v/>
      </c>
      <c r="D98" s="1">
        <f>'Paste cell here'!I98</f>
        <v/>
      </c>
      <c r="E98" s="1">
        <f>'Paste cell here'!J98</f>
        <v/>
      </c>
      <c r="F98" s="1">
        <f>'Paste cell here'!K98</f>
        <v/>
      </c>
      <c r="G98" s="1">
        <f>'Paste cell here'!L98</f>
        <v/>
      </c>
      <c r="H98" s="1">
        <f>'Paste cell here'!M98</f>
        <v/>
      </c>
      <c r="I98" s="1">
        <f>'Paste cell here'!N98</f>
        <v/>
      </c>
      <c r="J98" s="1">
        <f>'Paste cell here'!O98</f>
        <v/>
      </c>
      <c r="K98" s="1">
        <f>'Paste cell here'!Q98</f>
        <v/>
      </c>
      <c r="L98" s="1">
        <f>'Paste cell here'!S98</f>
        <v/>
      </c>
      <c r="M98" s="1">
        <f>'Paste cell here'!T98</f>
        <v/>
      </c>
      <c r="N98" s="1">
        <f>'Paste cell here'!W98</f>
        <v/>
      </c>
      <c r="O98" s="1">
        <f>'Paste cell here'!U98</f>
        <v/>
      </c>
      <c r="P98" s="1">
        <f>O97</f>
        <v/>
      </c>
      <c r="Q98" s="1">
        <f>'Paste cell here'!V98</f>
        <v/>
      </c>
      <c r="R98" s="1">
        <f>ABS(O97+C98+D98+N98+Q97-H98-I98-K98-L98-M98-O98-Q98)</f>
        <v/>
      </c>
      <c r="S98" s="7">
        <f>Sintesi!$C$30</f>
        <v/>
      </c>
      <c r="T98" s="7">
        <f>Sintesi!$C$29</f>
        <v/>
      </c>
      <c r="U98" s="5">
        <f>O98/(Sintesi!$C$5*1000)</f>
        <v/>
      </c>
      <c r="V98" s="1">
        <f>T98-S98</f>
        <v/>
      </c>
      <c r="W98" s="1" t="n">
        <v>0.616367221174236</v>
      </c>
      <c r="X98" s="1">
        <f>W98*V98</f>
        <v/>
      </c>
      <c r="Y98" s="1">
        <f>T98-X98</f>
        <v/>
      </c>
      <c r="Z98" s="1">
        <f>'Paste cellinfo here'!$B$11</f>
        <v/>
      </c>
    </row>
    <row r="99">
      <c r="A99" s="1" t="n">
        <v>98</v>
      </c>
      <c r="B99" s="2">
        <f>DATE(Sintesi!$C$4-1,12,31)+A99</f>
        <v/>
      </c>
      <c r="C99" s="1">
        <f>'Paste cell here'!B99</f>
        <v/>
      </c>
      <c r="D99" s="1">
        <f>'Paste cell here'!I99</f>
        <v/>
      </c>
      <c r="E99" s="1">
        <f>'Paste cell here'!J99</f>
        <v/>
      </c>
      <c r="F99" s="1">
        <f>'Paste cell here'!K99</f>
        <v/>
      </c>
      <c r="G99" s="1">
        <f>'Paste cell here'!L99</f>
        <v/>
      </c>
      <c r="H99" s="1">
        <f>'Paste cell here'!M99</f>
        <v/>
      </c>
      <c r="I99" s="1">
        <f>'Paste cell here'!N99</f>
        <v/>
      </c>
      <c r="J99" s="1">
        <f>'Paste cell here'!O99</f>
        <v/>
      </c>
      <c r="K99" s="1">
        <f>'Paste cell here'!Q99</f>
        <v/>
      </c>
      <c r="L99" s="1">
        <f>'Paste cell here'!S99</f>
        <v/>
      </c>
      <c r="M99" s="1">
        <f>'Paste cell here'!T99</f>
        <v/>
      </c>
      <c r="N99" s="1">
        <f>'Paste cell here'!W99</f>
        <v/>
      </c>
      <c r="O99" s="1">
        <f>'Paste cell here'!U99</f>
        <v/>
      </c>
      <c r="P99" s="1">
        <f>O98</f>
        <v/>
      </c>
      <c r="Q99" s="1">
        <f>'Paste cell here'!V99</f>
        <v/>
      </c>
      <c r="R99" s="1">
        <f>ABS(O98+C99+D99+N99+Q98-H99-I99-K99-L99-M99-O99-Q99)</f>
        <v/>
      </c>
      <c r="S99" s="7">
        <f>Sintesi!$C$30</f>
        <v/>
      </c>
      <c r="T99" s="7">
        <f>Sintesi!$C$29</f>
        <v/>
      </c>
      <c r="U99" s="5">
        <f>O99/(Sintesi!$C$5*1000)</f>
        <v/>
      </c>
      <c r="V99" s="1">
        <f>T99-S99</f>
        <v/>
      </c>
      <c r="W99" s="1" t="n">
        <v>0.6015128069143471</v>
      </c>
      <c r="X99" s="1">
        <f>W99*V99</f>
        <v/>
      </c>
      <c r="Y99" s="1">
        <f>T99-X99</f>
        <v/>
      </c>
      <c r="Z99" s="1">
        <f>'Paste cellinfo here'!$B$11</f>
        <v/>
      </c>
    </row>
    <row r="100">
      <c r="A100" s="1" t="n">
        <v>99</v>
      </c>
      <c r="B100" s="2">
        <f>DATE(Sintesi!$C$4-1,12,31)+A100</f>
        <v/>
      </c>
      <c r="C100" s="1">
        <f>'Paste cell here'!B100</f>
        <v/>
      </c>
      <c r="D100" s="1">
        <f>'Paste cell here'!I100</f>
        <v/>
      </c>
      <c r="E100" s="1">
        <f>'Paste cell here'!J100</f>
        <v/>
      </c>
      <c r="F100" s="1">
        <f>'Paste cell here'!K100</f>
        <v/>
      </c>
      <c r="G100" s="1">
        <f>'Paste cell here'!L100</f>
        <v/>
      </c>
      <c r="H100" s="1">
        <f>'Paste cell here'!M100</f>
        <v/>
      </c>
      <c r="I100" s="1">
        <f>'Paste cell here'!N100</f>
        <v/>
      </c>
      <c r="J100" s="1">
        <f>'Paste cell here'!O100</f>
        <v/>
      </c>
      <c r="K100" s="1">
        <f>'Paste cell here'!Q100</f>
        <v/>
      </c>
      <c r="L100" s="1">
        <f>'Paste cell here'!S100</f>
        <v/>
      </c>
      <c r="M100" s="1">
        <f>'Paste cell here'!T100</f>
        <v/>
      </c>
      <c r="N100" s="1">
        <f>'Paste cell here'!W100</f>
        <v/>
      </c>
      <c r="O100" s="1">
        <f>'Paste cell here'!U100</f>
        <v/>
      </c>
      <c r="P100" s="1">
        <f>O99</f>
        <v/>
      </c>
      <c r="Q100" s="1">
        <f>'Paste cell here'!V100</f>
        <v/>
      </c>
      <c r="R100" s="1">
        <f>ABS(O99+C100+D100+N100+Q99-H100-I100-K100-L100-M100-O100-Q100)</f>
        <v/>
      </c>
      <c r="S100" s="7">
        <f>Sintesi!$C$30</f>
        <v/>
      </c>
      <c r="T100" s="7">
        <f>Sintesi!$C$29</f>
        <v/>
      </c>
      <c r="U100" s="5">
        <f>O100/(Sintesi!$C$5*1000)</f>
        <v/>
      </c>
      <c r="V100" s="1">
        <f>T100-S100</f>
        <v/>
      </c>
      <c r="W100" s="1" t="n">
        <v>0.585210036311498</v>
      </c>
      <c r="X100" s="1">
        <f>W100*V100</f>
        <v/>
      </c>
      <c r="Y100" s="1">
        <f>T100-X100</f>
        <v/>
      </c>
      <c r="Z100" s="1">
        <f>'Paste cellinfo here'!$B$11</f>
        <v/>
      </c>
    </row>
    <row r="101">
      <c r="A101" s="1" t="n">
        <v>100</v>
      </c>
      <c r="B101" s="2">
        <f>DATE(Sintesi!$C$4-1,12,31)+A101</f>
        <v/>
      </c>
      <c r="C101" s="1">
        <f>'Paste cell here'!B101</f>
        <v/>
      </c>
      <c r="D101" s="1">
        <f>'Paste cell here'!I101</f>
        <v/>
      </c>
      <c r="E101" s="1">
        <f>'Paste cell here'!J101</f>
        <v/>
      </c>
      <c r="F101" s="1">
        <f>'Paste cell here'!K101</f>
        <v/>
      </c>
      <c r="G101" s="1">
        <f>'Paste cell here'!L101</f>
        <v/>
      </c>
      <c r="H101" s="1">
        <f>'Paste cell here'!M101</f>
        <v/>
      </c>
      <c r="I101" s="1">
        <f>'Paste cell here'!N101</f>
        <v/>
      </c>
      <c r="J101" s="1">
        <f>'Paste cell here'!O101</f>
        <v/>
      </c>
      <c r="K101" s="1">
        <f>'Paste cell here'!Q101</f>
        <v/>
      </c>
      <c r="L101" s="1">
        <f>'Paste cell here'!S101</f>
        <v/>
      </c>
      <c r="M101" s="1">
        <f>'Paste cell here'!T101</f>
        <v/>
      </c>
      <c r="N101" s="1">
        <f>'Paste cell here'!W101</f>
        <v/>
      </c>
      <c r="O101" s="1">
        <f>'Paste cell here'!U101</f>
        <v/>
      </c>
      <c r="P101" s="1">
        <f>O100</f>
        <v/>
      </c>
      <c r="Q101" s="1">
        <f>'Paste cell here'!V101</f>
        <v/>
      </c>
      <c r="R101" s="1">
        <f>ABS(O100+C101+D101+N101+Q100-H101-I101-K101-L101-M101-O101-Q101)</f>
        <v/>
      </c>
      <c r="S101" s="7">
        <f>Sintesi!$C$30</f>
        <v/>
      </c>
      <c r="T101" s="7">
        <f>Sintesi!$C$29</f>
        <v/>
      </c>
      <c r="U101" s="5">
        <f>O101/(Sintesi!$C$5*1000)</f>
        <v/>
      </c>
      <c r="V101" s="1">
        <f>T101-S101</f>
        <v/>
      </c>
      <c r="W101" s="1" t="n">
        <v>0.584147762918182</v>
      </c>
      <c r="X101" s="1">
        <f>W101*V101</f>
        <v/>
      </c>
      <c r="Y101" s="1">
        <f>T101-X101</f>
        <v/>
      </c>
      <c r="Z101" s="1">
        <f>'Paste cellinfo here'!$B$11</f>
        <v/>
      </c>
    </row>
    <row r="102">
      <c r="A102" s="1" t="n">
        <v>101</v>
      </c>
      <c r="B102" s="2">
        <f>DATE(Sintesi!$C$4-1,12,31)+A102</f>
        <v/>
      </c>
      <c r="C102" s="1">
        <f>'Paste cell here'!B102</f>
        <v/>
      </c>
      <c r="D102" s="1">
        <f>'Paste cell here'!I102</f>
        <v/>
      </c>
      <c r="E102" s="1">
        <f>'Paste cell here'!J102</f>
        <v/>
      </c>
      <c r="F102" s="1">
        <f>'Paste cell here'!K102</f>
        <v/>
      </c>
      <c r="G102" s="1">
        <f>'Paste cell here'!L102</f>
        <v/>
      </c>
      <c r="H102" s="1">
        <f>'Paste cell here'!M102</f>
        <v/>
      </c>
      <c r="I102" s="1">
        <f>'Paste cell here'!N102</f>
        <v/>
      </c>
      <c r="J102" s="1">
        <f>'Paste cell here'!O102</f>
        <v/>
      </c>
      <c r="K102" s="1">
        <f>'Paste cell here'!Q102</f>
        <v/>
      </c>
      <c r="L102" s="1">
        <f>'Paste cell here'!S102</f>
        <v/>
      </c>
      <c r="M102" s="1">
        <f>'Paste cell here'!T102</f>
        <v/>
      </c>
      <c r="N102" s="1">
        <f>'Paste cell here'!W102</f>
        <v/>
      </c>
      <c r="O102" s="1">
        <f>'Paste cell here'!U102</f>
        <v/>
      </c>
      <c r="P102" s="1">
        <f>O101</f>
        <v/>
      </c>
      <c r="Q102" s="1">
        <f>'Paste cell here'!V102</f>
        <v/>
      </c>
      <c r="R102" s="1">
        <f>ABS(O101+C102+D102+N102+Q101-H102-I102-K102-L102-M102-O102-Q102)</f>
        <v/>
      </c>
      <c r="S102" s="7">
        <f>Sintesi!$C$30</f>
        <v/>
      </c>
      <c r="T102" s="7">
        <f>Sintesi!$C$29</f>
        <v/>
      </c>
      <c r="U102" s="5">
        <f>O102/(Sintesi!$C$5*1000)</f>
        <v/>
      </c>
      <c r="V102" s="1">
        <f>T102-S102</f>
        <v/>
      </c>
      <c r="W102" s="1" t="n">
        <v>0.588076783838844</v>
      </c>
      <c r="X102" s="1">
        <f>W102*V102</f>
        <v/>
      </c>
      <c r="Y102" s="1">
        <f>T102-X102</f>
        <v/>
      </c>
      <c r="Z102" s="1">
        <f>'Paste cellinfo here'!$B$11</f>
        <v/>
      </c>
    </row>
    <row r="103">
      <c r="A103" s="1" t="n">
        <v>102</v>
      </c>
      <c r="B103" s="2">
        <f>DATE(Sintesi!$C$4-1,12,31)+A103</f>
        <v/>
      </c>
      <c r="C103" s="1">
        <f>'Paste cell here'!B103</f>
        <v/>
      </c>
      <c r="D103" s="1">
        <f>'Paste cell here'!I103</f>
        <v/>
      </c>
      <c r="E103" s="1">
        <f>'Paste cell here'!J103</f>
        <v/>
      </c>
      <c r="F103" s="1">
        <f>'Paste cell here'!K103</f>
        <v/>
      </c>
      <c r="G103" s="1">
        <f>'Paste cell here'!L103</f>
        <v/>
      </c>
      <c r="H103" s="1">
        <f>'Paste cell here'!M103</f>
        <v/>
      </c>
      <c r="I103" s="1">
        <f>'Paste cell here'!N103</f>
        <v/>
      </c>
      <c r="J103" s="1">
        <f>'Paste cell here'!O103</f>
        <v/>
      </c>
      <c r="K103" s="1">
        <f>'Paste cell here'!Q103</f>
        <v/>
      </c>
      <c r="L103" s="1">
        <f>'Paste cell here'!S103</f>
        <v/>
      </c>
      <c r="M103" s="1">
        <f>'Paste cell here'!T103</f>
        <v/>
      </c>
      <c r="N103" s="1">
        <f>'Paste cell here'!W103</f>
        <v/>
      </c>
      <c r="O103" s="1">
        <f>'Paste cell here'!U103</f>
        <v/>
      </c>
      <c r="P103" s="1">
        <f>O102</f>
        <v/>
      </c>
      <c r="Q103" s="1">
        <f>'Paste cell here'!V103</f>
        <v/>
      </c>
      <c r="R103" s="1">
        <f>ABS(O102+C103+D103+N103+Q102-H103-I103-K103-L103-M103-O103-Q103)</f>
        <v/>
      </c>
      <c r="S103" s="7">
        <f>Sintesi!$C$30</f>
        <v/>
      </c>
      <c r="T103" s="7">
        <f>Sintesi!$C$29</f>
        <v/>
      </c>
      <c r="U103" s="5">
        <f>O103/(Sintesi!$C$5*1000)</f>
        <v/>
      </c>
      <c r="V103" s="1">
        <f>T103-S103</f>
        <v/>
      </c>
      <c r="W103" s="1" t="n">
        <v>0.651789670195722</v>
      </c>
      <c r="X103" s="1">
        <f>W103*V103</f>
        <v/>
      </c>
      <c r="Y103" s="1">
        <f>T103-X103</f>
        <v/>
      </c>
      <c r="Z103" s="1">
        <f>'Paste cellinfo here'!$B$11</f>
        <v/>
      </c>
    </row>
    <row r="104">
      <c r="A104" s="1" t="n">
        <v>103</v>
      </c>
      <c r="B104" s="2">
        <f>DATE(Sintesi!$C$4-1,12,31)+A104</f>
        <v/>
      </c>
      <c r="C104" s="1">
        <f>'Paste cell here'!B104</f>
        <v/>
      </c>
      <c r="D104" s="1">
        <f>'Paste cell here'!I104</f>
        <v/>
      </c>
      <c r="E104" s="1">
        <f>'Paste cell here'!J104</f>
        <v/>
      </c>
      <c r="F104" s="1">
        <f>'Paste cell here'!K104</f>
        <v/>
      </c>
      <c r="G104" s="1">
        <f>'Paste cell here'!L104</f>
        <v/>
      </c>
      <c r="H104" s="1">
        <f>'Paste cell here'!M104</f>
        <v/>
      </c>
      <c r="I104" s="1">
        <f>'Paste cell here'!N104</f>
        <v/>
      </c>
      <c r="J104" s="1">
        <f>'Paste cell here'!O104</f>
        <v/>
      </c>
      <c r="K104" s="1">
        <f>'Paste cell here'!Q104</f>
        <v/>
      </c>
      <c r="L104" s="1">
        <f>'Paste cell here'!S104</f>
        <v/>
      </c>
      <c r="M104" s="1">
        <f>'Paste cell here'!T104</f>
        <v/>
      </c>
      <c r="N104" s="1">
        <f>'Paste cell here'!W104</f>
        <v/>
      </c>
      <c r="O104" s="1">
        <f>'Paste cell here'!U104</f>
        <v/>
      </c>
      <c r="P104" s="1">
        <f>O103</f>
        <v/>
      </c>
      <c r="Q104" s="1">
        <f>'Paste cell here'!V104</f>
        <v/>
      </c>
      <c r="R104" s="1">
        <f>ABS(O103+C104+D104+N104+Q103-H104-I104-K104-L104-M104-O104-Q104)</f>
        <v/>
      </c>
      <c r="S104" s="7">
        <f>Sintesi!$C$30</f>
        <v/>
      </c>
      <c r="T104" s="7">
        <f>Sintesi!$C$29</f>
        <v/>
      </c>
      <c r="U104" s="5">
        <f>O104/(Sintesi!$C$5*1000)</f>
        <v/>
      </c>
      <c r="V104" s="1">
        <f>T104-S104</f>
        <v/>
      </c>
      <c r="W104" s="1" t="n">
        <v>0.613063092010903</v>
      </c>
      <c r="X104" s="1">
        <f>W104*V104</f>
        <v/>
      </c>
      <c r="Y104" s="1">
        <f>T104-X104</f>
        <v/>
      </c>
      <c r="Z104" s="1">
        <f>'Paste cellinfo here'!$B$11</f>
        <v/>
      </c>
    </row>
    <row r="105">
      <c r="A105" s="1" t="n">
        <v>104</v>
      </c>
      <c r="B105" s="2">
        <f>DATE(Sintesi!$C$4-1,12,31)+A105</f>
        <v/>
      </c>
      <c r="C105" s="1">
        <f>'Paste cell here'!B105</f>
        <v/>
      </c>
      <c r="D105" s="1">
        <f>'Paste cell here'!I105</f>
        <v/>
      </c>
      <c r="E105" s="1">
        <f>'Paste cell here'!J105</f>
        <v/>
      </c>
      <c r="F105" s="1">
        <f>'Paste cell here'!K105</f>
        <v/>
      </c>
      <c r="G105" s="1">
        <f>'Paste cell here'!L105</f>
        <v/>
      </c>
      <c r="H105" s="1">
        <f>'Paste cell here'!M105</f>
        <v/>
      </c>
      <c r="I105" s="1">
        <f>'Paste cell here'!N105</f>
        <v/>
      </c>
      <c r="J105" s="1">
        <f>'Paste cell here'!O105</f>
        <v/>
      </c>
      <c r="K105" s="1">
        <f>'Paste cell here'!Q105</f>
        <v/>
      </c>
      <c r="L105" s="1">
        <f>'Paste cell here'!S105</f>
        <v/>
      </c>
      <c r="M105" s="1">
        <f>'Paste cell here'!T105</f>
        <v/>
      </c>
      <c r="N105" s="1">
        <f>'Paste cell here'!W105</f>
        <v/>
      </c>
      <c r="O105" s="1">
        <f>'Paste cell here'!U105</f>
        <v/>
      </c>
      <c r="P105" s="1">
        <f>O104</f>
        <v/>
      </c>
      <c r="Q105" s="1">
        <f>'Paste cell here'!V105</f>
        <v/>
      </c>
      <c r="R105" s="1">
        <f>ABS(O104+C105+D105+N105+Q104-H105-I105-K105-L105-M105-O105-Q105)</f>
        <v/>
      </c>
      <c r="S105" s="7">
        <f>Sintesi!$C$30</f>
        <v/>
      </c>
      <c r="T105" s="7">
        <f>Sintesi!$C$29</f>
        <v/>
      </c>
      <c r="U105" s="5">
        <f>O105/(Sintesi!$C$5*1000)</f>
        <v/>
      </c>
      <c r="V105" s="1">
        <f>T105-S105</f>
        <v/>
      </c>
      <c r="W105" s="1" t="n">
        <v>0.608682548804821</v>
      </c>
      <c r="X105" s="1">
        <f>W105*V105</f>
        <v/>
      </c>
      <c r="Y105" s="1">
        <f>T105-X105</f>
        <v/>
      </c>
      <c r="Z105" s="1">
        <f>'Paste cellinfo here'!$B$11</f>
        <v/>
      </c>
    </row>
    <row r="106">
      <c r="A106" s="1" t="n">
        <v>105</v>
      </c>
      <c r="B106" s="2">
        <f>DATE(Sintesi!$C$4-1,12,31)+A106</f>
        <v/>
      </c>
      <c r="C106" s="1">
        <f>'Paste cell here'!B106</f>
        <v/>
      </c>
      <c r="D106" s="1">
        <f>'Paste cell here'!I106</f>
        <v/>
      </c>
      <c r="E106" s="1">
        <f>'Paste cell here'!J106</f>
        <v/>
      </c>
      <c r="F106" s="1">
        <f>'Paste cell here'!K106</f>
        <v/>
      </c>
      <c r="G106" s="1">
        <f>'Paste cell here'!L106</f>
        <v/>
      </c>
      <c r="H106" s="1">
        <f>'Paste cell here'!M106</f>
        <v/>
      </c>
      <c r="I106" s="1">
        <f>'Paste cell here'!N106</f>
        <v/>
      </c>
      <c r="J106" s="1">
        <f>'Paste cell here'!O106</f>
        <v/>
      </c>
      <c r="K106" s="1">
        <f>'Paste cell here'!Q106</f>
        <v/>
      </c>
      <c r="L106" s="1">
        <f>'Paste cell here'!S106</f>
        <v/>
      </c>
      <c r="M106" s="1">
        <f>'Paste cell here'!T106</f>
        <v/>
      </c>
      <c r="N106" s="1">
        <f>'Paste cell here'!W106</f>
        <v/>
      </c>
      <c r="O106" s="1">
        <f>'Paste cell here'!U106</f>
        <v/>
      </c>
      <c r="P106" s="1">
        <f>O105</f>
        <v/>
      </c>
      <c r="Q106" s="1">
        <f>'Paste cell here'!V106</f>
        <v/>
      </c>
      <c r="R106" s="1">
        <f>ABS(O105+C106+D106+N106+Q105-H106-I106-K106-L106-M106-O106-Q106)</f>
        <v/>
      </c>
      <c r="S106" s="7">
        <f>Sintesi!$C$30</f>
        <v/>
      </c>
      <c r="T106" s="7">
        <f>Sintesi!$C$29</f>
        <v/>
      </c>
      <c r="U106" s="5">
        <f>O106/(Sintesi!$C$5*1000)</f>
        <v/>
      </c>
      <c r="V106" s="1">
        <f>T106-S106</f>
        <v/>
      </c>
      <c r="W106" s="1" t="n">
        <v>0.608788125110582</v>
      </c>
      <c r="X106" s="1">
        <f>W106*V106</f>
        <v/>
      </c>
      <c r="Y106" s="1">
        <f>T106-X106</f>
        <v/>
      </c>
      <c r="Z106" s="1">
        <f>'Paste cellinfo here'!$B$11</f>
        <v/>
      </c>
    </row>
    <row r="107">
      <c r="A107" s="1" t="n">
        <v>106</v>
      </c>
      <c r="B107" s="2">
        <f>DATE(Sintesi!$C$4-1,12,31)+A107</f>
        <v/>
      </c>
      <c r="C107" s="1">
        <f>'Paste cell here'!B107</f>
        <v/>
      </c>
      <c r="D107" s="1">
        <f>'Paste cell here'!I107</f>
        <v/>
      </c>
      <c r="E107" s="1">
        <f>'Paste cell here'!J107</f>
        <v/>
      </c>
      <c r="F107" s="1">
        <f>'Paste cell here'!K107</f>
        <v/>
      </c>
      <c r="G107" s="1">
        <f>'Paste cell here'!L107</f>
        <v/>
      </c>
      <c r="H107" s="1">
        <f>'Paste cell here'!M107</f>
        <v/>
      </c>
      <c r="I107" s="1">
        <f>'Paste cell here'!N107</f>
        <v/>
      </c>
      <c r="J107" s="1">
        <f>'Paste cell here'!O107</f>
        <v/>
      </c>
      <c r="K107" s="1">
        <f>'Paste cell here'!Q107</f>
        <v/>
      </c>
      <c r="L107" s="1">
        <f>'Paste cell here'!S107</f>
        <v/>
      </c>
      <c r="M107" s="1">
        <f>'Paste cell here'!T107</f>
        <v/>
      </c>
      <c r="N107" s="1">
        <f>'Paste cell here'!W107</f>
        <v/>
      </c>
      <c r="O107" s="1">
        <f>'Paste cell here'!U107</f>
        <v/>
      </c>
      <c r="P107" s="1">
        <f>O106</f>
        <v/>
      </c>
      <c r="Q107" s="1">
        <f>'Paste cell here'!V107</f>
        <v/>
      </c>
      <c r="R107" s="1">
        <f>ABS(O106+C107+D107+N107+Q106-H107-I107-K107-L107-M107-O107-Q107)</f>
        <v/>
      </c>
      <c r="S107" s="7">
        <f>Sintesi!$C$30</f>
        <v/>
      </c>
      <c r="T107" s="7">
        <f>Sintesi!$C$29</f>
        <v/>
      </c>
      <c r="U107" s="5">
        <f>O107/(Sintesi!$C$5*1000)</f>
        <v/>
      </c>
      <c r="V107" s="1">
        <f>T107-S107</f>
        <v/>
      </c>
      <c r="W107" s="1" t="n">
        <v>0.571726774983397</v>
      </c>
      <c r="X107" s="1">
        <f>W107*V107</f>
        <v/>
      </c>
      <c r="Y107" s="1">
        <f>T107-X107</f>
        <v/>
      </c>
      <c r="Z107" s="1">
        <f>'Paste cellinfo here'!$B$11</f>
        <v/>
      </c>
    </row>
    <row r="108">
      <c r="A108" s="1" t="n">
        <v>107</v>
      </c>
      <c r="B108" s="2">
        <f>DATE(Sintesi!$C$4-1,12,31)+A108</f>
        <v/>
      </c>
      <c r="C108" s="1">
        <f>'Paste cell here'!B108</f>
        <v/>
      </c>
      <c r="D108" s="1">
        <f>'Paste cell here'!I108</f>
        <v/>
      </c>
      <c r="E108" s="1">
        <f>'Paste cell here'!J108</f>
        <v/>
      </c>
      <c r="F108" s="1">
        <f>'Paste cell here'!K108</f>
        <v/>
      </c>
      <c r="G108" s="1">
        <f>'Paste cell here'!L108</f>
        <v/>
      </c>
      <c r="H108" s="1">
        <f>'Paste cell here'!M108</f>
        <v/>
      </c>
      <c r="I108" s="1">
        <f>'Paste cell here'!N108</f>
        <v/>
      </c>
      <c r="J108" s="1">
        <f>'Paste cell here'!O108</f>
        <v/>
      </c>
      <c r="K108" s="1">
        <f>'Paste cell here'!Q108</f>
        <v/>
      </c>
      <c r="L108" s="1">
        <f>'Paste cell here'!S108</f>
        <v/>
      </c>
      <c r="M108" s="1">
        <f>'Paste cell here'!T108</f>
        <v/>
      </c>
      <c r="N108" s="1">
        <f>'Paste cell here'!W108</f>
        <v/>
      </c>
      <c r="O108" s="1">
        <f>'Paste cell here'!U108</f>
        <v/>
      </c>
      <c r="P108" s="1">
        <f>O107</f>
        <v/>
      </c>
      <c r="Q108" s="1">
        <f>'Paste cell here'!V108</f>
        <v/>
      </c>
      <c r="R108" s="1">
        <f>ABS(O107+C108+D108+N108+Q107-H108-I108-K108-L108-M108-O108-Q108)</f>
        <v/>
      </c>
      <c r="S108" s="7">
        <f>Sintesi!$C$30</f>
        <v/>
      </c>
      <c r="T108" s="7">
        <f>Sintesi!$C$29</f>
        <v/>
      </c>
      <c r="U108" s="5">
        <f>O108/(Sintesi!$C$5*1000)</f>
        <v/>
      </c>
      <c r="V108" s="1">
        <f>T108-S108</f>
        <v/>
      </c>
      <c r="W108" s="1" t="n">
        <v>0.573388778864599</v>
      </c>
      <c r="X108" s="1">
        <f>W108*V108</f>
        <v/>
      </c>
      <c r="Y108" s="1">
        <f>T108-X108</f>
        <v/>
      </c>
      <c r="Z108" s="1">
        <f>'Paste cellinfo here'!$B$11</f>
        <v/>
      </c>
    </row>
    <row r="109">
      <c r="A109" s="1" t="n">
        <v>108</v>
      </c>
      <c r="B109" s="2">
        <f>DATE(Sintesi!$C$4-1,12,31)+A109</f>
        <v/>
      </c>
      <c r="C109" s="1">
        <f>'Paste cell here'!B109</f>
        <v/>
      </c>
      <c r="D109" s="1">
        <f>'Paste cell here'!I109</f>
        <v/>
      </c>
      <c r="E109" s="1">
        <f>'Paste cell here'!J109</f>
        <v/>
      </c>
      <c r="F109" s="1">
        <f>'Paste cell here'!K109</f>
        <v/>
      </c>
      <c r="G109" s="1">
        <f>'Paste cell here'!L109</f>
        <v/>
      </c>
      <c r="H109" s="1">
        <f>'Paste cell here'!M109</f>
        <v/>
      </c>
      <c r="I109" s="1">
        <f>'Paste cell here'!N109</f>
        <v/>
      </c>
      <c r="J109" s="1">
        <f>'Paste cell here'!O109</f>
        <v/>
      </c>
      <c r="K109" s="1">
        <f>'Paste cell here'!Q109</f>
        <v/>
      </c>
      <c r="L109" s="1">
        <f>'Paste cell here'!S109</f>
        <v/>
      </c>
      <c r="M109" s="1">
        <f>'Paste cell here'!T109</f>
        <v/>
      </c>
      <c r="N109" s="1">
        <f>'Paste cell here'!W109</f>
        <v/>
      </c>
      <c r="O109" s="1">
        <f>'Paste cell here'!U109</f>
        <v/>
      </c>
      <c r="P109" s="1">
        <f>O108</f>
        <v/>
      </c>
      <c r="Q109" s="1">
        <f>'Paste cell here'!V109</f>
        <v/>
      </c>
      <c r="R109" s="1">
        <f>ABS(O108+C109+D109+N109+Q108-H109-I109-K109-L109-M109-O109-Q109)</f>
        <v/>
      </c>
      <c r="S109" s="7">
        <f>Sintesi!$C$30</f>
        <v/>
      </c>
      <c r="T109" s="7">
        <f>Sintesi!$C$29</f>
        <v/>
      </c>
      <c r="U109" s="5">
        <f>O109/(Sintesi!$C$5*1000)</f>
        <v/>
      </c>
      <c r="V109" s="1">
        <f>T109-S109</f>
        <v/>
      </c>
      <c r="W109" s="1" t="n">
        <v>0.557722175314156</v>
      </c>
      <c r="X109" s="1">
        <f>W109*V109</f>
        <v/>
      </c>
      <c r="Y109" s="1">
        <f>T109-X109</f>
        <v/>
      </c>
      <c r="Z109" s="1">
        <f>'Paste cellinfo here'!$B$11</f>
        <v/>
      </c>
    </row>
    <row r="110">
      <c r="A110" s="1" t="n">
        <v>109</v>
      </c>
      <c r="B110" s="2">
        <f>DATE(Sintesi!$C$4-1,12,31)+A110</f>
        <v/>
      </c>
      <c r="C110" s="1">
        <f>'Paste cell here'!B110</f>
        <v/>
      </c>
      <c r="D110" s="1">
        <f>'Paste cell here'!I110</f>
        <v/>
      </c>
      <c r="E110" s="1">
        <f>'Paste cell here'!J110</f>
        <v/>
      </c>
      <c r="F110" s="1">
        <f>'Paste cell here'!K110</f>
        <v/>
      </c>
      <c r="G110" s="1">
        <f>'Paste cell here'!L110</f>
        <v/>
      </c>
      <c r="H110" s="1">
        <f>'Paste cell here'!M110</f>
        <v/>
      </c>
      <c r="I110" s="1">
        <f>'Paste cell here'!N110</f>
        <v/>
      </c>
      <c r="J110" s="1">
        <f>'Paste cell here'!O110</f>
        <v/>
      </c>
      <c r="K110" s="1">
        <f>'Paste cell here'!Q110</f>
        <v/>
      </c>
      <c r="L110" s="1">
        <f>'Paste cell here'!S110</f>
        <v/>
      </c>
      <c r="M110" s="1">
        <f>'Paste cell here'!T110</f>
        <v/>
      </c>
      <c r="N110" s="1">
        <f>'Paste cell here'!W110</f>
        <v/>
      </c>
      <c r="O110" s="1">
        <f>'Paste cell here'!U110</f>
        <v/>
      </c>
      <c r="P110" s="1">
        <f>O109</f>
        <v/>
      </c>
      <c r="Q110" s="1">
        <f>'Paste cell here'!V110</f>
        <v/>
      </c>
      <c r="R110" s="1">
        <f>ABS(O109+C110+D110+N110+Q109-H110-I110-K110-L110-M110-O110-Q110)</f>
        <v/>
      </c>
      <c r="S110" s="7">
        <f>Sintesi!$C$30</f>
        <v/>
      </c>
      <c r="T110" s="7">
        <f>Sintesi!$C$29</f>
        <v/>
      </c>
      <c r="U110" s="5">
        <f>O110/(Sintesi!$C$5*1000)</f>
        <v/>
      </c>
      <c r="V110" s="1">
        <f>T110-S110</f>
        <v/>
      </c>
      <c r="W110" s="1" t="n">
        <v>0.530318460194221</v>
      </c>
      <c r="X110" s="1">
        <f>W110*V110</f>
        <v/>
      </c>
      <c r="Y110" s="1">
        <f>T110-X110</f>
        <v/>
      </c>
      <c r="Z110" s="1">
        <f>'Paste cellinfo here'!$B$11</f>
        <v/>
      </c>
    </row>
    <row r="111">
      <c r="A111" s="1" t="n">
        <v>110</v>
      </c>
      <c r="B111" s="2">
        <f>DATE(Sintesi!$C$4-1,12,31)+A111</f>
        <v/>
      </c>
      <c r="C111" s="1">
        <f>'Paste cell here'!B111</f>
        <v/>
      </c>
      <c r="D111" s="1">
        <f>'Paste cell here'!I111</f>
        <v/>
      </c>
      <c r="E111" s="1">
        <f>'Paste cell here'!J111</f>
        <v/>
      </c>
      <c r="F111" s="1">
        <f>'Paste cell here'!K111</f>
        <v/>
      </c>
      <c r="G111" s="1">
        <f>'Paste cell here'!L111</f>
        <v/>
      </c>
      <c r="H111" s="1">
        <f>'Paste cell here'!M111</f>
        <v/>
      </c>
      <c r="I111" s="1">
        <f>'Paste cell here'!N111</f>
        <v/>
      </c>
      <c r="J111" s="1">
        <f>'Paste cell here'!O111</f>
        <v/>
      </c>
      <c r="K111" s="1">
        <f>'Paste cell here'!Q111</f>
        <v/>
      </c>
      <c r="L111" s="1">
        <f>'Paste cell here'!S111</f>
        <v/>
      </c>
      <c r="M111" s="1">
        <f>'Paste cell here'!T111</f>
        <v/>
      </c>
      <c r="N111" s="1">
        <f>'Paste cell here'!W111</f>
        <v/>
      </c>
      <c r="O111" s="1">
        <f>'Paste cell here'!U111</f>
        <v/>
      </c>
      <c r="P111" s="1">
        <f>O110</f>
        <v/>
      </c>
      <c r="Q111" s="1">
        <f>'Paste cell here'!V111</f>
        <v/>
      </c>
      <c r="R111" s="1">
        <f>ABS(O110+C111+D111+N111+Q110-H111-I111-K111-L111-M111-O111-Q111)</f>
        <v/>
      </c>
      <c r="S111" s="7">
        <f>Sintesi!$C$30</f>
        <v/>
      </c>
      <c r="T111" s="7">
        <f>Sintesi!$C$29</f>
        <v/>
      </c>
      <c r="U111" s="5">
        <f>O111/(Sintesi!$C$5*1000)</f>
        <v/>
      </c>
      <c r="V111" s="1">
        <f>T111-S111</f>
        <v/>
      </c>
      <c r="W111" s="1" t="n">
        <v>0.5322414508404461</v>
      </c>
      <c r="X111" s="1">
        <f>W111*V111</f>
        <v/>
      </c>
      <c r="Y111" s="1">
        <f>T111-X111</f>
        <v/>
      </c>
      <c r="Z111" s="1">
        <f>'Paste cellinfo here'!$B$11</f>
        <v/>
      </c>
    </row>
    <row r="112">
      <c r="A112" s="1" t="n">
        <v>111</v>
      </c>
      <c r="B112" s="2">
        <f>DATE(Sintesi!$C$4-1,12,31)+A112</f>
        <v/>
      </c>
      <c r="C112" s="1">
        <f>'Paste cell here'!B112</f>
        <v/>
      </c>
      <c r="D112" s="1">
        <f>'Paste cell here'!I112</f>
        <v/>
      </c>
      <c r="E112" s="1">
        <f>'Paste cell here'!J112</f>
        <v/>
      </c>
      <c r="F112" s="1">
        <f>'Paste cell here'!K112</f>
        <v/>
      </c>
      <c r="G112" s="1">
        <f>'Paste cell here'!L112</f>
        <v/>
      </c>
      <c r="H112" s="1">
        <f>'Paste cell here'!M112</f>
        <v/>
      </c>
      <c r="I112" s="1">
        <f>'Paste cell here'!N112</f>
        <v/>
      </c>
      <c r="J112" s="1">
        <f>'Paste cell here'!O112</f>
        <v/>
      </c>
      <c r="K112" s="1">
        <f>'Paste cell here'!Q112</f>
        <v/>
      </c>
      <c r="L112" s="1">
        <f>'Paste cell here'!S112</f>
        <v/>
      </c>
      <c r="M112" s="1">
        <f>'Paste cell here'!T112</f>
        <v/>
      </c>
      <c r="N112" s="1">
        <f>'Paste cell here'!W112</f>
        <v/>
      </c>
      <c r="O112" s="1">
        <f>'Paste cell here'!U112</f>
        <v/>
      </c>
      <c r="P112" s="1">
        <f>O111</f>
        <v/>
      </c>
      <c r="Q112" s="1">
        <f>'Paste cell here'!V112</f>
        <v/>
      </c>
      <c r="R112" s="1">
        <f>ABS(O111+C112+D112+N112+Q111-H112-I112-K112-L112-M112-O112-Q112)</f>
        <v/>
      </c>
      <c r="S112" s="7">
        <f>Sintesi!$C$30</f>
        <v/>
      </c>
      <c r="T112" s="7">
        <f>Sintesi!$C$29</f>
        <v/>
      </c>
      <c r="U112" s="5">
        <f>O112/(Sintesi!$C$5*1000)</f>
        <v/>
      </c>
      <c r="V112" s="1">
        <f>T112-S112</f>
        <v/>
      </c>
      <c r="W112" s="1" t="n">
        <v>0.514065623331833</v>
      </c>
      <c r="X112" s="1">
        <f>W112*V112</f>
        <v/>
      </c>
      <c r="Y112" s="1">
        <f>T112-X112</f>
        <v/>
      </c>
      <c r="Z112" s="1">
        <f>'Paste cellinfo here'!$B$11</f>
        <v/>
      </c>
    </row>
    <row r="113">
      <c r="A113" s="1" t="n">
        <v>112</v>
      </c>
      <c r="B113" s="2">
        <f>DATE(Sintesi!$C$4-1,12,31)+A113</f>
        <v/>
      </c>
      <c r="C113" s="1">
        <f>'Paste cell here'!B113</f>
        <v/>
      </c>
      <c r="D113" s="1">
        <f>'Paste cell here'!I113</f>
        <v/>
      </c>
      <c r="E113" s="1">
        <f>'Paste cell here'!J113</f>
        <v/>
      </c>
      <c r="F113" s="1">
        <f>'Paste cell here'!K113</f>
        <v/>
      </c>
      <c r="G113" s="1">
        <f>'Paste cell here'!L113</f>
        <v/>
      </c>
      <c r="H113" s="1">
        <f>'Paste cell here'!M113</f>
        <v/>
      </c>
      <c r="I113" s="1">
        <f>'Paste cell here'!N113</f>
        <v/>
      </c>
      <c r="J113" s="1">
        <f>'Paste cell here'!O113</f>
        <v/>
      </c>
      <c r="K113" s="1">
        <f>'Paste cell here'!Q113</f>
        <v/>
      </c>
      <c r="L113" s="1">
        <f>'Paste cell here'!S113</f>
        <v/>
      </c>
      <c r="M113" s="1">
        <f>'Paste cell here'!T113</f>
        <v/>
      </c>
      <c r="N113" s="1">
        <f>'Paste cell here'!W113</f>
        <v/>
      </c>
      <c r="O113" s="1">
        <f>'Paste cell here'!U113</f>
        <v/>
      </c>
      <c r="P113" s="1">
        <f>O112</f>
        <v/>
      </c>
      <c r="Q113" s="1">
        <f>'Paste cell here'!V113</f>
        <v/>
      </c>
      <c r="R113" s="1">
        <f>ABS(O112+C113+D113+N113+Q112-H113-I113-K113-L113-M113-O113-Q113)</f>
        <v/>
      </c>
      <c r="S113" s="7">
        <f>Sintesi!$C$30</f>
        <v/>
      </c>
      <c r="T113" s="7">
        <f>Sintesi!$C$29</f>
        <v/>
      </c>
      <c r="U113" s="5">
        <f>O113/(Sintesi!$C$5*1000)</f>
        <v/>
      </c>
      <c r="V113" s="1">
        <f>T113-S113</f>
        <v/>
      </c>
      <c r="W113" s="1" t="n">
        <v>0.516595841326673</v>
      </c>
      <c r="X113" s="1">
        <f>W113*V113</f>
        <v/>
      </c>
      <c r="Y113" s="1">
        <f>T113-X113</f>
        <v/>
      </c>
      <c r="Z113" s="1">
        <f>'Paste cellinfo here'!$B$11</f>
        <v/>
      </c>
    </row>
    <row r="114">
      <c r="A114" s="1" t="n">
        <v>113</v>
      </c>
      <c r="B114" s="2">
        <f>DATE(Sintesi!$C$4-1,12,31)+A114</f>
        <v/>
      </c>
      <c r="C114" s="1">
        <f>'Paste cell here'!B114</f>
        <v/>
      </c>
      <c r="D114" s="1">
        <f>'Paste cell here'!I114</f>
        <v/>
      </c>
      <c r="E114" s="1">
        <f>'Paste cell here'!J114</f>
        <v/>
      </c>
      <c r="F114" s="1">
        <f>'Paste cell here'!K114</f>
        <v/>
      </c>
      <c r="G114" s="1">
        <f>'Paste cell here'!L114</f>
        <v/>
      </c>
      <c r="H114" s="1">
        <f>'Paste cell here'!M114</f>
        <v/>
      </c>
      <c r="I114" s="1">
        <f>'Paste cell here'!N114</f>
        <v/>
      </c>
      <c r="J114" s="1">
        <f>'Paste cell here'!O114</f>
        <v/>
      </c>
      <c r="K114" s="1">
        <f>'Paste cell here'!Q114</f>
        <v/>
      </c>
      <c r="L114" s="1">
        <f>'Paste cell here'!S114</f>
        <v/>
      </c>
      <c r="M114" s="1">
        <f>'Paste cell here'!T114</f>
        <v/>
      </c>
      <c r="N114" s="1">
        <f>'Paste cell here'!W114</f>
        <v/>
      </c>
      <c r="O114" s="1">
        <f>'Paste cell here'!U114</f>
        <v/>
      </c>
      <c r="P114" s="1">
        <f>O113</f>
        <v/>
      </c>
      <c r="Q114" s="1">
        <f>'Paste cell here'!V114</f>
        <v/>
      </c>
      <c r="R114" s="1">
        <f>ABS(O113+C114+D114+N114+Q113-H114-I114-K114-L114-M114-O114-Q114)</f>
        <v/>
      </c>
      <c r="S114" s="7">
        <f>Sintesi!$C$30</f>
        <v/>
      </c>
      <c r="T114" s="7">
        <f>Sintesi!$C$29</f>
        <v/>
      </c>
      <c r="U114" s="5">
        <f>O114/(Sintesi!$C$5*1000)</f>
        <v/>
      </c>
      <c r="V114" s="1">
        <f>T114-S114</f>
        <v/>
      </c>
      <c r="W114" s="1" t="n">
        <v>0.538176644007121</v>
      </c>
      <c r="X114" s="1">
        <f>W114*V114</f>
        <v/>
      </c>
      <c r="Y114" s="1">
        <f>T114-X114</f>
        <v/>
      </c>
      <c r="Z114" s="1">
        <f>'Paste cellinfo here'!$B$11</f>
        <v/>
      </c>
    </row>
    <row r="115">
      <c r="A115" s="1" t="n">
        <v>114</v>
      </c>
      <c r="B115" s="2">
        <f>DATE(Sintesi!$C$4-1,12,31)+A115</f>
        <v/>
      </c>
      <c r="C115" s="1">
        <f>'Paste cell here'!B115</f>
        <v/>
      </c>
      <c r="D115" s="1">
        <f>'Paste cell here'!I115</f>
        <v/>
      </c>
      <c r="E115" s="1">
        <f>'Paste cell here'!J115</f>
        <v/>
      </c>
      <c r="F115" s="1">
        <f>'Paste cell here'!K115</f>
        <v/>
      </c>
      <c r="G115" s="1">
        <f>'Paste cell here'!L115</f>
        <v/>
      </c>
      <c r="H115" s="1">
        <f>'Paste cell here'!M115</f>
        <v/>
      </c>
      <c r="I115" s="1">
        <f>'Paste cell here'!N115</f>
        <v/>
      </c>
      <c r="J115" s="1">
        <f>'Paste cell here'!O115</f>
        <v/>
      </c>
      <c r="K115" s="1">
        <f>'Paste cell here'!Q115</f>
        <v/>
      </c>
      <c r="L115" s="1">
        <f>'Paste cell here'!S115</f>
        <v/>
      </c>
      <c r="M115" s="1">
        <f>'Paste cell here'!T115</f>
        <v/>
      </c>
      <c r="N115" s="1">
        <f>'Paste cell here'!W115</f>
        <v/>
      </c>
      <c r="O115" s="1">
        <f>'Paste cell here'!U115</f>
        <v/>
      </c>
      <c r="P115" s="1">
        <f>O114</f>
        <v/>
      </c>
      <c r="Q115" s="1">
        <f>'Paste cell here'!V115</f>
        <v/>
      </c>
      <c r="R115" s="1">
        <f>ABS(O114+C115+D115+N115+Q114-H115-I115-K115-L115-M115-O115-Q115)</f>
        <v/>
      </c>
      <c r="S115" s="7">
        <f>Sintesi!$C$30</f>
        <v/>
      </c>
      <c r="T115" s="7">
        <f>Sintesi!$C$29</f>
        <v/>
      </c>
      <c r="U115" s="5">
        <f>O115/(Sintesi!$C$5*1000)</f>
        <v/>
      </c>
      <c r="V115" s="1">
        <f>T115-S115</f>
        <v/>
      </c>
      <c r="W115" s="1" t="n">
        <v>0.636242784064772</v>
      </c>
      <c r="X115" s="1">
        <f>W115*V115</f>
        <v/>
      </c>
      <c r="Y115" s="1">
        <f>T115-X115</f>
        <v/>
      </c>
      <c r="Z115" s="1">
        <f>'Paste cellinfo here'!$B$11</f>
        <v/>
      </c>
    </row>
    <row r="116">
      <c r="A116" s="1" t="n">
        <v>115</v>
      </c>
      <c r="B116" s="2">
        <f>DATE(Sintesi!$C$4-1,12,31)+A116</f>
        <v/>
      </c>
      <c r="C116" s="1">
        <f>'Paste cell here'!B116</f>
        <v/>
      </c>
      <c r="D116" s="1">
        <f>'Paste cell here'!I116</f>
        <v/>
      </c>
      <c r="E116" s="1">
        <f>'Paste cell here'!J116</f>
        <v/>
      </c>
      <c r="F116" s="1">
        <f>'Paste cell here'!K116</f>
        <v/>
      </c>
      <c r="G116" s="1">
        <f>'Paste cell here'!L116</f>
        <v/>
      </c>
      <c r="H116" s="1">
        <f>'Paste cell here'!M116</f>
        <v/>
      </c>
      <c r="I116" s="1">
        <f>'Paste cell here'!N116</f>
        <v/>
      </c>
      <c r="J116" s="1">
        <f>'Paste cell here'!O116</f>
        <v/>
      </c>
      <c r="K116" s="1">
        <f>'Paste cell here'!Q116</f>
        <v/>
      </c>
      <c r="L116" s="1">
        <f>'Paste cell here'!S116</f>
        <v/>
      </c>
      <c r="M116" s="1">
        <f>'Paste cell here'!T116</f>
        <v/>
      </c>
      <c r="N116" s="1">
        <f>'Paste cell here'!W116</f>
        <v/>
      </c>
      <c r="O116" s="1">
        <f>'Paste cell here'!U116</f>
        <v/>
      </c>
      <c r="P116" s="1">
        <f>O115</f>
        <v/>
      </c>
      <c r="Q116" s="1">
        <f>'Paste cell here'!V116</f>
        <v/>
      </c>
      <c r="R116" s="1">
        <f>ABS(O115+C116+D116+N116+Q115-H116-I116-K116-L116-M116-O116-Q116)</f>
        <v/>
      </c>
      <c r="S116" s="7">
        <f>Sintesi!$C$30</f>
        <v/>
      </c>
      <c r="T116" s="7">
        <f>Sintesi!$C$29</f>
        <v/>
      </c>
      <c r="U116" s="5">
        <f>O116/(Sintesi!$C$5*1000)</f>
        <v/>
      </c>
      <c r="V116" s="1">
        <f>T116-S116</f>
        <v/>
      </c>
      <c r="W116" s="1" t="n">
        <v>0.594049631594904</v>
      </c>
      <c r="X116" s="1">
        <f>W116*V116</f>
        <v/>
      </c>
      <c r="Y116" s="1">
        <f>T116-X116</f>
        <v/>
      </c>
      <c r="Z116" s="1">
        <f>'Paste cellinfo here'!$B$11</f>
        <v/>
      </c>
    </row>
    <row r="117">
      <c r="A117" s="1" t="n">
        <v>116</v>
      </c>
      <c r="B117" s="2">
        <f>DATE(Sintesi!$C$4-1,12,31)+A117</f>
        <v/>
      </c>
      <c r="C117" s="1">
        <f>'Paste cell here'!B117</f>
        <v/>
      </c>
      <c r="D117" s="1">
        <f>'Paste cell here'!I117</f>
        <v/>
      </c>
      <c r="E117" s="1">
        <f>'Paste cell here'!J117</f>
        <v/>
      </c>
      <c r="F117" s="1">
        <f>'Paste cell here'!K117</f>
        <v/>
      </c>
      <c r="G117" s="1">
        <f>'Paste cell here'!L117</f>
        <v/>
      </c>
      <c r="H117" s="1">
        <f>'Paste cell here'!M117</f>
        <v/>
      </c>
      <c r="I117" s="1">
        <f>'Paste cell here'!N117</f>
        <v/>
      </c>
      <c r="J117" s="1">
        <f>'Paste cell here'!O117</f>
        <v/>
      </c>
      <c r="K117" s="1">
        <f>'Paste cell here'!Q117</f>
        <v/>
      </c>
      <c r="L117" s="1">
        <f>'Paste cell here'!S117</f>
        <v/>
      </c>
      <c r="M117" s="1">
        <f>'Paste cell here'!T117</f>
        <v/>
      </c>
      <c r="N117" s="1">
        <f>'Paste cell here'!W117</f>
        <v/>
      </c>
      <c r="O117" s="1">
        <f>'Paste cell here'!U117</f>
        <v/>
      </c>
      <c r="P117" s="1">
        <f>O116</f>
        <v/>
      </c>
      <c r="Q117" s="1">
        <f>'Paste cell here'!V117</f>
        <v/>
      </c>
      <c r="R117" s="1">
        <f>ABS(O116+C117+D117+N117+Q116-H117-I117-K117-L117-M117-O117-Q117)</f>
        <v/>
      </c>
      <c r="S117" s="7">
        <f>Sintesi!$C$30</f>
        <v/>
      </c>
      <c r="T117" s="7">
        <f>Sintesi!$C$29</f>
        <v/>
      </c>
      <c r="U117" s="5">
        <f>O117/(Sintesi!$C$5*1000)</f>
        <v/>
      </c>
      <c r="V117" s="1">
        <f>T117-S117</f>
        <v/>
      </c>
      <c r="W117" s="1" t="n">
        <v>0.580623558230085</v>
      </c>
      <c r="X117" s="1">
        <f>W117*V117</f>
        <v/>
      </c>
      <c r="Y117" s="1">
        <f>T117-X117</f>
        <v/>
      </c>
      <c r="Z117" s="1">
        <f>'Paste cellinfo here'!$B$11</f>
        <v/>
      </c>
    </row>
    <row r="118">
      <c r="A118" s="1" t="n">
        <v>117</v>
      </c>
      <c r="B118" s="2">
        <f>DATE(Sintesi!$C$4-1,12,31)+A118</f>
        <v/>
      </c>
      <c r="C118" s="1">
        <f>'Paste cell here'!B118</f>
        <v/>
      </c>
      <c r="D118" s="1">
        <f>'Paste cell here'!I118</f>
        <v/>
      </c>
      <c r="E118" s="1">
        <f>'Paste cell here'!J118</f>
        <v/>
      </c>
      <c r="F118" s="1">
        <f>'Paste cell here'!K118</f>
        <v/>
      </c>
      <c r="G118" s="1">
        <f>'Paste cell here'!L118</f>
        <v/>
      </c>
      <c r="H118" s="1">
        <f>'Paste cell here'!M118</f>
        <v/>
      </c>
      <c r="I118" s="1">
        <f>'Paste cell here'!N118</f>
        <v/>
      </c>
      <c r="J118" s="1">
        <f>'Paste cell here'!O118</f>
        <v/>
      </c>
      <c r="K118" s="1">
        <f>'Paste cell here'!Q118</f>
        <v/>
      </c>
      <c r="L118" s="1">
        <f>'Paste cell here'!S118</f>
        <v/>
      </c>
      <c r="M118" s="1">
        <f>'Paste cell here'!T118</f>
        <v/>
      </c>
      <c r="N118" s="1">
        <f>'Paste cell here'!W118</f>
        <v/>
      </c>
      <c r="O118" s="1">
        <f>'Paste cell here'!U118</f>
        <v/>
      </c>
      <c r="P118" s="1">
        <f>O117</f>
        <v/>
      </c>
      <c r="Q118" s="1">
        <f>'Paste cell here'!V118</f>
        <v/>
      </c>
      <c r="R118" s="1">
        <f>ABS(O117+C118+D118+N118+Q117-H118-I118-K118-L118-M118-O118-Q118)</f>
        <v/>
      </c>
      <c r="S118" s="7">
        <f>Sintesi!$C$30</f>
        <v/>
      </c>
      <c r="T118" s="7">
        <f>Sintesi!$C$29</f>
        <v/>
      </c>
      <c r="U118" s="5">
        <f>O118/(Sintesi!$C$5*1000)</f>
        <v/>
      </c>
      <c r="V118" s="1">
        <f>T118-S118</f>
        <v/>
      </c>
      <c r="W118" s="1" t="n">
        <v>0.597694043039124</v>
      </c>
      <c r="X118" s="1">
        <f>W118*V118</f>
        <v/>
      </c>
      <c r="Y118" s="1">
        <f>T118-X118</f>
        <v/>
      </c>
      <c r="Z118" s="1">
        <f>'Paste cellinfo here'!$B$11</f>
        <v/>
      </c>
    </row>
    <row r="119">
      <c r="A119" s="1" t="n">
        <v>118</v>
      </c>
      <c r="B119" s="2">
        <f>DATE(Sintesi!$C$4-1,12,31)+A119</f>
        <v/>
      </c>
      <c r="C119" s="1">
        <f>'Paste cell here'!B119</f>
        <v/>
      </c>
      <c r="D119" s="1">
        <f>'Paste cell here'!I119</f>
        <v/>
      </c>
      <c r="E119" s="1">
        <f>'Paste cell here'!J119</f>
        <v/>
      </c>
      <c r="F119" s="1">
        <f>'Paste cell here'!K119</f>
        <v/>
      </c>
      <c r="G119" s="1">
        <f>'Paste cell here'!L119</f>
        <v/>
      </c>
      <c r="H119" s="1">
        <f>'Paste cell here'!M119</f>
        <v/>
      </c>
      <c r="I119" s="1">
        <f>'Paste cell here'!N119</f>
        <v/>
      </c>
      <c r="J119" s="1">
        <f>'Paste cell here'!O119</f>
        <v/>
      </c>
      <c r="K119" s="1">
        <f>'Paste cell here'!Q119</f>
        <v/>
      </c>
      <c r="L119" s="1">
        <f>'Paste cell here'!S119</f>
        <v/>
      </c>
      <c r="M119" s="1">
        <f>'Paste cell here'!T119</f>
        <v/>
      </c>
      <c r="N119" s="1">
        <f>'Paste cell here'!W119</f>
        <v/>
      </c>
      <c r="O119" s="1">
        <f>'Paste cell here'!U119</f>
        <v/>
      </c>
      <c r="P119" s="1">
        <f>O118</f>
        <v/>
      </c>
      <c r="Q119" s="1">
        <f>'Paste cell here'!V119</f>
        <v/>
      </c>
      <c r="R119" s="1">
        <f>ABS(O118+C119+D119+N119+Q118-H119-I119-K119-L119-M119-O119-Q119)</f>
        <v/>
      </c>
      <c r="S119" s="7">
        <f>Sintesi!$C$30</f>
        <v/>
      </c>
      <c r="T119" s="7">
        <f>Sintesi!$C$29</f>
        <v/>
      </c>
      <c r="U119" s="5">
        <f>O119/(Sintesi!$C$5*1000)</f>
        <v/>
      </c>
      <c r="V119" s="1">
        <f>T119-S119</f>
        <v/>
      </c>
      <c r="W119" s="1" t="n">
        <v>0.516363131059413</v>
      </c>
      <c r="X119" s="1">
        <f>W119*V119</f>
        <v/>
      </c>
      <c r="Y119" s="1">
        <f>T119-X119</f>
        <v/>
      </c>
      <c r="Z119" s="1">
        <f>'Paste cellinfo here'!$B$11</f>
        <v/>
      </c>
    </row>
    <row r="120">
      <c r="A120" s="1" t="n">
        <v>119</v>
      </c>
      <c r="B120" s="2">
        <f>DATE(Sintesi!$C$4-1,12,31)+A120</f>
        <v/>
      </c>
      <c r="C120" s="1">
        <f>'Paste cell here'!B120</f>
        <v/>
      </c>
      <c r="D120" s="1">
        <f>'Paste cell here'!I120</f>
        <v/>
      </c>
      <c r="E120" s="1">
        <f>'Paste cell here'!J120</f>
        <v/>
      </c>
      <c r="F120" s="1">
        <f>'Paste cell here'!K120</f>
        <v/>
      </c>
      <c r="G120" s="1">
        <f>'Paste cell here'!L120</f>
        <v/>
      </c>
      <c r="H120" s="1">
        <f>'Paste cell here'!M120</f>
        <v/>
      </c>
      <c r="I120" s="1">
        <f>'Paste cell here'!N120</f>
        <v/>
      </c>
      <c r="J120" s="1">
        <f>'Paste cell here'!O120</f>
        <v/>
      </c>
      <c r="K120" s="1">
        <f>'Paste cell here'!Q120</f>
        <v/>
      </c>
      <c r="L120" s="1">
        <f>'Paste cell here'!S120</f>
        <v/>
      </c>
      <c r="M120" s="1">
        <f>'Paste cell here'!T120</f>
        <v/>
      </c>
      <c r="N120" s="1">
        <f>'Paste cell here'!W120</f>
        <v/>
      </c>
      <c r="O120" s="1">
        <f>'Paste cell here'!U120</f>
        <v/>
      </c>
      <c r="P120" s="1">
        <f>O119</f>
        <v/>
      </c>
      <c r="Q120" s="1">
        <f>'Paste cell here'!V120</f>
        <v/>
      </c>
      <c r="R120" s="1">
        <f>ABS(O119+C120+D120+N120+Q119-H120-I120-K120-L120-M120-O120-Q120)</f>
        <v/>
      </c>
      <c r="S120" s="7">
        <f>Sintesi!$C$30</f>
        <v/>
      </c>
      <c r="T120" s="7">
        <f>Sintesi!$C$29</f>
        <v/>
      </c>
      <c r="U120" s="5">
        <f>O120/(Sintesi!$C$5*1000)</f>
        <v/>
      </c>
      <c r="V120" s="1">
        <f>T120-S120</f>
        <v/>
      </c>
      <c r="W120" s="1" t="n">
        <v>0.587188349186443</v>
      </c>
      <c r="X120" s="1">
        <f>W120*V120</f>
        <v/>
      </c>
      <c r="Y120" s="1">
        <f>T120-X120</f>
        <v/>
      </c>
      <c r="Z120" s="1">
        <f>'Paste cellinfo here'!$B$11</f>
        <v/>
      </c>
    </row>
    <row r="121">
      <c r="A121" s="1" t="n">
        <v>120</v>
      </c>
      <c r="B121" s="2">
        <f>DATE(Sintesi!$C$4-1,12,31)+A121</f>
        <v/>
      </c>
      <c r="C121" s="1">
        <f>'Paste cell here'!B121</f>
        <v/>
      </c>
      <c r="D121" s="1">
        <f>'Paste cell here'!I121</f>
        <v/>
      </c>
      <c r="E121" s="1">
        <f>'Paste cell here'!J121</f>
        <v/>
      </c>
      <c r="F121" s="1">
        <f>'Paste cell here'!K121</f>
        <v/>
      </c>
      <c r="G121" s="1">
        <f>'Paste cell here'!L121</f>
        <v/>
      </c>
      <c r="H121" s="1">
        <f>'Paste cell here'!M121</f>
        <v/>
      </c>
      <c r="I121" s="1">
        <f>'Paste cell here'!N121</f>
        <v/>
      </c>
      <c r="J121" s="1">
        <f>'Paste cell here'!O121</f>
        <v/>
      </c>
      <c r="K121" s="1">
        <f>'Paste cell here'!Q121</f>
        <v/>
      </c>
      <c r="L121" s="1">
        <f>'Paste cell here'!S121</f>
        <v/>
      </c>
      <c r="M121" s="1">
        <f>'Paste cell here'!T121</f>
        <v/>
      </c>
      <c r="N121" s="1">
        <f>'Paste cell here'!W121</f>
        <v/>
      </c>
      <c r="O121" s="1">
        <f>'Paste cell here'!U121</f>
        <v/>
      </c>
      <c r="P121" s="1">
        <f>O120</f>
        <v/>
      </c>
      <c r="Q121" s="1">
        <f>'Paste cell here'!V121</f>
        <v/>
      </c>
      <c r="R121" s="1">
        <f>ABS(O120+C121+D121+N121+Q120-H121-I121-K121-L121-M121-O121-Q121)</f>
        <v/>
      </c>
      <c r="S121" s="7">
        <f>Sintesi!$C$30</f>
        <v/>
      </c>
      <c r="T121" s="7">
        <f>Sintesi!$C$29</f>
        <v/>
      </c>
      <c r="U121" s="5">
        <f>O121/(Sintesi!$C$5*1000)</f>
        <v/>
      </c>
      <c r="V121" s="1">
        <f>T121-S121</f>
        <v/>
      </c>
      <c r="W121" s="1" t="n">
        <v>0.615250360480791</v>
      </c>
      <c r="X121" s="1">
        <f>W121*V121</f>
        <v/>
      </c>
      <c r="Y121" s="1">
        <f>T121-X121</f>
        <v/>
      </c>
      <c r="Z121" s="1">
        <f>'Paste cellinfo here'!$B$11</f>
        <v/>
      </c>
    </row>
    <row r="122">
      <c r="A122" s="1" t="n">
        <v>121</v>
      </c>
      <c r="B122" s="2">
        <f>DATE(Sintesi!$C$4-1,12,31)+A122</f>
        <v/>
      </c>
      <c r="C122" s="1">
        <f>'Paste cell here'!B122</f>
        <v/>
      </c>
      <c r="D122" s="1">
        <f>'Paste cell here'!I122</f>
        <v/>
      </c>
      <c r="E122" s="1">
        <f>'Paste cell here'!J122</f>
        <v/>
      </c>
      <c r="F122" s="1">
        <f>'Paste cell here'!K122</f>
        <v/>
      </c>
      <c r="G122" s="1">
        <f>'Paste cell here'!L122</f>
        <v/>
      </c>
      <c r="H122" s="1">
        <f>'Paste cell here'!M122</f>
        <v/>
      </c>
      <c r="I122" s="1">
        <f>'Paste cell here'!N122</f>
        <v/>
      </c>
      <c r="J122" s="1">
        <f>'Paste cell here'!O122</f>
        <v/>
      </c>
      <c r="K122" s="1">
        <f>'Paste cell here'!Q122</f>
        <v/>
      </c>
      <c r="L122" s="1">
        <f>'Paste cell here'!S122</f>
        <v/>
      </c>
      <c r="M122" s="1">
        <f>'Paste cell here'!T122</f>
        <v/>
      </c>
      <c r="N122" s="1">
        <f>'Paste cell here'!W122</f>
        <v/>
      </c>
      <c r="O122" s="1">
        <f>'Paste cell here'!U122</f>
        <v/>
      </c>
      <c r="P122" s="1">
        <f>O121</f>
        <v/>
      </c>
      <c r="Q122" s="1">
        <f>'Paste cell here'!V122</f>
        <v/>
      </c>
      <c r="R122" s="1">
        <f>ABS(O121+C122+D122+N122+Q121-H122-I122-K122-L122-M122-O122-Q122)</f>
        <v/>
      </c>
      <c r="S122" s="7">
        <f>Sintesi!$C$30</f>
        <v/>
      </c>
      <c r="T122" s="7">
        <f>Sintesi!$C$29</f>
        <v/>
      </c>
      <c r="U122" s="5">
        <f>O122/(Sintesi!$C$5*1000)</f>
        <v/>
      </c>
      <c r="V122" s="1">
        <f>T122-S122</f>
        <v/>
      </c>
      <c r="W122" s="1" t="n">
        <v>0.5216853458183081</v>
      </c>
      <c r="X122" s="1">
        <f>W122*V122</f>
        <v/>
      </c>
      <c r="Y122" s="1">
        <f>T122-X122</f>
        <v/>
      </c>
      <c r="Z122" s="1">
        <f>'Paste cellinfo here'!$B$11</f>
        <v/>
      </c>
    </row>
    <row r="123">
      <c r="A123" s="1" t="n">
        <v>122</v>
      </c>
      <c r="B123" s="2">
        <f>DATE(Sintesi!$C$4-1,12,31)+A123</f>
        <v/>
      </c>
      <c r="C123" s="1">
        <f>'Paste cell here'!B123</f>
        <v/>
      </c>
      <c r="D123" s="1">
        <f>'Paste cell here'!I123</f>
        <v/>
      </c>
      <c r="E123" s="1">
        <f>'Paste cell here'!J123</f>
        <v/>
      </c>
      <c r="F123" s="1">
        <f>'Paste cell here'!K123</f>
        <v/>
      </c>
      <c r="G123" s="1">
        <f>'Paste cell here'!L123</f>
        <v/>
      </c>
      <c r="H123" s="1">
        <f>'Paste cell here'!M123</f>
        <v/>
      </c>
      <c r="I123" s="1">
        <f>'Paste cell here'!N123</f>
        <v/>
      </c>
      <c r="J123" s="1">
        <f>'Paste cell here'!O123</f>
        <v/>
      </c>
      <c r="K123" s="1">
        <f>'Paste cell here'!Q123</f>
        <v/>
      </c>
      <c r="L123" s="1">
        <f>'Paste cell here'!S123</f>
        <v/>
      </c>
      <c r="M123" s="1">
        <f>'Paste cell here'!T123</f>
        <v/>
      </c>
      <c r="N123" s="1">
        <f>'Paste cell here'!W123</f>
        <v/>
      </c>
      <c r="O123" s="1">
        <f>'Paste cell here'!U123</f>
        <v/>
      </c>
      <c r="P123" s="1">
        <f>O122</f>
        <v/>
      </c>
      <c r="Q123" s="1">
        <f>'Paste cell here'!V123</f>
        <v/>
      </c>
      <c r="R123" s="1">
        <f>ABS(O122+C123+D123+N123+Q122-H123-I123-K123-L123-M123-O123-Q123)</f>
        <v/>
      </c>
      <c r="S123" s="7">
        <f>Sintesi!$C$30</f>
        <v/>
      </c>
      <c r="T123" s="7">
        <f>Sintesi!$C$29</f>
        <v/>
      </c>
      <c r="U123" s="5">
        <f>O123/(Sintesi!$C$5*1000)</f>
        <v/>
      </c>
      <c r="V123" s="1">
        <f>T123-S123</f>
        <v/>
      </c>
      <c r="W123" s="1" t="n">
        <v>0.513973476750276</v>
      </c>
      <c r="X123" s="1">
        <f>W123*V123</f>
        <v/>
      </c>
      <c r="Y123" s="1">
        <f>T123-X123</f>
        <v/>
      </c>
      <c r="Z123" s="1">
        <f>'Paste cellinfo here'!$B$11</f>
        <v/>
      </c>
    </row>
    <row r="124">
      <c r="A124" s="1" t="n">
        <v>123</v>
      </c>
      <c r="B124" s="2">
        <f>DATE(Sintesi!$C$4-1,12,31)+A124</f>
        <v/>
      </c>
      <c r="C124" s="1">
        <f>'Paste cell here'!B124</f>
        <v/>
      </c>
      <c r="D124" s="1">
        <f>'Paste cell here'!I124</f>
        <v/>
      </c>
      <c r="E124" s="1">
        <f>'Paste cell here'!J124</f>
        <v/>
      </c>
      <c r="F124" s="1">
        <f>'Paste cell here'!K124</f>
        <v/>
      </c>
      <c r="G124" s="1">
        <f>'Paste cell here'!L124</f>
        <v/>
      </c>
      <c r="H124" s="1">
        <f>'Paste cell here'!M124</f>
        <v/>
      </c>
      <c r="I124" s="1">
        <f>'Paste cell here'!N124</f>
        <v/>
      </c>
      <c r="J124" s="1">
        <f>'Paste cell here'!O124</f>
        <v/>
      </c>
      <c r="K124" s="1">
        <f>'Paste cell here'!Q124</f>
        <v/>
      </c>
      <c r="L124" s="1">
        <f>'Paste cell here'!S124</f>
        <v/>
      </c>
      <c r="M124" s="1">
        <f>'Paste cell here'!T124</f>
        <v/>
      </c>
      <c r="N124" s="1">
        <f>'Paste cell here'!W124</f>
        <v/>
      </c>
      <c r="O124" s="1">
        <f>'Paste cell here'!U124</f>
        <v/>
      </c>
      <c r="P124" s="1">
        <f>O123</f>
        <v/>
      </c>
      <c r="Q124" s="1">
        <f>'Paste cell here'!V124</f>
        <v/>
      </c>
      <c r="R124" s="1">
        <f>ABS(O123+C124+D124+N124+Q123-H124-I124-K124-L124-M124-O124-Q124)</f>
        <v/>
      </c>
      <c r="S124" s="7">
        <f>Sintesi!$C$30</f>
        <v/>
      </c>
      <c r="T124" s="7">
        <f>Sintesi!$C$29</f>
        <v/>
      </c>
      <c r="U124" s="5">
        <f>O124/(Sintesi!$C$5*1000)</f>
        <v/>
      </c>
      <c r="V124" s="1">
        <f>T124-S124</f>
        <v/>
      </c>
      <c r="W124" s="1" t="n">
        <v>0.523332701166623</v>
      </c>
      <c r="X124" s="1">
        <f>W124*V124</f>
        <v/>
      </c>
      <c r="Y124" s="1">
        <f>T124-X124</f>
        <v/>
      </c>
      <c r="Z124" s="1">
        <f>'Paste cellinfo here'!$B$11</f>
        <v/>
      </c>
    </row>
    <row r="125">
      <c r="A125" s="1" t="n">
        <v>124</v>
      </c>
      <c r="B125" s="2">
        <f>DATE(Sintesi!$C$4-1,12,31)+A125</f>
        <v/>
      </c>
      <c r="C125" s="1">
        <f>'Paste cell here'!B125</f>
        <v/>
      </c>
      <c r="D125" s="1">
        <f>'Paste cell here'!I125</f>
        <v/>
      </c>
      <c r="E125" s="1">
        <f>'Paste cell here'!J125</f>
        <v/>
      </c>
      <c r="F125" s="1">
        <f>'Paste cell here'!K125</f>
        <v/>
      </c>
      <c r="G125" s="1">
        <f>'Paste cell here'!L125</f>
        <v/>
      </c>
      <c r="H125" s="1">
        <f>'Paste cell here'!M125</f>
        <v/>
      </c>
      <c r="I125" s="1">
        <f>'Paste cell here'!N125</f>
        <v/>
      </c>
      <c r="J125" s="1">
        <f>'Paste cell here'!O125</f>
        <v/>
      </c>
      <c r="K125" s="1">
        <f>'Paste cell here'!Q125</f>
        <v/>
      </c>
      <c r="L125" s="1">
        <f>'Paste cell here'!S125</f>
        <v/>
      </c>
      <c r="M125" s="1">
        <f>'Paste cell here'!T125</f>
        <v/>
      </c>
      <c r="N125" s="1">
        <f>'Paste cell here'!W125</f>
        <v/>
      </c>
      <c r="O125" s="1">
        <f>'Paste cell here'!U125</f>
        <v/>
      </c>
      <c r="P125" s="1">
        <f>O124</f>
        <v/>
      </c>
      <c r="Q125" s="1">
        <f>'Paste cell here'!V125</f>
        <v/>
      </c>
      <c r="R125" s="1">
        <f>ABS(O124+C125+D125+N125+Q124-H125-I125-K125-L125-M125-O125-Q125)</f>
        <v/>
      </c>
      <c r="S125" s="7">
        <f>Sintesi!$C$30</f>
        <v/>
      </c>
      <c r="T125" s="7">
        <f>Sintesi!$C$29</f>
        <v/>
      </c>
      <c r="U125" s="5">
        <f>O125/(Sintesi!$C$5*1000)</f>
        <v/>
      </c>
      <c r="V125" s="1">
        <f>T125-S125</f>
        <v/>
      </c>
      <c r="W125" s="1" t="n">
        <v>0.577961598906983</v>
      </c>
      <c r="X125" s="1">
        <f>W125*V125</f>
        <v/>
      </c>
      <c r="Y125" s="1">
        <f>T125-X125</f>
        <v/>
      </c>
      <c r="Z125" s="1">
        <f>'Paste cellinfo here'!$B$11</f>
        <v/>
      </c>
    </row>
    <row r="126">
      <c r="A126" s="1" t="n">
        <v>125</v>
      </c>
      <c r="B126" s="2">
        <f>DATE(Sintesi!$C$4-1,12,31)+A126</f>
        <v/>
      </c>
      <c r="C126" s="1">
        <f>'Paste cell here'!B126</f>
        <v/>
      </c>
      <c r="D126" s="1">
        <f>'Paste cell here'!I126</f>
        <v/>
      </c>
      <c r="E126" s="1">
        <f>'Paste cell here'!J126</f>
        <v/>
      </c>
      <c r="F126" s="1">
        <f>'Paste cell here'!K126</f>
        <v/>
      </c>
      <c r="G126" s="1">
        <f>'Paste cell here'!L126</f>
        <v/>
      </c>
      <c r="H126" s="1">
        <f>'Paste cell here'!M126</f>
        <v/>
      </c>
      <c r="I126" s="1">
        <f>'Paste cell here'!N126</f>
        <v/>
      </c>
      <c r="J126" s="1">
        <f>'Paste cell here'!O126</f>
        <v/>
      </c>
      <c r="K126" s="1">
        <f>'Paste cell here'!Q126</f>
        <v/>
      </c>
      <c r="L126" s="1">
        <f>'Paste cell here'!S126</f>
        <v/>
      </c>
      <c r="M126" s="1">
        <f>'Paste cell here'!T126</f>
        <v/>
      </c>
      <c r="N126" s="1">
        <f>'Paste cell here'!W126</f>
        <v/>
      </c>
      <c r="O126" s="1">
        <f>'Paste cell here'!U126</f>
        <v/>
      </c>
      <c r="P126" s="1">
        <f>O125</f>
        <v/>
      </c>
      <c r="Q126" s="1">
        <f>'Paste cell here'!V126</f>
        <v/>
      </c>
      <c r="R126" s="1">
        <f>ABS(O125+C126+D126+N126+Q125-H126-I126-K126-L126-M126-O126-Q126)</f>
        <v/>
      </c>
      <c r="S126" s="7">
        <f>Sintesi!$C$30</f>
        <v/>
      </c>
      <c r="T126" s="7">
        <f>Sintesi!$C$29</f>
        <v/>
      </c>
      <c r="U126" s="5">
        <f>O126/(Sintesi!$C$5*1000)</f>
        <v/>
      </c>
      <c r="V126" s="1">
        <f>T126-S126</f>
        <v/>
      </c>
      <c r="W126" s="1" t="n">
        <v>0.583677730583251</v>
      </c>
      <c r="X126" s="1">
        <f>W126*V126</f>
        <v/>
      </c>
      <c r="Y126" s="1">
        <f>T126-X126</f>
        <v/>
      </c>
      <c r="Z126" s="1">
        <f>'Paste cellinfo here'!$B$11</f>
        <v/>
      </c>
    </row>
    <row r="127">
      <c r="A127" s="1" t="n">
        <v>126</v>
      </c>
      <c r="B127" s="2">
        <f>DATE(Sintesi!$C$4-1,12,31)+A127</f>
        <v/>
      </c>
      <c r="C127" s="1">
        <f>'Paste cell here'!B127</f>
        <v/>
      </c>
      <c r="D127" s="1">
        <f>'Paste cell here'!I127</f>
        <v/>
      </c>
      <c r="E127" s="1">
        <f>'Paste cell here'!J127</f>
        <v/>
      </c>
      <c r="F127" s="1">
        <f>'Paste cell here'!K127</f>
        <v/>
      </c>
      <c r="G127" s="1">
        <f>'Paste cell here'!L127</f>
        <v/>
      </c>
      <c r="H127" s="1">
        <f>'Paste cell here'!M127</f>
        <v/>
      </c>
      <c r="I127" s="1">
        <f>'Paste cell here'!N127</f>
        <v/>
      </c>
      <c r="J127" s="1">
        <f>'Paste cell here'!O127</f>
        <v/>
      </c>
      <c r="K127" s="1">
        <f>'Paste cell here'!Q127</f>
        <v/>
      </c>
      <c r="L127" s="1">
        <f>'Paste cell here'!S127</f>
        <v/>
      </c>
      <c r="M127" s="1">
        <f>'Paste cell here'!T127</f>
        <v/>
      </c>
      <c r="N127" s="1">
        <f>'Paste cell here'!W127</f>
        <v/>
      </c>
      <c r="O127" s="1">
        <f>'Paste cell here'!U127</f>
        <v/>
      </c>
      <c r="P127" s="1">
        <f>O126</f>
        <v/>
      </c>
      <c r="Q127" s="1">
        <f>'Paste cell here'!V127</f>
        <v/>
      </c>
      <c r="R127" s="1">
        <f>ABS(O126+C127+D127+N127+Q126-H127-I127-K127-L127-M127-O127-Q127)</f>
        <v/>
      </c>
      <c r="S127" s="7">
        <f>Sintesi!$C$30</f>
        <v/>
      </c>
      <c r="T127" s="7">
        <f>Sintesi!$C$29</f>
        <v/>
      </c>
      <c r="U127" s="5">
        <f>O127/(Sintesi!$C$5*1000)</f>
        <v/>
      </c>
      <c r="V127" s="1">
        <f>T127-S127</f>
        <v/>
      </c>
      <c r="W127" s="1" t="n">
        <v>0.628506950637113</v>
      </c>
      <c r="X127" s="1">
        <f>W127*V127</f>
        <v/>
      </c>
      <c r="Y127" s="1">
        <f>T127-X127</f>
        <v/>
      </c>
      <c r="Z127" s="1">
        <f>'Paste cellinfo here'!$B$11</f>
        <v/>
      </c>
    </row>
    <row r="128">
      <c r="A128" s="1" t="n">
        <v>127</v>
      </c>
      <c r="B128" s="2">
        <f>DATE(Sintesi!$C$4-1,12,31)+A128</f>
        <v/>
      </c>
      <c r="C128" s="1">
        <f>'Paste cell here'!B128</f>
        <v/>
      </c>
      <c r="D128" s="1">
        <f>'Paste cell here'!I128</f>
        <v/>
      </c>
      <c r="E128" s="1">
        <f>'Paste cell here'!J128</f>
        <v/>
      </c>
      <c r="F128" s="1">
        <f>'Paste cell here'!K128</f>
        <v/>
      </c>
      <c r="G128" s="1">
        <f>'Paste cell here'!L128</f>
        <v/>
      </c>
      <c r="H128" s="1">
        <f>'Paste cell here'!M128</f>
        <v/>
      </c>
      <c r="I128" s="1">
        <f>'Paste cell here'!N128</f>
        <v/>
      </c>
      <c r="J128" s="1">
        <f>'Paste cell here'!O128</f>
        <v/>
      </c>
      <c r="K128" s="1">
        <f>'Paste cell here'!Q128</f>
        <v/>
      </c>
      <c r="L128" s="1">
        <f>'Paste cell here'!S128</f>
        <v/>
      </c>
      <c r="M128" s="1">
        <f>'Paste cell here'!T128</f>
        <v/>
      </c>
      <c r="N128" s="1">
        <f>'Paste cell here'!W128</f>
        <v/>
      </c>
      <c r="O128" s="1">
        <f>'Paste cell here'!U128</f>
        <v/>
      </c>
      <c r="P128" s="1">
        <f>O127</f>
        <v/>
      </c>
      <c r="Q128" s="1">
        <f>'Paste cell here'!V128</f>
        <v/>
      </c>
      <c r="R128" s="1">
        <f>ABS(O127+C128+D128+N128+Q127-H128-I128-K128-L128-M128-O128-Q128)</f>
        <v/>
      </c>
      <c r="S128" s="7">
        <f>Sintesi!$C$30</f>
        <v/>
      </c>
      <c r="T128" s="7">
        <f>Sintesi!$C$29</f>
        <v/>
      </c>
      <c r="U128" s="5">
        <f>O128/(Sintesi!$C$5*1000)</f>
        <v/>
      </c>
      <c r="V128" s="1">
        <f>T128-S128</f>
        <v/>
      </c>
      <c r="W128" s="1" t="n">
        <v>0.54497579879771</v>
      </c>
      <c r="X128" s="1">
        <f>W128*V128</f>
        <v/>
      </c>
      <c r="Y128" s="1">
        <f>T128-X128</f>
        <v/>
      </c>
      <c r="Z128" s="1">
        <f>'Paste cellinfo here'!$B$11</f>
        <v/>
      </c>
    </row>
    <row r="129">
      <c r="A129" s="1" t="n">
        <v>128</v>
      </c>
      <c r="B129" s="2">
        <f>DATE(Sintesi!$C$4-1,12,31)+A129</f>
        <v/>
      </c>
      <c r="C129" s="1">
        <f>'Paste cell here'!B129</f>
        <v/>
      </c>
      <c r="D129" s="1">
        <f>'Paste cell here'!I129</f>
        <v/>
      </c>
      <c r="E129" s="1">
        <f>'Paste cell here'!J129</f>
        <v/>
      </c>
      <c r="F129" s="1">
        <f>'Paste cell here'!K129</f>
        <v/>
      </c>
      <c r="G129" s="1">
        <f>'Paste cell here'!L129</f>
        <v/>
      </c>
      <c r="H129" s="1">
        <f>'Paste cell here'!M129</f>
        <v/>
      </c>
      <c r="I129" s="1">
        <f>'Paste cell here'!N129</f>
        <v/>
      </c>
      <c r="J129" s="1">
        <f>'Paste cell here'!O129</f>
        <v/>
      </c>
      <c r="K129" s="1">
        <f>'Paste cell here'!Q129</f>
        <v/>
      </c>
      <c r="L129" s="1">
        <f>'Paste cell here'!S129</f>
        <v/>
      </c>
      <c r="M129" s="1">
        <f>'Paste cell here'!T129</f>
        <v/>
      </c>
      <c r="N129" s="1">
        <f>'Paste cell here'!W129</f>
        <v/>
      </c>
      <c r="O129" s="1">
        <f>'Paste cell here'!U129</f>
        <v/>
      </c>
      <c r="P129" s="1">
        <f>O128</f>
        <v/>
      </c>
      <c r="Q129" s="1">
        <f>'Paste cell here'!V129</f>
        <v/>
      </c>
      <c r="R129" s="1">
        <f>ABS(O128+C129+D129+N129+Q128-H129-I129-K129-L129-M129-O129-Q129)</f>
        <v/>
      </c>
      <c r="S129" s="7">
        <f>Sintesi!$C$30</f>
        <v/>
      </c>
      <c r="T129" s="7">
        <f>Sintesi!$C$29</f>
        <v/>
      </c>
      <c r="U129" s="5">
        <f>O129/(Sintesi!$C$5*1000)</f>
        <v/>
      </c>
      <c r="V129" s="1">
        <f>T129-S129</f>
        <v/>
      </c>
      <c r="W129" s="1" t="n">
        <v>0.545502477847449</v>
      </c>
      <c r="X129" s="1">
        <f>W129*V129</f>
        <v/>
      </c>
      <c r="Y129" s="1">
        <f>T129-X129</f>
        <v/>
      </c>
      <c r="Z129" s="1">
        <f>'Paste cellinfo here'!$B$11</f>
        <v/>
      </c>
    </row>
    <row r="130">
      <c r="A130" s="1" t="n">
        <v>129</v>
      </c>
      <c r="B130" s="2">
        <f>DATE(Sintesi!$C$4-1,12,31)+A130</f>
        <v/>
      </c>
      <c r="C130" s="1">
        <f>'Paste cell here'!B130</f>
        <v/>
      </c>
      <c r="D130" s="1">
        <f>'Paste cell here'!I130</f>
        <v/>
      </c>
      <c r="E130" s="1">
        <f>'Paste cell here'!J130</f>
        <v/>
      </c>
      <c r="F130" s="1">
        <f>'Paste cell here'!K130</f>
        <v/>
      </c>
      <c r="G130" s="1">
        <f>'Paste cell here'!L130</f>
        <v/>
      </c>
      <c r="H130" s="1">
        <f>'Paste cell here'!M130</f>
        <v/>
      </c>
      <c r="I130" s="1">
        <f>'Paste cell here'!N130</f>
        <v/>
      </c>
      <c r="J130" s="1">
        <f>'Paste cell here'!O130</f>
        <v/>
      </c>
      <c r="K130" s="1">
        <f>'Paste cell here'!Q130</f>
        <v/>
      </c>
      <c r="L130" s="1">
        <f>'Paste cell here'!S130</f>
        <v/>
      </c>
      <c r="M130" s="1">
        <f>'Paste cell here'!T130</f>
        <v/>
      </c>
      <c r="N130" s="1">
        <f>'Paste cell here'!W130</f>
        <v/>
      </c>
      <c r="O130" s="1">
        <f>'Paste cell here'!U130</f>
        <v/>
      </c>
      <c r="P130" s="1">
        <f>O129</f>
        <v/>
      </c>
      <c r="Q130" s="1">
        <f>'Paste cell here'!V130</f>
        <v/>
      </c>
      <c r="R130" s="1">
        <f>ABS(O129+C130+D130+N130+Q129-H130-I130-K130-L130-M130-O130-Q130)</f>
        <v/>
      </c>
      <c r="S130" s="7">
        <f>Sintesi!$C$30</f>
        <v/>
      </c>
      <c r="T130" s="7">
        <f>Sintesi!$C$29</f>
        <v/>
      </c>
      <c r="U130" s="5">
        <f>O130/(Sintesi!$C$5*1000)</f>
        <v/>
      </c>
      <c r="V130" s="1">
        <f>T130-S130</f>
        <v/>
      </c>
      <c r="W130" s="1" t="n">
        <v>0.6079251576060229</v>
      </c>
      <c r="X130" s="1">
        <f>W130*V130</f>
        <v/>
      </c>
      <c r="Y130" s="1">
        <f>T130-X130</f>
        <v/>
      </c>
      <c r="Z130" s="1">
        <f>'Paste cellinfo here'!$B$11</f>
        <v/>
      </c>
    </row>
    <row r="131">
      <c r="A131" s="1" t="n">
        <v>130</v>
      </c>
      <c r="B131" s="2">
        <f>DATE(Sintesi!$C$4-1,12,31)+A131</f>
        <v/>
      </c>
      <c r="C131" s="1">
        <f>'Paste cell here'!B131</f>
        <v/>
      </c>
      <c r="D131" s="1">
        <f>'Paste cell here'!I131</f>
        <v/>
      </c>
      <c r="E131" s="1">
        <f>'Paste cell here'!J131</f>
        <v/>
      </c>
      <c r="F131" s="1">
        <f>'Paste cell here'!K131</f>
        <v/>
      </c>
      <c r="G131" s="1">
        <f>'Paste cell here'!L131</f>
        <v/>
      </c>
      <c r="H131" s="1">
        <f>'Paste cell here'!M131</f>
        <v/>
      </c>
      <c r="I131" s="1">
        <f>'Paste cell here'!N131</f>
        <v/>
      </c>
      <c r="J131" s="1">
        <f>'Paste cell here'!O131</f>
        <v/>
      </c>
      <c r="K131" s="1">
        <f>'Paste cell here'!Q131</f>
        <v/>
      </c>
      <c r="L131" s="1">
        <f>'Paste cell here'!S131</f>
        <v/>
      </c>
      <c r="M131" s="1">
        <f>'Paste cell here'!T131</f>
        <v/>
      </c>
      <c r="N131" s="1">
        <f>'Paste cell here'!W131</f>
        <v/>
      </c>
      <c r="O131" s="1">
        <f>'Paste cell here'!U131</f>
        <v/>
      </c>
      <c r="P131" s="1">
        <f>O130</f>
        <v/>
      </c>
      <c r="Q131" s="1">
        <f>'Paste cell here'!V131</f>
        <v/>
      </c>
      <c r="R131" s="1">
        <f>ABS(O130+C131+D131+N131+Q130-H131-I131-K131-L131-M131-O131-Q131)</f>
        <v/>
      </c>
      <c r="S131" s="7">
        <f>Sintesi!$C$30</f>
        <v/>
      </c>
      <c r="T131" s="7">
        <f>Sintesi!$C$29</f>
        <v/>
      </c>
      <c r="U131" s="5">
        <f>O131/(Sintesi!$C$5*1000)</f>
        <v/>
      </c>
      <c r="V131" s="1">
        <f>T131-S131</f>
        <v/>
      </c>
      <c r="W131" s="1" t="n">
        <v>0.554507551461536</v>
      </c>
      <c r="X131" s="1">
        <f>W131*V131</f>
        <v/>
      </c>
      <c r="Y131" s="1">
        <f>T131-X131</f>
        <v/>
      </c>
      <c r="Z131" s="1">
        <f>'Paste cellinfo here'!$B$11</f>
        <v/>
      </c>
    </row>
    <row r="132">
      <c r="A132" s="1" t="n">
        <v>131</v>
      </c>
      <c r="B132" s="2">
        <f>DATE(Sintesi!$C$4-1,12,31)+A132</f>
        <v/>
      </c>
      <c r="C132" s="1">
        <f>'Paste cell here'!B132</f>
        <v/>
      </c>
      <c r="D132" s="1">
        <f>'Paste cell here'!I132</f>
        <v/>
      </c>
      <c r="E132" s="1">
        <f>'Paste cell here'!J132</f>
        <v/>
      </c>
      <c r="F132" s="1">
        <f>'Paste cell here'!K132</f>
        <v/>
      </c>
      <c r="G132" s="1">
        <f>'Paste cell here'!L132</f>
        <v/>
      </c>
      <c r="H132" s="1">
        <f>'Paste cell here'!M132</f>
        <v/>
      </c>
      <c r="I132" s="1">
        <f>'Paste cell here'!N132</f>
        <v/>
      </c>
      <c r="J132" s="1">
        <f>'Paste cell here'!O132</f>
        <v/>
      </c>
      <c r="K132" s="1">
        <f>'Paste cell here'!Q132</f>
        <v/>
      </c>
      <c r="L132" s="1">
        <f>'Paste cell here'!S132</f>
        <v/>
      </c>
      <c r="M132" s="1">
        <f>'Paste cell here'!T132</f>
        <v/>
      </c>
      <c r="N132" s="1">
        <f>'Paste cell here'!W132</f>
        <v/>
      </c>
      <c r="O132" s="1">
        <f>'Paste cell here'!U132</f>
        <v/>
      </c>
      <c r="P132" s="1">
        <f>O131</f>
        <v/>
      </c>
      <c r="Q132" s="1">
        <f>'Paste cell here'!V132</f>
        <v/>
      </c>
      <c r="R132" s="1">
        <f>ABS(O131+C132+D132+N132+Q131-H132-I132-K132-L132-M132-O132-Q132)</f>
        <v/>
      </c>
      <c r="S132" s="7">
        <f>Sintesi!$C$30</f>
        <v/>
      </c>
      <c r="T132" s="7">
        <f>Sintesi!$C$29</f>
        <v/>
      </c>
      <c r="U132" s="5">
        <f>O132/(Sintesi!$C$5*1000)</f>
        <v/>
      </c>
      <c r="V132" s="1">
        <f>T132-S132</f>
        <v/>
      </c>
      <c r="W132" s="1" t="n">
        <v>0.554928182128783</v>
      </c>
      <c r="X132" s="1">
        <f>W132*V132</f>
        <v/>
      </c>
      <c r="Y132" s="1">
        <f>T132-X132</f>
        <v/>
      </c>
      <c r="Z132" s="1">
        <f>'Paste cellinfo here'!$B$11</f>
        <v/>
      </c>
    </row>
    <row r="133">
      <c r="A133" s="1" t="n">
        <v>132</v>
      </c>
      <c r="B133" s="2">
        <f>DATE(Sintesi!$C$4-1,12,31)+A133</f>
        <v/>
      </c>
      <c r="C133" s="1">
        <f>'Paste cell here'!B133</f>
        <v/>
      </c>
      <c r="D133" s="1">
        <f>'Paste cell here'!I133</f>
        <v/>
      </c>
      <c r="E133" s="1">
        <f>'Paste cell here'!J133</f>
        <v/>
      </c>
      <c r="F133" s="1">
        <f>'Paste cell here'!K133</f>
        <v/>
      </c>
      <c r="G133" s="1">
        <f>'Paste cell here'!L133</f>
        <v/>
      </c>
      <c r="H133" s="1">
        <f>'Paste cell here'!M133</f>
        <v/>
      </c>
      <c r="I133" s="1">
        <f>'Paste cell here'!N133</f>
        <v/>
      </c>
      <c r="J133" s="1">
        <f>'Paste cell here'!O133</f>
        <v/>
      </c>
      <c r="K133" s="1">
        <f>'Paste cell here'!Q133</f>
        <v/>
      </c>
      <c r="L133" s="1">
        <f>'Paste cell here'!S133</f>
        <v/>
      </c>
      <c r="M133" s="1">
        <f>'Paste cell here'!T133</f>
        <v/>
      </c>
      <c r="N133" s="1">
        <f>'Paste cell here'!W133</f>
        <v/>
      </c>
      <c r="O133" s="1">
        <f>'Paste cell here'!U133</f>
        <v/>
      </c>
      <c r="P133" s="1">
        <f>O132</f>
        <v/>
      </c>
      <c r="Q133" s="1">
        <f>'Paste cell here'!V133</f>
        <v/>
      </c>
      <c r="R133" s="1">
        <f>ABS(O132+C133+D133+N133+Q132-H133-I133-K133-L133-M133-O133-Q133)</f>
        <v/>
      </c>
      <c r="S133" s="7">
        <f>Sintesi!$C$30</f>
        <v/>
      </c>
      <c r="T133" s="7">
        <f>Sintesi!$C$29</f>
        <v/>
      </c>
      <c r="U133" s="5">
        <f>O133/(Sintesi!$C$5*1000)</f>
        <v/>
      </c>
      <c r="V133" s="1">
        <f>T133-S133</f>
        <v/>
      </c>
      <c r="W133" s="1" t="n">
        <v>0.587619495707208</v>
      </c>
      <c r="X133" s="1">
        <f>W133*V133</f>
        <v/>
      </c>
      <c r="Y133" s="1">
        <f>T133-X133</f>
        <v/>
      </c>
      <c r="Z133" s="1">
        <f>'Paste cellinfo here'!$B$11</f>
        <v/>
      </c>
    </row>
    <row r="134">
      <c r="A134" s="1" t="n">
        <v>133</v>
      </c>
      <c r="B134" s="2">
        <f>DATE(Sintesi!$C$4-1,12,31)+A134</f>
        <v/>
      </c>
      <c r="C134" s="1">
        <f>'Paste cell here'!B134</f>
        <v/>
      </c>
      <c r="D134" s="1">
        <f>'Paste cell here'!I134</f>
        <v/>
      </c>
      <c r="E134" s="1">
        <f>'Paste cell here'!J134</f>
        <v/>
      </c>
      <c r="F134" s="1">
        <f>'Paste cell here'!K134</f>
        <v/>
      </c>
      <c r="G134" s="1">
        <f>'Paste cell here'!L134</f>
        <v/>
      </c>
      <c r="H134" s="1">
        <f>'Paste cell here'!M134</f>
        <v/>
      </c>
      <c r="I134" s="1">
        <f>'Paste cell here'!N134</f>
        <v/>
      </c>
      <c r="J134" s="1">
        <f>'Paste cell here'!O134</f>
        <v/>
      </c>
      <c r="K134" s="1">
        <f>'Paste cell here'!Q134</f>
        <v/>
      </c>
      <c r="L134" s="1">
        <f>'Paste cell here'!S134</f>
        <v/>
      </c>
      <c r="M134" s="1">
        <f>'Paste cell here'!T134</f>
        <v/>
      </c>
      <c r="N134" s="1">
        <f>'Paste cell here'!W134</f>
        <v/>
      </c>
      <c r="O134" s="1">
        <f>'Paste cell here'!U134</f>
        <v/>
      </c>
      <c r="P134" s="1">
        <f>O133</f>
        <v/>
      </c>
      <c r="Q134" s="1">
        <f>'Paste cell here'!V134</f>
        <v/>
      </c>
      <c r="R134" s="1">
        <f>ABS(O133+C134+D134+N134+Q133-H134-I134-K134-L134-M134-O134-Q134)</f>
        <v/>
      </c>
      <c r="S134" s="7">
        <f>Sintesi!$C$30</f>
        <v/>
      </c>
      <c r="T134" s="7">
        <f>Sintesi!$C$29</f>
        <v/>
      </c>
      <c r="U134" s="5">
        <f>O134/(Sintesi!$C$5*1000)</f>
        <v/>
      </c>
      <c r="V134" s="1">
        <f>T134-S134</f>
        <v/>
      </c>
      <c r="W134" s="1" t="n">
        <v>0.626483329238706</v>
      </c>
      <c r="X134" s="1">
        <f>W134*V134</f>
        <v/>
      </c>
      <c r="Y134" s="1">
        <f>T134-X134</f>
        <v/>
      </c>
      <c r="Z134" s="1">
        <f>'Paste cellinfo here'!$B$11</f>
        <v/>
      </c>
    </row>
    <row r="135">
      <c r="A135" s="1" t="n">
        <v>134</v>
      </c>
      <c r="B135" s="2">
        <f>DATE(Sintesi!$C$4-1,12,31)+A135</f>
        <v/>
      </c>
      <c r="C135" s="1">
        <f>'Paste cell here'!B135</f>
        <v/>
      </c>
      <c r="D135" s="1">
        <f>'Paste cell here'!I135</f>
        <v/>
      </c>
      <c r="E135" s="1">
        <f>'Paste cell here'!J135</f>
        <v/>
      </c>
      <c r="F135" s="1">
        <f>'Paste cell here'!K135</f>
        <v/>
      </c>
      <c r="G135" s="1">
        <f>'Paste cell here'!L135</f>
        <v/>
      </c>
      <c r="H135" s="1">
        <f>'Paste cell here'!M135</f>
        <v/>
      </c>
      <c r="I135" s="1">
        <f>'Paste cell here'!N135</f>
        <v/>
      </c>
      <c r="J135" s="1">
        <f>'Paste cell here'!O135</f>
        <v/>
      </c>
      <c r="K135" s="1">
        <f>'Paste cell here'!Q135</f>
        <v/>
      </c>
      <c r="L135" s="1">
        <f>'Paste cell here'!S135</f>
        <v/>
      </c>
      <c r="M135" s="1">
        <f>'Paste cell here'!T135</f>
        <v/>
      </c>
      <c r="N135" s="1">
        <f>'Paste cell here'!W135</f>
        <v/>
      </c>
      <c r="O135" s="1">
        <f>'Paste cell here'!U135</f>
        <v/>
      </c>
      <c r="P135" s="1">
        <f>O134</f>
        <v/>
      </c>
      <c r="Q135" s="1">
        <f>'Paste cell here'!V135</f>
        <v/>
      </c>
      <c r="R135" s="1">
        <f>ABS(O134+C135+D135+N135+Q134-H135-I135-K135-L135-M135-O135-Q135)</f>
        <v/>
      </c>
      <c r="S135" s="7">
        <f>Sintesi!$C$30</f>
        <v/>
      </c>
      <c r="T135" s="7">
        <f>Sintesi!$C$29</f>
        <v/>
      </c>
      <c r="U135" s="5">
        <f>O135/(Sintesi!$C$5*1000)</f>
        <v/>
      </c>
      <c r="V135" s="1">
        <f>T135-S135</f>
        <v/>
      </c>
      <c r="W135" s="1" t="n">
        <v>0.621723868704129</v>
      </c>
      <c r="X135" s="1">
        <f>W135*V135</f>
        <v/>
      </c>
      <c r="Y135" s="1">
        <f>T135-X135</f>
        <v/>
      </c>
      <c r="Z135" s="1">
        <f>'Paste cellinfo here'!$B$11</f>
        <v/>
      </c>
    </row>
    <row r="136">
      <c r="A136" s="1" t="n">
        <v>135</v>
      </c>
      <c r="B136" s="2">
        <f>DATE(Sintesi!$C$4-1,12,31)+A136</f>
        <v/>
      </c>
      <c r="C136" s="1">
        <f>'Paste cell here'!B136</f>
        <v/>
      </c>
      <c r="D136" s="1">
        <f>'Paste cell here'!I136</f>
        <v/>
      </c>
      <c r="E136" s="1">
        <f>'Paste cell here'!J136</f>
        <v/>
      </c>
      <c r="F136" s="1">
        <f>'Paste cell here'!K136</f>
        <v/>
      </c>
      <c r="G136" s="1">
        <f>'Paste cell here'!L136</f>
        <v/>
      </c>
      <c r="H136" s="1">
        <f>'Paste cell here'!M136</f>
        <v/>
      </c>
      <c r="I136" s="1">
        <f>'Paste cell here'!N136</f>
        <v/>
      </c>
      <c r="J136" s="1">
        <f>'Paste cell here'!O136</f>
        <v/>
      </c>
      <c r="K136" s="1">
        <f>'Paste cell here'!Q136</f>
        <v/>
      </c>
      <c r="L136" s="1">
        <f>'Paste cell here'!S136</f>
        <v/>
      </c>
      <c r="M136" s="1">
        <f>'Paste cell here'!T136</f>
        <v/>
      </c>
      <c r="N136" s="1">
        <f>'Paste cell here'!W136</f>
        <v/>
      </c>
      <c r="O136" s="1">
        <f>'Paste cell here'!U136</f>
        <v/>
      </c>
      <c r="P136" s="1">
        <f>O135</f>
        <v/>
      </c>
      <c r="Q136" s="1">
        <f>'Paste cell here'!V136</f>
        <v/>
      </c>
      <c r="R136" s="1">
        <f>ABS(O135+C136+D136+N136+Q135-H136-I136-K136-L136-M136-O136-Q136)</f>
        <v/>
      </c>
      <c r="S136" s="7">
        <f>Sintesi!$C$30</f>
        <v/>
      </c>
      <c r="T136" s="7">
        <f>Sintesi!$C$29</f>
        <v/>
      </c>
      <c r="U136" s="5">
        <f>O136/(Sintesi!$C$5*1000)</f>
        <v/>
      </c>
      <c r="V136" s="1">
        <f>T136-S136</f>
        <v/>
      </c>
      <c r="W136" s="1" t="n">
        <v>0.55980678162315</v>
      </c>
      <c r="X136" s="1">
        <f>W136*V136</f>
        <v/>
      </c>
      <c r="Y136" s="1">
        <f>T136-X136</f>
        <v/>
      </c>
      <c r="Z136" s="1">
        <f>'Paste cellinfo here'!$B$11</f>
        <v/>
      </c>
    </row>
    <row r="137">
      <c r="A137" s="1" t="n">
        <v>136</v>
      </c>
      <c r="B137" s="2">
        <f>DATE(Sintesi!$C$4-1,12,31)+A137</f>
        <v/>
      </c>
      <c r="C137" s="1">
        <f>'Paste cell here'!B137</f>
        <v/>
      </c>
      <c r="D137" s="1">
        <f>'Paste cell here'!I137</f>
        <v/>
      </c>
      <c r="E137" s="1">
        <f>'Paste cell here'!J137</f>
        <v/>
      </c>
      <c r="F137" s="1">
        <f>'Paste cell here'!K137</f>
        <v/>
      </c>
      <c r="G137" s="1">
        <f>'Paste cell here'!L137</f>
        <v/>
      </c>
      <c r="H137" s="1">
        <f>'Paste cell here'!M137</f>
        <v/>
      </c>
      <c r="I137" s="1">
        <f>'Paste cell here'!N137</f>
        <v/>
      </c>
      <c r="J137" s="1">
        <f>'Paste cell here'!O137</f>
        <v/>
      </c>
      <c r="K137" s="1">
        <f>'Paste cell here'!Q137</f>
        <v/>
      </c>
      <c r="L137" s="1">
        <f>'Paste cell here'!S137</f>
        <v/>
      </c>
      <c r="M137" s="1">
        <f>'Paste cell here'!T137</f>
        <v/>
      </c>
      <c r="N137" s="1">
        <f>'Paste cell here'!W137</f>
        <v/>
      </c>
      <c r="O137" s="1">
        <f>'Paste cell here'!U137</f>
        <v/>
      </c>
      <c r="P137" s="1">
        <f>O136</f>
        <v/>
      </c>
      <c r="Q137" s="1">
        <f>'Paste cell here'!V137</f>
        <v/>
      </c>
      <c r="R137" s="1">
        <f>ABS(O136+C137+D137+N137+Q136-H137-I137-K137-L137-M137-O137-Q137)</f>
        <v/>
      </c>
      <c r="S137" s="7">
        <f>Sintesi!$C$30</f>
        <v/>
      </c>
      <c r="T137" s="7">
        <f>Sintesi!$C$29</f>
        <v/>
      </c>
      <c r="U137" s="5">
        <f>O137/(Sintesi!$C$5*1000)</f>
        <v/>
      </c>
      <c r="V137" s="1">
        <f>T137-S137</f>
        <v/>
      </c>
      <c r="W137" s="1" t="n">
        <v>0.614587813415027</v>
      </c>
      <c r="X137" s="1">
        <f>W137*V137</f>
        <v/>
      </c>
      <c r="Y137" s="1">
        <f>T137-X137</f>
        <v/>
      </c>
      <c r="Z137" s="1">
        <f>'Paste cellinfo here'!$B$11</f>
        <v/>
      </c>
    </row>
    <row r="138">
      <c r="A138" s="1" t="n">
        <v>137</v>
      </c>
      <c r="B138" s="2">
        <f>DATE(Sintesi!$C$4-1,12,31)+A138</f>
        <v/>
      </c>
      <c r="C138" s="1">
        <f>'Paste cell here'!B138</f>
        <v/>
      </c>
      <c r="D138" s="1">
        <f>'Paste cell here'!I138</f>
        <v/>
      </c>
      <c r="E138" s="1">
        <f>'Paste cell here'!J138</f>
        <v/>
      </c>
      <c r="F138" s="1">
        <f>'Paste cell here'!K138</f>
        <v/>
      </c>
      <c r="G138" s="1">
        <f>'Paste cell here'!L138</f>
        <v/>
      </c>
      <c r="H138" s="1">
        <f>'Paste cell here'!M138</f>
        <v/>
      </c>
      <c r="I138" s="1">
        <f>'Paste cell here'!N138</f>
        <v/>
      </c>
      <c r="J138" s="1">
        <f>'Paste cell here'!O138</f>
        <v/>
      </c>
      <c r="K138" s="1">
        <f>'Paste cell here'!Q138</f>
        <v/>
      </c>
      <c r="L138" s="1">
        <f>'Paste cell here'!S138</f>
        <v/>
      </c>
      <c r="M138" s="1">
        <f>'Paste cell here'!T138</f>
        <v/>
      </c>
      <c r="N138" s="1">
        <f>'Paste cell here'!W138</f>
        <v/>
      </c>
      <c r="O138" s="1">
        <f>'Paste cell here'!U138</f>
        <v/>
      </c>
      <c r="P138" s="1">
        <f>O137</f>
        <v/>
      </c>
      <c r="Q138" s="1">
        <f>'Paste cell here'!V138</f>
        <v/>
      </c>
      <c r="R138" s="1">
        <f>ABS(O137+C138+D138+N138+Q137-H138-I138-K138-L138-M138-O138-Q138)</f>
        <v/>
      </c>
      <c r="S138" s="7">
        <f>Sintesi!$C$30</f>
        <v/>
      </c>
      <c r="T138" s="7">
        <f>Sintesi!$C$29</f>
        <v/>
      </c>
      <c r="U138" s="5">
        <f>O138/(Sintesi!$C$5*1000)</f>
        <v/>
      </c>
      <c r="V138" s="1">
        <f>T138-S138</f>
        <v/>
      </c>
      <c r="W138" s="1" t="n">
        <v>0.563657555479142</v>
      </c>
      <c r="X138" s="1">
        <f>W138*V138</f>
        <v/>
      </c>
      <c r="Y138" s="1">
        <f>T138-X138</f>
        <v/>
      </c>
      <c r="Z138" s="1">
        <f>'Paste cellinfo here'!$B$11</f>
        <v/>
      </c>
    </row>
    <row r="139">
      <c r="A139" s="1" t="n">
        <v>138</v>
      </c>
      <c r="B139" s="2">
        <f>DATE(Sintesi!$C$4-1,12,31)+A139</f>
        <v/>
      </c>
      <c r="C139" s="1">
        <f>'Paste cell here'!B139</f>
        <v/>
      </c>
      <c r="D139" s="1">
        <f>'Paste cell here'!I139</f>
        <v/>
      </c>
      <c r="E139" s="1">
        <f>'Paste cell here'!J139</f>
        <v/>
      </c>
      <c r="F139" s="1">
        <f>'Paste cell here'!K139</f>
        <v/>
      </c>
      <c r="G139" s="1">
        <f>'Paste cell here'!L139</f>
        <v/>
      </c>
      <c r="H139" s="1">
        <f>'Paste cell here'!M139</f>
        <v/>
      </c>
      <c r="I139" s="1">
        <f>'Paste cell here'!N139</f>
        <v/>
      </c>
      <c r="J139" s="1">
        <f>'Paste cell here'!O139</f>
        <v/>
      </c>
      <c r="K139" s="1">
        <f>'Paste cell here'!Q139</f>
        <v/>
      </c>
      <c r="L139" s="1">
        <f>'Paste cell here'!S139</f>
        <v/>
      </c>
      <c r="M139" s="1">
        <f>'Paste cell here'!T139</f>
        <v/>
      </c>
      <c r="N139" s="1">
        <f>'Paste cell here'!W139</f>
        <v/>
      </c>
      <c r="O139" s="1">
        <f>'Paste cell here'!U139</f>
        <v/>
      </c>
      <c r="P139" s="1">
        <f>O138</f>
        <v/>
      </c>
      <c r="Q139" s="1">
        <f>'Paste cell here'!V139</f>
        <v/>
      </c>
      <c r="R139" s="1">
        <f>ABS(O138+C139+D139+N139+Q138-H139-I139-K139-L139-M139-O139-Q139)</f>
        <v/>
      </c>
      <c r="S139" s="7">
        <f>Sintesi!$C$30</f>
        <v/>
      </c>
      <c r="T139" s="7">
        <f>Sintesi!$C$29</f>
        <v/>
      </c>
      <c r="U139" s="5">
        <f>O139/(Sintesi!$C$5*1000)</f>
        <v/>
      </c>
      <c r="V139" s="1">
        <f>T139-S139</f>
        <v/>
      </c>
      <c r="W139" s="1" t="n">
        <v>0.55145669364238</v>
      </c>
      <c r="X139" s="1">
        <f>W139*V139</f>
        <v/>
      </c>
      <c r="Y139" s="1">
        <f>T139-X139</f>
        <v/>
      </c>
      <c r="Z139" s="1">
        <f>'Paste cellinfo here'!$B$11</f>
        <v/>
      </c>
    </row>
    <row r="140">
      <c r="A140" s="1" t="n">
        <v>139</v>
      </c>
      <c r="B140" s="2">
        <f>DATE(Sintesi!$C$4-1,12,31)+A140</f>
        <v/>
      </c>
      <c r="C140" s="1">
        <f>'Paste cell here'!B140</f>
        <v/>
      </c>
      <c r="D140" s="1">
        <f>'Paste cell here'!I140</f>
        <v/>
      </c>
      <c r="E140" s="1">
        <f>'Paste cell here'!J140</f>
        <v/>
      </c>
      <c r="F140" s="1">
        <f>'Paste cell here'!K140</f>
        <v/>
      </c>
      <c r="G140" s="1">
        <f>'Paste cell here'!L140</f>
        <v/>
      </c>
      <c r="H140" s="1">
        <f>'Paste cell here'!M140</f>
        <v/>
      </c>
      <c r="I140" s="1">
        <f>'Paste cell here'!N140</f>
        <v/>
      </c>
      <c r="J140" s="1">
        <f>'Paste cell here'!O140</f>
        <v/>
      </c>
      <c r="K140" s="1">
        <f>'Paste cell here'!Q140</f>
        <v/>
      </c>
      <c r="L140" s="1">
        <f>'Paste cell here'!S140</f>
        <v/>
      </c>
      <c r="M140" s="1">
        <f>'Paste cell here'!T140</f>
        <v/>
      </c>
      <c r="N140" s="1">
        <f>'Paste cell here'!W140</f>
        <v/>
      </c>
      <c r="O140" s="1">
        <f>'Paste cell here'!U140</f>
        <v/>
      </c>
      <c r="P140" s="1">
        <f>O139</f>
        <v/>
      </c>
      <c r="Q140" s="1">
        <f>'Paste cell here'!V140</f>
        <v/>
      </c>
      <c r="R140" s="1">
        <f>ABS(O139+C140+D140+N140+Q139-H140-I140-K140-L140-M140-O140-Q140)</f>
        <v/>
      </c>
      <c r="S140" s="7">
        <f>Sintesi!$C$30</f>
        <v/>
      </c>
      <c r="T140" s="7">
        <f>Sintesi!$C$29</f>
        <v/>
      </c>
      <c r="U140" s="5">
        <f>O140/(Sintesi!$C$5*1000)</f>
        <v/>
      </c>
      <c r="V140" s="1">
        <f>T140-S140</f>
        <v/>
      </c>
      <c r="W140" s="1" t="n">
        <v>0.611305651307125</v>
      </c>
      <c r="X140" s="1">
        <f>W140*V140</f>
        <v/>
      </c>
      <c r="Y140" s="1">
        <f>T140-X140</f>
        <v/>
      </c>
      <c r="Z140" s="1">
        <f>'Paste cellinfo here'!$B$11</f>
        <v/>
      </c>
    </row>
    <row r="141">
      <c r="A141" s="1" t="n">
        <v>140</v>
      </c>
      <c r="B141" s="2">
        <f>DATE(Sintesi!$C$4-1,12,31)+A141</f>
        <v/>
      </c>
      <c r="C141" s="1">
        <f>'Paste cell here'!B141</f>
        <v/>
      </c>
      <c r="D141" s="1">
        <f>'Paste cell here'!I141</f>
        <v/>
      </c>
      <c r="E141" s="1">
        <f>'Paste cell here'!J141</f>
        <v/>
      </c>
      <c r="F141" s="1">
        <f>'Paste cell here'!K141</f>
        <v/>
      </c>
      <c r="G141" s="1">
        <f>'Paste cell here'!L141</f>
        <v/>
      </c>
      <c r="H141" s="1">
        <f>'Paste cell here'!M141</f>
        <v/>
      </c>
      <c r="I141" s="1">
        <f>'Paste cell here'!N141</f>
        <v/>
      </c>
      <c r="J141" s="1">
        <f>'Paste cell here'!O141</f>
        <v/>
      </c>
      <c r="K141" s="1">
        <f>'Paste cell here'!Q141</f>
        <v/>
      </c>
      <c r="L141" s="1">
        <f>'Paste cell here'!S141</f>
        <v/>
      </c>
      <c r="M141" s="1">
        <f>'Paste cell here'!T141</f>
        <v/>
      </c>
      <c r="N141" s="1">
        <f>'Paste cell here'!W141</f>
        <v/>
      </c>
      <c r="O141" s="1">
        <f>'Paste cell here'!U141</f>
        <v/>
      </c>
      <c r="P141" s="1">
        <f>O140</f>
        <v/>
      </c>
      <c r="Q141" s="1">
        <f>'Paste cell here'!V141</f>
        <v/>
      </c>
      <c r="R141" s="1">
        <f>ABS(O140+C141+D141+N141+Q140-H141-I141-K141-L141-M141-O141-Q141)</f>
        <v/>
      </c>
      <c r="S141" s="7">
        <f>Sintesi!$C$30</f>
        <v/>
      </c>
      <c r="T141" s="7">
        <f>Sintesi!$C$29</f>
        <v/>
      </c>
      <c r="U141" s="5">
        <f>O141/(Sintesi!$C$5*1000)</f>
        <v/>
      </c>
      <c r="V141" s="1">
        <f>T141-S141</f>
        <v/>
      </c>
      <c r="W141" s="1" t="n">
        <v>0.634576176607726</v>
      </c>
      <c r="X141" s="1">
        <f>W141*V141</f>
        <v/>
      </c>
      <c r="Y141" s="1">
        <f>T141-X141</f>
        <v/>
      </c>
      <c r="Z141" s="1">
        <f>'Paste cellinfo here'!$B$11</f>
        <v/>
      </c>
    </row>
    <row r="142">
      <c r="A142" s="1" t="n">
        <v>141</v>
      </c>
      <c r="B142" s="2">
        <f>DATE(Sintesi!$C$4-1,12,31)+A142</f>
        <v/>
      </c>
      <c r="C142" s="1">
        <f>'Paste cell here'!B142</f>
        <v/>
      </c>
      <c r="D142" s="1">
        <f>'Paste cell here'!I142</f>
        <v/>
      </c>
      <c r="E142" s="1">
        <f>'Paste cell here'!J142</f>
        <v/>
      </c>
      <c r="F142" s="1">
        <f>'Paste cell here'!K142</f>
        <v/>
      </c>
      <c r="G142" s="1">
        <f>'Paste cell here'!L142</f>
        <v/>
      </c>
      <c r="H142" s="1">
        <f>'Paste cell here'!M142</f>
        <v/>
      </c>
      <c r="I142" s="1">
        <f>'Paste cell here'!N142</f>
        <v/>
      </c>
      <c r="J142" s="1">
        <f>'Paste cell here'!O142</f>
        <v/>
      </c>
      <c r="K142" s="1">
        <f>'Paste cell here'!Q142</f>
        <v/>
      </c>
      <c r="L142" s="1">
        <f>'Paste cell here'!S142</f>
        <v/>
      </c>
      <c r="M142" s="1">
        <f>'Paste cell here'!T142</f>
        <v/>
      </c>
      <c r="N142" s="1">
        <f>'Paste cell here'!W142</f>
        <v/>
      </c>
      <c r="O142" s="1">
        <f>'Paste cell here'!U142</f>
        <v/>
      </c>
      <c r="P142" s="1">
        <f>O141</f>
        <v/>
      </c>
      <c r="Q142" s="1">
        <f>'Paste cell here'!V142</f>
        <v/>
      </c>
      <c r="R142" s="1">
        <f>ABS(O141+C142+D142+N142+Q141-H142-I142-K142-L142-M142-O142-Q142)</f>
        <v/>
      </c>
      <c r="S142" s="7">
        <f>Sintesi!$C$30</f>
        <v/>
      </c>
      <c r="T142" s="7">
        <f>Sintesi!$C$29</f>
        <v/>
      </c>
      <c r="U142" s="5">
        <f>O142/(Sintesi!$C$5*1000)</f>
        <v/>
      </c>
      <c r="V142" s="1">
        <f>T142-S142</f>
        <v/>
      </c>
      <c r="W142" s="1" t="n">
        <v>0.615102768233269</v>
      </c>
      <c r="X142" s="1">
        <f>W142*V142</f>
        <v/>
      </c>
      <c r="Y142" s="1">
        <f>T142-X142</f>
        <v/>
      </c>
      <c r="Z142" s="1">
        <f>'Paste cellinfo here'!$B$11</f>
        <v/>
      </c>
    </row>
    <row r="143">
      <c r="A143" s="1" t="n">
        <v>142</v>
      </c>
      <c r="B143" s="2">
        <f>DATE(Sintesi!$C$4-1,12,31)+A143</f>
        <v/>
      </c>
      <c r="C143" s="1">
        <f>'Paste cell here'!B143</f>
        <v/>
      </c>
      <c r="D143" s="1">
        <f>'Paste cell here'!I143</f>
        <v/>
      </c>
      <c r="E143" s="1">
        <f>'Paste cell here'!J143</f>
        <v/>
      </c>
      <c r="F143" s="1">
        <f>'Paste cell here'!K143</f>
        <v/>
      </c>
      <c r="G143" s="1">
        <f>'Paste cell here'!L143</f>
        <v/>
      </c>
      <c r="H143" s="1">
        <f>'Paste cell here'!M143</f>
        <v/>
      </c>
      <c r="I143" s="1">
        <f>'Paste cell here'!N143</f>
        <v/>
      </c>
      <c r="J143" s="1">
        <f>'Paste cell here'!O143</f>
        <v/>
      </c>
      <c r="K143" s="1">
        <f>'Paste cell here'!Q143</f>
        <v/>
      </c>
      <c r="L143" s="1">
        <f>'Paste cell here'!S143</f>
        <v/>
      </c>
      <c r="M143" s="1">
        <f>'Paste cell here'!T143</f>
        <v/>
      </c>
      <c r="N143" s="1">
        <f>'Paste cell here'!W143</f>
        <v/>
      </c>
      <c r="O143" s="1">
        <f>'Paste cell here'!U143</f>
        <v/>
      </c>
      <c r="P143" s="1">
        <f>O142</f>
        <v/>
      </c>
      <c r="Q143" s="1">
        <f>'Paste cell here'!V143</f>
        <v/>
      </c>
      <c r="R143" s="1">
        <f>ABS(O142+C143+D143+N143+Q142-H143-I143-K143-L143-M143-O143-Q143)</f>
        <v/>
      </c>
      <c r="S143" s="7">
        <f>Sintesi!$C$30</f>
        <v/>
      </c>
      <c r="T143" s="7">
        <f>Sintesi!$C$29</f>
        <v/>
      </c>
      <c r="U143" s="5">
        <f>O143/(Sintesi!$C$5*1000)</f>
        <v/>
      </c>
      <c r="V143" s="1">
        <f>T143-S143</f>
        <v/>
      </c>
      <c r="W143" s="1" t="n">
        <v>0.539968402932654</v>
      </c>
      <c r="X143" s="1">
        <f>W143*V143</f>
        <v/>
      </c>
      <c r="Y143" s="1">
        <f>T143-X143</f>
        <v/>
      </c>
      <c r="Z143" s="1">
        <f>'Paste cellinfo here'!$B$11</f>
        <v/>
      </c>
    </row>
    <row r="144">
      <c r="A144" s="1" t="n">
        <v>143</v>
      </c>
      <c r="B144" s="2">
        <f>DATE(Sintesi!$C$4-1,12,31)+A144</f>
        <v/>
      </c>
      <c r="C144" s="1">
        <f>'Paste cell here'!B144</f>
        <v/>
      </c>
      <c r="D144" s="1">
        <f>'Paste cell here'!I144</f>
        <v/>
      </c>
      <c r="E144" s="1">
        <f>'Paste cell here'!J144</f>
        <v/>
      </c>
      <c r="F144" s="1">
        <f>'Paste cell here'!K144</f>
        <v/>
      </c>
      <c r="G144" s="1">
        <f>'Paste cell here'!L144</f>
        <v/>
      </c>
      <c r="H144" s="1">
        <f>'Paste cell here'!M144</f>
        <v/>
      </c>
      <c r="I144" s="1">
        <f>'Paste cell here'!N144</f>
        <v/>
      </c>
      <c r="J144" s="1">
        <f>'Paste cell here'!O144</f>
        <v/>
      </c>
      <c r="K144" s="1">
        <f>'Paste cell here'!Q144</f>
        <v/>
      </c>
      <c r="L144" s="1">
        <f>'Paste cell here'!S144</f>
        <v/>
      </c>
      <c r="M144" s="1">
        <f>'Paste cell here'!T144</f>
        <v/>
      </c>
      <c r="N144" s="1">
        <f>'Paste cell here'!W144</f>
        <v/>
      </c>
      <c r="O144" s="1">
        <f>'Paste cell here'!U144</f>
        <v/>
      </c>
      <c r="P144" s="1">
        <f>O143</f>
        <v/>
      </c>
      <c r="Q144" s="1">
        <f>'Paste cell here'!V144</f>
        <v/>
      </c>
      <c r="R144" s="1">
        <f>ABS(O143+C144+D144+N144+Q143-H144-I144-K144-L144-M144-O144-Q144)</f>
        <v/>
      </c>
      <c r="S144" s="7">
        <f>Sintesi!$C$30</f>
        <v/>
      </c>
      <c r="T144" s="7">
        <f>Sintesi!$C$29</f>
        <v/>
      </c>
      <c r="U144" s="5">
        <f>O144/(Sintesi!$C$5*1000)</f>
        <v/>
      </c>
      <c r="V144" s="1">
        <f>T144-S144</f>
        <v/>
      </c>
      <c r="W144" s="1" t="n">
        <v>0.534112317796562</v>
      </c>
      <c r="X144" s="1">
        <f>W144*V144</f>
        <v/>
      </c>
      <c r="Y144" s="1">
        <f>T144-X144</f>
        <v/>
      </c>
      <c r="Z144" s="1">
        <f>'Paste cellinfo here'!$B$11</f>
        <v/>
      </c>
    </row>
    <row r="145">
      <c r="A145" s="1" t="n">
        <v>144</v>
      </c>
      <c r="B145" s="2">
        <f>DATE(Sintesi!$C$4-1,12,31)+A145</f>
        <v/>
      </c>
      <c r="C145" s="1">
        <f>'Paste cell here'!B145</f>
        <v/>
      </c>
      <c r="D145" s="1">
        <f>'Paste cell here'!I145</f>
        <v/>
      </c>
      <c r="E145" s="1">
        <f>'Paste cell here'!J145</f>
        <v/>
      </c>
      <c r="F145" s="1">
        <f>'Paste cell here'!K145</f>
        <v/>
      </c>
      <c r="G145" s="1">
        <f>'Paste cell here'!L145</f>
        <v/>
      </c>
      <c r="H145" s="1">
        <f>'Paste cell here'!M145</f>
        <v/>
      </c>
      <c r="I145" s="1">
        <f>'Paste cell here'!N145</f>
        <v/>
      </c>
      <c r="J145" s="1">
        <f>'Paste cell here'!O145</f>
        <v/>
      </c>
      <c r="K145" s="1">
        <f>'Paste cell here'!Q145</f>
        <v/>
      </c>
      <c r="L145" s="1">
        <f>'Paste cell here'!S145</f>
        <v/>
      </c>
      <c r="M145" s="1">
        <f>'Paste cell here'!T145</f>
        <v/>
      </c>
      <c r="N145" s="1">
        <f>'Paste cell here'!W145</f>
        <v/>
      </c>
      <c r="O145" s="1">
        <f>'Paste cell here'!U145</f>
        <v/>
      </c>
      <c r="P145" s="1">
        <f>O144</f>
        <v/>
      </c>
      <c r="Q145" s="1">
        <f>'Paste cell here'!V145</f>
        <v/>
      </c>
      <c r="R145" s="1">
        <f>ABS(O144+C145+D145+N145+Q144-H145-I145-K145-L145-M145-O145-Q145)</f>
        <v/>
      </c>
      <c r="S145" s="7">
        <f>Sintesi!$C$30</f>
        <v/>
      </c>
      <c r="T145" s="7">
        <f>Sintesi!$C$29</f>
        <v/>
      </c>
      <c r="U145" s="5">
        <f>O145/(Sintesi!$C$5*1000)</f>
        <v/>
      </c>
      <c r="V145" s="1">
        <f>T145-S145</f>
        <v/>
      </c>
      <c r="W145" s="1" t="n">
        <v>0.513900722309765</v>
      </c>
      <c r="X145" s="1">
        <f>W145*V145</f>
        <v/>
      </c>
      <c r="Y145" s="1">
        <f>T145-X145</f>
        <v/>
      </c>
      <c r="Z145" s="1">
        <f>'Paste cellinfo here'!$B$11</f>
        <v/>
      </c>
    </row>
    <row r="146">
      <c r="A146" s="1" t="n">
        <v>145</v>
      </c>
      <c r="B146" s="2">
        <f>DATE(Sintesi!$C$4-1,12,31)+A146</f>
        <v/>
      </c>
      <c r="C146" s="1">
        <f>'Paste cell here'!B146</f>
        <v/>
      </c>
      <c r="D146" s="1">
        <f>'Paste cell here'!I146</f>
        <v/>
      </c>
      <c r="E146" s="1">
        <f>'Paste cell here'!J146</f>
        <v/>
      </c>
      <c r="F146" s="1">
        <f>'Paste cell here'!K146</f>
        <v/>
      </c>
      <c r="G146" s="1">
        <f>'Paste cell here'!L146</f>
        <v/>
      </c>
      <c r="H146" s="1">
        <f>'Paste cell here'!M146</f>
        <v/>
      </c>
      <c r="I146" s="1">
        <f>'Paste cell here'!N146</f>
        <v/>
      </c>
      <c r="J146" s="1">
        <f>'Paste cell here'!O146</f>
        <v/>
      </c>
      <c r="K146" s="1">
        <f>'Paste cell here'!Q146</f>
        <v/>
      </c>
      <c r="L146" s="1">
        <f>'Paste cell here'!S146</f>
        <v/>
      </c>
      <c r="M146" s="1">
        <f>'Paste cell here'!T146</f>
        <v/>
      </c>
      <c r="N146" s="1">
        <f>'Paste cell here'!W146</f>
        <v/>
      </c>
      <c r="O146" s="1">
        <f>'Paste cell here'!U146</f>
        <v/>
      </c>
      <c r="P146" s="1">
        <f>O145</f>
        <v/>
      </c>
      <c r="Q146" s="1">
        <f>'Paste cell here'!V146</f>
        <v/>
      </c>
      <c r="R146" s="1">
        <f>ABS(O145+C146+D146+N146+Q145-H146-I146-K146-L146-M146-O146-Q146)</f>
        <v/>
      </c>
      <c r="S146" s="7">
        <f>Sintesi!$C$30</f>
        <v/>
      </c>
      <c r="T146" s="7">
        <f>Sintesi!$C$29</f>
        <v/>
      </c>
      <c r="U146" s="5">
        <f>O146/(Sintesi!$C$5*1000)</f>
        <v/>
      </c>
      <c r="V146" s="1">
        <f>T146-S146</f>
        <v/>
      </c>
      <c r="W146" s="1" t="n">
        <v>0.526539989621551</v>
      </c>
      <c r="X146" s="1">
        <f>W146*V146</f>
        <v/>
      </c>
      <c r="Y146" s="1">
        <f>T146-X146</f>
        <v/>
      </c>
      <c r="Z146" s="1">
        <f>'Paste cellinfo here'!$B$11</f>
        <v/>
      </c>
    </row>
    <row r="147">
      <c r="A147" s="1" t="n">
        <v>146</v>
      </c>
      <c r="B147" s="2">
        <f>DATE(Sintesi!$C$4-1,12,31)+A147</f>
        <v/>
      </c>
      <c r="C147" s="1">
        <f>'Paste cell here'!B147</f>
        <v/>
      </c>
      <c r="D147" s="1">
        <f>'Paste cell here'!I147</f>
        <v/>
      </c>
      <c r="E147" s="1">
        <f>'Paste cell here'!J147</f>
        <v/>
      </c>
      <c r="F147" s="1">
        <f>'Paste cell here'!K147</f>
        <v/>
      </c>
      <c r="G147" s="1">
        <f>'Paste cell here'!L147</f>
        <v/>
      </c>
      <c r="H147" s="1">
        <f>'Paste cell here'!M147</f>
        <v/>
      </c>
      <c r="I147" s="1">
        <f>'Paste cell here'!N147</f>
        <v/>
      </c>
      <c r="J147" s="1">
        <f>'Paste cell here'!O147</f>
        <v/>
      </c>
      <c r="K147" s="1">
        <f>'Paste cell here'!Q147</f>
        <v/>
      </c>
      <c r="L147" s="1">
        <f>'Paste cell here'!S147</f>
        <v/>
      </c>
      <c r="M147" s="1">
        <f>'Paste cell here'!T147</f>
        <v/>
      </c>
      <c r="N147" s="1">
        <f>'Paste cell here'!W147</f>
        <v/>
      </c>
      <c r="O147" s="1">
        <f>'Paste cell here'!U147</f>
        <v/>
      </c>
      <c r="P147" s="1">
        <f>O146</f>
        <v/>
      </c>
      <c r="Q147" s="1">
        <f>'Paste cell here'!V147</f>
        <v/>
      </c>
      <c r="R147" s="1">
        <f>ABS(O146+C147+D147+N147+Q146-H147-I147-K147-L147-M147-O147-Q147)</f>
        <v/>
      </c>
      <c r="S147" s="7">
        <f>Sintesi!$C$30</f>
        <v/>
      </c>
      <c r="T147" s="7">
        <f>Sintesi!$C$29</f>
        <v/>
      </c>
      <c r="U147" s="5">
        <f>O147/(Sintesi!$C$5*1000)</f>
        <v/>
      </c>
      <c r="V147" s="1">
        <f>T147-S147</f>
        <v/>
      </c>
      <c r="W147" s="1" t="n">
        <v>0.560401049838356</v>
      </c>
      <c r="X147" s="1">
        <f>W147*V147</f>
        <v/>
      </c>
      <c r="Y147" s="1">
        <f>T147-X147</f>
        <v/>
      </c>
      <c r="Z147" s="1">
        <f>'Paste cellinfo here'!$B$11</f>
        <v/>
      </c>
    </row>
    <row r="148">
      <c r="A148" s="1" t="n">
        <v>147</v>
      </c>
      <c r="B148" s="2">
        <f>DATE(Sintesi!$C$4-1,12,31)+A148</f>
        <v/>
      </c>
      <c r="C148" s="1">
        <f>'Paste cell here'!B148</f>
        <v/>
      </c>
      <c r="D148" s="1">
        <f>'Paste cell here'!I148</f>
        <v/>
      </c>
      <c r="E148" s="1">
        <f>'Paste cell here'!J148</f>
        <v/>
      </c>
      <c r="F148" s="1">
        <f>'Paste cell here'!K148</f>
        <v/>
      </c>
      <c r="G148" s="1">
        <f>'Paste cell here'!L148</f>
        <v/>
      </c>
      <c r="H148" s="1">
        <f>'Paste cell here'!M148</f>
        <v/>
      </c>
      <c r="I148" s="1">
        <f>'Paste cell here'!N148</f>
        <v/>
      </c>
      <c r="J148" s="1">
        <f>'Paste cell here'!O148</f>
        <v/>
      </c>
      <c r="K148" s="1">
        <f>'Paste cell here'!Q148</f>
        <v/>
      </c>
      <c r="L148" s="1">
        <f>'Paste cell here'!S148</f>
        <v/>
      </c>
      <c r="M148" s="1">
        <f>'Paste cell here'!T148</f>
        <v/>
      </c>
      <c r="N148" s="1">
        <f>'Paste cell here'!W148</f>
        <v/>
      </c>
      <c r="O148" s="1">
        <f>'Paste cell here'!U148</f>
        <v/>
      </c>
      <c r="P148" s="1">
        <f>O147</f>
        <v/>
      </c>
      <c r="Q148" s="1">
        <f>'Paste cell here'!V148</f>
        <v/>
      </c>
      <c r="R148" s="1">
        <f>ABS(O147+C148+D148+N148+Q147-H148-I148-K148-L148-M148-O148-Q148)</f>
        <v/>
      </c>
      <c r="S148" s="7">
        <f>Sintesi!$C$30</f>
        <v/>
      </c>
      <c r="T148" s="7">
        <f>Sintesi!$C$29</f>
        <v/>
      </c>
      <c r="U148" s="5">
        <f>O148/(Sintesi!$C$5*1000)</f>
        <v/>
      </c>
      <c r="V148" s="1">
        <f>T148-S148</f>
        <v/>
      </c>
      <c r="W148" s="1" t="n">
        <v>0.513668348360811</v>
      </c>
      <c r="X148" s="1">
        <f>W148*V148</f>
        <v/>
      </c>
      <c r="Y148" s="1">
        <f>T148-X148</f>
        <v/>
      </c>
      <c r="Z148" s="1">
        <f>'Paste cellinfo here'!$B$11</f>
        <v/>
      </c>
    </row>
    <row r="149">
      <c r="A149" s="1" t="n">
        <v>148</v>
      </c>
      <c r="B149" s="2">
        <f>DATE(Sintesi!$C$4-1,12,31)+A149</f>
        <v/>
      </c>
      <c r="C149" s="1">
        <f>'Paste cell here'!B149</f>
        <v/>
      </c>
      <c r="D149" s="1">
        <f>'Paste cell here'!I149</f>
        <v/>
      </c>
      <c r="E149" s="1">
        <f>'Paste cell here'!J149</f>
        <v/>
      </c>
      <c r="F149" s="1">
        <f>'Paste cell here'!K149</f>
        <v/>
      </c>
      <c r="G149" s="1">
        <f>'Paste cell here'!L149</f>
        <v/>
      </c>
      <c r="H149" s="1">
        <f>'Paste cell here'!M149</f>
        <v/>
      </c>
      <c r="I149" s="1">
        <f>'Paste cell here'!N149</f>
        <v/>
      </c>
      <c r="J149" s="1">
        <f>'Paste cell here'!O149</f>
        <v/>
      </c>
      <c r="K149" s="1">
        <f>'Paste cell here'!Q149</f>
        <v/>
      </c>
      <c r="L149" s="1">
        <f>'Paste cell here'!S149</f>
        <v/>
      </c>
      <c r="M149" s="1">
        <f>'Paste cell here'!T149</f>
        <v/>
      </c>
      <c r="N149" s="1">
        <f>'Paste cell here'!W149</f>
        <v/>
      </c>
      <c r="O149" s="1">
        <f>'Paste cell here'!U149</f>
        <v/>
      </c>
      <c r="P149" s="1">
        <f>O148</f>
        <v/>
      </c>
      <c r="Q149" s="1">
        <f>'Paste cell here'!V149</f>
        <v/>
      </c>
      <c r="R149" s="1">
        <f>ABS(O148+C149+D149+N149+Q148-H149-I149-K149-L149-M149-O149-Q149)</f>
        <v/>
      </c>
      <c r="S149" s="7">
        <f>Sintesi!$C$30</f>
        <v/>
      </c>
      <c r="T149" s="7">
        <f>Sintesi!$C$29</f>
        <v/>
      </c>
      <c r="U149" s="5">
        <f>O149/(Sintesi!$C$5*1000)</f>
        <v/>
      </c>
      <c r="V149" s="1">
        <f>T149-S149</f>
        <v/>
      </c>
      <c r="W149" s="1" t="n">
        <v>0.66226304000794</v>
      </c>
      <c r="X149" s="1">
        <f>W149*V149</f>
        <v/>
      </c>
      <c r="Y149" s="1">
        <f>T149-X149</f>
        <v/>
      </c>
      <c r="Z149" s="1">
        <f>'Paste cellinfo here'!$B$11</f>
        <v/>
      </c>
    </row>
    <row r="150">
      <c r="A150" s="1" t="n">
        <v>149</v>
      </c>
      <c r="B150" s="2">
        <f>DATE(Sintesi!$C$4-1,12,31)+A150</f>
        <v/>
      </c>
      <c r="C150" s="1">
        <f>'Paste cell here'!B150</f>
        <v/>
      </c>
      <c r="D150" s="1">
        <f>'Paste cell here'!I150</f>
        <v/>
      </c>
      <c r="E150" s="1">
        <f>'Paste cell here'!J150</f>
        <v/>
      </c>
      <c r="F150" s="1">
        <f>'Paste cell here'!K150</f>
        <v/>
      </c>
      <c r="G150" s="1">
        <f>'Paste cell here'!L150</f>
        <v/>
      </c>
      <c r="H150" s="1">
        <f>'Paste cell here'!M150</f>
        <v/>
      </c>
      <c r="I150" s="1">
        <f>'Paste cell here'!N150</f>
        <v/>
      </c>
      <c r="J150" s="1">
        <f>'Paste cell here'!O150</f>
        <v/>
      </c>
      <c r="K150" s="1">
        <f>'Paste cell here'!Q150</f>
        <v/>
      </c>
      <c r="L150" s="1">
        <f>'Paste cell here'!S150</f>
        <v/>
      </c>
      <c r="M150" s="1">
        <f>'Paste cell here'!T150</f>
        <v/>
      </c>
      <c r="N150" s="1">
        <f>'Paste cell here'!W150</f>
        <v/>
      </c>
      <c r="O150" s="1">
        <f>'Paste cell here'!U150</f>
        <v/>
      </c>
      <c r="P150" s="1">
        <f>O149</f>
        <v/>
      </c>
      <c r="Q150" s="1">
        <f>'Paste cell here'!V150</f>
        <v/>
      </c>
      <c r="R150" s="1">
        <f>ABS(O149+C150+D150+N150+Q149-H150-I150-K150-L150-M150-O150-Q150)</f>
        <v/>
      </c>
      <c r="S150" s="7">
        <f>Sintesi!$C$30</f>
        <v/>
      </c>
      <c r="T150" s="7">
        <f>Sintesi!$C$29</f>
        <v/>
      </c>
      <c r="U150" s="5">
        <f>O150/(Sintesi!$C$5*1000)</f>
        <v/>
      </c>
      <c r="V150" s="1">
        <f>T150-S150</f>
        <v/>
      </c>
      <c r="W150" s="1" t="n">
        <v>0.554536971485821</v>
      </c>
      <c r="X150" s="1">
        <f>W150*V150</f>
        <v/>
      </c>
      <c r="Y150" s="1">
        <f>T150-X150</f>
        <v/>
      </c>
      <c r="Z150" s="1">
        <f>'Paste cellinfo here'!$B$11</f>
        <v/>
      </c>
    </row>
    <row r="151">
      <c r="A151" s="1" t="n">
        <v>150</v>
      </c>
      <c r="B151" s="2">
        <f>DATE(Sintesi!$C$4-1,12,31)+A151</f>
        <v/>
      </c>
      <c r="C151" s="1">
        <f>'Paste cell here'!B151</f>
        <v/>
      </c>
      <c r="D151" s="1">
        <f>'Paste cell here'!I151</f>
        <v/>
      </c>
      <c r="E151" s="1">
        <f>'Paste cell here'!J151</f>
        <v/>
      </c>
      <c r="F151" s="1">
        <f>'Paste cell here'!K151</f>
        <v/>
      </c>
      <c r="G151" s="1">
        <f>'Paste cell here'!L151</f>
        <v/>
      </c>
      <c r="H151" s="1">
        <f>'Paste cell here'!M151</f>
        <v/>
      </c>
      <c r="I151" s="1">
        <f>'Paste cell here'!N151</f>
        <v/>
      </c>
      <c r="J151" s="1">
        <f>'Paste cell here'!O151</f>
        <v/>
      </c>
      <c r="K151" s="1">
        <f>'Paste cell here'!Q151</f>
        <v/>
      </c>
      <c r="L151" s="1">
        <f>'Paste cell here'!S151</f>
        <v/>
      </c>
      <c r="M151" s="1">
        <f>'Paste cell here'!T151</f>
        <v/>
      </c>
      <c r="N151" s="1">
        <f>'Paste cell here'!W151</f>
        <v/>
      </c>
      <c r="O151" s="1">
        <f>'Paste cell here'!U151</f>
        <v/>
      </c>
      <c r="P151" s="1">
        <f>O150</f>
        <v/>
      </c>
      <c r="Q151" s="1">
        <f>'Paste cell here'!V151</f>
        <v/>
      </c>
      <c r="R151" s="1">
        <f>ABS(O150+C151+D151+N151+Q150-H151-I151-K151-L151-M151-O151-Q151)</f>
        <v/>
      </c>
      <c r="S151" s="7">
        <f>Sintesi!$C$30</f>
        <v/>
      </c>
      <c r="T151" s="7">
        <f>Sintesi!$C$29</f>
        <v/>
      </c>
      <c r="U151" s="5">
        <f>O151/(Sintesi!$C$5*1000)</f>
        <v/>
      </c>
      <c r="V151" s="1">
        <f>T151-S151</f>
        <v/>
      </c>
      <c r="W151" s="1" t="n">
        <v>0.61940017351381</v>
      </c>
      <c r="X151" s="1">
        <f>W151*V151</f>
        <v/>
      </c>
      <c r="Y151" s="1">
        <f>T151-X151</f>
        <v/>
      </c>
      <c r="Z151" s="1">
        <f>'Paste cellinfo here'!$B$11</f>
        <v/>
      </c>
    </row>
    <row r="152">
      <c r="A152" s="1" t="n">
        <v>151</v>
      </c>
      <c r="B152" s="2">
        <f>DATE(Sintesi!$C$4-1,12,31)+A152</f>
        <v/>
      </c>
      <c r="C152" s="1">
        <f>'Paste cell here'!B152</f>
        <v/>
      </c>
      <c r="D152" s="1">
        <f>'Paste cell here'!I152</f>
        <v/>
      </c>
      <c r="E152" s="1">
        <f>'Paste cell here'!J152</f>
        <v/>
      </c>
      <c r="F152" s="1">
        <f>'Paste cell here'!K152</f>
        <v/>
      </c>
      <c r="G152" s="1">
        <f>'Paste cell here'!L152</f>
        <v/>
      </c>
      <c r="H152" s="1">
        <f>'Paste cell here'!M152</f>
        <v/>
      </c>
      <c r="I152" s="1">
        <f>'Paste cell here'!N152</f>
        <v/>
      </c>
      <c r="J152" s="1">
        <f>'Paste cell here'!O152</f>
        <v/>
      </c>
      <c r="K152" s="1">
        <f>'Paste cell here'!Q152</f>
        <v/>
      </c>
      <c r="L152" s="1">
        <f>'Paste cell here'!S152</f>
        <v/>
      </c>
      <c r="M152" s="1">
        <f>'Paste cell here'!T152</f>
        <v/>
      </c>
      <c r="N152" s="1">
        <f>'Paste cell here'!W152</f>
        <v/>
      </c>
      <c r="O152" s="1">
        <f>'Paste cell here'!U152</f>
        <v/>
      </c>
      <c r="P152" s="1">
        <f>O151</f>
        <v/>
      </c>
      <c r="Q152" s="1">
        <f>'Paste cell here'!V152</f>
        <v/>
      </c>
      <c r="R152" s="1">
        <f>ABS(O151+C152+D152+N152+Q151-H152-I152-K152-L152-M152-O152-Q152)</f>
        <v/>
      </c>
      <c r="S152" s="7">
        <f>Sintesi!$C$30</f>
        <v/>
      </c>
      <c r="T152" s="7">
        <f>Sintesi!$C$29</f>
        <v/>
      </c>
      <c r="U152" s="5">
        <f>O152/(Sintesi!$C$5*1000)</f>
        <v/>
      </c>
      <c r="V152" s="1">
        <f>T152-S152</f>
        <v/>
      </c>
      <c r="W152" s="1" t="n">
        <v>0.547886167095799</v>
      </c>
      <c r="X152" s="1">
        <f>W152*V152</f>
        <v/>
      </c>
      <c r="Y152" s="1">
        <f>T152-X152</f>
        <v/>
      </c>
      <c r="Z152" s="1">
        <f>'Paste cellinfo here'!$B$11</f>
        <v/>
      </c>
    </row>
    <row r="153">
      <c r="A153" s="1" t="n">
        <v>152</v>
      </c>
      <c r="B153" s="2">
        <f>DATE(Sintesi!$C$4-1,12,31)+A153</f>
        <v/>
      </c>
      <c r="C153" s="1">
        <f>'Paste cell here'!B153</f>
        <v/>
      </c>
      <c r="D153" s="1">
        <f>'Paste cell here'!I153</f>
        <v/>
      </c>
      <c r="E153" s="1">
        <f>'Paste cell here'!J153</f>
        <v/>
      </c>
      <c r="F153" s="1">
        <f>'Paste cell here'!K153</f>
        <v/>
      </c>
      <c r="G153" s="1">
        <f>'Paste cell here'!L153</f>
        <v/>
      </c>
      <c r="H153" s="1">
        <f>'Paste cell here'!M153</f>
        <v/>
      </c>
      <c r="I153" s="1">
        <f>'Paste cell here'!N153</f>
        <v/>
      </c>
      <c r="J153" s="1">
        <f>'Paste cell here'!O153</f>
        <v/>
      </c>
      <c r="K153" s="1">
        <f>'Paste cell here'!Q153</f>
        <v/>
      </c>
      <c r="L153" s="1">
        <f>'Paste cell here'!S153</f>
        <v/>
      </c>
      <c r="M153" s="1">
        <f>'Paste cell here'!T153</f>
        <v/>
      </c>
      <c r="N153" s="1">
        <f>'Paste cell here'!W153</f>
        <v/>
      </c>
      <c r="O153" s="1">
        <f>'Paste cell here'!U153</f>
        <v/>
      </c>
      <c r="P153" s="1">
        <f>O152</f>
        <v/>
      </c>
      <c r="Q153" s="1">
        <f>'Paste cell here'!V153</f>
        <v/>
      </c>
      <c r="R153" s="1">
        <f>ABS(O152+C153+D153+N153+Q152-H153-I153-K153-L153-M153-O153-Q153)</f>
        <v/>
      </c>
      <c r="S153" s="7">
        <f>Sintesi!$C$30</f>
        <v/>
      </c>
      <c r="T153" s="7">
        <f>Sintesi!$C$29</f>
        <v/>
      </c>
      <c r="U153" s="5">
        <f>O153/(Sintesi!$C$5*1000)</f>
        <v/>
      </c>
      <c r="V153" s="1">
        <f>T153-S153</f>
        <v/>
      </c>
      <c r="W153" s="1" t="n">
        <v>0.499444843580494</v>
      </c>
      <c r="X153" s="1">
        <f>W153*V153</f>
        <v/>
      </c>
      <c r="Y153" s="1">
        <f>T153-X153</f>
        <v/>
      </c>
      <c r="Z153" s="1">
        <f>'Paste cellinfo here'!$B$11</f>
        <v/>
      </c>
    </row>
    <row r="154">
      <c r="A154" s="1" t="n">
        <v>153</v>
      </c>
      <c r="B154" s="2">
        <f>DATE(Sintesi!$C$4-1,12,31)+A154</f>
        <v/>
      </c>
      <c r="C154" s="1">
        <f>'Paste cell here'!B154</f>
        <v/>
      </c>
      <c r="D154" s="1">
        <f>'Paste cell here'!I154</f>
        <v/>
      </c>
      <c r="E154" s="1">
        <f>'Paste cell here'!J154</f>
        <v/>
      </c>
      <c r="F154" s="1">
        <f>'Paste cell here'!K154</f>
        <v/>
      </c>
      <c r="G154" s="1">
        <f>'Paste cell here'!L154</f>
        <v/>
      </c>
      <c r="H154" s="1">
        <f>'Paste cell here'!M154</f>
        <v/>
      </c>
      <c r="I154" s="1">
        <f>'Paste cell here'!N154</f>
        <v/>
      </c>
      <c r="J154" s="1">
        <f>'Paste cell here'!O154</f>
        <v/>
      </c>
      <c r="K154" s="1">
        <f>'Paste cell here'!Q154</f>
        <v/>
      </c>
      <c r="L154" s="1">
        <f>'Paste cell here'!S154</f>
        <v/>
      </c>
      <c r="M154" s="1">
        <f>'Paste cell here'!T154</f>
        <v/>
      </c>
      <c r="N154" s="1">
        <f>'Paste cell here'!W154</f>
        <v/>
      </c>
      <c r="O154" s="1">
        <f>'Paste cell here'!U154</f>
        <v/>
      </c>
      <c r="P154" s="1">
        <f>O153</f>
        <v/>
      </c>
      <c r="Q154" s="1">
        <f>'Paste cell here'!V154</f>
        <v/>
      </c>
      <c r="R154" s="1">
        <f>ABS(O153+C154+D154+N154+Q153-H154-I154-K154-L154-M154-O154-Q154)</f>
        <v/>
      </c>
      <c r="S154" s="7">
        <f>Sintesi!$C$30</f>
        <v/>
      </c>
      <c r="T154" s="7">
        <f>Sintesi!$C$29</f>
        <v/>
      </c>
      <c r="U154" s="5">
        <f>O154/(Sintesi!$C$5*1000)</f>
        <v/>
      </c>
      <c r="V154" s="1">
        <f>T154-S154</f>
        <v/>
      </c>
      <c r="W154" s="1" t="n">
        <v>0.473972365393491</v>
      </c>
      <c r="X154" s="1">
        <f>W154*V154</f>
        <v/>
      </c>
      <c r="Y154" s="1">
        <f>T154-X154</f>
        <v/>
      </c>
      <c r="Z154" s="1">
        <f>'Paste cellinfo here'!$B$11</f>
        <v/>
      </c>
    </row>
    <row r="155">
      <c r="A155" s="1" t="n">
        <v>154</v>
      </c>
      <c r="B155" s="2">
        <f>DATE(Sintesi!$C$4-1,12,31)+A155</f>
        <v/>
      </c>
      <c r="C155" s="1">
        <f>'Paste cell here'!B155</f>
        <v/>
      </c>
      <c r="D155" s="1">
        <f>'Paste cell here'!I155</f>
        <v/>
      </c>
      <c r="E155" s="1">
        <f>'Paste cell here'!J155</f>
        <v/>
      </c>
      <c r="F155" s="1">
        <f>'Paste cell here'!K155</f>
        <v/>
      </c>
      <c r="G155" s="1">
        <f>'Paste cell here'!L155</f>
        <v/>
      </c>
      <c r="H155" s="1">
        <f>'Paste cell here'!M155</f>
        <v/>
      </c>
      <c r="I155" s="1">
        <f>'Paste cell here'!N155</f>
        <v/>
      </c>
      <c r="J155" s="1">
        <f>'Paste cell here'!O155</f>
        <v/>
      </c>
      <c r="K155" s="1">
        <f>'Paste cell here'!Q155</f>
        <v/>
      </c>
      <c r="L155" s="1">
        <f>'Paste cell here'!S155</f>
        <v/>
      </c>
      <c r="M155" s="1">
        <f>'Paste cell here'!T155</f>
        <v/>
      </c>
      <c r="N155" s="1">
        <f>'Paste cell here'!W155</f>
        <v/>
      </c>
      <c r="O155" s="1">
        <f>'Paste cell here'!U155</f>
        <v/>
      </c>
      <c r="P155" s="1">
        <f>O154</f>
        <v/>
      </c>
      <c r="Q155" s="1">
        <f>'Paste cell here'!V155</f>
        <v/>
      </c>
      <c r="R155" s="1">
        <f>ABS(O154+C155+D155+N155+Q154-H155-I155-K155-L155-M155-O155-Q155)</f>
        <v/>
      </c>
      <c r="S155" s="7">
        <f>Sintesi!$C$30</f>
        <v/>
      </c>
      <c r="T155" s="7">
        <f>Sintesi!$C$29</f>
        <v/>
      </c>
      <c r="U155" s="5">
        <f>O155/(Sintesi!$C$5*1000)</f>
        <v/>
      </c>
      <c r="V155" s="1">
        <f>T155-S155</f>
        <v/>
      </c>
      <c r="W155" s="1" t="n">
        <v>0.482201862154082</v>
      </c>
      <c r="X155" s="1">
        <f>W155*V155</f>
        <v/>
      </c>
      <c r="Y155" s="1">
        <f>T155-X155</f>
        <v/>
      </c>
      <c r="Z155" s="1">
        <f>'Paste cellinfo here'!$B$11</f>
        <v/>
      </c>
    </row>
    <row r="156">
      <c r="A156" s="1" t="n">
        <v>155</v>
      </c>
      <c r="B156" s="2">
        <f>DATE(Sintesi!$C$4-1,12,31)+A156</f>
        <v/>
      </c>
      <c r="C156" s="1">
        <f>'Paste cell here'!B156</f>
        <v/>
      </c>
      <c r="D156" s="1">
        <f>'Paste cell here'!I156</f>
        <v/>
      </c>
      <c r="E156" s="1">
        <f>'Paste cell here'!J156</f>
        <v/>
      </c>
      <c r="F156" s="1">
        <f>'Paste cell here'!K156</f>
        <v/>
      </c>
      <c r="G156" s="1">
        <f>'Paste cell here'!L156</f>
        <v/>
      </c>
      <c r="H156" s="1">
        <f>'Paste cell here'!M156</f>
        <v/>
      </c>
      <c r="I156" s="1">
        <f>'Paste cell here'!N156</f>
        <v/>
      </c>
      <c r="J156" s="1">
        <f>'Paste cell here'!O156</f>
        <v/>
      </c>
      <c r="K156" s="1">
        <f>'Paste cell here'!Q156</f>
        <v/>
      </c>
      <c r="L156" s="1">
        <f>'Paste cell here'!S156</f>
        <v/>
      </c>
      <c r="M156" s="1">
        <f>'Paste cell here'!T156</f>
        <v/>
      </c>
      <c r="N156" s="1">
        <f>'Paste cell here'!W156</f>
        <v/>
      </c>
      <c r="O156" s="1">
        <f>'Paste cell here'!U156</f>
        <v/>
      </c>
      <c r="P156" s="1">
        <f>O155</f>
        <v/>
      </c>
      <c r="Q156" s="1">
        <f>'Paste cell here'!V156</f>
        <v/>
      </c>
      <c r="R156" s="1">
        <f>ABS(O155+C156+D156+N156+Q155-H156-I156-K156-L156-M156-O156-Q156)</f>
        <v/>
      </c>
      <c r="S156" s="7">
        <f>Sintesi!$C$30</f>
        <v/>
      </c>
      <c r="T156" s="7">
        <f>Sintesi!$C$29</f>
        <v/>
      </c>
      <c r="U156" s="5">
        <f>O156/(Sintesi!$C$5*1000)</f>
        <v/>
      </c>
      <c r="V156" s="1">
        <f>T156-S156</f>
        <v/>
      </c>
      <c r="W156" s="1" t="n">
        <v>0.492118123196849</v>
      </c>
      <c r="X156" s="1">
        <f>W156*V156</f>
        <v/>
      </c>
      <c r="Y156" s="1">
        <f>T156-X156</f>
        <v/>
      </c>
      <c r="Z156" s="1">
        <f>'Paste cellinfo here'!$B$11</f>
        <v/>
      </c>
    </row>
    <row r="157">
      <c r="A157" s="1" t="n">
        <v>156</v>
      </c>
      <c r="B157" s="2">
        <f>DATE(Sintesi!$C$4-1,12,31)+A157</f>
        <v/>
      </c>
      <c r="C157" s="1">
        <f>'Paste cell here'!B157</f>
        <v/>
      </c>
      <c r="D157" s="1">
        <f>'Paste cell here'!I157</f>
        <v/>
      </c>
      <c r="E157" s="1">
        <f>'Paste cell here'!J157</f>
        <v/>
      </c>
      <c r="F157" s="1">
        <f>'Paste cell here'!K157</f>
        <v/>
      </c>
      <c r="G157" s="1">
        <f>'Paste cell here'!L157</f>
        <v/>
      </c>
      <c r="H157" s="1">
        <f>'Paste cell here'!M157</f>
        <v/>
      </c>
      <c r="I157" s="1">
        <f>'Paste cell here'!N157</f>
        <v/>
      </c>
      <c r="J157" s="1">
        <f>'Paste cell here'!O157</f>
        <v/>
      </c>
      <c r="K157" s="1">
        <f>'Paste cell here'!Q157</f>
        <v/>
      </c>
      <c r="L157" s="1">
        <f>'Paste cell here'!S157</f>
        <v/>
      </c>
      <c r="M157" s="1">
        <f>'Paste cell here'!T157</f>
        <v/>
      </c>
      <c r="N157" s="1">
        <f>'Paste cell here'!W157</f>
        <v/>
      </c>
      <c r="O157" s="1">
        <f>'Paste cell here'!U157</f>
        <v/>
      </c>
      <c r="P157" s="1">
        <f>O156</f>
        <v/>
      </c>
      <c r="Q157" s="1">
        <f>'Paste cell here'!V157</f>
        <v/>
      </c>
      <c r="R157" s="1">
        <f>ABS(O156+C157+D157+N157+Q156-H157-I157-K157-L157-M157-O157-Q157)</f>
        <v/>
      </c>
      <c r="S157" s="7">
        <f>Sintesi!$C$30</f>
        <v/>
      </c>
      <c r="T157" s="7">
        <f>Sintesi!$C$29</f>
        <v/>
      </c>
      <c r="U157" s="5">
        <f>O157/(Sintesi!$C$5*1000)</f>
        <v/>
      </c>
      <c r="V157" s="1">
        <f>T157-S157</f>
        <v/>
      </c>
      <c r="W157" s="1" t="n">
        <v>0.484956299876909</v>
      </c>
      <c r="X157" s="1">
        <f>W157*V157</f>
        <v/>
      </c>
      <c r="Y157" s="1">
        <f>T157-X157</f>
        <v/>
      </c>
      <c r="Z157" s="1">
        <f>'Paste cellinfo here'!$B$11</f>
        <v/>
      </c>
    </row>
    <row r="158">
      <c r="A158" s="1" t="n">
        <v>157</v>
      </c>
      <c r="B158" s="2">
        <f>DATE(Sintesi!$C$4-1,12,31)+A158</f>
        <v/>
      </c>
      <c r="C158" s="1">
        <f>'Paste cell here'!B158</f>
        <v/>
      </c>
      <c r="D158" s="1">
        <f>'Paste cell here'!I158</f>
        <v/>
      </c>
      <c r="E158" s="1">
        <f>'Paste cell here'!J158</f>
        <v/>
      </c>
      <c r="F158" s="1">
        <f>'Paste cell here'!K158</f>
        <v/>
      </c>
      <c r="G158" s="1">
        <f>'Paste cell here'!L158</f>
        <v/>
      </c>
      <c r="H158" s="1">
        <f>'Paste cell here'!M158</f>
        <v/>
      </c>
      <c r="I158" s="1">
        <f>'Paste cell here'!N158</f>
        <v/>
      </c>
      <c r="J158" s="1">
        <f>'Paste cell here'!O158</f>
        <v/>
      </c>
      <c r="K158" s="1">
        <f>'Paste cell here'!Q158</f>
        <v/>
      </c>
      <c r="L158" s="1">
        <f>'Paste cell here'!S158</f>
        <v/>
      </c>
      <c r="M158" s="1">
        <f>'Paste cell here'!T158</f>
        <v/>
      </c>
      <c r="N158" s="1">
        <f>'Paste cell here'!W158</f>
        <v/>
      </c>
      <c r="O158" s="1">
        <f>'Paste cell here'!U158</f>
        <v/>
      </c>
      <c r="P158" s="1">
        <f>O157</f>
        <v/>
      </c>
      <c r="Q158" s="1">
        <f>'Paste cell here'!V158</f>
        <v/>
      </c>
      <c r="R158" s="1">
        <f>ABS(O157+C158+D158+N158+Q157-H158-I158-K158-L158-M158-O158-Q158)</f>
        <v/>
      </c>
      <c r="S158" s="7">
        <f>Sintesi!$C$30</f>
        <v/>
      </c>
      <c r="T158" s="7">
        <f>Sintesi!$C$29</f>
        <v/>
      </c>
      <c r="U158" s="5">
        <f>O158/(Sintesi!$C$5*1000)</f>
        <v/>
      </c>
      <c r="V158" s="1">
        <f>T158-S158</f>
        <v/>
      </c>
      <c r="W158" s="1" t="n">
        <v>0.482468186636001</v>
      </c>
      <c r="X158" s="1">
        <f>W158*V158</f>
        <v/>
      </c>
      <c r="Y158" s="1">
        <f>T158-X158</f>
        <v/>
      </c>
      <c r="Z158" s="1">
        <f>'Paste cellinfo here'!$B$11</f>
        <v/>
      </c>
    </row>
    <row r="159">
      <c r="A159" s="1" t="n">
        <v>158</v>
      </c>
      <c r="B159" s="2">
        <f>DATE(Sintesi!$C$4-1,12,31)+A159</f>
        <v/>
      </c>
      <c r="C159" s="1">
        <f>'Paste cell here'!B159</f>
        <v/>
      </c>
      <c r="D159" s="1">
        <f>'Paste cell here'!I159</f>
        <v/>
      </c>
      <c r="E159" s="1">
        <f>'Paste cell here'!J159</f>
        <v/>
      </c>
      <c r="F159" s="1">
        <f>'Paste cell here'!K159</f>
        <v/>
      </c>
      <c r="G159" s="1">
        <f>'Paste cell here'!L159</f>
        <v/>
      </c>
      <c r="H159" s="1">
        <f>'Paste cell here'!M159</f>
        <v/>
      </c>
      <c r="I159" s="1">
        <f>'Paste cell here'!N159</f>
        <v/>
      </c>
      <c r="J159" s="1">
        <f>'Paste cell here'!O159</f>
        <v/>
      </c>
      <c r="K159" s="1">
        <f>'Paste cell here'!Q159</f>
        <v/>
      </c>
      <c r="L159" s="1">
        <f>'Paste cell here'!S159</f>
        <v/>
      </c>
      <c r="M159" s="1">
        <f>'Paste cell here'!T159</f>
        <v/>
      </c>
      <c r="N159" s="1">
        <f>'Paste cell here'!W159</f>
        <v/>
      </c>
      <c r="O159" s="1">
        <f>'Paste cell here'!U159</f>
        <v/>
      </c>
      <c r="P159" s="1">
        <f>O158</f>
        <v/>
      </c>
      <c r="Q159" s="1">
        <f>'Paste cell here'!V159</f>
        <v/>
      </c>
      <c r="R159" s="1">
        <f>ABS(O158+C159+D159+N159+Q158-H159-I159-K159-L159-M159-O159-Q159)</f>
        <v/>
      </c>
      <c r="S159" s="7">
        <f>Sintesi!$C$30</f>
        <v/>
      </c>
      <c r="T159" s="7">
        <f>Sintesi!$C$29</f>
        <v/>
      </c>
      <c r="U159" s="5">
        <f>O159/(Sintesi!$C$5*1000)</f>
        <v/>
      </c>
      <c r="V159" s="1">
        <f>T159-S159</f>
        <v/>
      </c>
      <c r="W159" s="1" t="n">
        <v>0.528325170829213</v>
      </c>
      <c r="X159" s="1">
        <f>W159*V159</f>
        <v/>
      </c>
      <c r="Y159" s="1">
        <f>T159-X159</f>
        <v/>
      </c>
      <c r="Z159" s="1">
        <f>'Paste cellinfo here'!$B$11</f>
        <v/>
      </c>
    </row>
    <row r="160">
      <c r="A160" s="1" t="n">
        <v>159</v>
      </c>
      <c r="B160" s="2">
        <f>DATE(Sintesi!$C$4-1,12,31)+A160</f>
        <v/>
      </c>
      <c r="C160" s="1">
        <f>'Paste cell here'!B160</f>
        <v/>
      </c>
      <c r="D160" s="1">
        <f>'Paste cell here'!I160</f>
        <v/>
      </c>
      <c r="E160" s="1">
        <f>'Paste cell here'!J160</f>
        <v/>
      </c>
      <c r="F160" s="1">
        <f>'Paste cell here'!K160</f>
        <v/>
      </c>
      <c r="G160" s="1">
        <f>'Paste cell here'!L160</f>
        <v/>
      </c>
      <c r="H160" s="1">
        <f>'Paste cell here'!M160</f>
        <v/>
      </c>
      <c r="I160" s="1">
        <f>'Paste cell here'!N160</f>
        <v/>
      </c>
      <c r="J160" s="1">
        <f>'Paste cell here'!O160</f>
        <v/>
      </c>
      <c r="K160" s="1">
        <f>'Paste cell here'!Q160</f>
        <v/>
      </c>
      <c r="L160" s="1">
        <f>'Paste cell here'!S160</f>
        <v/>
      </c>
      <c r="M160" s="1">
        <f>'Paste cell here'!T160</f>
        <v/>
      </c>
      <c r="N160" s="1">
        <f>'Paste cell here'!W160</f>
        <v/>
      </c>
      <c r="O160" s="1">
        <f>'Paste cell here'!U160</f>
        <v/>
      </c>
      <c r="P160" s="1">
        <f>O159</f>
        <v/>
      </c>
      <c r="Q160" s="1">
        <f>'Paste cell here'!V160</f>
        <v/>
      </c>
      <c r="R160" s="1">
        <f>ABS(O159+C160+D160+N160+Q159-H160-I160-K160-L160-M160-O160-Q160)</f>
        <v/>
      </c>
      <c r="S160" s="7">
        <f>Sintesi!$C$30</f>
        <v/>
      </c>
      <c r="T160" s="7">
        <f>Sintesi!$C$29</f>
        <v/>
      </c>
      <c r="U160" s="5">
        <f>O160/(Sintesi!$C$5*1000)</f>
        <v/>
      </c>
      <c r="V160" s="1">
        <f>T160-S160</f>
        <v/>
      </c>
      <c r="W160" s="1" t="n">
        <v>0.480003232237911</v>
      </c>
      <c r="X160" s="1">
        <f>W160*V160</f>
        <v/>
      </c>
      <c r="Y160" s="1">
        <f>T160-X160</f>
        <v/>
      </c>
      <c r="Z160" s="1">
        <f>'Paste cellinfo here'!$B$11</f>
        <v/>
      </c>
    </row>
    <row r="161">
      <c r="A161" s="1" t="n">
        <v>160</v>
      </c>
      <c r="B161" s="2">
        <f>DATE(Sintesi!$C$4-1,12,31)+A161</f>
        <v/>
      </c>
      <c r="C161" s="1">
        <f>'Paste cell here'!B161</f>
        <v/>
      </c>
      <c r="D161" s="1">
        <f>'Paste cell here'!I161</f>
        <v/>
      </c>
      <c r="E161" s="1">
        <f>'Paste cell here'!J161</f>
        <v/>
      </c>
      <c r="F161" s="1">
        <f>'Paste cell here'!K161</f>
        <v/>
      </c>
      <c r="G161" s="1">
        <f>'Paste cell here'!L161</f>
        <v/>
      </c>
      <c r="H161" s="1">
        <f>'Paste cell here'!M161</f>
        <v/>
      </c>
      <c r="I161" s="1">
        <f>'Paste cell here'!N161</f>
        <v/>
      </c>
      <c r="J161" s="1">
        <f>'Paste cell here'!O161</f>
        <v/>
      </c>
      <c r="K161" s="1">
        <f>'Paste cell here'!Q161</f>
        <v/>
      </c>
      <c r="L161" s="1">
        <f>'Paste cell here'!S161</f>
        <v/>
      </c>
      <c r="M161" s="1">
        <f>'Paste cell here'!T161</f>
        <v/>
      </c>
      <c r="N161" s="1">
        <f>'Paste cell here'!W161</f>
        <v/>
      </c>
      <c r="O161" s="1">
        <f>'Paste cell here'!U161</f>
        <v/>
      </c>
      <c r="P161" s="1">
        <f>O160</f>
        <v/>
      </c>
      <c r="Q161" s="1">
        <f>'Paste cell here'!V161</f>
        <v/>
      </c>
      <c r="R161" s="1">
        <f>ABS(O160+C161+D161+N161+Q160-H161-I161-K161-L161-M161-O161-Q161)</f>
        <v/>
      </c>
      <c r="S161" s="7">
        <f>Sintesi!$C$30</f>
        <v/>
      </c>
      <c r="T161" s="7">
        <f>Sintesi!$C$29</f>
        <v/>
      </c>
      <c r="U161" s="5">
        <f>O161/(Sintesi!$C$5*1000)</f>
        <v/>
      </c>
      <c r="V161" s="1">
        <f>T161-S161</f>
        <v/>
      </c>
      <c r="W161" s="1" t="n">
        <v>0.476113676714723</v>
      </c>
      <c r="X161" s="1">
        <f>W161*V161</f>
        <v/>
      </c>
      <c r="Y161" s="1">
        <f>T161-X161</f>
        <v/>
      </c>
      <c r="Z161" s="1">
        <f>'Paste cellinfo here'!$B$11</f>
        <v/>
      </c>
    </row>
    <row r="162">
      <c r="A162" s="1" t="n">
        <v>161</v>
      </c>
      <c r="B162" s="2">
        <f>DATE(Sintesi!$C$4-1,12,31)+A162</f>
        <v/>
      </c>
      <c r="C162" s="1">
        <f>'Paste cell here'!B162</f>
        <v/>
      </c>
      <c r="D162" s="1">
        <f>'Paste cell here'!I162</f>
        <v/>
      </c>
      <c r="E162" s="1">
        <f>'Paste cell here'!J162</f>
        <v/>
      </c>
      <c r="F162" s="1">
        <f>'Paste cell here'!K162</f>
        <v/>
      </c>
      <c r="G162" s="1">
        <f>'Paste cell here'!L162</f>
        <v/>
      </c>
      <c r="H162" s="1">
        <f>'Paste cell here'!M162</f>
        <v/>
      </c>
      <c r="I162" s="1">
        <f>'Paste cell here'!N162</f>
        <v/>
      </c>
      <c r="J162" s="1">
        <f>'Paste cell here'!O162</f>
        <v/>
      </c>
      <c r="K162" s="1">
        <f>'Paste cell here'!Q162</f>
        <v/>
      </c>
      <c r="L162" s="1">
        <f>'Paste cell here'!S162</f>
        <v/>
      </c>
      <c r="M162" s="1">
        <f>'Paste cell here'!T162</f>
        <v/>
      </c>
      <c r="N162" s="1">
        <f>'Paste cell here'!W162</f>
        <v/>
      </c>
      <c r="O162" s="1">
        <f>'Paste cell here'!U162</f>
        <v/>
      </c>
      <c r="P162" s="1">
        <f>O161</f>
        <v/>
      </c>
      <c r="Q162" s="1">
        <f>'Paste cell here'!V162</f>
        <v/>
      </c>
      <c r="R162" s="1">
        <f>ABS(O161+C162+D162+N162+Q161-H162-I162-K162-L162-M162-O162-Q162)</f>
        <v/>
      </c>
      <c r="S162" s="7">
        <f>Sintesi!$C$30</f>
        <v/>
      </c>
      <c r="T162" s="7">
        <f>Sintesi!$C$29</f>
        <v/>
      </c>
      <c r="U162" s="5">
        <f>O162/(Sintesi!$C$5*1000)</f>
        <v/>
      </c>
      <c r="V162" s="1">
        <f>T162-S162</f>
        <v/>
      </c>
      <c r="W162" s="1" t="n">
        <v>0.456304503063854</v>
      </c>
      <c r="X162" s="1">
        <f>W162*V162</f>
        <v/>
      </c>
      <c r="Y162" s="1">
        <f>T162-X162</f>
        <v/>
      </c>
      <c r="Z162" s="1">
        <f>'Paste cellinfo here'!$B$11</f>
        <v/>
      </c>
    </row>
    <row r="163">
      <c r="A163" s="1" t="n">
        <v>162</v>
      </c>
      <c r="B163" s="2">
        <f>DATE(Sintesi!$C$4-1,12,31)+A163</f>
        <v/>
      </c>
      <c r="C163" s="1">
        <f>'Paste cell here'!B163</f>
        <v/>
      </c>
      <c r="D163" s="1">
        <f>'Paste cell here'!I163</f>
        <v/>
      </c>
      <c r="E163" s="1">
        <f>'Paste cell here'!J163</f>
        <v/>
      </c>
      <c r="F163" s="1">
        <f>'Paste cell here'!K163</f>
        <v/>
      </c>
      <c r="G163" s="1">
        <f>'Paste cell here'!L163</f>
        <v/>
      </c>
      <c r="H163" s="1">
        <f>'Paste cell here'!M163</f>
        <v/>
      </c>
      <c r="I163" s="1">
        <f>'Paste cell here'!N163</f>
        <v/>
      </c>
      <c r="J163" s="1">
        <f>'Paste cell here'!O163</f>
        <v/>
      </c>
      <c r="K163" s="1">
        <f>'Paste cell here'!Q163</f>
        <v/>
      </c>
      <c r="L163" s="1">
        <f>'Paste cell here'!S163</f>
        <v/>
      </c>
      <c r="M163" s="1">
        <f>'Paste cell here'!T163</f>
        <v/>
      </c>
      <c r="N163" s="1">
        <f>'Paste cell here'!W163</f>
        <v/>
      </c>
      <c r="O163" s="1">
        <f>'Paste cell here'!U163</f>
        <v/>
      </c>
      <c r="P163" s="1">
        <f>O162</f>
        <v/>
      </c>
      <c r="Q163" s="1">
        <f>'Paste cell here'!V163</f>
        <v/>
      </c>
      <c r="R163" s="1">
        <f>ABS(O162+C163+D163+N163+Q162-H163-I163-K163-L163-M163-O163-Q163)</f>
        <v/>
      </c>
      <c r="S163" s="7">
        <f>Sintesi!$C$30</f>
        <v/>
      </c>
      <c r="T163" s="7">
        <f>Sintesi!$C$29</f>
        <v/>
      </c>
      <c r="U163" s="5">
        <f>O163/(Sintesi!$C$5*1000)</f>
        <v/>
      </c>
      <c r="V163" s="1">
        <f>T163-S163</f>
        <v/>
      </c>
      <c r="W163" s="1" t="n">
        <v>0.450047839020729</v>
      </c>
      <c r="X163" s="1">
        <f>W163*V163</f>
        <v/>
      </c>
      <c r="Y163" s="1">
        <f>T163-X163</f>
        <v/>
      </c>
      <c r="Z163" s="1">
        <f>'Paste cellinfo here'!$B$11</f>
        <v/>
      </c>
    </row>
    <row r="164">
      <c r="A164" s="1" t="n">
        <v>163</v>
      </c>
      <c r="B164" s="2">
        <f>DATE(Sintesi!$C$4-1,12,31)+A164</f>
        <v/>
      </c>
      <c r="C164" s="1">
        <f>'Paste cell here'!B164</f>
        <v/>
      </c>
      <c r="D164" s="1">
        <f>'Paste cell here'!I164</f>
        <v/>
      </c>
      <c r="E164" s="1">
        <f>'Paste cell here'!J164</f>
        <v/>
      </c>
      <c r="F164" s="1">
        <f>'Paste cell here'!K164</f>
        <v/>
      </c>
      <c r="G164" s="1">
        <f>'Paste cell here'!L164</f>
        <v/>
      </c>
      <c r="H164" s="1">
        <f>'Paste cell here'!M164</f>
        <v/>
      </c>
      <c r="I164" s="1">
        <f>'Paste cell here'!N164</f>
        <v/>
      </c>
      <c r="J164" s="1">
        <f>'Paste cell here'!O164</f>
        <v/>
      </c>
      <c r="K164" s="1">
        <f>'Paste cell here'!Q164</f>
        <v/>
      </c>
      <c r="L164" s="1">
        <f>'Paste cell here'!S164</f>
        <v/>
      </c>
      <c r="M164" s="1">
        <f>'Paste cell here'!T164</f>
        <v/>
      </c>
      <c r="N164" s="1">
        <f>'Paste cell here'!W164</f>
        <v/>
      </c>
      <c r="O164" s="1">
        <f>'Paste cell here'!U164</f>
        <v/>
      </c>
      <c r="P164" s="1">
        <f>O163</f>
        <v/>
      </c>
      <c r="Q164" s="1">
        <f>'Paste cell here'!V164</f>
        <v/>
      </c>
      <c r="R164" s="1">
        <f>ABS(O163+C164+D164+N164+Q163-H164-I164-K164-L164-M164-O164-Q164)</f>
        <v/>
      </c>
      <c r="S164" s="7">
        <f>Sintesi!$C$30</f>
        <v/>
      </c>
      <c r="T164" s="7">
        <f>Sintesi!$C$29</f>
        <v/>
      </c>
      <c r="U164" s="5">
        <f>O164/(Sintesi!$C$5*1000)</f>
        <v/>
      </c>
      <c r="V164" s="1">
        <f>T164-S164</f>
        <v/>
      </c>
      <c r="W164" s="1" t="n">
        <v>0.484049358854068</v>
      </c>
      <c r="X164" s="1">
        <f>W164*V164</f>
        <v/>
      </c>
      <c r="Y164" s="1">
        <f>T164-X164</f>
        <v/>
      </c>
      <c r="Z164" s="1">
        <f>'Paste cellinfo here'!$B$11</f>
        <v/>
      </c>
    </row>
    <row r="165">
      <c r="A165" s="1" t="n">
        <v>164</v>
      </c>
      <c r="B165" s="2">
        <f>DATE(Sintesi!$C$4-1,12,31)+A165</f>
        <v/>
      </c>
      <c r="C165" s="1">
        <f>'Paste cell here'!B165</f>
        <v/>
      </c>
      <c r="D165" s="1">
        <f>'Paste cell here'!I165</f>
        <v/>
      </c>
      <c r="E165" s="1">
        <f>'Paste cell here'!J165</f>
        <v/>
      </c>
      <c r="F165" s="1">
        <f>'Paste cell here'!K165</f>
        <v/>
      </c>
      <c r="G165" s="1">
        <f>'Paste cell here'!L165</f>
        <v/>
      </c>
      <c r="H165" s="1">
        <f>'Paste cell here'!M165</f>
        <v/>
      </c>
      <c r="I165" s="1">
        <f>'Paste cell here'!N165</f>
        <v/>
      </c>
      <c r="J165" s="1">
        <f>'Paste cell here'!O165</f>
        <v/>
      </c>
      <c r="K165" s="1">
        <f>'Paste cell here'!Q165</f>
        <v/>
      </c>
      <c r="L165" s="1">
        <f>'Paste cell here'!S165</f>
        <v/>
      </c>
      <c r="M165" s="1">
        <f>'Paste cell here'!T165</f>
        <v/>
      </c>
      <c r="N165" s="1">
        <f>'Paste cell here'!W165</f>
        <v/>
      </c>
      <c r="O165" s="1">
        <f>'Paste cell here'!U165</f>
        <v/>
      </c>
      <c r="P165" s="1">
        <f>O164</f>
        <v/>
      </c>
      <c r="Q165" s="1">
        <f>'Paste cell here'!V165</f>
        <v/>
      </c>
      <c r="R165" s="1">
        <f>ABS(O164+C165+D165+N165+Q164-H165-I165-K165-L165-M165-O165-Q165)</f>
        <v/>
      </c>
      <c r="S165" s="7">
        <f>Sintesi!$C$30</f>
        <v/>
      </c>
      <c r="T165" s="7">
        <f>Sintesi!$C$29</f>
        <v/>
      </c>
      <c r="U165" s="5">
        <f>O165/(Sintesi!$C$5*1000)</f>
        <v/>
      </c>
      <c r="V165" s="1">
        <f>T165-S165</f>
        <v/>
      </c>
      <c r="W165" s="1" t="n">
        <v>0.586391278378301</v>
      </c>
      <c r="X165" s="1">
        <f>W165*V165</f>
        <v/>
      </c>
      <c r="Y165" s="1">
        <f>T165-X165</f>
        <v/>
      </c>
      <c r="Z165" s="1">
        <f>'Paste cellinfo here'!$B$11</f>
        <v/>
      </c>
    </row>
    <row r="166">
      <c r="A166" s="1" t="n">
        <v>165</v>
      </c>
      <c r="B166" s="2">
        <f>DATE(Sintesi!$C$4-1,12,31)+A166</f>
        <v/>
      </c>
      <c r="C166" s="1">
        <f>'Paste cell here'!B166</f>
        <v/>
      </c>
      <c r="D166" s="1">
        <f>'Paste cell here'!I166</f>
        <v/>
      </c>
      <c r="E166" s="1">
        <f>'Paste cell here'!J166</f>
        <v/>
      </c>
      <c r="F166" s="1">
        <f>'Paste cell here'!K166</f>
        <v/>
      </c>
      <c r="G166" s="1">
        <f>'Paste cell here'!L166</f>
        <v/>
      </c>
      <c r="H166" s="1">
        <f>'Paste cell here'!M166</f>
        <v/>
      </c>
      <c r="I166" s="1">
        <f>'Paste cell here'!N166</f>
        <v/>
      </c>
      <c r="J166" s="1">
        <f>'Paste cell here'!O166</f>
        <v/>
      </c>
      <c r="K166" s="1">
        <f>'Paste cell here'!Q166</f>
        <v/>
      </c>
      <c r="L166" s="1">
        <f>'Paste cell here'!S166</f>
        <v/>
      </c>
      <c r="M166" s="1">
        <f>'Paste cell here'!T166</f>
        <v/>
      </c>
      <c r="N166" s="1">
        <f>'Paste cell here'!W166</f>
        <v/>
      </c>
      <c r="O166" s="1">
        <f>'Paste cell here'!U166</f>
        <v/>
      </c>
      <c r="P166" s="1">
        <f>O165</f>
        <v/>
      </c>
      <c r="Q166" s="1">
        <f>'Paste cell here'!V166</f>
        <v/>
      </c>
      <c r="R166" s="1">
        <f>ABS(O165+C166+D166+N166+Q165-H166-I166-K166-L166-M166-O166-Q166)</f>
        <v/>
      </c>
      <c r="S166" s="7">
        <f>Sintesi!$C$30</f>
        <v/>
      </c>
      <c r="T166" s="7">
        <f>Sintesi!$C$29</f>
        <v/>
      </c>
      <c r="U166" s="5">
        <f>O166/(Sintesi!$C$5*1000)</f>
        <v/>
      </c>
      <c r="V166" s="1">
        <f>T166-S166</f>
        <v/>
      </c>
      <c r="W166" s="1" t="n">
        <v>0.429757076978276</v>
      </c>
      <c r="X166" s="1">
        <f>W166*V166</f>
        <v/>
      </c>
      <c r="Y166" s="1">
        <f>T166-X166</f>
        <v/>
      </c>
      <c r="Z166" s="1">
        <f>'Paste cellinfo here'!$B$11</f>
        <v/>
      </c>
    </row>
    <row r="167">
      <c r="A167" s="1" t="n">
        <v>166</v>
      </c>
      <c r="B167" s="2">
        <f>DATE(Sintesi!$C$4-1,12,31)+A167</f>
        <v/>
      </c>
      <c r="C167" s="1">
        <f>'Paste cell here'!B167</f>
        <v/>
      </c>
      <c r="D167" s="1">
        <f>'Paste cell here'!I167</f>
        <v/>
      </c>
      <c r="E167" s="1">
        <f>'Paste cell here'!J167</f>
        <v/>
      </c>
      <c r="F167" s="1">
        <f>'Paste cell here'!K167</f>
        <v/>
      </c>
      <c r="G167" s="1">
        <f>'Paste cell here'!L167</f>
        <v/>
      </c>
      <c r="H167" s="1">
        <f>'Paste cell here'!M167</f>
        <v/>
      </c>
      <c r="I167" s="1">
        <f>'Paste cell here'!N167</f>
        <v/>
      </c>
      <c r="J167" s="1">
        <f>'Paste cell here'!O167</f>
        <v/>
      </c>
      <c r="K167" s="1">
        <f>'Paste cell here'!Q167</f>
        <v/>
      </c>
      <c r="L167" s="1">
        <f>'Paste cell here'!S167</f>
        <v/>
      </c>
      <c r="M167" s="1">
        <f>'Paste cell here'!T167</f>
        <v/>
      </c>
      <c r="N167" s="1">
        <f>'Paste cell here'!W167</f>
        <v/>
      </c>
      <c r="O167" s="1">
        <f>'Paste cell here'!U167</f>
        <v/>
      </c>
      <c r="P167" s="1">
        <f>O166</f>
        <v/>
      </c>
      <c r="Q167" s="1">
        <f>'Paste cell here'!V167</f>
        <v/>
      </c>
      <c r="R167" s="1">
        <f>ABS(O166+C167+D167+N167+Q166-H167-I167-K167-L167-M167-O167-Q167)</f>
        <v/>
      </c>
      <c r="S167" s="7">
        <f>Sintesi!$C$30</f>
        <v/>
      </c>
      <c r="T167" s="7">
        <f>Sintesi!$C$29</f>
        <v/>
      </c>
      <c r="U167" s="5">
        <f>O167/(Sintesi!$C$5*1000)</f>
        <v/>
      </c>
      <c r="V167" s="1">
        <f>T167-S167</f>
        <v/>
      </c>
      <c r="W167" s="1" t="n">
        <v>0.424621640205633</v>
      </c>
      <c r="X167" s="1">
        <f>W167*V167</f>
        <v/>
      </c>
      <c r="Y167" s="1">
        <f>T167-X167</f>
        <v/>
      </c>
      <c r="Z167" s="1">
        <f>'Paste cellinfo here'!$B$11</f>
        <v/>
      </c>
    </row>
    <row r="168">
      <c r="A168" s="1" t="n">
        <v>167</v>
      </c>
      <c r="B168" s="2">
        <f>DATE(Sintesi!$C$4-1,12,31)+A168</f>
        <v/>
      </c>
      <c r="C168" s="1">
        <f>'Paste cell here'!B168</f>
        <v/>
      </c>
      <c r="D168" s="1">
        <f>'Paste cell here'!I168</f>
        <v/>
      </c>
      <c r="E168" s="1">
        <f>'Paste cell here'!J168</f>
        <v/>
      </c>
      <c r="F168" s="1">
        <f>'Paste cell here'!K168</f>
        <v/>
      </c>
      <c r="G168" s="1">
        <f>'Paste cell here'!L168</f>
        <v/>
      </c>
      <c r="H168" s="1">
        <f>'Paste cell here'!M168</f>
        <v/>
      </c>
      <c r="I168" s="1">
        <f>'Paste cell here'!N168</f>
        <v/>
      </c>
      <c r="J168" s="1">
        <f>'Paste cell here'!O168</f>
        <v/>
      </c>
      <c r="K168" s="1">
        <f>'Paste cell here'!Q168</f>
        <v/>
      </c>
      <c r="L168" s="1">
        <f>'Paste cell here'!S168</f>
        <v/>
      </c>
      <c r="M168" s="1">
        <f>'Paste cell here'!T168</f>
        <v/>
      </c>
      <c r="N168" s="1">
        <f>'Paste cell here'!W168</f>
        <v/>
      </c>
      <c r="O168" s="1">
        <f>'Paste cell here'!U168</f>
        <v/>
      </c>
      <c r="P168" s="1">
        <f>O167</f>
        <v/>
      </c>
      <c r="Q168" s="1">
        <f>'Paste cell here'!V168</f>
        <v/>
      </c>
      <c r="R168" s="1">
        <f>ABS(O167+C168+D168+N168+Q167-H168-I168-K168-L168-M168-O168-Q168)</f>
        <v/>
      </c>
      <c r="S168" s="7">
        <f>Sintesi!$C$30</f>
        <v/>
      </c>
      <c r="T168" s="7">
        <f>Sintesi!$C$29</f>
        <v/>
      </c>
      <c r="U168" s="5">
        <f>O168/(Sintesi!$C$5*1000)</f>
        <v/>
      </c>
      <c r="V168" s="1">
        <f>T168-S168</f>
        <v/>
      </c>
      <c r="W168" s="1" t="n">
        <v>0.469394470881638</v>
      </c>
      <c r="X168" s="1">
        <f>W168*V168</f>
        <v/>
      </c>
      <c r="Y168" s="1">
        <f>T168-X168</f>
        <v/>
      </c>
      <c r="Z168" s="1">
        <f>'Paste cellinfo here'!$B$11</f>
        <v/>
      </c>
    </row>
    <row r="169">
      <c r="A169" s="1" t="n">
        <v>168</v>
      </c>
      <c r="B169" s="2">
        <f>DATE(Sintesi!$C$4-1,12,31)+A169</f>
        <v/>
      </c>
      <c r="C169" s="1">
        <f>'Paste cell here'!B169</f>
        <v/>
      </c>
      <c r="D169" s="1">
        <f>'Paste cell here'!I169</f>
        <v/>
      </c>
      <c r="E169" s="1">
        <f>'Paste cell here'!J169</f>
        <v/>
      </c>
      <c r="F169" s="1">
        <f>'Paste cell here'!K169</f>
        <v/>
      </c>
      <c r="G169" s="1">
        <f>'Paste cell here'!L169</f>
        <v/>
      </c>
      <c r="H169" s="1">
        <f>'Paste cell here'!M169</f>
        <v/>
      </c>
      <c r="I169" s="1">
        <f>'Paste cell here'!N169</f>
        <v/>
      </c>
      <c r="J169" s="1">
        <f>'Paste cell here'!O169</f>
        <v/>
      </c>
      <c r="K169" s="1">
        <f>'Paste cell here'!Q169</f>
        <v/>
      </c>
      <c r="L169" s="1">
        <f>'Paste cell here'!S169</f>
        <v/>
      </c>
      <c r="M169" s="1">
        <f>'Paste cell here'!T169</f>
        <v/>
      </c>
      <c r="N169" s="1">
        <f>'Paste cell here'!W169</f>
        <v/>
      </c>
      <c r="O169" s="1">
        <f>'Paste cell here'!U169</f>
        <v/>
      </c>
      <c r="P169" s="1">
        <f>O168</f>
        <v/>
      </c>
      <c r="Q169" s="1">
        <f>'Paste cell here'!V169</f>
        <v/>
      </c>
      <c r="R169" s="1">
        <f>ABS(O168+C169+D169+N169+Q168-H169-I169-K169-L169-M169-O169-Q169)</f>
        <v/>
      </c>
      <c r="S169" s="7">
        <f>Sintesi!$C$30</f>
        <v/>
      </c>
      <c r="T169" s="7">
        <f>Sintesi!$C$29</f>
        <v/>
      </c>
      <c r="U169" s="5">
        <f>O169/(Sintesi!$C$5*1000)</f>
        <v/>
      </c>
      <c r="V169" s="1">
        <f>T169-S169</f>
        <v/>
      </c>
      <c r="W169" s="1" t="n">
        <v>0.436828608031821</v>
      </c>
      <c r="X169" s="1">
        <f>W169*V169</f>
        <v/>
      </c>
      <c r="Y169" s="1">
        <f>T169-X169</f>
        <v/>
      </c>
      <c r="Z169" s="1">
        <f>'Paste cellinfo here'!$B$11</f>
        <v/>
      </c>
    </row>
    <row r="170">
      <c r="A170" s="1" t="n">
        <v>169</v>
      </c>
      <c r="B170" s="2">
        <f>DATE(Sintesi!$C$4-1,12,31)+A170</f>
        <v/>
      </c>
      <c r="C170" s="1">
        <f>'Paste cell here'!B170</f>
        <v/>
      </c>
      <c r="D170" s="1">
        <f>'Paste cell here'!I170</f>
        <v/>
      </c>
      <c r="E170" s="1">
        <f>'Paste cell here'!J170</f>
        <v/>
      </c>
      <c r="F170" s="1">
        <f>'Paste cell here'!K170</f>
        <v/>
      </c>
      <c r="G170" s="1">
        <f>'Paste cell here'!L170</f>
        <v/>
      </c>
      <c r="H170" s="1">
        <f>'Paste cell here'!M170</f>
        <v/>
      </c>
      <c r="I170" s="1">
        <f>'Paste cell here'!N170</f>
        <v/>
      </c>
      <c r="J170" s="1">
        <f>'Paste cell here'!O170</f>
        <v/>
      </c>
      <c r="K170" s="1">
        <f>'Paste cell here'!Q170</f>
        <v/>
      </c>
      <c r="L170" s="1">
        <f>'Paste cell here'!S170</f>
        <v/>
      </c>
      <c r="M170" s="1">
        <f>'Paste cell here'!T170</f>
        <v/>
      </c>
      <c r="N170" s="1">
        <f>'Paste cell here'!W170</f>
        <v/>
      </c>
      <c r="O170" s="1">
        <f>'Paste cell here'!U170</f>
        <v/>
      </c>
      <c r="P170" s="1">
        <f>O169</f>
        <v/>
      </c>
      <c r="Q170" s="1">
        <f>'Paste cell here'!V170</f>
        <v/>
      </c>
      <c r="R170" s="1">
        <f>ABS(O169+C170+D170+N170+Q169-H170-I170-K170-L170-M170-O170-Q170)</f>
        <v/>
      </c>
      <c r="S170" s="7">
        <f>Sintesi!$C$30</f>
        <v/>
      </c>
      <c r="T170" s="7">
        <f>Sintesi!$C$29</f>
        <v/>
      </c>
      <c r="U170" s="5">
        <f>O170/(Sintesi!$C$5*1000)</f>
        <v/>
      </c>
      <c r="V170" s="1">
        <f>T170-S170</f>
        <v/>
      </c>
      <c r="W170" s="1" t="n">
        <v>0.434988011204792</v>
      </c>
      <c r="X170" s="1">
        <f>W170*V170</f>
        <v/>
      </c>
      <c r="Y170" s="1">
        <f>T170-X170</f>
        <v/>
      </c>
      <c r="Z170" s="1">
        <f>'Paste cellinfo here'!$B$11</f>
        <v/>
      </c>
    </row>
    <row r="171">
      <c r="A171" s="1" t="n">
        <v>170</v>
      </c>
      <c r="B171" s="2">
        <f>DATE(Sintesi!$C$4-1,12,31)+A171</f>
        <v/>
      </c>
      <c r="C171" s="1">
        <f>'Paste cell here'!B171</f>
        <v/>
      </c>
      <c r="D171" s="1">
        <f>'Paste cell here'!I171</f>
        <v/>
      </c>
      <c r="E171" s="1">
        <f>'Paste cell here'!J171</f>
        <v/>
      </c>
      <c r="F171" s="1">
        <f>'Paste cell here'!K171</f>
        <v/>
      </c>
      <c r="G171" s="1">
        <f>'Paste cell here'!L171</f>
        <v/>
      </c>
      <c r="H171" s="1">
        <f>'Paste cell here'!M171</f>
        <v/>
      </c>
      <c r="I171" s="1">
        <f>'Paste cell here'!N171</f>
        <v/>
      </c>
      <c r="J171" s="1">
        <f>'Paste cell here'!O171</f>
        <v/>
      </c>
      <c r="K171" s="1">
        <f>'Paste cell here'!Q171</f>
        <v/>
      </c>
      <c r="L171" s="1">
        <f>'Paste cell here'!S171</f>
        <v/>
      </c>
      <c r="M171" s="1">
        <f>'Paste cell here'!T171</f>
        <v/>
      </c>
      <c r="N171" s="1">
        <f>'Paste cell here'!W171</f>
        <v/>
      </c>
      <c r="O171" s="1">
        <f>'Paste cell here'!U171</f>
        <v/>
      </c>
      <c r="P171" s="1">
        <f>O170</f>
        <v/>
      </c>
      <c r="Q171" s="1">
        <f>'Paste cell here'!V171</f>
        <v/>
      </c>
      <c r="R171" s="1">
        <f>ABS(O170+C171+D171+N171+Q170-H171-I171-K171-L171-M171-O171-Q171)</f>
        <v/>
      </c>
      <c r="S171" s="7">
        <f>Sintesi!$C$30</f>
        <v/>
      </c>
      <c r="T171" s="7">
        <f>Sintesi!$C$29</f>
        <v/>
      </c>
      <c r="U171" s="5">
        <f>O171/(Sintesi!$C$5*1000)</f>
        <v/>
      </c>
      <c r="V171" s="1">
        <f>T171-S171</f>
        <v/>
      </c>
      <c r="W171" s="1" t="n">
        <v>0.46867410807188</v>
      </c>
      <c r="X171" s="1">
        <f>W171*V171</f>
        <v/>
      </c>
      <c r="Y171" s="1">
        <f>T171-X171</f>
        <v/>
      </c>
      <c r="Z171" s="1">
        <f>'Paste cellinfo here'!$B$11</f>
        <v/>
      </c>
    </row>
    <row r="172">
      <c r="A172" s="1" t="n">
        <v>171</v>
      </c>
      <c r="B172" s="2">
        <f>DATE(Sintesi!$C$4-1,12,31)+A172</f>
        <v/>
      </c>
      <c r="C172" s="1">
        <f>'Paste cell here'!B172</f>
        <v/>
      </c>
      <c r="D172" s="1">
        <f>'Paste cell here'!I172</f>
        <v/>
      </c>
      <c r="E172" s="1">
        <f>'Paste cell here'!J172</f>
        <v/>
      </c>
      <c r="F172" s="1">
        <f>'Paste cell here'!K172</f>
        <v/>
      </c>
      <c r="G172" s="1">
        <f>'Paste cell here'!L172</f>
        <v/>
      </c>
      <c r="H172" s="1">
        <f>'Paste cell here'!M172</f>
        <v/>
      </c>
      <c r="I172" s="1">
        <f>'Paste cell here'!N172</f>
        <v/>
      </c>
      <c r="J172" s="1">
        <f>'Paste cell here'!O172</f>
        <v/>
      </c>
      <c r="K172" s="1">
        <f>'Paste cell here'!Q172</f>
        <v/>
      </c>
      <c r="L172" s="1">
        <f>'Paste cell here'!S172</f>
        <v/>
      </c>
      <c r="M172" s="1">
        <f>'Paste cell here'!T172</f>
        <v/>
      </c>
      <c r="N172" s="1">
        <f>'Paste cell here'!W172</f>
        <v/>
      </c>
      <c r="O172" s="1">
        <f>'Paste cell here'!U172</f>
        <v/>
      </c>
      <c r="P172" s="1">
        <f>O171</f>
        <v/>
      </c>
      <c r="Q172" s="1">
        <f>'Paste cell here'!V172</f>
        <v/>
      </c>
      <c r="R172" s="1">
        <f>ABS(O171+C172+D172+N172+Q171-H172-I172-K172-L172-M172-O172-Q172)</f>
        <v/>
      </c>
      <c r="S172" s="7">
        <f>Sintesi!$C$30</f>
        <v/>
      </c>
      <c r="T172" s="7">
        <f>Sintesi!$C$29</f>
        <v/>
      </c>
      <c r="U172" s="5">
        <f>O172/(Sintesi!$C$5*1000)</f>
        <v/>
      </c>
      <c r="V172" s="1">
        <f>T172-S172</f>
        <v/>
      </c>
      <c r="W172" s="1" t="n">
        <v>0.447797560365187</v>
      </c>
      <c r="X172" s="1">
        <f>W172*V172</f>
        <v/>
      </c>
      <c r="Y172" s="1">
        <f>T172-X172</f>
        <v/>
      </c>
      <c r="Z172" s="1">
        <f>'Paste cellinfo here'!$B$11</f>
        <v/>
      </c>
    </row>
    <row r="173">
      <c r="A173" s="1" t="n">
        <v>172</v>
      </c>
      <c r="B173" s="2">
        <f>DATE(Sintesi!$C$4-1,12,31)+A173</f>
        <v/>
      </c>
      <c r="C173" s="1">
        <f>'Paste cell here'!B173</f>
        <v/>
      </c>
      <c r="D173" s="1">
        <f>'Paste cell here'!I173</f>
        <v/>
      </c>
      <c r="E173" s="1">
        <f>'Paste cell here'!J173</f>
        <v/>
      </c>
      <c r="F173" s="1">
        <f>'Paste cell here'!K173</f>
        <v/>
      </c>
      <c r="G173" s="1">
        <f>'Paste cell here'!L173</f>
        <v/>
      </c>
      <c r="H173" s="1">
        <f>'Paste cell here'!M173</f>
        <v/>
      </c>
      <c r="I173" s="1">
        <f>'Paste cell here'!N173</f>
        <v/>
      </c>
      <c r="J173" s="1">
        <f>'Paste cell here'!O173</f>
        <v/>
      </c>
      <c r="K173" s="1">
        <f>'Paste cell here'!Q173</f>
        <v/>
      </c>
      <c r="L173" s="1">
        <f>'Paste cell here'!S173</f>
        <v/>
      </c>
      <c r="M173" s="1">
        <f>'Paste cell here'!T173</f>
        <v/>
      </c>
      <c r="N173" s="1">
        <f>'Paste cell here'!W173</f>
        <v/>
      </c>
      <c r="O173" s="1">
        <f>'Paste cell here'!U173</f>
        <v/>
      </c>
      <c r="P173" s="1">
        <f>O172</f>
        <v/>
      </c>
      <c r="Q173" s="1">
        <f>'Paste cell here'!V173</f>
        <v/>
      </c>
      <c r="R173" s="1">
        <f>ABS(O172+C173+D173+N173+Q172-H173-I173-K173-L173-M173-O173-Q173)</f>
        <v/>
      </c>
      <c r="S173" s="7">
        <f>Sintesi!$C$30</f>
        <v/>
      </c>
      <c r="T173" s="7">
        <f>Sintesi!$C$29</f>
        <v/>
      </c>
      <c r="U173" s="5">
        <f>O173/(Sintesi!$C$5*1000)</f>
        <v/>
      </c>
      <c r="V173" s="1">
        <f>T173-S173</f>
        <v/>
      </c>
      <c r="W173" s="1" t="n">
        <v>0.513386305429429</v>
      </c>
      <c r="X173" s="1">
        <f>W173*V173</f>
        <v/>
      </c>
      <c r="Y173" s="1">
        <f>T173-X173</f>
        <v/>
      </c>
      <c r="Z173" s="1">
        <f>'Paste cellinfo here'!$B$11</f>
        <v/>
      </c>
    </row>
    <row r="174">
      <c r="A174" s="1" t="n">
        <v>173</v>
      </c>
      <c r="B174" s="2">
        <f>DATE(Sintesi!$C$4-1,12,31)+A174</f>
        <v/>
      </c>
      <c r="C174" s="1">
        <f>'Paste cell here'!B174</f>
        <v/>
      </c>
      <c r="D174" s="1">
        <f>'Paste cell here'!I174</f>
        <v/>
      </c>
      <c r="E174" s="1">
        <f>'Paste cell here'!J174</f>
        <v/>
      </c>
      <c r="F174" s="1">
        <f>'Paste cell here'!K174</f>
        <v/>
      </c>
      <c r="G174" s="1">
        <f>'Paste cell here'!L174</f>
        <v/>
      </c>
      <c r="H174" s="1">
        <f>'Paste cell here'!M174</f>
        <v/>
      </c>
      <c r="I174" s="1">
        <f>'Paste cell here'!N174</f>
        <v/>
      </c>
      <c r="J174" s="1">
        <f>'Paste cell here'!O174</f>
        <v/>
      </c>
      <c r="K174" s="1">
        <f>'Paste cell here'!Q174</f>
        <v/>
      </c>
      <c r="L174" s="1">
        <f>'Paste cell here'!S174</f>
        <v/>
      </c>
      <c r="M174" s="1">
        <f>'Paste cell here'!T174</f>
        <v/>
      </c>
      <c r="N174" s="1">
        <f>'Paste cell here'!W174</f>
        <v/>
      </c>
      <c r="O174" s="1">
        <f>'Paste cell here'!U174</f>
        <v/>
      </c>
      <c r="P174" s="1">
        <f>O173</f>
        <v/>
      </c>
      <c r="Q174" s="1">
        <f>'Paste cell here'!V174</f>
        <v/>
      </c>
      <c r="R174" s="1">
        <f>ABS(O173+C174+D174+N174+Q173-H174-I174-K174-L174-M174-O174-Q174)</f>
        <v/>
      </c>
      <c r="S174" s="7">
        <f>Sintesi!$C$30</f>
        <v/>
      </c>
      <c r="T174" s="7">
        <f>Sintesi!$C$29</f>
        <v/>
      </c>
      <c r="U174" s="5">
        <f>O174/(Sintesi!$C$5*1000)</f>
        <v/>
      </c>
      <c r="V174" s="1">
        <f>T174-S174</f>
        <v/>
      </c>
      <c r="W174" s="1" t="n">
        <v>0.450384590113819</v>
      </c>
      <c r="X174" s="1">
        <f>W174*V174</f>
        <v/>
      </c>
      <c r="Y174" s="1">
        <f>T174-X174</f>
        <v/>
      </c>
      <c r="Z174" s="1">
        <f>'Paste cellinfo here'!$B$11</f>
        <v/>
      </c>
    </row>
    <row r="175">
      <c r="A175" s="1" t="n">
        <v>174</v>
      </c>
      <c r="B175" s="2">
        <f>DATE(Sintesi!$C$4-1,12,31)+A175</f>
        <v/>
      </c>
      <c r="C175" s="1">
        <f>'Paste cell here'!B175</f>
        <v/>
      </c>
      <c r="D175" s="1">
        <f>'Paste cell here'!I175</f>
        <v/>
      </c>
      <c r="E175" s="1">
        <f>'Paste cell here'!J175</f>
        <v/>
      </c>
      <c r="F175" s="1">
        <f>'Paste cell here'!K175</f>
        <v/>
      </c>
      <c r="G175" s="1">
        <f>'Paste cell here'!L175</f>
        <v/>
      </c>
      <c r="H175" s="1">
        <f>'Paste cell here'!M175</f>
        <v/>
      </c>
      <c r="I175" s="1">
        <f>'Paste cell here'!N175</f>
        <v/>
      </c>
      <c r="J175" s="1">
        <f>'Paste cell here'!O175</f>
        <v/>
      </c>
      <c r="K175" s="1">
        <f>'Paste cell here'!Q175</f>
        <v/>
      </c>
      <c r="L175" s="1">
        <f>'Paste cell here'!S175</f>
        <v/>
      </c>
      <c r="M175" s="1">
        <f>'Paste cell here'!T175</f>
        <v/>
      </c>
      <c r="N175" s="1">
        <f>'Paste cell here'!W175</f>
        <v/>
      </c>
      <c r="O175" s="1">
        <f>'Paste cell here'!U175</f>
        <v/>
      </c>
      <c r="P175" s="1">
        <f>O174</f>
        <v/>
      </c>
      <c r="Q175" s="1">
        <f>'Paste cell here'!V175</f>
        <v/>
      </c>
      <c r="R175" s="1">
        <f>ABS(O174+C175+D175+N175+Q174-H175-I175-K175-L175-M175-O175-Q175)</f>
        <v/>
      </c>
      <c r="S175" s="7">
        <f>Sintesi!$C$30</f>
        <v/>
      </c>
      <c r="T175" s="7">
        <f>Sintesi!$C$29</f>
        <v/>
      </c>
      <c r="U175" s="5">
        <f>O175/(Sintesi!$C$5*1000)</f>
        <v/>
      </c>
      <c r="V175" s="1">
        <f>T175-S175</f>
        <v/>
      </c>
      <c r="W175" s="1" t="n">
        <v>0.544110039248721</v>
      </c>
      <c r="X175" s="1">
        <f>W175*V175</f>
        <v/>
      </c>
      <c r="Y175" s="1">
        <f>T175-X175</f>
        <v/>
      </c>
      <c r="Z175" s="1">
        <f>'Paste cellinfo here'!$B$11</f>
        <v/>
      </c>
    </row>
    <row r="176">
      <c r="A176" s="1" t="n">
        <v>175</v>
      </c>
      <c r="B176" s="2">
        <f>DATE(Sintesi!$C$4-1,12,31)+A176</f>
        <v/>
      </c>
      <c r="C176" s="1">
        <f>'Paste cell here'!B176</f>
        <v/>
      </c>
      <c r="D176" s="1">
        <f>'Paste cell here'!I176</f>
        <v/>
      </c>
      <c r="E176" s="1">
        <f>'Paste cell here'!J176</f>
        <v/>
      </c>
      <c r="F176" s="1">
        <f>'Paste cell here'!K176</f>
        <v/>
      </c>
      <c r="G176" s="1">
        <f>'Paste cell here'!L176</f>
        <v/>
      </c>
      <c r="H176" s="1">
        <f>'Paste cell here'!M176</f>
        <v/>
      </c>
      <c r="I176" s="1">
        <f>'Paste cell here'!N176</f>
        <v/>
      </c>
      <c r="J176" s="1">
        <f>'Paste cell here'!O176</f>
        <v/>
      </c>
      <c r="K176" s="1">
        <f>'Paste cell here'!Q176</f>
        <v/>
      </c>
      <c r="L176" s="1">
        <f>'Paste cell here'!S176</f>
        <v/>
      </c>
      <c r="M176" s="1">
        <f>'Paste cell here'!T176</f>
        <v/>
      </c>
      <c r="N176" s="1">
        <f>'Paste cell here'!W176</f>
        <v/>
      </c>
      <c r="O176" s="1">
        <f>'Paste cell here'!U176</f>
        <v/>
      </c>
      <c r="P176" s="1">
        <f>O175</f>
        <v/>
      </c>
      <c r="Q176" s="1">
        <f>'Paste cell here'!V176</f>
        <v/>
      </c>
      <c r="R176" s="1">
        <f>ABS(O175+C176+D176+N176+Q175-H176-I176-K176-L176-M176-O176-Q176)</f>
        <v/>
      </c>
      <c r="S176" s="7">
        <f>Sintesi!$C$30</f>
        <v/>
      </c>
      <c r="T176" s="7">
        <f>Sintesi!$C$29</f>
        <v/>
      </c>
      <c r="U176" s="5">
        <f>O176/(Sintesi!$C$5*1000)</f>
        <v/>
      </c>
      <c r="V176" s="1">
        <f>T176-S176</f>
        <v/>
      </c>
      <c r="W176" s="1" t="n">
        <v>0.469196236835169</v>
      </c>
      <c r="X176" s="1">
        <f>W176*V176</f>
        <v/>
      </c>
      <c r="Y176" s="1">
        <f>T176-X176</f>
        <v/>
      </c>
      <c r="Z176" s="1">
        <f>'Paste cellinfo here'!$B$11</f>
        <v/>
      </c>
    </row>
    <row r="177">
      <c r="A177" s="1" t="n">
        <v>176</v>
      </c>
      <c r="B177" s="2">
        <f>DATE(Sintesi!$C$4-1,12,31)+A177</f>
        <v/>
      </c>
      <c r="C177" s="1">
        <f>'Paste cell here'!B177</f>
        <v/>
      </c>
      <c r="D177" s="1">
        <f>'Paste cell here'!I177</f>
        <v/>
      </c>
      <c r="E177" s="1">
        <f>'Paste cell here'!J177</f>
        <v/>
      </c>
      <c r="F177" s="1">
        <f>'Paste cell here'!K177</f>
        <v/>
      </c>
      <c r="G177" s="1">
        <f>'Paste cell here'!L177</f>
        <v/>
      </c>
      <c r="H177" s="1">
        <f>'Paste cell here'!M177</f>
        <v/>
      </c>
      <c r="I177" s="1">
        <f>'Paste cell here'!N177</f>
        <v/>
      </c>
      <c r="J177" s="1">
        <f>'Paste cell here'!O177</f>
        <v/>
      </c>
      <c r="K177" s="1">
        <f>'Paste cell here'!Q177</f>
        <v/>
      </c>
      <c r="L177" s="1">
        <f>'Paste cell here'!S177</f>
        <v/>
      </c>
      <c r="M177" s="1">
        <f>'Paste cell here'!T177</f>
        <v/>
      </c>
      <c r="N177" s="1">
        <f>'Paste cell here'!W177</f>
        <v/>
      </c>
      <c r="O177" s="1">
        <f>'Paste cell here'!U177</f>
        <v/>
      </c>
      <c r="P177" s="1">
        <f>O176</f>
        <v/>
      </c>
      <c r="Q177" s="1">
        <f>'Paste cell here'!V177</f>
        <v/>
      </c>
      <c r="R177" s="1">
        <f>ABS(O176+C177+D177+N177+Q176-H177-I177-K177-L177-M177-O177-Q177)</f>
        <v/>
      </c>
      <c r="S177" s="7">
        <f>Sintesi!$C$30</f>
        <v/>
      </c>
      <c r="T177" s="7">
        <f>Sintesi!$C$29</f>
        <v/>
      </c>
      <c r="U177" s="5">
        <f>O177/(Sintesi!$C$5*1000)</f>
        <v/>
      </c>
      <c r="V177" s="1">
        <f>T177-S177</f>
        <v/>
      </c>
      <c r="W177" s="1" t="n">
        <v>0.447818918048618</v>
      </c>
      <c r="X177" s="1">
        <f>W177*V177</f>
        <v/>
      </c>
      <c r="Y177" s="1">
        <f>T177-X177</f>
        <v/>
      </c>
      <c r="Z177" s="1">
        <f>'Paste cellinfo here'!$B$11</f>
        <v/>
      </c>
    </row>
    <row r="178">
      <c r="A178" s="1" t="n">
        <v>177</v>
      </c>
      <c r="B178" s="2">
        <f>DATE(Sintesi!$C$4-1,12,31)+A178</f>
        <v/>
      </c>
      <c r="C178" s="1">
        <f>'Paste cell here'!B178</f>
        <v/>
      </c>
      <c r="D178" s="1">
        <f>'Paste cell here'!I178</f>
        <v/>
      </c>
      <c r="E178" s="1">
        <f>'Paste cell here'!J178</f>
        <v/>
      </c>
      <c r="F178" s="1">
        <f>'Paste cell here'!K178</f>
        <v/>
      </c>
      <c r="G178" s="1">
        <f>'Paste cell here'!L178</f>
        <v/>
      </c>
      <c r="H178" s="1">
        <f>'Paste cell here'!M178</f>
        <v/>
      </c>
      <c r="I178" s="1">
        <f>'Paste cell here'!N178</f>
        <v/>
      </c>
      <c r="J178" s="1">
        <f>'Paste cell here'!O178</f>
        <v/>
      </c>
      <c r="K178" s="1">
        <f>'Paste cell here'!Q178</f>
        <v/>
      </c>
      <c r="L178" s="1">
        <f>'Paste cell here'!S178</f>
        <v/>
      </c>
      <c r="M178" s="1">
        <f>'Paste cell here'!T178</f>
        <v/>
      </c>
      <c r="N178" s="1">
        <f>'Paste cell here'!W178</f>
        <v/>
      </c>
      <c r="O178" s="1">
        <f>'Paste cell here'!U178</f>
        <v/>
      </c>
      <c r="P178" s="1">
        <f>O177</f>
        <v/>
      </c>
      <c r="Q178" s="1">
        <f>'Paste cell here'!V178</f>
        <v/>
      </c>
      <c r="R178" s="1">
        <f>ABS(O177+C178+D178+N178+Q177-H178-I178-K178-L178-M178-O178-Q178)</f>
        <v/>
      </c>
      <c r="S178" s="7">
        <f>Sintesi!$C$30</f>
        <v/>
      </c>
      <c r="T178" s="7">
        <f>Sintesi!$C$29</f>
        <v/>
      </c>
      <c r="U178" s="5">
        <f>O178/(Sintesi!$C$5*1000)</f>
        <v/>
      </c>
      <c r="V178" s="1">
        <f>T178-S178</f>
        <v/>
      </c>
      <c r="W178" s="1" t="n">
        <v>0.445669588875963</v>
      </c>
      <c r="X178" s="1">
        <f>W178*V178</f>
        <v/>
      </c>
      <c r="Y178" s="1">
        <f>T178-X178</f>
        <v/>
      </c>
      <c r="Z178" s="1">
        <f>'Paste cellinfo here'!$B$11</f>
        <v/>
      </c>
    </row>
    <row r="179">
      <c r="A179" s="1" t="n">
        <v>178</v>
      </c>
      <c r="B179" s="2">
        <f>DATE(Sintesi!$C$4-1,12,31)+A179</f>
        <v/>
      </c>
      <c r="C179" s="1">
        <f>'Paste cell here'!B179</f>
        <v/>
      </c>
      <c r="D179" s="1">
        <f>'Paste cell here'!I179</f>
        <v/>
      </c>
      <c r="E179" s="1">
        <f>'Paste cell here'!J179</f>
        <v/>
      </c>
      <c r="F179" s="1">
        <f>'Paste cell here'!K179</f>
        <v/>
      </c>
      <c r="G179" s="1">
        <f>'Paste cell here'!L179</f>
        <v/>
      </c>
      <c r="H179" s="1">
        <f>'Paste cell here'!M179</f>
        <v/>
      </c>
      <c r="I179" s="1">
        <f>'Paste cell here'!N179</f>
        <v/>
      </c>
      <c r="J179" s="1">
        <f>'Paste cell here'!O179</f>
        <v/>
      </c>
      <c r="K179" s="1">
        <f>'Paste cell here'!Q179</f>
        <v/>
      </c>
      <c r="L179" s="1">
        <f>'Paste cell here'!S179</f>
        <v/>
      </c>
      <c r="M179" s="1">
        <f>'Paste cell here'!T179</f>
        <v/>
      </c>
      <c r="N179" s="1">
        <f>'Paste cell here'!W179</f>
        <v/>
      </c>
      <c r="O179" s="1">
        <f>'Paste cell here'!U179</f>
        <v/>
      </c>
      <c r="P179" s="1">
        <f>O178</f>
        <v/>
      </c>
      <c r="Q179" s="1">
        <f>'Paste cell here'!V179</f>
        <v/>
      </c>
      <c r="R179" s="1">
        <f>ABS(O178+C179+D179+N179+Q178-H179-I179-K179-L179-M179-O179-Q179)</f>
        <v/>
      </c>
      <c r="S179" s="7">
        <f>Sintesi!$C$30</f>
        <v/>
      </c>
      <c r="T179" s="7">
        <f>Sintesi!$C$29</f>
        <v/>
      </c>
      <c r="U179" s="5">
        <f>O179/(Sintesi!$C$5*1000)</f>
        <v/>
      </c>
      <c r="V179" s="1">
        <f>T179-S179</f>
        <v/>
      </c>
      <c r="W179" s="1" t="n">
        <v>0.433018083538173</v>
      </c>
      <c r="X179" s="1">
        <f>W179*V179</f>
        <v/>
      </c>
      <c r="Y179" s="1">
        <f>T179-X179</f>
        <v/>
      </c>
      <c r="Z179" s="1">
        <f>'Paste cellinfo here'!$B$11</f>
        <v/>
      </c>
    </row>
    <row r="180">
      <c r="A180" s="1" t="n">
        <v>179</v>
      </c>
      <c r="B180" s="2">
        <f>DATE(Sintesi!$C$4-1,12,31)+A180</f>
        <v/>
      </c>
      <c r="C180" s="1">
        <f>'Paste cell here'!B180</f>
        <v/>
      </c>
      <c r="D180" s="1">
        <f>'Paste cell here'!I180</f>
        <v/>
      </c>
      <c r="E180" s="1">
        <f>'Paste cell here'!J180</f>
        <v/>
      </c>
      <c r="F180" s="1">
        <f>'Paste cell here'!K180</f>
        <v/>
      </c>
      <c r="G180" s="1">
        <f>'Paste cell here'!L180</f>
        <v/>
      </c>
      <c r="H180" s="1">
        <f>'Paste cell here'!M180</f>
        <v/>
      </c>
      <c r="I180" s="1">
        <f>'Paste cell here'!N180</f>
        <v/>
      </c>
      <c r="J180" s="1">
        <f>'Paste cell here'!O180</f>
        <v/>
      </c>
      <c r="K180" s="1">
        <f>'Paste cell here'!Q180</f>
        <v/>
      </c>
      <c r="L180" s="1">
        <f>'Paste cell here'!S180</f>
        <v/>
      </c>
      <c r="M180" s="1">
        <f>'Paste cell here'!T180</f>
        <v/>
      </c>
      <c r="N180" s="1">
        <f>'Paste cell here'!W180</f>
        <v/>
      </c>
      <c r="O180" s="1">
        <f>'Paste cell here'!U180</f>
        <v/>
      </c>
      <c r="P180" s="1">
        <f>O179</f>
        <v/>
      </c>
      <c r="Q180" s="1">
        <f>'Paste cell here'!V180</f>
        <v/>
      </c>
      <c r="R180" s="1">
        <f>ABS(O179+C180+D180+N180+Q179-H180-I180-K180-L180-M180-O180-Q180)</f>
        <v/>
      </c>
      <c r="S180" s="7">
        <f>Sintesi!$C$30</f>
        <v/>
      </c>
      <c r="T180" s="7">
        <f>Sintesi!$C$29</f>
        <v/>
      </c>
      <c r="U180" s="5">
        <f>O180/(Sintesi!$C$5*1000)</f>
        <v/>
      </c>
      <c r="V180" s="1">
        <f>T180-S180</f>
        <v/>
      </c>
      <c r="W180" s="1" t="n">
        <v>0.397748766485879</v>
      </c>
      <c r="X180" s="1">
        <f>W180*V180</f>
        <v/>
      </c>
      <c r="Y180" s="1">
        <f>T180-X180</f>
        <v/>
      </c>
      <c r="Z180" s="1">
        <f>'Paste cellinfo here'!$B$11</f>
        <v/>
      </c>
    </row>
    <row r="181">
      <c r="A181" s="1" t="n">
        <v>180</v>
      </c>
      <c r="B181" s="2">
        <f>DATE(Sintesi!$C$4-1,12,31)+A181</f>
        <v/>
      </c>
      <c r="C181" s="1">
        <f>'Paste cell here'!B181</f>
        <v/>
      </c>
      <c r="D181" s="1">
        <f>'Paste cell here'!I181</f>
        <v/>
      </c>
      <c r="E181" s="1">
        <f>'Paste cell here'!J181</f>
        <v/>
      </c>
      <c r="F181" s="1">
        <f>'Paste cell here'!K181</f>
        <v/>
      </c>
      <c r="G181" s="1">
        <f>'Paste cell here'!L181</f>
        <v/>
      </c>
      <c r="H181" s="1">
        <f>'Paste cell here'!M181</f>
        <v/>
      </c>
      <c r="I181" s="1">
        <f>'Paste cell here'!N181</f>
        <v/>
      </c>
      <c r="J181" s="1">
        <f>'Paste cell here'!O181</f>
        <v/>
      </c>
      <c r="K181" s="1">
        <f>'Paste cell here'!Q181</f>
        <v/>
      </c>
      <c r="L181" s="1">
        <f>'Paste cell here'!S181</f>
        <v/>
      </c>
      <c r="M181" s="1">
        <f>'Paste cell here'!T181</f>
        <v/>
      </c>
      <c r="N181" s="1">
        <f>'Paste cell here'!W181</f>
        <v/>
      </c>
      <c r="O181" s="1">
        <f>'Paste cell here'!U181</f>
        <v/>
      </c>
      <c r="P181" s="1">
        <f>O180</f>
        <v/>
      </c>
      <c r="Q181" s="1">
        <f>'Paste cell here'!V181</f>
        <v/>
      </c>
      <c r="R181" s="1">
        <f>ABS(O180+C181+D181+N181+Q180-H181-I181-K181-L181-M181-O181-Q181)</f>
        <v/>
      </c>
      <c r="S181" s="7">
        <f>Sintesi!$C$30</f>
        <v/>
      </c>
      <c r="T181" s="7">
        <f>Sintesi!$C$29</f>
        <v/>
      </c>
      <c r="U181" s="5">
        <f>O181/(Sintesi!$C$5*1000)</f>
        <v/>
      </c>
      <c r="V181" s="1">
        <f>T181-S181</f>
        <v/>
      </c>
      <c r="W181" s="1" t="n">
        <v>0.37925079813193</v>
      </c>
      <c r="X181" s="1">
        <f>W181*V181</f>
        <v/>
      </c>
      <c r="Y181" s="1">
        <f>T181-X181</f>
        <v/>
      </c>
      <c r="Z181" s="1">
        <f>'Paste cellinfo here'!$B$11</f>
        <v/>
      </c>
    </row>
    <row r="182">
      <c r="A182" s="1" t="n">
        <v>181</v>
      </c>
      <c r="B182" s="2">
        <f>DATE(Sintesi!$C$4-1,12,31)+A182</f>
        <v/>
      </c>
      <c r="C182" s="1">
        <f>'Paste cell here'!B182</f>
        <v/>
      </c>
      <c r="D182" s="1">
        <f>'Paste cell here'!I182</f>
        <v/>
      </c>
      <c r="E182" s="1">
        <f>'Paste cell here'!J182</f>
        <v/>
      </c>
      <c r="F182" s="1">
        <f>'Paste cell here'!K182</f>
        <v/>
      </c>
      <c r="G182" s="1">
        <f>'Paste cell here'!L182</f>
        <v/>
      </c>
      <c r="H182" s="1">
        <f>'Paste cell here'!M182</f>
        <v/>
      </c>
      <c r="I182" s="1">
        <f>'Paste cell here'!N182</f>
        <v/>
      </c>
      <c r="J182" s="1">
        <f>'Paste cell here'!O182</f>
        <v/>
      </c>
      <c r="K182" s="1">
        <f>'Paste cell here'!Q182</f>
        <v/>
      </c>
      <c r="L182" s="1">
        <f>'Paste cell here'!S182</f>
        <v/>
      </c>
      <c r="M182" s="1">
        <f>'Paste cell here'!T182</f>
        <v/>
      </c>
      <c r="N182" s="1">
        <f>'Paste cell here'!W182</f>
        <v/>
      </c>
      <c r="O182" s="1">
        <f>'Paste cell here'!U182</f>
        <v/>
      </c>
      <c r="P182" s="1">
        <f>O181</f>
        <v/>
      </c>
      <c r="Q182" s="1">
        <f>'Paste cell here'!V182</f>
        <v/>
      </c>
      <c r="R182" s="1">
        <f>ABS(O181+C182+D182+N182+Q181-H182-I182-K182-L182-M182-O182-Q182)</f>
        <v/>
      </c>
      <c r="S182" s="7">
        <f>Sintesi!$C$30</f>
        <v/>
      </c>
      <c r="T182" s="7">
        <f>Sintesi!$C$29</f>
        <v/>
      </c>
      <c r="U182" s="5">
        <f>O182/(Sintesi!$C$5*1000)</f>
        <v/>
      </c>
      <c r="V182" s="1">
        <f>T182-S182</f>
        <v/>
      </c>
      <c r="W182" s="1" t="n">
        <v>0.380537223210662</v>
      </c>
      <c r="X182" s="1">
        <f>W182*V182</f>
        <v/>
      </c>
      <c r="Y182" s="1">
        <f>T182-X182</f>
        <v/>
      </c>
      <c r="Z182" s="1">
        <f>'Paste cellinfo here'!$B$11</f>
        <v/>
      </c>
    </row>
    <row r="183">
      <c r="A183" s="1" t="n">
        <v>182</v>
      </c>
      <c r="B183" s="2">
        <f>DATE(Sintesi!$C$4-1,12,31)+A183</f>
        <v/>
      </c>
      <c r="C183" s="1">
        <f>'Paste cell here'!B183</f>
        <v/>
      </c>
      <c r="D183" s="1">
        <f>'Paste cell here'!I183</f>
        <v/>
      </c>
      <c r="E183" s="1">
        <f>'Paste cell here'!J183</f>
        <v/>
      </c>
      <c r="F183" s="1">
        <f>'Paste cell here'!K183</f>
        <v/>
      </c>
      <c r="G183" s="1">
        <f>'Paste cell here'!L183</f>
        <v/>
      </c>
      <c r="H183" s="1">
        <f>'Paste cell here'!M183</f>
        <v/>
      </c>
      <c r="I183" s="1">
        <f>'Paste cell here'!N183</f>
        <v/>
      </c>
      <c r="J183" s="1">
        <f>'Paste cell here'!O183</f>
        <v/>
      </c>
      <c r="K183" s="1">
        <f>'Paste cell here'!Q183</f>
        <v/>
      </c>
      <c r="L183" s="1">
        <f>'Paste cell here'!S183</f>
        <v/>
      </c>
      <c r="M183" s="1">
        <f>'Paste cell here'!T183</f>
        <v/>
      </c>
      <c r="N183" s="1">
        <f>'Paste cell here'!W183</f>
        <v/>
      </c>
      <c r="O183" s="1">
        <f>'Paste cell here'!U183</f>
        <v/>
      </c>
      <c r="P183" s="1">
        <f>O182</f>
        <v/>
      </c>
      <c r="Q183" s="1">
        <f>'Paste cell here'!V183</f>
        <v/>
      </c>
      <c r="R183" s="1">
        <f>ABS(O182+C183+D183+N183+Q182-H183-I183-K183-L183-M183-O183-Q183)</f>
        <v/>
      </c>
      <c r="S183" s="7">
        <f>Sintesi!$C$30</f>
        <v/>
      </c>
      <c r="T183" s="7">
        <f>Sintesi!$C$29</f>
        <v/>
      </c>
      <c r="U183" s="5">
        <f>O183/(Sintesi!$C$5*1000)</f>
        <v/>
      </c>
      <c r="V183" s="1">
        <f>T183-S183</f>
        <v/>
      </c>
      <c r="W183" s="1" t="n">
        <v>0.420376777129029</v>
      </c>
      <c r="X183" s="1">
        <f>W183*V183</f>
        <v/>
      </c>
      <c r="Y183" s="1">
        <f>T183-X183</f>
        <v/>
      </c>
      <c r="Z183" s="1">
        <f>'Paste cellinfo here'!$B$11</f>
        <v/>
      </c>
    </row>
    <row r="184">
      <c r="A184" s="1" t="n">
        <v>183</v>
      </c>
      <c r="B184" s="2">
        <f>DATE(Sintesi!$C$4-1,12,31)+A184</f>
        <v/>
      </c>
      <c r="C184" s="1">
        <f>'Paste cell here'!B184</f>
        <v/>
      </c>
      <c r="D184" s="1">
        <f>'Paste cell here'!I184</f>
        <v/>
      </c>
      <c r="E184" s="1">
        <f>'Paste cell here'!J184</f>
        <v/>
      </c>
      <c r="F184" s="1">
        <f>'Paste cell here'!K184</f>
        <v/>
      </c>
      <c r="G184" s="1">
        <f>'Paste cell here'!L184</f>
        <v/>
      </c>
      <c r="H184" s="1">
        <f>'Paste cell here'!M184</f>
        <v/>
      </c>
      <c r="I184" s="1">
        <f>'Paste cell here'!N184</f>
        <v/>
      </c>
      <c r="J184" s="1">
        <f>'Paste cell here'!O184</f>
        <v/>
      </c>
      <c r="K184" s="1">
        <f>'Paste cell here'!Q184</f>
        <v/>
      </c>
      <c r="L184" s="1">
        <f>'Paste cell here'!S184</f>
        <v/>
      </c>
      <c r="M184" s="1">
        <f>'Paste cell here'!T184</f>
        <v/>
      </c>
      <c r="N184" s="1">
        <f>'Paste cell here'!W184</f>
        <v/>
      </c>
      <c r="O184" s="1">
        <f>'Paste cell here'!U184</f>
        <v/>
      </c>
      <c r="P184" s="1">
        <f>O183</f>
        <v/>
      </c>
      <c r="Q184" s="1">
        <f>'Paste cell here'!V184</f>
        <v/>
      </c>
      <c r="R184" s="1">
        <f>ABS(O183+C184+D184+N184+Q183-H184-I184-K184-L184-M184-O184-Q184)</f>
        <v/>
      </c>
      <c r="S184" s="7">
        <f>Sintesi!$C$30</f>
        <v/>
      </c>
      <c r="T184" s="7">
        <f>Sintesi!$C$29</f>
        <v/>
      </c>
      <c r="U184" s="5">
        <f>O184/(Sintesi!$C$5*1000)</f>
        <v/>
      </c>
      <c r="V184" s="1">
        <f>T184-S184</f>
        <v/>
      </c>
      <c r="W184" s="1" t="n">
        <v>0.409373302519563</v>
      </c>
      <c r="X184" s="1">
        <f>W184*V184</f>
        <v/>
      </c>
      <c r="Y184" s="1">
        <f>T184-X184</f>
        <v/>
      </c>
      <c r="Z184" s="1">
        <f>'Paste cellinfo here'!$B$11</f>
        <v/>
      </c>
    </row>
    <row r="185">
      <c r="A185" s="1" t="n">
        <v>184</v>
      </c>
      <c r="B185" s="2">
        <f>DATE(Sintesi!$C$4-1,12,31)+A185</f>
        <v/>
      </c>
      <c r="C185" s="1">
        <f>'Paste cell here'!B185</f>
        <v/>
      </c>
      <c r="D185" s="1">
        <f>'Paste cell here'!I185</f>
        <v/>
      </c>
      <c r="E185" s="1">
        <f>'Paste cell here'!J185</f>
        <v/>
      </c>
      <c r="F185" s="1">
        <f>'Paste cell here'!K185</f>
        <v/>
      </c>
      <c r="G185" s="1">
        <f>'Paste cell here'!L185</f>
        <v/>
      </c>
      <c r="H185" s="1">
        <f>'Paste cell here'!M185</f>
        <v/>
      </c>
      <c r="I185" s="1">
        <f>'Paste cell here'!N185</f>
        <v/>
      </c>
      <c r="J185" s="1">
        <f>'Paste cell here'!O185</f>
        <v/>
      </c>
      <c r="K185" s="1">
        <f>'Paste cell here'!Q185</f>
        <v/>
      </c>
      <c r="L185" s="1">
        <f>'Paste cell here'!S185</f>
        <v/>
      </c>
      <c r="M185" s="1">
        <f>'Paste cell here'!T185</f>
        <v/>
      </c>
      <c r="N185" s="1">
        <f>'Paste cell here'!W185</f>
        <v/>
      </c>
      <c r="O185" s="1">
        <f>'Paste cell here'!U185</f>
        <v/>
      </c>
      <c r="P185" s="1">
        <f>O184</f>
        <v/>
      </c>
      <c r="Q185" s="1">
        <f>'Paste cell here'!V185</f>
        <v/>
      </c>
      <c r="R185" s="1">
        <f>ABS(O184+C185+D185+N185+Q184-H185-I185-K185-L185-M185-O185-Q185)</f>
        <v/>
      </c>
      <c r="S185" s="7">
        <f>Sintesi!$C$30</f>
        <v/>
      </c>
      <c r="T185" s="7">
        <f>Sintesi!$C$29</f>
        <v/>
      </c>
      <c r="U185" s="5">
        <f>O185/(Sintesi!$C$5*1000)</f>
        <v/>
      </c>
      <c r="V185" s="1">
        <f>T185-S185</f>
        <v/>
      </c>
      <c r="W185" s="1" t="n">
        <v>0.412210402631448</v>
      </c>
      <c r="X185" s="1">
        <f>W185*V185</f>
        <v/>
      </c>
      <c r="Y185" s="1">
        <f>T185-X185</f>
        <v/>
      </c>
      <c r="Z185" s="1">
        <f>'Paste cellinfo here'!$B$11</f>
        <v/>
      </c>
    </row>
    <row r="186">
      <c r="A186" s="1" t="n">
        <v>185</v>
      </c>
      <c r="B186" s="2">
        <f>DATE(Sintesi!$C$4-1,12,31)+A186</f>
        <v/>
      </c>
      <c r="C186" s="1">
        <f>'Paste cell here'!B186</f>
        <v/>
      </c>
      <c r="D186" s="1">
        <f>'Paste cell here'!I186</f>
        <v/>
      </c>
      <c r="E186" s="1">
        <f>'Paste cell here'!J186</f>
        <v/>
      </c>
      <c r="F186" s="1">
        <f>'Paste cell here'!K186</f>
        <v/>
      </c>
      <c r="G186" s="1">
        <f>'Paste cell here'!L186</f>
        <v/>
      </c>
      <c r="H186" s="1">
        <f>'Paste cell here'!M186</f>
        <v/>
      </c>
      <c r="I186" s="1">
        <f>'Paste cell here'!N186</f>
        <v/>
      </c>
      <c r="J186" s="1">
        <f>'Paste cell here'!O186</f>
        <v/>
      </c>
      <c r="K186" s="1">
        <f>'Paste cell here'!Q186</f>
        <v/>
      </c>
      <c r="L186" s="1">
        <f>'Paste cell here'!S186</f>
        <v/>
      </c>
      <c r="M186" s="1">
        <f>'Paste cell here'!T186</f>
        <v/>
      </c>
      <c r="N186" s="1">
        <f>'Paste cell here'!W186</f>
        <v/>
      </c>
      <c r="O186" s="1">
        <f>'Paste cell here'!U186</f>
        <v/>
      </c>
      <c r="P186" s="1">
        <f>O185</f>
        <v/>
      </c>
      <c r="Q186" s="1">
        <f>'Paste cell here'!V186</f>
        <v/>
      </c>
      <c r="R186" s="1">
        <f>ABS(O185+C186+D186+N186+Q185-H186-I186-K186-L186-M186-O186-Q186)</f>
        <v/>
      </c>
      <c r="S186" s="7">
        <f>Sintesi!$C$30</f>
        <v/>
      </c>
      <c r="T186" s="7">
        <f>Sintesi!$C$29</f>
        <v/>
      </c>
      <c r="U186" s="5">
        <f>O186/(Sintesi!$C$5*1000)</f>
        <v/>
      </c>
      <c r="V186" s="1">
        <f>T186-S186</f>
        <v/>
      </c>
      <c r="W186" s="1" t="n">
        <v>0.437555892559035</v>
      </c>
      <c r="X186" s="1">
        <f>W186*V186</f>
        <v/>
      </c>
      <c r="Y186" s="1">
        <f>T186-X186</f>
        <v/>
      </c>
      <c r="Z186" s="1">
        <f>'Paste cellinfo here'!$B$11</f>
        <v/>
      </c>
    </row>
    <row r="187">
      <c r="A187" s="1" t="n">
        <v>186</v>
      </c>
      <c r="B187" s="2">
        <f>DATE(Sintesi!$C$4-1,12,31)+A187</f>
        <v/>
      </c>
      <c r="C187" s="1">
        <f>'Paste cell here'!B187</f>
        <v/>
      </c>
      <c r="D187" s="1">
        <f>'Paste cell here'!I187</f>
        <v/>
      </c>
      <c r="E187" s="1">
        <f>'Paste cell here'!J187</f>
        <v/>
      </c>
      <c r="F187" s="1">
        <f>'Paste cell here'!K187</f>
        <v/>
      </c>
      <c r="G187" s="1">
        <f>'Paste cell here'!L187</f>
        <v/>
      </c>
      <c r="H187" s="1">
        <f>'Paste cell here'!M187</f>
        <v/>
      </c>
      <c r="I187" s="1">
        <f>'Paste cell here'!N187</f>
        <v/>
      </c>
      <c r="J187" s="1">
        <f>'Paste cell here'!O187</f>
        <v/>
      </c>
      <c r="K187" s="1">
        <f>'Paste cell here'!Q187</f>
        <v/>
      </c>
      <c r="L187" s="1">
        <f>'Paste cell here'!S187</f>
        <v/>
      </c>
      <c r="M187" s="1">
        <f>'Paste cell here'!T187</f>
        <v/>
      </c>
      <c r="N187" s="1">
        <f>'Paste cell here'!W187</f>
        <v/>
      </c>
      <c r="O187" s="1">
        <f>'Paste cell here'!U187</f>
        <v/>
      </c>
      <c r="P187" s="1">
        <f>O186</f>
        <v/>
      </c>
      <c r="Q187" s="1">
        <f>'Paste cell here'!V187</f>
        <v/>
      </c>
      <c r="R187" s="1">
        <f>ABS(O186+C187+D187+N187+Q186-H187-I187-K187-L187-M187-O187-Q187)</f>
        <v/>
      </c>
      <c r="S187" s="7">
        <f>Sintesi!$C$30</f>
        <v/>
      </c>
      <c r="T187" s="7">
        <f>Sintesi!$C$29</f>
        <v/>
      </c>
      <c r="U187" s="5">
        <f>O187/(Sintesi!$C$5*1000)</f>
        <v/>
      </c>
      <c r="V187" s="1">
        <f>T187-S187</f>
        <v/>
      </c>
      <c r="W187" s="1" t="n">
        <v>0.449551329643988</v>
      </c>
      <c r="X187" s="1">
        <f>W187*V187</f>
        <v/>
      </c>
      <c r="Y187" s="1">
        <f>T187-X187</f>
        <v/>
      </c>
      <c r="Z187" s="1">
        <f>'Paste cellinfo here'!$B$11</f>
        <v/>
      </c>
    </row>
    <row r="188">
      <c r="A188" s="1" t="n">
        <v>187</v>
      </c>
      <c r="B188" s="2">
        <f>DATE(Sintesi!$C$4-1,12,31)+A188</f>
        <v/>
      </c>
      <c r="C188" s="1">
        <f>'Paste cell here'!B188</f>
        <v/>
      </c>
      <c r="D188" s="1">
        <f>'Paste cell here'!I188</f>
        <v/>
      </c>
      <c r="E188" s="1">
        <f>'Paste cell here'!J188</f>
        <v/>
      </c>
      <c r="F188" s="1">
        <f>'Paste cell here'!K188</f>
        <v/>
      </c>
      <c r="G188" s="1">
        <f>'Paste cell here'!L188</f>
        <v/>
      </c>
      <c r="H188" s="1">
        <f>'Paste cell here'!M188</f>
        <v/>
      </c>
      <c r="I188" s="1">
        <f>'Paste cell here'!N188</f>
        <v/>
      </c>
      <c r="J188" s="1">
        <f>'Paste cell here'!O188</f>
        <v/>
      </c>
      <c r="K188" s="1">
        <f>'Paste cell here'!Q188</f>
        <v/>
      </c>
      <c r="L188" s="1">
        <f>'Paste cell here'!S188</f>
        <v/>
      </c>
      <c r="M188" s="1">
        <f>'Paste cell here'!T188</f>
        <v/>
      </c>
      <c r="N188" s="1">
        <f>'Paste cell here'!W188</f>
        <v/>
      </c>
      <c r="O188" s="1">
        <f>'Paste cell here'!U188</f>
        <v/>
      </c>
      <c r="P188" s="1">
        <f>O187</f>
        <v/>
      </c>
      <c r="Q188" s="1">
        <f>'Paste cell here'!V188</f>
        <v/>
      </c>
      <c r="R188" s="1">
        <f>ABS(O187+C188+D188+N188+Q187-H188-I188-K188-L188-M188-O188-Q188)</f>
        <v/>
      </c>
      <c r="S188" s="7">
        <f>Sintesi!$C$30</f>
        <v/>
      </c>
      <c r="T188" s="7">
        <f>Sintesi!$C$29</f>
        <v/>
      </c>
      <c r="U188" s="5">
        <f>O188/(Sintesi!$C$5*1000)</f>
        <v/>
      </c>
      <c r="V188" s="1">
        <f>T188-S188</f>
        <v/>
      </c>
      <c r="W188" s="1" t="n">
        <v>0.422209442251577</v>
      </c>
      <c r="X188" s="1">
        <f>W188*V188</f>
        <v/>
      </c>
      <c r="Y188" s="1">
        <f>T188-X188</f>
        <v/>
      </c>
      <c r="Z188" s="1">
        <f>'Paste cellinfo here'!$B$11</f>
        <v/>
      </c>
    </row>
    <row r="189">
      <c r="A189" s="1" t="n">
        <v>188</v>
      </c>
      <c r="B189" s="2">
        <f>DATE(Sintesi!$C$4-1,12,31)+A189</f>
        <v/>
      </c>
      <c r="C189" s="1">
        <f>'Paste cell here'!B189</f>
        <v/>
      </c>
      <c r="D189" s="1">
        <f>'Paste cell here'!I189</f>
        <v/>
      </c>
      <c r="E189" s="1">
        <f>'Paste cell here'!J189</f>
        <v/>
      </c>
      <c r="F189" s="1">
        <f>'Paste cell here'!K189</f>
        <v/>
      </c>
      <c r="G189" s="1">
        <f>'Paste cell here'!L189</f>
        <v/>
      </c>
      <c r="H189" s="1">
        <f>'Paste cell here'!M189</f>
        <v/>
      </c>
      <c r="I189" s="1">
        <f>'Paste cell here'!N189</f>
        <v/>
      </c>
      <c r="J189" s="1">
        <f>'Paste cell here'!O189</f>
        <v/>
      </c>
      <c r="K189" s="1">
        <f>'Paste cell here'!Q189</f>
        <v/>
      </c>
      <c r="L189" s="1">
        <f>'Paste cell here'!S189</f>
        <v/>
      </c>
      <c r="M189" s="1">
        <f>'Paste cell here'!T189</f>
        <v/>
      </c>
      <c r="N189" s="1">
        <f>'Paste cell here'!W189</f>
        <v/>
      </c>
      <c r="O189" s="1">
        <f>'Paste cell here'!U189</f>
        <v/>
      </c>
      <c r="P189" s="1">
        <f>O188</f>
        <v/>
      </c>
      <c r="Q189" s="1">
        <f>'Paste cell here'!V189</f>
        <v/>
      </c>
      <c r="R189" s="1">
        <f>ABS(O188+C189+D189+N189+Q188-H189-I189-K189-L189-M189-O189-Q189)</f>
        <v/>
      </c>
      <c r="S189" s="7">
        <f>Sintesi!$C$30</f>
        <v/>
      </c>
      <c r="T189" s="7">
        <f>Sintesi!$C$29</f>
        <v/>
      </c>
      <c r="U189" s="5">
        <f>O189/(Sintesi!$C$5*1000)</f>
        <v/>
      </c>
      <c r="V189" s="1">
        <f>T189-S189</f>
        <v/>
      </c>
      <c r="W189" s="1" t="n">
        <v>0.522627773935639</v>
      </c>
      <c r="X189" s="1">
        <f>W189*V189</f>
        <v/>
      </c>
      <c r="Y189" s="1">
        <f>T189-X189</f>
        <v/>
      </c>
      <c r="Z189" s="1">
        <f>'Paste cellinfo here'!$B$11</f>
        <v/>
      </c>
    </row>
    <row r="190">
      <c r="A190" s="1" t="n">
        <v>189</v>
      </c>
      <c r="B190" s="2">
        <f>DATE(Sintesi!$C$4-1,12,31)+A190</f>
        <v/>
      </c>
      <c r="C190" s="1">
        <f>'Paste cell here'!B190</f>
        <v/>
      </c>
      <c r="D190" s="1">
        <f>'Paste cell here'!I190</f>
        <v/>
      </c>
      <c r="E190" s="1">
        <f>'Paste cell here'!J190</f>
        <v/>
      </c>
      <c r="F190" s="1">
        <f>'Paste cell here'!K190</f>
        <v/>
      </c>
      <c r="G190" s="1">
        <f>'Paste cell here'!L190</f>
        <v/>
      </c>
      <c r="H190" s="1">
        <f>'Paste cell here'!M190</f>
        <v/>
      </c>
      <c r="I190" s="1">
        <f>'Paste cell here'!N190</f>
        <v/>
      </c>
      <c r="J190" s="1">
        <f>'Paste cell here'!O190</f>
        <v/>
      </c>
      <c r="K190" s="1">
        <f>'Paste cell here'!Q190</f>
        <v/>
      </c>
      <c r="L190" s="1">
        <f>'Paste cell here'!S190</f>
        <v/>
      </c>
      <c r="M190" s="1">
        <f>'Paste cell here'!T190</f>
        <v/>
      </c>
      <c r="N190" s="1">
        <f>'Paste cell here'!W190</f>
        <v/>
      </c>
      <c r="O190" s="1">
        <f>'Paste cell here'!U190</f>
        <v/>
      </c>
      <c r="P190" s="1">
        <f>O189</f>
        <v/>
      </c>
      <c r="Q190" s="1">
        <f>'Paste cell here'!V190</f>
        <v/>
      </c>
      <c r="R190" s="1">
        <f>ABS(O189+C190+D190+N190+Q189-H190-I190-K190-L190-M190-O190-Q190)</f>
        <v/>
      </c>
      <c r="S190" s="7">
        <f>Sintesi!$C$30</f>
        <v/>
      </c>
      <c r="T190" s="7">
        <f>Sintesi!$C$29</f>
        <v/>
      </c>
      <c r="U190" s="5">
        <f>O190/(Sintesi!$C$5*1000)</f>
        <v/>
      </c>
      <c r="V190" s="1">
        <f>T190-S190</f>
        <v/>
      </c>
      <c r="W190" s="1" t="n">
        <v>0.426533078728562</v>
      </c>
      <c r="X190" s="1">
        <f>W190*V190</f>
        <v/>
      </c>
      <c r="Y190" s="1">
        <f>T190-X190</f>
        <v/>
      </c>
      <c r="Z190" s="1">
        <f>'Paste cellinfo here'!$B$11</f>
        <v/>
      </c>
    </row>
    <row r="191">
      <c r="A191" s="1" t="n">
        <v>190</v>
      </c>
      <c r="B191" s="2">
        <f>DATE(Sintesi!$C$4-1,12,31)+A191</f>
        <v/>
      </c>
      <c r="C191" s="1">
        <f>'Paste cell here'!B191</f>
        <v/>
      </c>
      <c r="D191" s="1">
        <f>'Paste cell here'!I191</f>
        <v/>
      </c>
      <c r="E191" s="1">
        <f>'Paste cell here'!J191</f>
        <v/>
      </c>
      <c r="F191" s="1">
        <f>'Paste cell here'!K191</f>
        <v/>
      </c>
      <c r="G191" s="1">
        <f>'Paste cell here'!L191</f>
        <v/>
      </c>
      <c r="H191" s="1">
        <f>'Paste cell here'!M191</f>
        <v/>
      </c>
      <c r="I191" s="1">
        <f>'Paste cell here'!N191</f>
        <v/>
      </c>
      <c r="J191" s="1">
        <f>'Paste cell here'!O191</f>
        <v/>
      </c>
      <c r="K191" s="1">
        <f>'Paste cell here'!Q191</f>
        <v/>
      </c>
      <c r="L191" s="1">
        <f>'Paste cell here'!S191</f>
        <v/>
      </c>
      <c r="M191" s="1">
        <f>'Paste cell here'!T191</f>
        <v/>
      </c>
      <c r="N191" s="1">
        <f>'Paste cell here'!W191</f>
        <v/>
      </c>
      <c r="O191" s="1">
        <f>'Paste cell here'!U191</f>
        <v/>
      </c>
      <c r="P191" s="1">
        <f>O190</f>
        <v/>
      </c>
      <c r="Q191" s="1">
        <f>'Paste cell here'!V191</f>
        <v/>
      </c>
      <c r="R191" s="1">
        <f>ABS(O190+C191+D191+N191+Q190-H191-I191-K191-L191-M191-O191-Q191)</f>
        <v/>
      </c>
      <c r="S191" s="7">
        <f>Sintesi!$C$30</f>
        <v/>
      </c>
      <c r="T191" s="7">
        <f>Sintesi!$C$29</f>
        <v/>
      </c>
      <c r="U191" s="5">
        <f>O191/(Sintesi!$C$5*1000)</f>
        <v/>
      </c>
      <c r="V191" s="1">
        <f>T191-S191</f>
        <v/>
      </c>
      <c r="W191" s="1" t="n">
        <v>0.478224150059228</v>
      </c>
      <c r="X191" s="1">
        <f>W191*V191</f>
        <v/>
      </c>
      <c r="Y191" s="1">
        <f>T191-X191</f>
        <v/>
      </c>
      <c r="Z191" s="1">
        <f>'Paste cellinfo here'!$B$11</f>
        <v/>
      </c>
    </row>
    <row r="192">
      <c r="A192" s="1" t="n">
        <v>191</v>
      </c>
      <c r="B192" s="2">
        <f>DATE(Sintesi!$C$4-1,12,31)+A192</f>
        <v/>
      </c>
      <c r="C192" s="1">
        <f>'Paste cell here'!B192</f>
        <v/>
      </c>
      <c r="D192" s="1">
        <f>'Paste cell here'!I192</f>
        <v/>
      </c>
      <c r="E192" s="1">
        <f>'Paste cell here'!J192</f>
        <v/>
      </c>
      <c r="F192" s="1">
        <f>'Paste cell here'!K192</f>
        <v/>
      </c>
      <c r="G192" s="1">
        <f>'Paste cell here'!L192</f>
        <v/>
      </c>
      <c r="H192" s="1">
        <f>'Paste cell here'!M192</f>
        <v/>
      </c>
      <c r="I192" s="1">
        <f>'Paste cell here'!N192</f>
        <v/>
      </c>
      <c r="J192" s="1">
        <f>'Paste cell here'!O192</f>
        <v/>
      </c>
      <c r="K192" s="1">
        <f>'Paste cell here'!Q192</f>
        <v/>
      </c>
      <c r="L192" s="1">
        <f>'Paste cell here'!S192</f>
        <v/>
      </c>
      <c r="M192" s="1">
        <f>'Paste cell here'!T192</f>
        <v/>
      </c>
      <c r="N192" s="1">
        <f>'Paste cell here'!W192</f>
        <v/>
      </c>
      <c r="O192" s="1">
        <f>'Paste cell here'!U192</f>
        <v/>
      </c>
      <c r="P192" s="1">
        <f>O191</f>
        <v/>
      </c>
      <c r="Q192" s="1">
        <f>'Paste cell here'!V192</f>
        <v/>
      </c>
      <c r="R192" s="1">
        <f>ABS(O191+C192+D192+N192+Q191-H192-I192-K192-L192-M192-O192-Q192)</f>
        <v/>
      </c>
      <c r="S192" s="7">
        <f>Sintesi!$C$30</f>
        <v/>
      </c>
      <c r="T192" s="7">
        <f>Sintesi!$C$29</f>
        <v/>
      </c>
      <c r="U192" s="5">
        <f>O192/(Sintesi!$C$5*1000)</f>
        <v/>
      </c>
      <c r="V192" s="1">
        <f>T192-S192</f>
        <v/>
      </c>
      <c r="W192" s="1" t="n">
        <v>0.550871410402643</v>
      </c>
      <c r="X192" s="1">
        <f>W192*V192</f>
        <v/>
      </c>
      <c r="Y192" s="1">
        <f>T192-X192</f>
        <v/>
      </c>
      <c r="Z192" s="1">
        <f>'Paste cellinfo here'!$B$11</f>
        <v/>
      </c>
    </row>
    <row r="193">
      <c r="A193" s="1" t="n">
        <v>192</v>
      </c>
      <c r="B193" s="2">
        <f>DATE(Sintesi!$C$4-1,12,31)+A193</f>
        <v/>
      </c>
      <c r="C193" s="1">
        <f>'Paste cell here'!B193</f>
        <v/>
      </c>
      <c r="D193" s="1">
        <f>'Paste cell here'!I193</f>
        <v/>
      </c>
      <c r="E193" s="1">
        <f>'Paste cell here'!J193</f>
        <v/>
      </c>
      <c r="F193" s="1">
        <f>'Paste cell here'!K193</f>
        <v/>
      </c>
      <c r="G193" s="1">
        <f>'Paste cell here'!L193</f>
        <v/>
      </c>
      <c r="H193" s="1">
        <f>'Paste cell here'!M193</f>
        <v/>
      </c>
      <c r="I193" s="1">
        <f>'Paste cell here'!N193</f>
        <v/>
      </c>
      <c r="J193" s="1">
        <f>'Paste cell here'!O193</f>
        <v/>
      </c>
      <c r="K193" s="1">
        <f>'Paste cell here'!Q193</f>
        <v/>
      </c>
      <c r="L193" s="1">
        <f>'Paste cell here'!S193</f>
        <v/>
      </c>
      <c r="M193" s="1">
        <f>'Paste cell here'!T193</f>
        <v/>
      </c>
      <c r="N193" s="1">
        <f>'Paste cell here'!W193</f>
        <v/>
      </c>
      <c r="O193" s="1">
        <f>'Paste cell here'!U193</f>
        <v/>
      </c>
      <c r="P193" s="1">
        <f>O192</f>
        <v/>
      </c>
      <c r="Q193" s="1">
        <f>'Paste cell here'!V193</f>
        <v/>
      </c>
      <c r="R193" s="1">
        <f>ABS(O192+C193+D193+N193+Q192-H193-I193-K193-L193-M193-O193-Q193)</f>
        <v/>
      </c>
      <c r="S193" s="7">
        <f>Sintesi!$C$30</f>
        <v/>
      </c>
      <c r="T193" s="7">
        <f>Sintesi!$C$29</f>
        <v/>
      </c>
      <c r="U193" s="5">
        <f>O193/(Sintesi!$C$5*1000)</f>
        <v/>
      </c>
      <c r="V193" s="1">
        <f>T193-S193</f>
        <v/>
      </c>
      <c r="W193" s="1" t="n">
        <v>0.462837170015821</v>
      </c>
      <c r="X193" s="1">
        <f>W193*V193</f>
        <v/>
      </c>
      <c r="Y193" s="1">
        <f>T193-X193</f>
        <v/>
      </c>
      <c r="Z193" s="1">
        <f>'Paste cellinfo here'!$B$11</f>
        <v/>
      </c>
    </row>
    <row r="194">
      <c r="A194" s="1" t="n">
        <v>193</v>
      </c>
      <c r="B194" s="2">
        <f>DATE(Sintesi!$C$4-1,12,31)+A194</f>
        <v/>
      </c>
      <c r="C194" s="1">
        <f>'Paste cell here'!B194</f>
        <v/>
      </c>
      <c r="D194" s="1">
        <f>'Paste cell here'!I194</f>
        <v/>
      </c>
      <c r="E194" s="1">
        <f>'Paste cell here'!J194</f>
        <v/>
      </c>
      <c r="F194" s="1">
        <f>'Paste cell here'!K194</f>
        <v/>
      </c>
      <c r="G194" s="1">
        <f>'Paste cell here'!L194</f>
        <v/>
      </c>
      <c r="H194" s="1">
        <f>'Paste cell here'!M194</f>
        <v/>
      </c>
      <c r="I194" s="1">
        <f>'Paste cell here'!N194</f>
        <v/>
      </c>
      <c r="J194" s="1">
        <f>'Paste cell here'!O194</f>
        <v/>
      </c>
      <c r="K194" s="1">
        <f>'Paste cell here'!Q194</f>
        <v/>
      </c>
      <c r="L194" s="1">
        <f>'Paste cell here'!S194</f>
        <v/>
      </c>
      <c r="M194" s="1">
        <f>'Paste cell here'!T194</f>
        <v/>
      </c>
      <c r="N194" s="1">
        <f>'Paste cell here'!W194</f>
        <v/>
      </c>
      <c r="O194" s="1">
        <f>'Paste cell here'!U194</f>
        <v/>
      </c>
      <c r="P194" s="1">
        <f>O193</f>
        <v/>
      </c>
      <c r="Q194" s="1">
        <f>'Paste cell here'!V194</f>
        <v/>
      </c>
      <c r="R194" s="1">
        <f>ABS(O193+C194+D194+N194+Q193-H194-I194-K194-L194-M194-O194-Q194)</f>
        <v/>
      </c>
      <c r="S194" s="7">
        <f>Sintesi!$C$30</f>
        <v/>
      </c>
      <c r="T194" s="7">
        <f>Sintesi!$C$29</f>
        <v/>
      </c>
      <c r="U194" s="5">
        <f>O194/(Sintesi!$C$5*1000)</f>
        <v/>
      </c>
      <c r="V194" s="1">
        <f>T194-S194</f>
        <v/>
      </c>
      <c r="W194" s="1" t="n">
        <v>0.525041380346196</v>
      </c>
      <c r="X194" s="1">
        <f>W194*V194</f>
        <v/>
      </c>
      <c r="Y194" s="1">
        <f>T194-X194</f>
        <v/>
      </c>
      <c r="Z194" s="1">
        <f>'Paste cellinfo here'!$B$11</f>
        <v/>
      </c>
    </row>
    <row r="195">
      <c r="A195" s="1" t="n">
        <v>194</v>
      </c>
      <c r="B195" s="2">
        <f>DATE(Sintesi!$C$4-1,12,31)+A195</f>
        <v/>
      </c>
      <c r="C195" s="1">
        <f>'Paste cell here'!B195</f>
        <v/>
      </c>
      <c r="D195" s="1">
        <f>'Paste cell here'!I195</f>
        <v/>
      </c>
      <c r="E195" s="1">
        <f>'Paste cell here'!J195</f>
        <v/>
      </c>
      <c r="F195" s="1">
        <f>'Paste cell here'!K195</f>
        <v/>
      </c>
      <c r="G195" s="1">
        <f>'Paste cell here'!L195</f>
        <v/>
      </c>
      <c r="H195" s="1">
        <f>'Paste cell here'!M195</f>
        <v/>
      </c>
      <c r="I195" s="1">
        <f>'Paste cell here'!N195</f>
        <v/>
      </c>
      <c r="J195" s="1">
        <f>'Paste cell here'!O195</f>
        <v/>
      </c>
      <c r="K195" s="1">
        <f>'Paste cell here'!Q195</f>
        <v/>
      </c>
      <c r="L195" s="1">
        <f>'Paste cell here'!S195</f>
        <v/>
      </c>
      <c r="M195" s="1">
        <f>'Paste cell here'!T195</f>
        <v/>
      </c>
      <c r="N195" s="1">
        <f>'Paste cell here'!W195</f>
        <v/>
      </c>
      <c r="O195" s="1">
        <f>'Paste cell here'!U195</f>
        <v/>
      </c>
      <c r="P195" s="1">
        <f>O194</f>
        <v/>
      </c>
      <c r="Q195" s="1">
        <f>'Paste cell here'!V195</f>
        <v/>
      </c>
      <c r="R195" s="1">
        <f>ABS(O194+C195+D195+N195+Q194-H195-I195-K195-L195-M195-O195-Q195)</f>
        <v/>
      </c>
      <c r="S195" s="7">
        <f>Sintesi!$C$30</f>
        <v/>
      </c>
      <c r="T195" s="7">
        <f>Sintesi!$C$29</f>
        <v/>
      </c>
      <c r="U195" s="5">
        <f>O195/(Sintesi!$C$5*1000)</f>
        <v/>
      </c>
      <c r="V195" s="1">
        <f>T195-S195</f>
        <v/>
      </c>
      <c r="W195" s="1" t="n">
        <v>0.475861004387119</v>
      </c>
      <c r="X195" s="1">
        <f>W195*V195</f>
        <v/>
      </c>
      <c r="Y195" s="1">
        <f>T195-X195</f>
        <v/>
      </c>
      <c r="Z195" s="1">
        <f>'Paste cellinfo here'!$B$11</f>
        <v/>
      </c>
    </row>
    <row r="196">
      <c r="A196" s="1" t="n">
        <v>195</v>
      </c>
      <c r="B196" s="2">
        <f>DATE(Sintesi!$C$4-1,12,31)+A196</f>
        <v/>
      </c>
      <c r="C196" s="1">
        <f>'Paste cell here'!B196</f>
        <v/>
      </c>
      <c r="D196" s="1">
        <f>'Paste cell here'!I196</f>
        <v/>
      </c>
      <c r="E196" s="1">
        <f>'Paste cell here'!J196</f>
        <v/>
      </c>
      <c r="F196" s="1">
        <f>'Paste cell here'!K196</f>
        <v/>
      </c>
      <c r="G196" s="1">
        <f>'Paste cell here'!L196</f>
        <v/>
      </c>
      <c r="H196" s="1">
        <f>'Paste cell here'!M196</f>
        <v/>
      </c>
      <c r="I196" s="1">
        <f>'Paste cell here'!N196</f>
        <v/>
      </c>
      <c r="J196" s="1">
        <f>'Paste cell here'!O196</f>
        <v/>
      </c>
      <c r="K196" s="1">
        <f>'Paste cell here'!Q196</f>
        <v/>
      </c>
      <c r="L196" s="1">
        <f>'Paste cell here'!S196</f>
        <v/>
      </c>
      <c r="M196" s="1">
        <f>'Paste cell here'!T196</f>
        <v/>
      </c>
      <c r="N196" s="1">
        <f>'Paste cell here'!W196</f>
        <v/>
      </c>
      <c r="O196" s="1">
        <f>'Paste cell here'!U196</f>
        <v/>
      </c>
      <c r="P196" s="1">
        <f>O195</f>
        <v/>
      </c>
      <c r="Q196" s="1">
        <f>'Paste cell here'!V196</f>
        <v/>
      </c>
      <c r="R196" s="1">
        <f>ABS(O195+C196+D196+N196+Q195-H196-I196-K196-L196-M196-O196-Q196)</f>
        <v/>
      </c>
      <c r="S196" s="7">
        <f>Sintesi!$C$30</f>
        <v/>
      </c>
      <c r="T196" s="7">
        <f>Sintesi!$C$29</f>
        <v/>
      </c>
      <c r="U196" s="5">
        <f>O196/(Sintesi!$C$5*1000)</f>
        <v/>
      </c>
      <c r="V196" s="1">
        <f>T196-S196</f>
        <v/>
      </c>
      <c r="W196" s="1" t="n">
        <v>0.478078045229984</v>
      </c>
      <c r="X196" s="1">
        <f>W196*V196</f>
        <v/>
      </c>
      <c r="Y196" s="1">
        <f>T196-X196</f>
        <v/>
      </c>
      <c r="Z196" s="1">
        <f>'Paste cellinfo here'!$B$11</f>
        <v/>
      </c>
    </row>
    <row r="197">
      <c r="A197" s="1" t="n">
        <v>196</v>
      </c>
      <c r="B197" s="2">
        <f>DATE(Sintesi!$C$4-1,12,31)+A197</f>
        <v/>
      </c>
      <c r="C197" s="1">
        <f>'Paste cell here'!B197</f>
        <v/>
      </c>
      <c r="D197" s="1">
        <f>'Paste cell here'!I197</f>
        <v/>
      </c>
      <c r="E197" s="1">
        <f>'Paste cell here'!J197</f>
        <v/>
      </c>
      <c r="F197" s="1">
        <f>'Paste cell here'!K197</f>
        <v/>
      </c>
      <c r="G197" s="1">
        <f>'Paste cell here'!L197</f>
        <v/>
      </c>
      <c r="H197" s="1">
        <f>'Paste cell here'!M197</f>
        <v/>
      </c>
      <c r="I197" s="1">
        <f>'Paste cell here'!N197</f>
        <v/>
      </c>
      <c r="J197" s="1">
        <f>'Paste cell here'!O197</f>
        <v/>
      </c>
      <c r="K197" s="1">
        <f>'Paste cell here'!Q197</f>
        <v/>
      </c>
      <c r="L197" s="1">
        <f>'Paste cell here'!S197</f>
        <v/>
      </c>
      <c r="M197" s="1">
        <f>'Paste cell here'!T197</f>
        <v/>
      </c>
      <c r="N197" s="1">
        <f>'Paste cell here'!W197</f>
        <v/>
      </c>
      <c r="O197" s="1">
        <f>'Paste cell here'!U197</f>
        <v/>
      </c>
      <c r="P197" s="1">
        <f>O196</f>
        <v/>
      </c>
      <c r="Q197" s="1">
        <f>'Paste cell here'!V197</f>
        <v/>
      </c>
      <c r="R197" s="1">
        <f>ABS(O196+C197+D197+N197+Q196-H197-I197-K197-L197-M197-O197-Q197)</f>
        <v/>
      </c>
      <c r="S197" s="7">
        <f>Sintesi!$C$30</f>
        <v/>
      </c>
      <c r="T197" s="7">
        <f>Sintesi!$C$29</f>
        <v/>
      </c>
      <c r="U197" s="5">
        <f>O197/(Sintesi!$C$5*1000)</f>
        <v/>
      </c>
      <c r="V197" s="1">
        <f>T197-S197</f>
        <v/>
      </c>
      <c r="W197" s="1" t="n">
        <v>0.552655608702421</v>
      </c>
      <c r="X197" s="1">
        <f>W197*V197</f>
        <v/>
      </c>
      <c r="Y197" s="1">
        <f>T197-X197</f>
        <v/>
      </c>
      <c r="Z197" s="1">
        <f>'Paste cellinfo here'!$B$11</f>
        <v/>
      </c>
    </row>
    <row r="198">
      <c r="A198" s="1" t="n">
        <v>197</v>
      </c>
      <c r="B198" s="2">
        <f>DATE(Sintesi!$C$4-1,12,31)+A198</f>
        <v/>
      </c>
      <c r="C198" s="1">
        <f>'Paste cell here'!B198</f>
        <v/>
      </c>
      <c r="D198" s="1">
        <f>'Paste cell here'!I198</f>
        <v/>
      </c>
      <c r="E198" s="1">
        <f>'Paste cell here'!J198</f>
        <v/>
      </c>
      <c r="F198" s="1">
        <f>'Paste cell here'!K198</f>
        <v/>
      </c>
      <c r="G198" s="1">
        <f>'Paste cell here'!L198</f>
        <v/>
      </c>
      <c r="H198" s="1">
        <f>'Paste cell here'!M198</f>
        <v/>
      </c>
      <c r="I198" s="1">
        <f>'Paste cell here'!N198</f>
        <v/>
      </c>
      <c r="J198" s="1">
        <f>'Paste cell here'!O198</f>
        <v/>
      </c>
      <c r="K198" s="1">
        <f>'Paste cell here'!Q198</f>
        <v/>
      </c>
      <c r="L198" s="1">
        <f>'Paste cell here'!S198</f>
        <v/>
      </c>
      <c r="M198" s="1">
        <f>'Paste cell here'!T198</f>
        <v/>
      </c>
      <c r="N198" s="1">
        <f>'Paste cell here'!W198</f>
        <v/>
      </c>
      <c r="O198" s="1">
        <f>'Paste cell here'!U198</f>
        <v/>
      </c>
      <c r="P198" s="1">
        <f>O197</f>
        <v/>
      </c>
      <c r="Q198" s="1">
        <f>'Paste cell here'!V198</f>
        <v/>
      </c>
      <c r="R198" s="1">
        <f>ABS(O197+C198+D198+N198+Q197-H198-I198-K198-L198-M198-O198-Q198)</f>
        <v/>
      </c>
      <c r="S198" s="7">
        <f>Sintesi!$C$30</f>
        <v/>
      </c>
      <c r="T198" s="7">
        <f>Sintesi!$C$29</f>
        <v/>
      </c>
      <c r="U198" s="5">
        <f>O198/(Sintesi!$C$5*1000)</f>
        <v/>
      </c>
      <c r="V198" s="1">
        <f>T198-S198</f>
        <v/>
      </c>
      <c r="W198" s="1" t="n">
        <v>0.556009891483864</v>
      </c>
      <c r="X198" s="1">
        <f>W198*V198</f>
        <v/>
      </c>
      <c r="Y198" s="1">
        <f>T198-X198</f>
        <v/>
      </c>
      <c r="Z198" s="1">
        <f>'Paste cellinfo here'!$B$11</f>
        <v/>
      </c>
    </row>
    <row r="199">
      <c r="A199" s="1" t="n">
        <v>198</v>
      </c>
      <c r="B199" s="2">
        <f>DATE(Sintesi!$C$4-1,12,31)+A199</f>
        <v/>
      </c>
      <c r="C199" s="1">
        <f>'Paste cell here'!B199</f>
        <v/>
      </c>
      <c r="D199" s="1">
        <f>'Paste cell here'!I199</f>
        <v/>
      </c>
      <c r="E199" s="1">
        <f>'Paste cell here'!J199</f>
        <v/>
      </c>
      <c r="F199" s="1">
        <f>'Paste cell here'!K199</f>
        <v/>
      </c>
      <c r="G199" s="1">
        <f>'Paste cell here'!L199</f>
        <v/>
      </c>
      <c r="H199" s="1">
        <f>'Paste cell here'!M199</f>
        <v/>
      </c>
      <c r="I199" s="1">
        <f>'Paste cell here'!N199</f>
        <v/>
      </c>
      <c r="J199" s="1">
        <f>'Paste cell here'!O199</f>
        <v/>
      </c>
      <c r="K199" s="1">
        <f>'Paste cell here'!Q199</f>
        <v/>
      </c>
      <c r="L199" s="1">
        <f>'Paste cell here'!S199</f>
        <v/>
      </c>
      <c r="M199" s="1">
        <f>'Paste cell here'!T199</f>
        <v/>
      </c>
      <c r="N199" s="1">
        <f>'Paste cell here'!W199</f>
        <v/>
      </c>
      <c r="O199" s="1">
        <f>'Paste cell here'!U199</f>
        <v/>
      </c>
      <c r="P199" s="1">
        <f>O198</f>
        <v/>
      </c>
      <c r="Q199" s="1">
        <f>'Paste cell here'!V199</f>
        <v/>
      </c>
      <c r="R199" s="1">
        <f>ABS(O198+C199+D199+N199+Q198-H199-I199-K199-L199-M199-O199-Q199)</f>
        <v/>
      </c>
      <c r="S199" s="7">
        <f>Sintesi!$C$30</f>
        <v/>
      </c>
      <c r="T199" s="7">
        <f>Sintesi!$C$29</f>
        <v/>
      </c>
      <c r="U199" s="5">
        <f>O199/(Sintesi!$C$5*1000)</f>
        <v/>
      </c>
      <c r="V199" s="1">
        <f>T199-S199</f>
        <v/>
      </c>
      <c r="W199" s="1" t="n">
        <v>0.475707243119326</v>
      </c>
      <c r="X199" s="1">
        <f>W199*V199</f>
        <v/>
      </c>
      <c r="Y199" s="1">
        <f>T199-X199</f>
        <v/>
      </c>
      <c r="Z199" s="1">
        <f>'Paste cellinfo here'!$B$11</f>
        <v/>
      </c>
    </row>
    <row r="200">
      <c r="A200" s="1" t="n">
        <v>199</v>
      </c>
      <c r="B200" s="2">
        <f>DATE(Sintesi!$C$4-1,12,31)+A200</f>
        <v/>
      </c>
      <c r="C200" s="1">
        <f>'Paste cell here'!B200</f>
        <v/>
      </c>
      <c r="D200" s="1">
        <f>'Paste cell here'!I200</f>
        <v/>
      </c>
      <c r="E200" s="1">
        <f>'Paste cell here'!J200</f>
        <v/>
      </c>
      <c r="F200" s="1">
        <f>'Paste cell here'!K200</f>
        <v/>
      </c>
      <c r="G200" s="1">
        <f>'Paste cell here'!L200</f>
        <v/>
      </c>
      <c r="H200" s="1">
        <f>'Paste cell here'!M200</f>
        <v/>
      </c>
      <c r="I200" s="1">
        <f>'Paste cell here'!N200</f>
        <v/>
      </c>
      <c r="J200" s="1">
        <f>'Paste cell here'!O200</f>
        <v/>
      </c>
      <c r="K200" s="1">
        <f>'Paste cell here'!Q200</f>
        <v/>
      </c>
      <c r="L200" s="1">
        <f>'Paste cell here'!S200</f>
        <v/>
      </c>
      <c r="M200" s="1">
        <f>'Paste cell here'!T200</f>
        <v/>
      </c>
      <c r="N200" s="1">
        <f>'Paste cell here'!W200</f>
        <v/>
      </c>
      <c r="O200" s="1">
        <f>'Paste cell here'!U200</f>
        <v/>
      </c>
      <c r="P200" s="1">
        <f>O199</f>
        <v/>
      </c>
      <c r="Q200" s="1">
        <f>'Paste cell here'!V200</f>
        <v/>
      </c>
      <c r="R200" s="1">
        <f>ABS(O199+C200+D200+N200+Q199-H200-I200-K200-L200-M200-O200-Q200)</f>
        <v/>
      </c>
      <c r="S200" s="7">
        <f>Sintesi!$C$30</f>
        <v/>
      </c>
      <c r="T200" s="7">
        <f>Sintesi!$C$29</f>
        <v/>
      </c>
      <c r="U200" s="5">
        <f>O200/(Sintesi!$C$5*1000)</f>
        <v/>
      </c>
      <c r="V200" s="1">
        <f>T200-S200</f>
        <v/>
      </c>
      <c r="W200" s="1" t="n">
        <v>0.452342872807518</v>
      </c>
      <c r="X200" s="1">
        <f>W200*V200</f>
        <v/>
      </c>
      <c r="Y200" s="1">
        <f>T200-X200</f>
        <v/>
      </c>
      <c r="Z200" s="1">
        <f>'Paste cellinfo here'!$B$11</f>
        <v/>
      </c>
    </row>
    <row r="201">
      <c r="A201" s="1" t="n">
        <v>200</v>
      </c>
      <c r="B201" s="2">
        <f>DATE(Sintesi!$C$4-1,12,31)+A201</f>
        <v/>
      </c>
      <c r="C201" s="1">
        <f>'Paste cell here'!B201</f>
        <v/>
      </c>
      <c r="D201" s="1">
        <f>'Paste cell here'!I201</f>
        <v/>
      </c>
      <c r="E201" s="1">
        <f>'Paste cell here'!J201</f>
        <v/>
      </c>
      <c r="F201" s="1">
        <f>'Paste cell here'!K201</f>
        <v/>
      </c>
      <c r="G201" s="1">
        <f>'Paste cell here'!L201</f>
        <v/>
      </c>
      <c r="H201" s="1">
        <f>'Paste cell here'!M201</f>
        <v/>
      </c>
      <c r="I201" s="1">
        <f>'Paste cell here'!N201</f>
        <v/>
      </c>
      <c r="J201" s="1">
        <f>'Paste cell here'!O201</f>
        <v/>
      </c>
      <c r="K201" s="1">
        <f>'Paste cell here'!Q201</f>
        <v/>
      </c>
      <c r="L201" s="1">
        <f>'Paste cell here'!S201</f>
        <v/>
      </c>
      <c r="M201" s="1">
        <f>'Paste cell here'!T201</f>
        <v/>
      </c>
      <c r="N201" s="1">
        <f>'Paste cell here'!W201</f>
        <v/>
      </c>
      <c r="O201" s="1">
        <f>'Paste cell here'!U201</f>
        <v/>
      </c>
      <c r="P201" s="1">
        <f>O200</f>
        <v/>
      </c>
      <c r="Q201" s="1">
        <f>'Paste cell here'!V201</f>
        <v/>
      </c>
      <c r="R201" s="1">
        <f>ABS(O200+C201+D201+N201+Q200-H201-I201-K201-L201-M201-O201-Q201)</f>
        <v/>
      </c>
      <c r="S201" s="7">
        <f>Sintesi!$C$30</f>
        <v/>
      </c>
      <c r="T201" s="7">
        <f>Sintesi!$C$29</f>
        <v/>
      </c>
      <c r="U201" s="5">
        <f>O201/(Sintesi!$C$5*1000)</f>
        <v/>
      </c>
      <c r="V201" s="1">
        <f>T201-S201</f>
        <v/>
      </c>
      <c r="W201" s="1" t="n">
        <v>0.528085547984494</v>
      </c>
      <c r="X201" s="1">
        <f>W201*V201</f>
        <v/>
      </c>
      <c r="Y201" s="1">
        <f>T201-X201</f>
        <v/>
      </c>
      <c r="Z201" s="1">
        <f>'Paste cellinfo here'!$B$11</f>
        <v/>
      </c>
    </row>
    <row r="202">
      <c r="A202" s="1" t="n">
        <v>201</v>
      </c>
      <c r="B202" s="2">
        <f>DATE(Sintesi!$C$4-1,12,31)+A202</f>
        <v/>
      </c>
      <c r="C202" s="1">
        <f>'Paste cell here'!B202</f>
        <v/>
      </c>
      <c r="D202" s="1">
        <f>'Paste cell here'!I202</f>
        <v/>
      </c>
      <c r="E202" s="1">
        <f>'Paste cell here'!J202</f>
        <v/>
      </c>
      <c r="F202" s="1">
        <f>'Paste cell here'!K202</f>
        <v/>
      </c>
      <c r="G202" s="1">
        <f>'Paste cell here'!L202</f>
        <v/>
      </c>
      <c r="H202" s="1">
        <f>'Paste cell here'!M202</f>
        <v/>
      </c>
      <c r="I202" s="1">
        <f>'Paste cell here'!N202</f>
        <v/>
      </c>
      <c r="J202" s="1">
        <f>'Paste cell here'!O202</f>
        <v/>
      </c>
      <c r="K202" s="1">
        <f>'Paste cell here'!Q202</f>
        <v/>
      </c>
      <c r="L202" s="1">
        <f>'Paste cell here'!S202</f>
        <v/>
      </c>
      <c r="M202" s="1">
        <f>'Paste cell here'!T202</f>
        <v/>
      </c>
      <c r="N202" s="1">
        <f>'Paste cell here'!W202</f>
        <v/>
      </c>
      <c r="O202" s="1">
        <f>'Paste cell here'!U202</f>
        <v/>
      </c>
      <c r="P202" s="1">
        <f>O201</f>
        <v/>
      </c>
      <c r="Q202" s="1">
        <f>'Paste cell here'!V202</f>
        <v/>
      </c>
      <c r="R202" s="1">
        <f>ABS(O201+C202+D202+N202+Q201-H202-I202-K202-L202-M202-O202-Q202)</f>
        <v/>
      </c>
      <c r="S202" s="7">
        <f>Sintesi!$C$30</f>
        <v/>
      </c>
      <c r="T202" s="7">
        <f>Sintesi!$C$29</f>
        <v/>
      </c>
      <c r="U202" s="5">
        <f>O202/(Sintesi!$C$5*1000)</f>
        <v/>
      </c>
      <c r="V202" s="1">
        <f>T202-S202</f>
        <v/>
      </c>
      <c r="W202" s="1" t="n">
        <v>0.47485329225434</v>
      </c>
      <c r="X202" s="1">
        <f>W202*V202</f>
        <v/>
      </c>
      <c r="Y202" s="1">
        <f>T202-X202</f>
        <v/>
      </c>
      <c r="Z202" s="1">
        <f>'Paste cellinfo here'!$B$11</f>
        <v/>
      </c>
    </row>
    <row r="203">
      <c r="A203" s="1" t="n">
        <v>202</v>
      </c>
      <c r="B203" s="2">
        <f>DATE(Sintesi!$C$4-1,12,31)+A203</f>
        <v/>
      </c>
      <c r="C203" s="1">
        <f>'Paste cell here'!B203</f>
        <v/>
      </c>
      <c r="D203" s="1">
        <f>'Paste cell here'!I203</f>
        <v/>
      </c>
      <c r="E203" s="1">
        <f>'Paste cell here'!J203</f>
        <v/>
      </c>
      <c r="F203" s="1">
        <f>'Paste cell here'!K203</f>
        <v/>
      </c>
      <c r="G203" s="1">
        <f>'Paste cell here'!L203</f>
        <v/>
      </c>
      <c r="H203" s="1">
        <f>'Paste cell here'!M203</f>
        <v/>
      </c>
      <c r="I203" s="1">
        <f>'Paste cell here'!N203</f>
        <v/>
      </c>
      <c r="J203" s="1">
        <f>'Paste cell here'!O203</f>
        <v/>
      </c>
      <c r="K203" s="1">
        <f>'Paste cell here'!Q203</f>
        <v/>
      </c>
      <c r="L203" s="1">
        <f>'Paste cell here'!S203</f>
        <v/>
      </c>
      <c r="M203" s="1">
        <f>'Paste cell here'!T203</f>
        <v/>
      </c>
      <c r="N203" s="1">
        <f>'Paste cell here'!W203</f>
        <v/>
      </c>
      <c r="O203" s="1">
        <f>'Paste cell here'!U203</f>
        <v/>
      </c>
      <c r="P203" s="1">
        <f>O202</f>
        <v/>
      </c>
      <c r="Q203" s="1">
        <f>'Paste cell here'!V203</f>
        <v/>
      </c>
      <c r="R203" s="1">
        <f>ABS(O202+C203+D203+N203+Q202-H203-I203-K203-L203-M203-O203-Q203)</f>
        <v/>
      </c>
      <c r="S203" s="7">
        <f>Sintesi!$C$30</f>
        <v/>
      </c>
      <c r="T203" s="7">
        <f>Sintesi!$C$29</f>
        <v/>
      </c>
      <c r="U203" s="5">
        <f>O203/(Sintesi!$C$5*1000)</f>
        <v/>
      </c>
      <c r="V203" s="1">
        <f>T203-S203</f>
        <v/>
      </c>
      <c r="W203" s="1" t="n">
        <v>0.479907737522484</v>
      </c>
      <c r="X203" s="1">
        <f>W203*V203</f>
        <v/>
      </c>
      <c r="Y203" s="1">
        <f>T203-X203</f>
        <v/>
      </c>
      <c r="Z203" s="1">
        <f>'Paste cellinfo here'!$B$11</f>
        <v/>
      </c>
    </row>
    <row r="204">
      <c r="A204" s="1" t="n">
        <v>203</v>
      </c>
      <c r="B204" s="2">
        <f>DATE(Sintesi!$C$4-1,12,31)+A204</f>
        <v/>
      </c>
      <c r="C204" s="1">
        <f>'Paste cell here'!B204</f>
        <v/>
      </c>
      <c r="D204" s="1">
        <f>'Paste cell here'!I204</f>
        <v/>
      </c>
      <c r="E204" s="1">
        <f>'Paste cell here'!J204</f>
        <v/>
      </c>
      <c r="F204" s="1">
        <f>'Paste cell here'!K204</f>
        <v/>
      </c>
      <c r="G204" s="1">
        <f>'Paste cell here'!L204</f>
        <v/>
      </c>
      <c r="H204" s="1">
        <f>'Paste cell here'!M204</f>
        <v/>
      </c>
      <c r="I204" s="1">
        <f>'Paste cell here'!N204</f>
        <v/>
      </c>
      <c r="J204" s="1">
        <f>'Paste cell here'!O204</f>
        <v/>
      </c>
      <c r="K204" s="1">
        <f>'Paste cell here'!Q204</f>
        <v/>
      </c>
      <c r="L204" s="1">
        <f>'Paste cell here'!S204</f>
        <v/>
      </c>
      <c r="M204" s="1">
        <f>'Paste cell here'!T204</f>
        <v/>
      </c>
      <c r="N204" s="1">
        <f>'Paste cell here'!W204</f>
        <v/>
      </c>
      <c r="O204" s="1">
        <f>'Paste cell here'!U204</f>
        <v/>
      </c>
      <c r="P204" s="1">
        <f>O203</f>
        <v/>
      </c>
      <c r="Q204" s="1">
        <f>'Paste cell here'!V204</f>
        <v/>
      </c>
      <c r="R204" s="1">
        <f>ABS(O203+C204+D204+N204+Q203-H204-I204-K204-L204-M204-O204-Q204)</f>
        <v/>
      </c>
      <c r="S204" s="7">
        <f>Sintesi!$C$30</f>
        <v/>
      </c>
      <c r="T204" s="7">
        <f>Sintesi!$C$29</f>
        <v/>
      </c>
      <c r="U204" s="5">
        <f>O204/(Sintesi!$C$5*1000)</f>
        <v/>
      </c>
      <c r="V204" s="1">
        <f>T204-S204</f>
        <v/>
      </c>
      <c r="W204" s="1" t="n">
        <v>0.42070866918424</v>
      </c>
      <c r="X204" s="1">
        <f>W204*V204</f>
        <v/>
      </c>
      <c r="Y204" s="1">
        <f>T204-X204</f>
        <v/>
      </c>
      <c r="Z204" s="1">
        <f>'Paste cellinfo here'!$B$11</f>
        <v/>
      </c>
    </row>
    <row r="205">
      <c r="A205" s="1" t="n">
        <v>204</v>
      </c>
      <c r="B205" s="2">
        <f>DATE(Sintesi!$C$4-1,12,31)+A205</f>
        <v/>
      </c>
      <c r="C205" s="1">
        <f>'Paste cell here'!B205</f>
        <v/>
      </c>
      <c r="D205" s="1">
        <f>'Paste cell here'!I205</f>
        <v/>
      </c>
      <c r="E205" s="1">
        <f>'Paste cell here'!J205</f>
        <v/>
      </c>
      <c r="F205" s="1">
        <f>'Paste cell here'!K205</f>
        <v/>
      </c>
      <c r="G205" s="1">
        <f>'Paste cell here'!L205</f>
        <v/>
      </c>
      <c r="H205" s="1">
        <f>'Paste cell here'!M205</f>
        <v/>
      </c>
      <c r="I205" s="1">
        <f>'Paste cell here'!N205</f>
        <v/>
      </c>
      <c r="J205" s="1">
        <f>'Paste cell here'!O205</f>
        <v/>
      </c>
      <c r="K205" s="1">
        <f>'Paste cell here'!Q205</f>
        <v/>
      </c>
      <c r="L205" s="1">
        <f>'Paste cell here'!S205</f>
        <v/>
      </c>
      <c r="M205" s="1">
        <f>'Paste cell here'!T205</f>
        <v/>
      </c>
      <c r="N205" s="1">
        <f>'Paste cell here'!W205</f>
        <v/>
      </c>
      <c r="O205" s="1">
        <f>'Paste cell here'!U205</f>
        <v/>
      </c>
      <c r="P205" s="1">
        <f>O204</f>
        <v/>
      </c>
      <c r="Q205" s="1">
        <f>'Paste cell here'!V205</f>
        <v/>
      </c>
      <c r="R205" s="1">
        <f>ABS(O204+C205+D205+N205+Q204-H205-I205-K205-L205-M205-O205-Q205)</f>
        <v/>
      </c>
      <c r="S205" s="7">
        <f>Sintesi!$C$30</f>
        <v/>
      </c>
      <c r="T205" s="7">
        <f>Sintesi!$C$29</f>
        <v/>
      </c>
      <c r="U205" s="5">
        <f>O205/(Sintesi!$C$5*1000)</f>
        <v/>
      </c>
      <c r="V205" s="1">
        <f>T205-S205</f>
        <v/>
      </c>
      <c r="W205" s="1" t="n">
        <v>0.535441484393595</v>
      </c>
      <c r="X205" s="1">
        <f>W205*V205</f>
        <v/>
      </c>
      <c r="Y205" s="1">
        <f>T205-X205</f>
        <v/>
      </c>
      <c r="Z205" s="1">
        <f>'Paste cellinfo here'!$B$11</f>
        <v/>
      </c>
    </row>
    <row r="206">
      <c r="A206" s="1" t="n">
        <v>205</v>
      </c>
      <c r="B206" s="2">
        <f>DATE(Sintesi!$C$4-1,12,31)+A206</f>
        <v/>
      </c>
      <c r="C206" s="1">
        <f>'Paste cell here'!B206</f>
        <v/>
      </c>
      <c r="D206" s="1">
        <f>'Paste cell here'!I206</f>
        <v/>
      </c>
      <c r="E206" s="1">
        <f>'Paste cell here'!J206</f>
        <v/>
      </c>
      <c r="F206" s="1">
        <f>'Paste cell here'!K206</f>
        <v/>
      </c>
      <c r="G206" s="1">
        <f>'Paste cell here'!L206</f>
        <v/>
      </c>
      <c r="H206" s="1">
        <f>'Paste cell here'!M206</f>
        <v/>
      </c>
      <c r="I206" s="1">
        <f>'Paste cell here'!N206</f>
        <v/>
      </c>
      <c r="J206" s="1">
        <f>'Paste cell here'!O206</f>
        <v/>
      </c>
      <c r="K206" s="1">
        <f>'Paste cell here'!Q206</f>
        <v/>
      </c>
      <c r="L206" s="1">
        <f>'Paste cell here'!S206</f>
        <v/>
      </c>
      <c r="M206" s="1">
        <f>'Paste cell here'!T206</f>
        <v/>
      </c>
      <c r="N206" s="1">
        <f>'Paste cell here'!W206</f>
        <v/>
      </c>
      <c r="O206" s="1">
        <f>'Paste cell here'!U206</f>
        <v/>
      </c>
      <c r="P206" s="1">
        <f>O205</f>
        <v/>
      </c>
      <c r="Q206" s="1">
        <f>'Paste cell here'!V206</f>
        <v/>
      </c>
      <c r="R206" s="1">
        <f>ABS(O205+C206+D206+N206+Q205-H206-I206-K206-L206-M206-O206-Q206)</f>
        <v/>
      </c>
      <c r="S206" s="7">
        <f>Sintesi!$C$30</f>
        <v/>
      </c>
      <c r="T206" s="7">
        <f>Sintesi!$C$29</f>
        <v/>
      </c>
      <c r="U206" s="5">
        <f>O206/(Sintesi!$C$5*1000)</f>
        <v/>
      </c>
      <c r="V206" s="1">
        <f>T206-S206</f>
        <v/>
      </c>
      <c r="W206" s="1" t="n">
        <v>0.440661762491531</v>
      </c>
      <c r="X206" s="1">
        <f>W206*V206</f>
        <v/>
      </c>
      <c r="Y206" s="1">
        <f>T206-X206</f>
        <v/>
      </c>
      <c r="Z206" s="1">
        <f>'Paste cellinfo here'!$B$11</f>
        <v/>
      </c>
    </row>
    <row r="207">
      <c r="A207" s="1" t="n">
        <v>206</v>
      </c>
      <c r="B207" s="2">
        <f>DATE(Sintesi!$C$4-1,12,31)+A207</f>
        <v/>
      </c>
      <c r="C207" s="1">
        <f>'Paste cell here'!B207</f>
        <v/>
      </c>
      <c r="D207" s="1">
        <f>'Paste cell here'!I207</f>
        <v/>
      </c>
      <c r="E207" s="1">
        <f>'Paste cell here'!J207</f>
        <v/>
      </c>
      <c r="F207" s="1">
        <f>'Paste cell here'!K207</f>
        <v/>
      </c>
      <c r="G207" s="1">
        <f>'Paste cell here'!L207</f>
        <v/>
      </c>
      <c r="H207" s="1">
        <f>'Paste cell here'!M207</f>
        <v/>
      </c>
      <c r="I207" s="1">
        <f>'Paste cell here'!N207</f>
        <v/>
      </c>
      <c r="J207" s="1">
        <f>'Paste cell here'!O207</f>
        <v/>
      </c>
      <c r="K207" s="1">
        <f>'Paste cell here'!Q207</f>
        <v/>
      </c>
      <c r="L207" s="1">
        <f>'Paste cell here'!S207</f>
        <v/>
      </c>
      <c r="M207" s="1">
        <f>'Paste cell here'!T207</f>
        <v/>
      </c>
      <c r="N207" s="1">
        <f>'Paste cell here'!W207</f>
        <v/>
      </c>
      <c r="O207" s="1">
        <f>'Paste cell here'!U207</f>
        <v/>
      </c>
      <c r="P207" s="1">
        <f>O206</f>
        <v/>
      </c>
      <c r="Q207" s="1">
        <f>'Paste cell here'!V207</f>
        <v/>
      </c>
      <c r="R207" s="1">
        <f>ABS(O206+C207+D207+N207+Q206-H207-I207-K207-L207-M207-O207-Q207)</f>
        <v/>
      </c>
      <c r="S207" s="7">
        <f>Sintesi!$C$30</f>
        <v/>
      </c>
      <c r="T207" s="7">
        <f>Sintesi!$C$29</f>
        <v/>
      </c>
      <c r="U207" s="5">
        <f>O207/(Sintesi!$C$5*1000)</f>
        <v/>
      </c>
      <c r="V207" s="1">
        <f>T207-S207</f>
        <v/>
      </c>
      <c r="W207" s="1" t="n">
        <v>0.416762302264707</v>
      </c>
      <c r="X207" s="1">
        <f>W207*V207</f>
        <v/>
      </c>
      <c r="Y207" s="1">
        <f>T207-X207</f>
        <v/>
      </c>
      <c r="Z207" s="1">
        <f>'Paste cellinfo here'!$B$11</f>
        <v/>
      </c>
    </row>
    <row r="208">
      <c r="A208" s="1" t="n">
        <v>207</v>
      </c>
      <c r="B208" s="2">
        <f>DATE(Sintesi!$C$4-1,12,31)+A208</f>
        <v/>
      </c>
      <c r="C208" s="1">
        <f>'Paste cell here'!B208</f>
        <v/>
      </c>
      <c r="D208" s="1">
        <f>'Paste cell here'!I208</f>
        <v/>
      </c>
      <c r="E208" s="1">
        <f>'Paste cell here'!J208</f>
        <v/>
      </c>
      <c r="F208" s="1">
        <f>'Paste cell here'!K208</f>
        <v/>
      </c>
      <c r="G208" s="1">
        <f>'Paste cell here'!L208</f>
        <v/>
      </c>
      <c r="H208" s="1">
        <f>'Paste cell here'!M208</f>
        <v/>
      </c>
      <c r="I208" s="1">
        <f>'Paste cell here'!N208</f>
        <v/>
      </c>
      <c r="J208" s="1">
        <f>'Paste cell here'!O208</f>
        <v/>
      </c>
      <c r="K208" s="1">
        <f>'Paste cell here'!Q208</f>
        <v/>
      </c>
      <c r="L208" s="1">
        <f>'Paste cell here'!S208</f>
        <v/>
      </c>
      <c r="M208" s="1">
        <f>'Paste cell here'!T208</f>
        <v/>
      </c>
      <c r="N208" s="1">
        <f>'Paste cell here'!W208</f>
        <v/>
      </c>
      <c r="O208" s="1">
        <f>'Paste cell here'!U208</f>
        <v/>
      </c>
      <c r="P208" s="1">
        <f>O207</f>
        <v/>
      </c>
      <c r="Q208" s="1">
        <f>'Paste cell here'!V208</f>
        <v/>
      </c>
      <c r="R208" s="1">
        <f>ABS(O207+C208+D208+N208+Q207-H208-I208-K208-L208-M208-O208-Q208)</f>
        <v/>
      </c>
      <c r="S208" s="7">
        <f>Sintesi!$C$30</f>
        <v/>
      </c>
      <c r="T208" s="7">
        <f>Sintesi!$C$29</f>
        <v/>
      </c>
      <c r="U208" s="5">
        <f>O208/(Sintesi!$C$5*1000)</f>
        <v/>
      </c>
      <c r="V208" s="1">
        <f>T208-S208</f>
        <v/>
      </c>
      <c r="W208" s="1" t="n">
        <v>0.427859024376353</v>
      </c>
      <c r="X208" s="1">
        <f>W208*V208</f>
        <v/>
      </c>
      <c r="Y208" s="1">
        <f>T208-X208</f>
        <v/>
      </c>
      <c r="Z208" s="1">
        <f>'Paste cellinfo here'!$B$11</f>
        <v/>
      </c>
    </row>
    <row r="209">
      <c r="A209" s="1" t="n">
        <v>208</v>
      </c>
      <c r="B209" s="2">
        <f>DATE(Sintesi!$C$4-1,12,31)+A209</f>
        <v/>
      </c>
      <c r="C209" s="1">
        <f>'Paste cell here'!B209</f>
        <v/>
      </c>
      <c r="D209" s="1">
        <f>'Paste cell here'!I209</f>
        <v/>
      </c>
      <c r="E209" s="1">
        <f>'Paste cell here'!J209</f>
        <v/>
      </c>
      <c r="F209" s="1">
        <f>'Paste cell here'!K209</f>
        <v/>
      </c>
      <c r="G209" s="1">
        <f>'Paste cell here'!L209</f>
        <v/>
      </c>
      <c r="H209" s="1">
        <f>'Paste cell here'!M209</f>
        <v/>
      </c>
      <c r="I209" s="1">
        <f>'Paste cell here'!N209</f>
        <v/>
      </c>
      <c r="J209" s="1">
        <f>'Paste cell here'!O209</f>
        <v/>
      </c>
      <c r="K209" s="1">
        <f>'Paste cell here'!Q209</f>
        <v/>
      </c>
      <c r="L209" s="1">
        <f>'Paste cell here'!S209</f>
        <v/>
      </c>
      <c r="M209" s="1">
        <f>'Paste cell here'!T209</f>
        <v/>
      </c>
      <c r="N209" s="1">
        <f>'Paste cell here'!W209</f>
        <v/>
      </c>
      <c r="O209" s="1">
        <f>'Paste cell here'!U209</f>
        <v/>
      </c>
      <c r="P209" s="1">
        <f>O208</f>
        <v/>
      </c>
      <c r="Q209" s="1">
        <f>'Paste cell here'!V209</f>
        <v/>
      </c>
      <c r="R209" s="1">
        <f>ABS(O208+C209+D209+N209+Q208-H209-I209-K209-L209-M209-O209-Q209)</f>
        <v/>
      </c>
      <c r="S209" s="7">
        <f>Sintesi!$C$30</f>
        <v/>
      </c>
      <c r="T209" s="7">
        <f>Sintesi!$C$29</f>
        <v/>
      </c>
      <c r="U209" s="5">
        <f>O209/(Sintesi!$C$5*1000)</f>
        <v/>
      </c>
      <c r="V209" s="1">
        <f>T209-S209</f>
        <v/>
      </c>
      <c r="W209" s="1" t="n">
        <v>0.423051812272991</v>
      </c>
      <c r="X209" s="1">
        <f>W209*V209</f>
        <v/>
      </c>
      <c r="Y209" s="1">
        <f>T209-X209</f>
        <v/>
      </c>
      <c r="Z209" s="1">
        <f>'Paste cellinfo here'!$B$11</f>
        <v/>
      </c>
    </row>
    <row r="210">
      <c r="A210" s="1" t="n">
        <v>209</v>
      </c>
      <c r="B210" s="2">
        <f>DATE(Sintesi!$C$4-1,12,31)+A210</f>
        <v/>
      </c>
      <c r="C210" s="1">
        <f>'Paste cell here'!B210</f>
        <v/>
      </c>
      <c r="D210" s="1">
        <f>'Paste cell here'!I210</f>
        <v/>
      </c>
      <c r="E210" s="1">
        <f>'Paste cell here'!J210</f>
        <v/>
      </c>
      <c r="F210" s="1">
        <f>'Paste cell here'!K210</f>
        <v/>
      </c>
      <c r="G210" s="1">
        <f>'Paste cell here'!L210</f>
        <v/>
      </c>
      <c r="H210" s="1">
        <f>'Paste cell here'!M210</f>
        <v/>
      </c>
      <c r="I210" s="1">
        <f>'Paste cell here'!N210</f>
        <v/>
      </c>
      <c r="J210" s="1">
        <f>'Paste cell here'!O210</f>
        <v/>
      </c>
      <c r="K210" s="1">
        <f>'Paste cell here'!Q210</f>
        <v/>
      </c>
      <c r="L210" s="1">
        <f>'Paste cell here'!S210</f>
        <v/>
      </c>
      <c r="M210" s="1">
        <f>'Paste cell here'!T210</f>
        <v/>
      </c>
      <c r="N210" s="1">
        <f>'Paste cell here'!W210</f>
        <v/>
      </c>
      <c r="O210" s="1">
        <f>'Paste cell here'!U210</f>
        <v/>
      </c>
      <c r="P210" s="1">
        <f>O209</f>
        <v/>
      </c>
      <c r="Q210" s="1">
        <f>'Paste cell here'!V210</f>
        <v/>
      </c>
      <c r="R210" s="1">
        <f>ABS(O209+C210+D210+N210+Q209-H210-I210-K210-L210-M210-O210-Q210)</f>
        <v/>
      </c>
      <c r="S210" s="7">
        <f>Sintesi!$C$30</f>
        <v/>
      </c>
      <c r="T210" s="7">
        <f>Sintesi!$C$29</f>
        <v/>
      </c>
      <c r="U210" s="5">
        <f>O210/(Sintesi!$C$5*1000)</f>
        <v/>
      </c>
      <c r="V210" s="1">
        <f>T210-S210</f>
        <v/>
      </c>
      <c r="W210" s="1" t="n">
        <v>0.543852749700633</v>
      </c>
      <c r="X210" s="1">
        <f>W210*V210</f>
        <v/>
      </c>
      <c r="Y210" s="1">
        <f>T210-X210</f>
        <v/>
      </c>
      <c r="Z210" s="1">
        <f>'Paste cellinfo here'!$B$11</f>
        <v/>
      </c>
    </row>
    <row r="211">
      <c r="A211" s="1" t="n">
        <v>210</v>
      </c>
      <c r="B211" s="2">
        <f>DATE(Sintesi!$C$4-1,12,31)+A211</f>
        <v/>
      </c>
      <c r="C211" s="1">
        <f>'Paste cell here'!B211</f>
        <v/>
      </c>
      <c r="D211" s="1">
        <f>'Paste cell here'!I211</f>
        <v/>
      </c>
      <c r="E211" s="1">
        <f>'Paste cell here'!J211</f>
        <v/>
      </c>
      <c r="F211" s="1">
        <f>'Paste cell here'!K211</f>
        <v/>
      </c>
      <c r="G211" s="1">
        <f>'Paste cell here'!L211</f>
        <v/>
      </c>
      <c r="H211" s="1">
        <f>'Paste cell here'!M211</f>
        <v/>
      </c>
      <c r="I211" s="1">
        <f>'Paste cell here'!N211</f>
        <v/>
      </c>
      <c r="J211" s="1">
        <f>'Paste cell here'!O211</f>
        <v/>
      </c>
      <c r="K211" s="1">
        <f>'Paste cell here'!Q211</f>
        <v/>
      </c>
      <c r="L211" s="1">
        <f>'Paste cell here'!S211</f>
        <v/>
      </c>
      <c r="M211" s="1">
        <f>'Paste cell here'!T211</f>
        <v/>
      </c>
      <c r="N211" s="1">
        <f>'Paste cell here'!W211</f>
        <v/>
      </c>
      <c r="O211" s="1">
        <f>'Paste cell here'!U211</f>
        <v/>
      </c>
      <c r="P211" s="1">
        <f>O210</f>
        <v/>
      </c>
      <c r="Q211" s="1">
        <f>'Paste cell here'!V211</f>
        <v/>
      </c>
      <c r="R211" s="1">
        <f>ABS(O210+C211+D211+N211+Q210-H211-I211-K211-L211-M211-O211-Q211)</f>
        <v/>
      </c>
      <c r="S211" s="7">
        <f>Sintesi!$C$30</f>
        <v/>
      </c>
      <c r="T211" s="7">
        <f>Sintesi!$C$29</f>
        <v/>
      </c>
      <c r="U211" s="5">
        <f>O211/(Sintesi!$C$5*1000)</f>
        <v/>
      </c>
      <c r="V211" s="1">
        <f>T211-S211</f>
        <v/>
      </c>
      <c r="W211" s="1" t="n">
        <v>0.611634904981479</v>
      </c>
      <c r="X211" s="1">
        <f>W211*V211</f>
        <v/>
      </c>
      <c r="Y211" s="1">
        <f>T211-X211</f>
        <v/>
      </c>
      <c r="Z211" s="1">
        <f>'Paste cellinfo here'!$B$11</f>
        <v/>
      </c>
    </row>
    <row r="212">
      <c r="A212" s="1" t="n">
        <v>211</v>
      </c>
      <c r="B212" s="2">
        <f>DATE(Sintesi!$C$4-1,12,31)+A212</f>
        <v/>
      </c>
      <c r="C212" s="1">
        <f>'Paste cell here'!B212</f>
        <v/>
      </c>
      <c r="D212" s="1">
        <f>'Paste cell here'!I212</f>
        <v/>
      </c>
      <c r="E212" s="1">
        <f>'Paste cell here'!J212</f>
        <v/>
      </c>
      <c r="F212" s="1">
        <f>'Paste cell here'!K212</f>
        <v/>
      </c>
      <c r="G212" s="1">
        <f>'Paste cell here'!L212</f>
        <v/>
      </c>
      <c r="H212" s="1">
        <f>'Paste cell here'!M212</f>
        <v/>
      </c>
      <c r="I212" s="1">
        <f>'Paste cell here'!N212</f>
        <v/>
      </c>
      <c r="J212" s="1">
        <f>'Paste cell here'!O212</f>
        <v/>
      </c>
      <c r="K212" s="1">
        <f>'Paste cell here'!Q212</f>
        <v/>
      </c>
      <c r="L212" s="1">
        <f>'Paste cell here'!S212</f>
        <v/>
      </c>
      <c r="M212" s="1">
        <f>'Paste cell here'!T212</f>
        <v/>
      </c>
      <c r="N212" s="1">
        <f>'Paste cell here'!W212</f>
        <v/>
      </c>
      <c r="O212" s="1">
        <f>'Paste cell here'!U212</f>
        <v/>
      </c>
      <c r="P212" s="1">
        <f>O211</f>
        <v/>
      </c>
      <c r="Q212" s="1">
        <f>'Paste cell here'!V212</f>
        <v/>
      </c>
      <c r="R212" s="1">
        <f>ABS(O211+C212+D212+N212+Q211-H212-I212-K212-L212-M212-O212-Q212)</f>
        <v/>
      </c>
      <c r="S212" s="7">
        <f>Sintesi!$C$30</f>
        <v/>
      </c>
      <c r="T212" s="7">
        <f>Sintesi!$C$29</f>
        <v/>
      </c>
      <c r="U212" s="5">
        <f>O212/(Sintesi!$C$5*1000)</f>
        <v/>
      </c>
      <c r="V212" s="1">
        <f>T212-S212</f>
        <v/>
      </c>
      <c r="W212" s="1" t="n">
        <v>0.480835981426317</v>
      </c>
      <c r="X212" s="1">
        <f>W212*V212</f>
        <v/>
      </c>
      <c r="Y212" s="1">
        <f>T212-X212</f>
        <v/>
      </c>
      <c r="Z212" s="1">
        <f>'Paste cellinfo here'!$B$11</f>
        <v/>
      </c>
    </row>
    <row r="213">
      <c r="A213" s="1" t="n">
        <v>212</v>
      </c>
      <c r="B213" s="2">
        <f>DATE(Sintesi!$C$4-1,12,31)+A213</f>
        <v/>
      </c>
      <c r="C213" s="1">
        <f>'Paste cell here'!B213</f>
        <v/>
      </c>
      <c r="D213" s="1">
        <f>'Paste cell here'!I213</f>
        <v/>
      </c>
      <c r="E213" s="1">
        <f>'Paste cell here'!J213</f>
        <v/>
      </c>
      <c r="F213" s="1">
        <f>'Paste cell here'!K213</f>
        <v/>
      </c>
      <c r="G213" s="1">
        <f>'Paste cell here'!L213</f>
        <v/>
      </c>
      <c r="H213" s="1">
        <f>'Paste cell here'!M213</f>
        <v/>
      </c>
      <c r="I213" s="1">
        <f>'Paste cell here'!N213</f>
        <v/>
      </c>
      <c r="J213" s="1">
        <f>'Paste cell here'!O213</f>
        <v/>
      </c>
      <c r="K213" s="1">
        <f>'Paste cell here'!Q213</f>
        <v/>
      </c>
      <c r="L213" s="1">
        <f>'Paste cell here'!S213</f>
        <v/>
      </c>
      <c r="M213" s="1">
        <f>'Paste cell here'!T213</f>
        <v/>
      </c>
      <c r="N213" s="1">
        <f>'Paste cell here'!W213</f>
        <v/>
      </c>
      <c r="O213" s="1">
        <f>'Paste cell here'!U213</f>
        <v/>
      </c>
      <c r="P213" s="1">
        <f>O212</f>
        <v/>
      </c>
      <c r="Q213" s="1">
        <f>'Paste cell here'!V213</f>
        <v/>
      </c>
      <c r="R213" s="1">
        <f>ABS(O212+C213+D213+N213+Q212-H213-I213-K213-L213-M213-O213-Q213)</f>
        <v/>
      </c>
      <c r="S213" s="7">
        <f>Sintesi!$C$30</f>
        <v/>
      </c>
      <c r="T213" s="7">
        <f>Sintesi!$C$29</f>
        <v/>
      </c>
      <c r="U213" s="5">
        <f>O213/(Sintesi!$C$5*1000)</f>
        <v/>
      </c>
      <c r="V213" s="1">
        <f>T213-S213</f>
        <v/>
      </c>
      <c r="W213" s="1" t="n">
        <v>0.53539514588621</v>
      </c>
      <c r="X213" s="1">
        <f>W213*V213</f>
        <v/>
      </c>
      <c r="Y213" s="1">
        <f>T213-X213</f>
        <v/>
      </c>
      <c r="Z213" s="1">
        <f>'Paste cellinfo here'!$B$11</f>
        <v/>
      </c>
    </row>
    <row r="214">
      <c r="A214" s="1" t="n">
        <v>213</v>
      </c>
      <c r="B214" s="2">
        <f>DATE(Sintesi!$C$4-1,12,31)+A214</f>
        <v/>
      </c>
      <c r="C214" s="1">
        <f>'Paste cell here'!B214</f>
        <v/>
      </c>
      <c r="D214" s="1">
        <f>'Paste cell here'!I214</f>
        <v/>
      </c>
      <c r="E214" s="1">
        <f>'Paste cell here'!J214</f>
        <v/>
      </c>
      <c r="F214" s="1">
        <f>'Paste cell here'!K214</f>
        <v/>
      </c>
      <c r="G214" s="1">
        <f>'Paste cell here'!L214</f>
        <v/>
      </c>
      <c r="H214" s="1">
        <f>'Paste cell here'!M214</f>
        <v/>
      </c>
      <c r="I214" s="1">
        <f>'Paste cell here'!N214</f>
        <v/>
      </c>
      <c r="J214" s="1">
        <f>'Paste cell here'!O214</f>
        <v/>
      </c>
      <c r="K214" s="1">
        <f>'Paste cell here'!Q214</f>
        <v/>
      </c>
      <c r="L214" s="1">
        <f>'Paste cell here'!S214</f>
        <v/>
      </c>
      <c r="M214" s="1">
        <f>'Paste cell here'!T214</f>
        <v/>
      </c>
      <c r="N214" s="1">
        <f>'Paste cell here'!W214</f>
        <v/>
      </c>
      <c r="O214" s="1">
        <f>'Paste cell here'!U214</f>
        <v/>
      </c>
      <c r="P214" s="1">
        <f>O213</f>
        <v/>
      </c>
      <c r="Q214" s="1">
        <f>'Paste cell here'!V214</f>
        <v/>
      </c>
      <c r="R214" s="1">
        <f>ABS(O213+C214+D214+N214+Q213-H214-I214-K214-L214-M214-O214-Q214)</f>
        <v/>
      </c>
      <c r="S214" s="7">
        <f>Sintesi!$C$30</f>
        <v/>
      </c>
      <c r="T214" s="7">
        <f>Sintesi!$C$29</f>
        <v/>
      </c>
      <c r="U214" s="5">
        <f>O214/(Sintesi!$C$5*1000)</f>
        <v/>
      </c>
      <c r="V214" s="1">
        <f>T214-S214</f>
        <v/>
      </c>
      <c r="W214" s="1" t="n">
        <v>0.510528353949166</v>
      </c>
      <c r="X214" s="1">
        <f>W214*V214</f>
        <v/>
      </c>
      <c r="Y214" s="1">
        <f>T214-X214</f>
        <v/>
      </c>
      <c r="Z214" s="1">
        <f>'Paste cellinfo here'!$B$11</f>
        <v/>
      </c>
    </row>
    <row r="215">
      <c r="A215" s="1" t="n">
        <v>214</v>
      </c>
      <c r="B215" s="2">
        <f>DATE(Sintesi!$C$4-1,12,31)+A215</f>
        <v/>
      </c>
      <c r="C215" s="1">
        <f>'Paste cell here'!B215</f>
        <v/>
      </c>
      <c r="D215" s="1">
        <f>'Paste cell here'!I215</f>
        <v/>
      </c>
      <c r="E215" s="1">
        <f>'Paste cell here'!J215</f>
        <v/>
      </c>
      <c r="F215" s="1">
        <f>'Paste cell here'!K215</f>
        <v/>
      </c>
      <c r="G215" s="1">
        <f>'Paste cell here'!L215</f>
        <v/>
      </c>
      <c r="H215" s="1">
        <f>'Paste cell here'!M215</f>
        <v/>
      </c>
      <c r="I215" s="1">
        <f>'Paste cell here'!N215</f>
        <v/>
      </c>
      <c r="J215" s="1">
        <f>'Paste cell here'!O215</f>
        <v/>
      </c>
      <c r="K215" s="1">
        <f>'Paste cell here'!Q215</f>
        <v/>
      </c>
      <c r="L215" s="1">
        <f>'Paste cell here'!S215</f>
        <v/>
      </c>
      <c r="M215" s="1">
        <f>'Paste cell here'!T215</f>
        <v/>
      </c>
      <c r="N215" s="1">
        <f>'Paste cell here'!W215</f>
        <v/>
      </c>
      <c r="O215" s="1">
        <f>'Paste cell here'!U215</f>
        <v/>
      </c>
      <c r="P215" s="1">
        <f>O214</f>
        <v/>
      </c>
      <c r="Q215" s="1">
        <f>'Paste cell here'!V215</f>
        <v/>
      </c>
      <c r="R215" s="1">
        <f>ABS(O214+C215+D215+N215+Q214-H215-I215-K215-L215-M215-O215-Q215)</f>
        <v/>
      </c>
      <c r="S215" s="7">
        <f>Sintesi!$C$30</f>
        <v/>
      </c>
      <c r="T215" s="7">
        <f>Sintesi!$C$29</f>
        <v/>
      </c>
      <c r="U215" s="5">
        <f>O215/(Sintesi!$C$5*1000)</f>
        <v/>
      </c>
      <c r="V215" s="1">
        <f>T215-S215</f>
        <v/>
      </c>
      <c r="W215" s="1" t="n">
        <v>0.50611534803957</v>
      </c>
      <c r="X215" s="1">
        <f>W215*V215</f>
        <v/>
      </c>
      <c r="Y215" s="1">
        <f>T215-X215</f>
        <v/>
      </c>
      <c r="Z215" s="1">
        <f>'Paste cellinfo here'!$B$11</f>
        <v/>
      </c>
    </row>
    <row r="216">
      <c r="A216" s="1" t="n">
        <v>215</v>
      </c>
      <c r="B216" s="2">
        <f>DATE(Sintesi!$C$4-1,12,31)+A216</f>
        <v/>
      </c>
      <c r="C216" s="1">
        <f>'Paste cell here'!B216</f>
        <v/>
      </c>
      <c r="D216" s="1">
        <f>'Paste cell here'!I216</f>
        <v/>
      </c>
      <c r="E216" s="1">
        <f>'Paste cell here'!J216</f>
        <v/>
      </c>
      <c r="F216" s="1">
        <f>'Paste cell here'!K216</f>
        <v/>
      </c>
      <c r="G216" s="1">
        <f>'Paste cell here'!L216</f>
        <v/>
      </c>
      <c r="H216" s="1">
        <f>'Paste cell here'!M216</f>
        <v/>
      </c>
      <c r="I216" s="1">
        <f>'Paste cell here'!N216</f>
        <v/>
      </c>
      <c r="J216" s="1">
        <f>'Paste cell here'!O216</f>
        <v/>
      </c>
      <c r="K216" s="1">
        <f>'Paste cell here'!Q216</f>
        <v/>
      </c>
      <c r="L216" s="1">
        <f>'Paste cell here'!S216</f>
        <v/>
      </c>
      <c r="M216" s="1">
        <f>'Paste cell here'!T216</f>
        <v/>
      </c>
      <c r="N216" s="1">
        <f>'Paste cell here'!W216</f>
        <v/>
      </c>
      <c r="O216" s="1">
        <f>'Paste cell here'!U216</f>
        <v/>
      </c>
      <c r="P216" s="1">
        <f>O215</f>
        <v/>
      </c>
      <c r="Q216" s="1">
        <f>'Paste cell here'!V216</f>
        <v/>
      </c>
      <c r="R216" s="1">
        <f>ABS(O215+C216+D216+N216+Q215-H216-I216-K216-L216-M216-O216-Q216)</f>
        <v/>
      </c>
      <c r="S216" s="7">
        <f>Sintesi!$C$30</f>
        <v/>
      </c>
      <c r="T216" s="7">
        <f>Sintesi!$C$29</f>
        <v/>
      </c>
      <c r="U216" s="5">
        <f>O216/(Sintesi!$C$5*1000)</f>
        <v/>
      </c>
      <c r="V216" s="1">
        <f>T216-S216</f>
        <v/>
      </c>
      <c r="W216" s="1" t="n">
        <v>0.5460722423950209</v>
      </c>
      <c r="X216" s="1">
        <f>W216*V216</f>
        <v/>
      </c>
      <c r="Y216" s="1">
        <f>T216-X216</f>
        <v/>
      </c>
      <c r="Z216" s="1">
        <f>'Paste cellinfo here'!$B$11</f>
        <v/>
      </c>
    </row>
    <row r="217">
      <c r="A217" s="1" t="n">
        <v>216</v>
      </c>
      <c r="B217" s="2">
        <f>DATE(Sintesi!$C$4-1,12,31)+A217</f>
        <v/>
      </c>
      <c r="C217" s="1">
        <f>'Paste cell here'!B217</f>
        <v/>
      </c>
      <c r="D217" s="1">
        <f>'Paste cell here'!I217</f>
        <v/>
      </c>
      <c r="E217" s="1">
        <f>'Paste cell here'!J217</f>
        <v/>
      </c>
      <c r="F217" s="1">
        <f>'Paste cell here'!K217</f>
        <v/>
      </c>
      <c r="G217" s="1">
        <f>'Paste cell here'!L217</f>
        <v/>
      </c>
      <c r="H217" s="1">
        <f>'Paste cell here'!M217</f>
        <v/>
      </c>
      <c r="I217" s="1">
        <f>'Paste cell here'!N217</f>
        <v/>
      </c>
      <c r="J217" s="1">
        <f>'Paste cell here'!O217</f>
        <v/>
      </c>
      <c r="K217" s="1">
        <f>'Paste cell here'!Q217</f>
        <v/>
      </c>
      <c r="L217" s="1">
        <f>'Paste cell here'!S217</f>
        <v/>
      </c>
      <c r="M217" s="1">
        <f>'Paste cell here'!T217</f>
        <v/>
      </c>
      <c r="N217" s="1">
        <f>'Paste cell here'!W217</f>
        <v/>
      </c>
      <c r="O217" s="1">
        <f>'Paste cell here'!U217</f>
        <v/>
      </c>
      <c r="P217" s="1">
        <f>O216</f>
        <v/>
      </c>
      <c r="Q217" s="1">
        <f>'Paste cell here'!V217</f>
        <v/>
      </c>
      <c r="R217" s="1">
        <f>ABS(O216+C217+D217+N217+Q216-H217-I217-K217-L217-M217-O217-Q217)</f>
        <v/>
      </c>
      <c r="S217" s="7">
        <f>Sintesi!$C$30</f>
        <v/>
      </c>
      <c r="T217" s="7">
        <f>Sintesi!$C$29</f>
        <v/>
      </c>
      <c r="U217" s="5">
        <f>O217/(Sintesi!$C$5*1000)</f>
        <v/>
      </c>
      <c r="V217" s="1">
        <f>T217-S217</f>
        <v/>
      </c>
      <c r="W217" s="1" t="n">
        <v>0.474282451968868</v>
      </c>
      <c r="X217" s="1">
        <f>W217*V217</f>
        <v/>
      </c>
      <c r="Y217" s="1">
        <f>T217-X217</f>
        <v/>
      </c>
      <c r="Z217" s="1">
        <f>'Paste cellinfo here'!$B$11</f>
        <v/>
      </c>
    </row>
    <row r="218">
      <c r="A218" s="1" t="n">
        <v>217</v>
      </c>
      <c r="B218" s="2">
        <f>DATE(Sintesi!$C$4-1,12,31)+A218</f>
        <v/>
      </c>
      <c r="C218" s="1">
        <f>'Paste cell here'!B218</f>
        <v/>
      </c>
      <c r="D218" s="1">
        <f>'Paste cell here'!I218</f>
        <v/>
      </c>
      <c r="E218" s="1">
        <f>'Paste cell here'!J218</f>
        <v/>
      </c>
      <c r="F218" s="1">
        <f>'Paste cell here'!K218</f>
        <v/>
      </c>
      <c r="G218" s="1">
        <f>'Paste cell here'!L218</f>
        <v/>
      </c>
      <c r="H218" s="1">
        <f>'Paste cell here'!M218</f>
        <v/>
      </c>
      <c r="I218" s="1">
        <f>'Paste cell here'!N218</f>
        <v/>
      </c>
      <c r="J218" s="1">
        <f>'Paste cell here'!O218</f>
        <v/>
      </c>
      <c r="K218" s="1">
        <f>'Paste cell here'!Q218</f>
        <v/>
      </c>
      <c r="L218" s="1">
        <f>'Paste cell here'!S218</f>
        <v/>
      </c>
      <c r="M218" s="1">
        <f>'Paste cell here'!T218</f>
        <v/>
      </c>
      <c r="N218" s="1">
        <f>'Paste cell here'!W218</f>
        <v/>
      </c>
      <c r="O218" s="1">
        <f>'Paste cell here'!U218</f>
        <v/>
      </c>
      <c r="P218" s="1">
        <f>O217</f>
        <v/>
      </c>
      <c r="Q218" s="1">
        <f>'Paste cell here'!V218</f>
        <v/>
      </c>
      <c r="R218" s="1">
        <f>ABS(O217+C218+D218+N218+Q217-H218-I218-K218-L218-M218-O218-Q218)</f>
        <v/>
      </c>
      <c r="S218" s="7">
        <f>Sintesi!$C$30</f>
        <v/>
      </c>
      <c r="T218" s="7">
        <f>Sintesi!$C$29</f>
        <v/>
      </c>
      <c r="U218" s="5">
        <f>O218/(Sintesi!$C$5*1000)</f>
        <v/>
      </c>
      <c r="V218" s="1">
        <f>T218-S218</f>
        <v/>
      </c>
      <c r="W218" s="1" t="n">
        <v>0.48269619901924</v>
      </c>
      <c r="X218" s="1">
        <f>W218*V218</f>
        <v/>
      </c>
      <c r="Y218" s="1">
        <f>T218-X218</f>
        <v/>
      </c>
      <c r="Z218" s="1">
        <f>'Paste cellinfo here'!$B$11</f>
        <v/>
      </c>
    </row>
    <row r="219">
      <c r="A219" s="1" t="n">
        <v>218</v>
      </c>
      <c r="B219" s="2">
        <f>DATE(Sintesi!$C$4-1,12,31)+A219</f>
        <v/>
      </c>
      <c r="C219" s="1">
        <f>'Paste cell here'!B219</f>
        <v/>
      </c>
      <c r="D219" s="1">
        <f>'Paste cell here'!I219</f>
        <v/>
      </c>
      <c r="E219" s="1">
        <f>'Paste cell here'!J219</f>
        <v/>
      </c>
      <c r="F219" s="1">
        <f>'Paste cell here'!K219</f>
        <v/>
      </c>
      <c r="G219" s="1">
        <f>'Paste cell here'!L219</f>
        <v/>
      </c>
      <c r="H219" s="1">
        <f>'Paste cell here'!M219</f>
        <v/>
      </c>
      <c r="I219" s="1">
        <f>'Paste cell here'!N219</f>
        <v/>
      </c>
      <c r="J219" s="1">
        <f>'Paste cell here'!O219</f>
        <v/>
      </c>
      <c r="K219" s="1">
        <f>'Paste cell here'!Q219</f>
        <v/>
      </c>
      <c r="L219" s="1">
        <f>'Paste cell here'!S219</f>
        <v/>
      </c>
      <c r="M219" s="1">
        <f>'Paste cell here'!T219</f>
        <v/>
      </c>
      <c r="N219" s="1">
        <f>'Paste cell here'!W219</f>
        <v/>
      </c>
      <c r="O219" s="1">
        <f>'Paste cell here'!U219</f>
        <v/>
      </c>
      <c r="P219" s="1">
        <f>O218</f>
        <v/>
      </c>
      <c r="Q219" s="1">
        <f>'Paste cell here'!V219</f>
        <v/>
      </c>
      <c r="R219" s="1">
        <f>ABS(O218+C219+D219+N219+Q218-H219-I219-K219-L219-M219-O219-Q219)</f>
        <v/>
      </c>
      <c r="S219" s="7">
        <f>Sintesi!$C$30</f>
        <v/>
      </c>
      <c r="T219" s="7">
        <f>Sintesi!$C$29</f>
        <v/>
      </c>
      <c r="U219" s="5">
        <f>O219/(Sintesi!$C$5*1000)</f>
        <v/>
      </c>
      <c r="V219" s="1">
        <f>T219-S219</f>
        <v/>
      </c>
      <c r="W219" s="1" t="n">
        <v>0.488441040142337</v>
      </c>
      <c r="X219" s="1">
        <f>W219*V219</f>
        <v/>
      </c>
      <c r="Y219" s="1">
        <f>T219-X219</f>
        <v/>
      </c>
      <c r="Z219" s="1">
        <f>'Paste cellinfo here'!$B$11</f>
        <v/>
      </c>
    </row>
    <row r="220">
      <c r="A220" s="1" t="n">
        <v>219</v>
      </c>
      <c r="B220" s="2">
        <f>DATE(Sintesi!$C$4-1,12,31)+A220</f>
        <v/>
      </c>
      <c r="C220" s="1">
        <f>'Paste cell here'!B220</f>
        <v/>
      </c>
      <c r="D220" s="1">
        <f>'Paste cell here'!I220</f>
        <v/>
      </c>
      <c r="E220" s="1">
        <f>'Paste cell here'!J220</f>
        <v/>
      </c>
      <c r="F220" s="1">
        <f>'Paste cell here'!K220</f>
        <v/>
      </c>
      <c r="G220" s="1">
        <f>'Paste cell here'!L220</f>
        <v/>
      </c>
      <c r="H220" s="1">
        <f>'Paste cell here'!M220</f>
        <v/>
      </c>
      <c r="I220" s="1">
        <f>'Paste cell here'!N220</f>
        <v/>
      </c>
      <c r="J220" s="1">
        <f>'Paste cell here'!O220</f>
        <v/>
      </c>
      <c r="K220" s="1">
        <f>'Paste cell here'!Q220</f>
        <v/>
      </c>
      <c r="L220" s="1">
        <f>'Paste cell here'!S220</f>
        <v/>
      </c>
      <c r="M220" s="1">
        <f>'Paste cell here'!T220</f>
        <v/>
      </c>
      <c r="N220" s="1">
        <f>'Paste cell here'!W220</f>
        <v/>
      </c>
      <c r="O220" s="1">
        <f>'Paste cell here'!U220</f>
        <v/>
      </c>
      <c r="P220" s="1">
        <f>O219</f>
        <v/>
      </c>
      <c r="Q220" s="1">
        <f>'Paste cell here'!V220</f>
        <v/>
      </c>
      <c r="R220" s="1">
        <f>ABS(O219+C220+D220+N220+Q219-H220-I220-K220-L220-M220-O220-Q220)</f>
        <v/>
      </c>
      <c r="S220" s="7">
        <f>Sintesi!$C$30</f>
        <v/>
      </c>
      <c r="T220" s="7">
        <f>Sintesi!$C$29</f>
        <v/>
      </c>
      <c r="U220" s="5">
        <f>O220/(Sintesi!$C$5*1000)</f>
        <v/>
      </c>
      <c r="V220" s="1">
        <f>T220-S220</f>
        <v/>
      </c>
      <c r="W220" s="1" t="n">
        <v>0.501969546250649</v>
      </c>
      <c r="X220" s="1">
        <f>W220*V220</f>
        <v/>
      </c>
      <c r="Y220" s="1">
        <f>T220-X220</f>
        <v/>
      </c>
      <c r="Z220" s="1">
        <f>'Paste cellinfo here'!$B$11</f>
        <v/>
      </c>
    </row>
    <row r="221">
      <c r="A221" s="1" t="n">
        <v>220</v>
      </c>
      <c r="B221" s="2">
        <f>DATE(Sintesi!$C$4-1,12,31)+A221</f>
        <v/>
      </c>
      <c r="C221" s="1">
        <f>'Paste cell here'!B221</f>
        <v/>
      </c>
      <c r="D221" s="1">
        <f>'Paste cell here'!I221</f>
        <v/>
      </c>
      <c r="E221" s="1">
        <f>'Paste cell here'!J221</f>
        <v/>
      </c>
      <c r="F221" s="1">
        <f>'Paste cell here'!K221</f>
        <v/>
      </c>
      <c r="G221" s="1">
        <f>'Paste cell here'!L221</f>
        <v/>
      </c>
      <c r="H221" s="1">
        <f>'Paste cell here'!M221</f>
        <v/>
      </c>
      <c r="I221" s="1">
        <f>'Paste cell here'!N221</f>
        <v/>
      </c>
      <c r="J221" s="1">
        <f>'Paste cell here'!O221</f>
        <v/>
      </c>
      <c r="K221" s="1">
        <f>'Paste cell here'!Q221</f>
        <v/>
      </c>
      <c r="L221" s="1">
        <f>'Paste cell here'!S221</f>
        <v/>
      </c>
      <c r="M221" s="1">
        <f>'Paste cell here'!T221</f>
        <v/>
      </c>
      <c r="N221" s="1">
        <f>'Paste cell here'!W221</f>
        <v/>
      </c>
      <c r="O221" s="1">
        <f>'Paste cell here'!U221</f>
        <v/>
      </c>
      <c r="P221" s="1">
        <f>O220</f>
        <v/>
      </c>
      <c r="Q221" s="1">
        <f>'Paste cell here'!V221</f>
        <v/>
      </c>
      <c r="R221" s="1">
        <f>ABS(O220+C221+D221+N221+Q220-H221-I221-K221-L221-M221-O221-Q221)</f>
        <v/>
      </c>
      <c r="S221" s="7">
        <f>Sintesi!$C$30</f>
        <v/>
      </c>
      <c r="T221" s="7">
        <f>Sintesi!$C$29</f>
        <v/>
      </c>
      <c r="U221" s="5">
        <f>O221/(Sintesi!$C$5*1000)</f>
        <v/>
      </c>
      <c r="V221" s="1">
        <f>T221-S221</f>
        <v/>
      </c>
      <c r="W221" s="1" t="n">
        <v>0.511482492954059</v>
      </c>
      <c r="X221" s="1">
        <f>W221*V221</f>
        <v/>
      </c>
      <c r="Y221" s="1">
        <f>T221-X221</f>
        <v/>
      </c>
      <c r="Z221" s="1">
        <f>'Paste cellinfo here'!$B$11</f>
        <v/>
      </c>
    </row>
    <row r="222">
      <c r="A222" s="1" t="n">
        <v>221</v>
      </c>
      <c r="B222" s="2">
        <f>DATE(Sintesi!$C$4-1,12,31)+A222</f>
        <v/>
      </c>
      <c r="C222" s="1">
        <f>'Paste cell here'!B222</f>
        <v/>
      </c>
      <c r="D222" s="1">
        <f>'Paste cell here'!I222</f>
        <v/>
      </c>
      <c r="E222" s="1">
        <f>'Paste cell here'!J222</f>
        <v/>
      </c>
      <c r="F222" s="1">
        <f>'Paste cell here'!K222</f>
        <v/>
      </c>
      <c r="G222" s="1">
        <f>'Paste cell here'!L222</f>
        <v/>
      </c>
      <c r="H222" s="1">
        <f>'Paste cell here'!M222</f>
        <v/>
      </c>
      <c r="I222" s="1">
        <f>'Paste cell here'!N222</f>
        <v/>
      </c>
      <c r="J222" s="1">
        <f>'Paste cell here'!O222</f>
        <v/>
      </c>
      <c r="K222" s="1">
        <f>'Paste cell here'!Q222</f>
        <v/>
      </c>
      <c r="L222" s="1">
        <f>'Paste cell here'!S222</f>
        <v/>
      </c>
      <c r="M222" s="1">
        <f>'Paste cell here'!T222</f>
        <v/>
      </c>
      <c r="N222" s="1">
        <f>'Paste cell here'!W222</f>
        <v/>
      </c>
      <c r="O222" s="1">
        <f>'Paste cell here'!U222</f>
        <v/>
      </c>
      <c r="P222" s="1">
        <f>O221</f>
        <v/>
      </c>
      <c r="Q222" s="1">
        <f>'Paste cell here'!V222</f>
        <v/>
      </c>
      <c r="R222" s="1">
        <f>ABS(O221+C222+D222+N222+Q221-H222-I222-K222-L222-M222-O222-Q222)</f>
        <v/>
      </c>
      <c r="S222" s="7">
        <f>Sintesi!$C$30</f>
        <v/>
      </c>
      <c r="T222" s="7">
        <f>Sintesi!$C$29</f>
        <v/>
      </c>
      <c r="U222" s="5">
        <f>O222/(Sintesi!$C$5*1000)</f>
        <v/>
      </c>
      <c r="V222" s="1">
        <f>T222-S222</f>
        <v/>
      </c>
      <c r="W222" s="1" t="n">
        <v>0.527888041698076</v>
      </c>
      <c r="X222" s="1">
        <f>W222*V222</f>
        <v/>
      </c>
      <c r="Y222" s="1">
        <f>T222-X222</f>
        <v/>
      </c>
      <c r="Z222" s="1">
        <f>'Paste cellinfo here'!$B$11</f>
        <v/>
      </c>
    </row>
    <row r="223">
      <c r="A223" s="1" t="n">
        <v>222</v>
      </c>
      <c r="B223" s="2">
        <f>DATE(Sintesi!$C$4-1,12,31)+A223</f>
        <v/>
      </c>
      <c r="C223" s="1">
        <f>'Paste cell here'!B223</f>
        <v/>
      </c>
      <c r="D223" s="1">
        <f>'Paste cell here'!I223</f>
        <v/>
      </c>
      <c r="E223" s="1">
        <f>'Paste cell here'!J223</f>
        <v/>
      </c>
      <c r="F223" s="1">
        <f>'Paste cell here'!K223</f>
        <v/>
      </c>
      <c r="G223" s="1">
        <f>'Paste cell here'!L223</f>
        <v/>
      </c>
      <c r="H223" s="1">
        <f>'Paste cell here'!M223</f>
        <v/>
      </c>
      <c r="I223" s="1">
        <f>'Paste cell here'!N223</f>
        <v/>
      </c>
      <c r="J223" s="1">
        <f>'Paste cell here'!O223</f>
        <v/>
      </c>
      <c r="K223" s="1">
        <f>'Paste cell here'!Q223</f>
        <v/>
      </c>
      <c r="L223" s="1">
        <f>'Paste cell here'!S223</f>
        <v/>
      </c>
      <c r="M223" s="1">
        <f>'Paste cell here'!T223</f>
        <v/>
      </c>
      <c r="N223" s="1">
        <f>'Paste cell here'!W223</f>
        <v/>
      </c>
      <c r="O223" s="1">
        <f>'Paste cell here'!U223</f>
        <v/>
      </c>
      <c r="P223" s="1">
        <f>O222</f>
        <v/>
      </c>
      <c r="Q223" s="1">
        <f>'Paste cell here'!V223</f>
        <v/>
      </c>
      <c r="R223" s="1">
        <f>ABS(O222+C223+D223+N223+Q222-H223-I223-K223-L223-M223-O223-Q223)</f>
        <v/>
      </c>
      <c r="S223" s="7">
        <f>Sintesi!$C$30</f>
        <v/>
      </c>
      <c r="T223" s="7">
        <f>Sintesi!$C$29</f>
        <v/>
      </c>
      <c r="U223" s="5">
        <f>O223/(Sintesi!$C$5*1000)</f>
        <v/>
      </c>
      <c r="V223" s="1">
        <f>T223-S223</f>
        <v/>
      </c>
      <c r="W223" s="1" t="n">
        <v>0.485873627891296</v>
      </c>
      <c r="X223" s="1">
        <f>W223*V223</f>
        <v/>
      </c>
      <c r="Y223" s="1">
        <f>T223-X223</f>
        <v/>
      </c>
      <c r="Z223" s="1">
        <f>'Paste cellinfo here'!$B$11</f>
        <v/>
      </c>
    </row>
    <row r="224">
      <c r="A224" s="1" t="n">
        <v>223</v>
      </c>
      <c r="B224" s="2">
        <f>DATE(Sintesi!$C$4-1,12,31)+A224</f>
        <v/>
      </c>
      <c r="C224" s="1">
        <f>'Paste cell here'!B224</f>
        <v/>
      </c>
      <c r="D224" s="1">
        <f>'Paste cell here'!I224</f>
        <v/>
      </c>
      <c r="E224" s="1">
        <f>'Paste cell here'!J224</f>
        <v/>
      </c>
      <c r="F224" s="1">
        <f>'Paste cell here'!K224</f>
        <v/>
      </c>
      <c r="G224" s="1">
        <f>'Paste cell here'!L224</f>
        <v/>
      </c>
      <c r="H224" s="1">
        <f>'Paste cell here'!M224</f>
        <v/>
      </c>
      <c r="I224" s="1">
        <f>'Paste cell here'!N224</f>
        <v/>
      </c>
      <c r="J224" s="1">
        <f>'Paste cell here'!O224</f>
        <v/>
      </c>
      <c r="K224" s="1">
        <f>'Paste cell here'!Q224</f>
        <v/>
      </c>
      <c r="L224" s="1">
        <f>'Paste cell here'!S224</f>
        <v/>
      </c>
      <c r="M224" s="1">
        <f>'Paste cell here'!T224</f>
        <v/>
      </c>
      <c r="N224" s="1">
        <f>'Paste cell here'!W224</f>
        <v/>
      </c>
      <c r="O224" s="1">
        <f>'Paste cell here'!U224</f>
        <v/>
      </c>
      <c r="P224" s="1">
        <f>O223</f>
        <v/>
      </c>
      <c r="Q224" s="1">
        <f>'Paste cell here'!V224</f>
        <v/>
      </c>
      <c r="R224" s="1">
        <f>ABS(O223+C224+D224+N224+Q223-H224-I224-K224-L224-M224-O224-Q224)</f>
        <v/>
      </c>
      <c r="S224" s="7">
        <f>Sintesi!$C$30</f>
        <v/>
      </c>
      <c r="T224" s="7">
        <f>Sintesi!$C$29</f>
        <v/>
      </c>
      <c r="U224" s="5">
        <f>O224/(Sintesi!$C$5*1000)</f>
        <v/>
      </c>
      <c r="V224" s="1">
        <f>T224-S224</f>
        <v/>
      </c>
      <c r="W224" s="1" t="n">
        <v>0.475115847278021</v>
      </c>
      <c r="X224" s="1">
        <f>W224*V224</f>
        <v/>
      </c>
      <c r="Y224" s="1">
        <f>T224-X224</f>
        <v/>
      </c>
      <c r="Z224" s="1">
        <f>'Paste cellinfo here'!$B$11</f>
        <v/>
      </c>
    </row>
    <row r="225">
      <c r="A225" s="1" t="n">
        <v>224</v>
      </c>
      <c r="B225" s="2">
        <f>DATE(Sintesi!$C$4-1,12,31)+A225</f>
        <v/>
      </c>
      <c r="C225" s="1">
        <f>'Paste cell here'!B225</f>
        <v/>
      </c>
      <c r="D225" s="1">
        <f>'Paste cell here'!I225</f>
        <v/>
      </c>
      <c r="E225" s="1">
        <f>'Paste cell here'!J225</f>
        <v/>
      </c>
      <c r="F225" s="1">
        <f>'Paste cell here'!K225</f>
        <v/>
      </c>
      <c r="G225" s="1">
        <f>'Paste cell here'!L225</f>
        <v/>
      </c>
      <c r="H225" s="1">
        <f>'Paste cell here'!M225</f>
        <v/>
      </c>
      <c r="I225" s="1">
        <f>'Paste cell here'!N225</f>
        <v/>
      </c>
      <c r="J225" s="1">
        <f>'Paste cell here'!O225</f>
        <v/>
      </c>
      <c r="K225" s="1">
        <f>'Paste cell here'!Q225</f>
        <v/>
      </c>
      <c r="L225" s="1">
        <f>'Paste cell here'!S225</f>
        <v/>
      </c>
      <c r="M225" s="1">
        <f>'Paste cell here'!T225</f>
        <v/>
      </c>
      <c r="N225" s="1">
        <f>'Paste cell here'!W225</f>
        <v/>
      </c>
      <c r="O225" s="1">
        <f>'Paste cell here'!U225</f>
        <v/>
      </c>
      <c r="P225" s="1">
        <f>O224</f>
        <v/>
      </c>
      <c r="Q225" s="1">
        <f>'Paste cell here'!V225</f>
        <v/>
      </c>
      <c r="R225" s="1">
        <f>ABS(O224+C225+D225+N225+Q224-H225-I225-K225-L225-M225-O225-Q225)</f>
        <v/>
      </c>
      <c r="S225" s="7">
        <f>Sintesi!$C$30</f>
        <v/>
      </c>
      <c r="T225" s="7">
        <f>Sintesi!$C$29</f>
        <v/>
      </c>
      <c r="U225" s="5">
        <f>O225/(Sintesi!$C$5*1000)</f>
        <v/>
      </c>
      <c r="V225" s="1">
        <f>T225-S225</f>
        <v/>
      </c>
      <c r="W225" s="1" t="n">
        <v>0.462927648814239</v>
      </c>
      <c r="X225" s="1">
        <f>W225*V225</f>
        <v/>
      </c>
      <c r="Y225" s="1">
        <f>T225-X225</f>
        <v/>
      </c>
      <c r="Z225" s="1">
        <f>'Paste cellinfo here'!$B$11</f>
        <v/>
      </c>
    </row>
    <row r="226">
      <c r="A226" s="1" t="n">
        <v>225</v>
      </c>
      <c r="B226" s="2">
        <f>DATE(Sintesi!$C$4-1,12,31)+A226</f>
        <v/>
      </c>
      <c r="C226" s="1">
        <f>'Paste cell here'!B226</f>
        <v/>
      </c>
      <c r="D226" s="1">
        <f>'Paste cell here'!I226</f>
        <v/>
      </c>
      <c r="E226" s="1">
        <f>'Paste cell here'!J226</f>
        <v/>
      </c>
      <c r="F226" s="1">
        <f>'Paste cell here'!K226</f>
        <v/>
      </c>
      <c r="G226" s="1">
        <f>'Paste cell here'!L226</f>
        <v/>
      </c>
      <c r="H226" s="1">
        <f>'Paste cell here'!M226</f>
        <v/>
      </c>
      <c r="I226" s="1">
        <f>'Paste cell here'!N226</f>
        <v/>
      </c>
      <c r="J226" s="1">
        <f>'Paste cell here'!O226</f>
        <v/>
      </c>
      <c r="K226" s="1">
        <f>'Paste cell here'!Q226</f>
        <v/>
      </c>
      <c r="L226" s="1">
        <f>'Paste cell here'!S226</f>
        <v/>
      </c>
      <c r="M226" s="1">
        <f>'Paste cell here'!T226</f>
        <v/>
      </c>
      <c r="N226" s="1">
        <f>'Paste cell here'!W226</f>
        <v/>
      </c>
      <c r="O226" s="1">
        <f>'Paste cell here'!U226</f>
        <v/>
      </c>
      <c r="P226" s="1">
        <f>O225</f>
        <v/>
      </c>
      <c r="Q226" s="1">
        <f>'Paste cell here'!V226</f>
        <v/>
      </c>
      <c r="R226" s="1">
        <f>ABS(O225+C226+D226+N226+Q225-H226-I226-K226-L226-M226-O226-Q226)</f>
        <v/>
      </c>
      <c r="S226" s="7">
        <f>Sintesi!$C$30</f>
        <v/>
      </c>
      <c r="T226" s="7">
        <f>Sintesi!$C$29</f>
        <v/>
      </c>
      <c r="U226" s="5">
        <f>O226/(Sintesi!$C$5*1000)</f>
        <v/>
      </c>
      <c r="V226" s="1">
        <f>T226-S226</f>
        <v/>
      </c>
      <c r="W226" s="1" t="n">
        <v>0.485178564536705</v>
      </c>
      <c r="X226" s="1">
        <f>W226*V226</f>
        <v/>
      </c>
      <c r="Y226" s="1">
        <f>T226-X226</f>
        <v/>
      </c>
      <c r="Z226" s="1">
        <f>'Paste cellinfo here'!$B$11</f>
        <v/>
      </c>
    </row>
    <row r="227">
      <c r="A227" s="1" t="n">
        <v>226</v>
      </c>
      <c r="B227" s="2">
        <f>DATE(Sintesi!$C$4-1,12,31)+A227</f>
        <v/>
      </c>
      <c r="C227" s="1">
        <f>'Paste cell here'!B227</f>
        <v/>
      </c>
      <c r="D227" s="1">
        <f>'Paste cell here'!I227</f>
        <v/>
      </c>
      <c r="E227" s="1">
        <f>'Paste cell here'!J227</f>
        <v/>
      </c>
      <c r="F227" s="1">
        <f>'Paste cell here'!K227</f>
        <v/>
      </c>
      <c r="G227" s="1">
        <f>'Paste cell here'!L227</f>
        <v/>
      </c>
      <c r="H227" s="1">
        <f>'Paste cell here'!M227</f>
        <v/>
      </c>
      <c r="I227" s="1">
        <f>'Paste cell here'!N227</f>
        <v/>
      </c>
      <c r="J227" s="1">
        <f>'Paste cell here'!O227</f>
        <v/>
      </c>
      <c r="K227" s="1">
        <f>'Paste cell here'!Q227</f>
        <v/>
      </c>
      <c r="L227" s="1">
        <f>'Paste cell here'!S227</f>
        <v/>
      </c>
      <c r="M227" s="1">
        <f>'Paste cell here'!T227</f>
        <v/>
      </c>
      <c r="N227" s="1">
        <f>'Paste cell here'!W227</f>
        <v/>
      </c>
      <c r="O227" s="1">
        <f>'Paste cell here'!U227</f>
        <v/>
      </c>
      <c r="P227" s="1">
        <f>O226</f>
        <v/>
      </c>
      <c r="Q227" s="1">
        <f>'Paste cell here'!V227</f>
        <v/>
      </c>
      <c r="R227" s="1">
        <f>ABS(O226+C227+D227+N227+Q226-H227-I227-K227-L227-M227-O227-Q227)</f>
        <v/>
      </c>
      <c r="S227" s="7">
        <f>Sintesi!$C$30</f>
        <v/>
      </c>
      <c r="T227" s="7">
        <f>Sintesi!$C$29</f>
        <v/>
      </c>
      <c r="U227" s="5">
        <f>O227/(Sintesi!$C$5*1000)</f>
        <v/>
      </c>
      <c r="V227" s="1">
        <f>T227-S227</f>
        <v/>
      </c>
      <c r="W227" s="1" t="n">
        <v>0.500976169940465</v>
      </c>
      <c r="X227" s="1">
        <f>W227*V227</f>
        <v/>
      </c>
      <c r="Y227" s="1">
        <f>T227-X227</f>
        <v/>
      </c>
      <c r="Z227" s="1">
        <f>'Paste cellinfo here'!$B$11</f>
        <v/>
      </c>
    </row>
    <row r="228">
      <c r="A228" s="1" t="n">
        <v>227</v>
      </c>
      <c r="B228" s="2">
        <f>DATE(Sintesi!$C$4-1,12,31)+A228</f>
        <v/>
      </c>
      <c r="C228" s="1">
        <f>'Paste cell here'!B228</f>
        <v/>
      </c>
      <c r="D228" s="1">
        <f>'Paste cell here'!I228</f>
        <v/>
      </c>
      <c r="E228" s="1">
        <f>'Paste cell here'!J228</f>
        <v/>
      </c>
      <c r="F228" s="1">
        <f>'Paste cell here'!K228</f>
        <v/>
      </c>
      <c r="G228" s="1">
        <f>'Paste cell here'!L228</f>
        <v/>
      </c>
      <c r="H228" s="1">
        <f>'Paste cell here'!M228</f>
        <v/>
      </c>
      <c r="I228" s="1">
        <f>'Paste cell here'!N228</f>
        <v/>
      </c>
      <c r="J228" s="1">
        <f>'Paste cell here'!O228</f>
        <v/>
      </c>
      <c r="K228" s="1">
        <f>'Paste cell here'!Q228</f>
        <v/>
      </c>
      <c r="L228" s="1">
        <f>'Paste cell here'!S228</f>
        <v/>
      </c>
      <c r="M228" s="1">
        <f>'Paste cell here'!T228</f>
        <v/>
      </c>
      <c r="N228" s="1">
        <f>'Paste cell here'!W228</f>
        <v/>
      </c>
      <c r="O228" s="1">
        <f>'Paste cell here'!U228</f>
        <v/>
      </c>
      <c r="P228" s="1">
        <f>O227</f>
        <v/>
      </c>
      <c r="Q228" s="1">
        <f>'Paste cell here'!V228</f>
        <v/>
      </c>
      <c r="R228" s="1">
        <f>ABS(O227+C228+D228+N228+Q227-H228-I228-K228-L228-M228-O228-Q228)</f>
        <v/>
      </c>
      <c r="S228" s="7">
        <f>Sintesi!$C$30</f>
        <v/>
      </c>
      <c r="T228" s="7">
        <f>Sintesi!$C$29</f>
        <v/>
      </c>
      <c r="U228" s="5">
        <f>O228/(Sintesi!$C$5*1000)</f>
        <v/>
      </c>
      <c r="V228" s="1">
        <f>T228-S228</f>
        <v/>
      </c>
      <c r="W228" s="1" t="n">
        <v>0.501793450459145</v>
      </c>
      <c r="X228" s="1">
        <f>W228*V228</f>
        <v/>
      </c>
      <c r="Y228" s="1">
        <f>T228-X228</f>
        <v/>
      </c>
      <c r="Z228" s="1">
        <f>'Paste cellinfo here'!$B$11</f>
        <v/>
      </c>
    </row>
    <row r="229">
      <c r="A229" s="1" t="n">
        <v>228</v>
      </c>
      <c r="B229" s="2">
        <f>DATE(Sintesi!$C$4-1,12,31)+A229</f>
        <v/>
      </c>
      <c r="C229" s="1">
        <f>'Paste cell here'!B229</f>
        <v/>
      </c>
      <c r="D229" s="1">
        <f>'Paste cell here'!I229</f>
        <v/>
      </c>
      <c r="E229" s="1">
        <f>'Paste cell here'!J229</f>
        <v/>
      </c>
      <c r="F229" s="1">
        <f>'Paste cell here'!K229</f>
        <v/>
      </c>
      <c r="G229" s="1">
        <f>'Paste cell here'!L229</f>
        <v/>
      </c>
      <c r="H229" s="1">
        <f>'Paste cell here'!M229</f>
        <v/>
      </c>
      <c r="I229" s="1">
        <f>'Paste cell here'!N229</f>
        <v/>
      </c>
      <c r="J229" s="1">
        <f>'Paste cell here'!O229</f>
        <v/>
      </c>
      <c r="K229" s="1">
        <f>'Paste cell here'!Q229</f>
        <v/>
      </c>
      <c r="L229" s="1">
        <f>'Paste cell here'!S229</f>
        <v/>
      </c>
      <c r="M229" s="1">
        <f>'Paste cell here'!T229</f>
        <v/>
      </c>
      <c r="N229" s="1">
        <f>'Paste cell here'!W229</f>
        <v/>
      </c>
      <c r="O229" s="1">
        <f>'Paste cell here'!U229</f>
        <v/>
      </c>
      <c r="P229" s="1">
        <f>O228</f>
        <v/>
      </c>
      <c r="Q229" s="1">
        <f>'Paste cell here'!V229</f>
        <v/>
      </c>
      <c r="R229" s="1">
        <f>ABS(O228+C229+D229+N229+Q228-H229-I229-K229-L229-M229-O229-Q229)</f>
        <v/>
      </c>
      <c r="S229" s="7">
        <f>Sintesi!$C$30</f>
        <v/>
      </c>
      <c r="T229" s="7">
        <f>Sintesi!$C$29</f>
        <v/>
      </c>
      <c r="U229" s="5">
        <f>O229/(Sintesi!$C$5*1000)</f>
        <v/>
      </c>
      <c r="V229" s="1">
        <f>T229-S229</f>
        <v/>
      </c>
      <c r="W229" s="1" t="n">
        <v>0.573793021502811</v>
      </c>
      <c r="X229" s="1">
        <f>W229*V229</f>
        <v/>
      </c>
      <c r="Y229" s="1">
        <f>T229-X229</f>
        <v/>
      </c>
      <c r="Z229" s="1">
        <f>'Paste cellinfo here'!$B$11</f>
        <v/>
      </c>
    </row>
    <row r="230">
      <c r="A230" s="1" t="n">
        <v>229</v>
      </c>
      <c r="B230" s="2">
        <f>DATE(Sintesi!$C$4-1,12,31)+A230</f>
        <v/>
      </c>
      <c r="C230" s="1">
        <f>'Paste cell here'!B230</f>
        <v/>
      </c>
      <c r="D230" s="1">
        <f>'Paste cell here'!I230</f>
        <v/>
      </c>
      <c r="E230" s="1">
        <f>'Paste cell here'!J230</f>
        <v/>
      </c>
      <c r="F230" s="1">
        <f>'Paste cell here'!K230</f>
        <v/>
      </c>
      <c r="G230" s="1">
        <f>'Paste cell here'!L230</f>
        <v/>
      </c>
      <c r="H230" s="1">
        <f>'Paste cell here'!M230</f>
        <v/>
      </c>
      <c r="I230" s="1">
        <f>'Paste cell here'!N230</f>
        <v/>
      </c>
      <c r="J230" s="1">
        <f>'Paste cell here'!O230</f>
        <v/>
      </c>
      <c r="K230" s="1">
        <f>'Paste cell here'!Q230</f>
        <v/>
      </c>
      <c r="L230" s="1">
        <f>'Paste cell here'!S230</f>
        <v/>
      </c>
      <c r="M230" s="1">
        <f>'Paste cell here'!T230</f>
        <v/>
      </c>
      <c r="N230" s="1">
        <f>'Paste cell here'!W230</f>
        <v/>
      </c>
      <c r="O230" s="1">
        <f>'Paste cell here'!U230</f>
        <v/>
      </c>
      <c r="P230" s="1">
        <f>O229</f>
        <v/>
      </c>
      <c r="Q230" s="1">
        <f>'Paste cell here'!V230</f>
        <v/>
      </c>
      <c r="R230" s="1">
        <f>ABS(O229+C230+D230+N230+Q229-H230-I230-K230-L230-M230-O230-Q230)</f>
        <v/>
      </c>
      <c r="S230" s="7">
        <f>Sintesi!$C$30</f>
        <v/>
      </c>
      <c r="T230" s="7">
        <f>Sintesi!$C$29</f>
        <v/>
      </c>
      <c r="U230" s="5">
        <f>O230/(Sintesi!$C$5*1000)</f>
        <v/>
      </c>
      <c r="V230" s="1">
        <f>T230-S230</f>
        <v/>
      </c>
      <c r="W230" s="1" t="n">
        <v>0.503092518863113</v>
      </c>
      <c r="X230" s="1">
        <f>W230*V230</f>
        <v/>
      </c>
      <c r="Y230" s="1">
        <f>T230-X230</f>
        <v/>
      </c>
      <c r="Z230" s="1">
        <f>'Paste cellinfo here'!$B$11</f>
        <v/>
      </c>
    </row>
    <row r="231">
      <c r="A231" s="1" t="n">
        <v>230</v>
      </c>
      <c r="B231" s="2">
        <f>DATE(Sintesi!$C$4-1,12,31)+A231</f>
        <v/>
      </c>
      <c r="C231" s="1">
        <f>'Paste cell here'!B231</f>
        <v/>
      </c>
      <c r="D231" s="1">
        <f>'Paste cell here'!I231</f>
        <v/>
      </c>
      <c r="E231" s="1">
        <f>'Paste cell here'!J231</f>
        <v/>
      </c>
      <c r="F231" s="1">
        <f>'Paste cell here'!K231</f>
        <v/>
      </c>
      <c r="G231" s="1">
        <f>'Paste cell here'!L231</f>
        <v/>
      </c>
      <c r="H231" s="1">
        <f>'Paste cell here'!M231</f>
        <v/>
      </c>
      <c r="I231" s="1">
        <f>'Paste cell here'!N231</f>
        <v/>
      </c>
      <c r="J231" s="1">
        <f>'Paste cell here'!O231</f>
        <v/>
      </c>
      <c r="K231" s="1">
        <f>'Paste cell here'!Q231</f>
        <v/>
      </c>
      <c r="L231" s="1">
        <f>'Paste cell here'!S231</f>
        <v/>
      </c>
      <c r="M231" s="1">
        <f>'Paste cell here'!T231</f>
        <v/>
      </c>
      <c r="N231" s="1">
        <f>'Paste cell here'!W231</f>
        <v/>
      </c>
      <c r="O231" s="1">
        <f>'Paste cell here'!U231</f>
        <v/>
      </c>
      <c r="P231" s="1">
        <f>O230</f>
        <v/>
      </c>
      <c r="Q231" s="1">
        <f>'Paste cell here'!V231</f>
        <v/>
      </c>
      <c r="R231" s="1">
        <f>ABS(O230+C231+D231+N231+Q230-H231-I231-K231-L231-M231-O231-Q231)</f>
        <v/>
      </c>
      <c r="S231" s="7">
        <f>Sintesi!$C$30</f>
        <v/>
      </c>
      <c r="T231" s="7">
        <f>Sintesi!$C$29</f>
        <v/>
      </c>
      <c r="U231" s="5">
        <f>O231/(Sintesi!$C$5*1000)</f>
        <v/>
      </c>
      <c r="V231" s="1">
        <f>T231-S231</f>
        <v/>
      </c>
      <c r="W231" s="1" t="n">
        <v>0.507277329130181</v>
      </c>
      <c r="X231" s="1">
        <f>W231*V231</f>
        <v/>
      </c>
      <c r="Y231" s="1">
        <f>T231-X231</f>
        <v/>
      </c>
      <c r="Z231" s="1">
        <f>'Paste cellinfo here'!$B$11</f>
        <v/>
      </c>
    </row>
    <row r="232">
      <c r="A232" s="1" t="n">
        <v>231</v>
      </c>
      <c r="B232" s="2">
        <f>DATE(Sintesi!$C$4-1,12,31)+A232</f>
        <v/>
      </c>
      <c r="C232" s="1">
        <f>'Paste cell here'!B232</f>
        <v/>
      </c>
      <c r="D232" s="1">
        <f>'Paste cell here'!I232</f>
        <v/>
      </c>
      <c r="E232" s="1">
        <f>'Paste cell here'!J232</f>
        <v/>
      </c>
      <c r="F232" s="1">
        <f>'Paste cell here'!K232</f>
        <v/>
      </c>
      <c r="G232" s="1">
        <f>'Paste cell here'!L232</f>
        <v/>
      </c>
      <c r="H232" s="1">
        <f>'Paste cell here'!M232</f>
        <v/>
      </c>
      <c r="I232" s="1">
        <f>'Paste cell here'!N232</f>
        <v/>
      </c>
      <c r="J232" s="1">
        <f>'Paste cell here'!O232</f>
        <v/>
      </c>
      <c r="K232" s="1">
        <f>'Paste cell here'!Q232</f>
        <v/>
      </c>
      <c r="L232" s="1">
        <f>'Paste cell here'!S232</f>
        <v/>
      </c>
      <c r="M232" s="1">
        <f>'Paste cell here'!T232</f>
        <v/>
      </c>
      <c r="N232" s="1">
        <f>'Paste cell here'!W232</f>
        <v/>
      </c>
      <c r="O232" s="1">
        <f>'Paste cell here'!U232</f>
        <v/>
      </c>
      <c r="P232" s="1">
        <f>O231</f>
        <v/>
      </c>
      <c r="Q232" s="1">
        <f>'Paste cell here'!V232</f>
        <v/>
      </c>
      <c r="R232" s="1">
        <f>ABS(O231+C232+D232+N232+Q231-H232-I232-K232-L232-M232-O232-Q232)</f>
        <v/>
      </c>
      <c r="S232" s="7">
        <f>Sintesi!$C$30</f>
        <v/>
      </c>
      <c r="T232" s="7">
        <f>Sintesi!$C$29</f>
        <v/>
      </c>
      <c r="U232" s="5">
        <f>O232/(Sintesi!$C$5*1000)</f>
        <v/>
      </c>
      <c r="V232" s="1">
        <f>T232-S232</f>
        <v/>
      </c>
      <c r="W232" s="1" t="n">
        <v>0.498302536208499</v>
      </c>
      <c r="X232" s="1">
        <f>W232*V232</f>
        <v/>
      </c>
      <c r="Y232" s="1">
        <f>T232-X232</f>
        <v/>
      </c>
      <c r="Z232" s="1">
        <f>'Paste cellinfo here'!$B$11</f>
        <v/>
      </c>
    </row>
    <row r="233">
      <c r="A233" s="1" t="n">
        <v>232</v>
      </c>
      <c r="B233" s="2">
        <f>DATE(Sintesi!$C$4-1,12,31)+A233</f>
        <v/>
      </c>
      <c r="C233" s="1">
        <f>'Paste cell here'!B233</f>
        <v/>
      </c>
      <c r="D233" s="1">
        <f>'Paste cell here'!I233</f>
        <v/>
      </c>
      <c r="E233" s="1">
        <f>'Paste cell here'!J233</f>
        <v/>
      </c>
      <c r="F233" s="1">
        <f>'Paste cell here'!K233</f>
        <v/>
      </c>
      <c r="G233" s="1">
        <f>'Paste cell here'!L233</f>
        <v/>
      </c>
      <c r="H233" s="1">
        <f>'Paste cell here'!M233</f>
        <v/>
      </c>
      <c r="I233" s="1">
        <f>'Paste cell here'!N233</f>
        <v/>
      </c>
      <c r="J233" s="1">
        <f>'Paste cell here'!O233</f>
        <v/>
      </c>
      <c r="K233" s="1">
        <f>'Paste cell here'!Q233</f>
        <v/>
      </c>
      <c r="L233" s="1">
        <f>'Paste cell here'!S233</f>
        <v/>
      </c>
      <c r="M233" s="1">
        <f>'Paste cell here'!T233</f>
        <v/>
      </c>
      <c r="N233" s="1">
        <f>'Paste cell here'!W233</f>
        <v/>
      </c>
      <c r="O233" s="1">
        <f>'Paste cell here'!U233</f>
        <v/>
      </c>
      <c r="P233" s="1">
        <f>O232</f>
        <v/>
      </c>
      <c r="Q233" s="1">
        <f>'Paste cell here'!V233</f>
        <v/>
      </c>
      <c r="R233" s="1">
        <f>ABS(O232+C233+D233+N233+Q232-H233-I233-K233-L233-M233-O233-Q233)</f>
        <v/>
      </c>
      <c r="S233" s="7">
        <f>Sintesi!$C$30</f>
        <v/>
      </c>
      <c r="T233" s="7">
        <f>Sintesi!$C$29</f>
        <v/>
      </c>
      <c r="U233" s="5">
        <f>O233/(Sintesi!$C$5*1000)</f>
        <v/>
      </c>
      <c r="V233" s="1">
        <f>T233-S233</f>
        <v/>
      </c>
      <c r="W233" s="1" t="n">
        <v>0.483417374233629</v>
      </c>
      <c r="X233" s="1">
        <f>W233*V233</f>
        <v/>
      </c>
      <c r="Y233" s="1">
        <f>T233-X233</f>
        <v/>
      </c>
      <c r="Z233" s="1">
        <f>'Paste cellinfo here'!$B$11</f>
        <v/>
      </c>
    </row>
    <row r="234">
      <c r="A234" s="1" t="n">
        <v>233</v>
      </c>
      <c r="B234" s="2">
        <f>DATE(Sintesi!$C$4-1,12,31)+A234</f>
        <v/>
      </c>
      <c r="C234" s="1">
        <f>'Paste cell here'!B234</f>
        <v/>
      </c>
      <c r="D234" s="1">
        <f>'Paste cell here'!I234</f>
        <v/>
      </c>
      <c r="E234" s="1">
        <f>'Paste cell here'!J234</f>
        <v/>
      </c>
      <c r="F234" s="1">
        <f>'Paste cell here'!K234</f>
        <v/>
      </c>
      <c r="G234" s="1">
        <f>'Paste cell here'!L234</f>
        <v/>
      </c>
      <c r="H234" s="1">
        <f>'Paste cell here'!M234</f>
        <v/>
      </c>
      <c r="I234" s="1">
        <f>'Paste cell here'!N234</f>
        <v/>
      </c>
      <c r="J234" s="1">
        <f>'Paste cell here'!O234</f>
        <v/>
      </c>
      <c r="K234" s="1">
        <f>'Paste cell here'!Q234</f>
        <v/>
      </c>
      <c r="L234" s="1">
        <f>'Paste cell here'!S234</f>
        <v/>
      </c>
      <c r="M234" s="1">
        <f>'Paste cell here'!T234</f>
        <v/>
      </c>
      <c r="N234" s="1">
        <f>'Paste cell here'!W234</f>
        <v/>
      </c>
      <c r="O234" s="1">
        <f>'Paste cell here'!U234</f>
        <v/>
      </c>
      <c r="P234" s="1">
        <f>O233</f>
        <v/>
      </c>
      <c r="Q234" s="1">
        <f>'Paste cell here'!V234</f>
        <v/>
      </c>
      <c r="R234" s="1">
        <f>ABS(O233+C234+D234+N234+Q233-H234-I234-K234-L234-M234-O234-Q234)</f>
        <v/>
      </c>
      <c r="S234" s="7">
        <f>Sintesi!$C$30</f>
        <v/>
      </c>
      <c r="T234" s="7">
        <f>Sintesi!$C$29</f>
        <v/>
      </c>
      <c r="U234" s="5">
        <f>O234/(Sintesi!$C$5*1000)</f>
        <v/>
      </c>
      <c r="V234" s="1">
        <f>T234-S234</f>
        <v/>
      </c>
      <c r="W234" s="1" t="n">
        <v>0.48709623334988</v>
      </c>
      <c r="X234" s="1">
        <f>W234*V234</f>
        <v/>
      </c>
      <c r="Y234" s="1">
        <f>T234-X234</f>
        <v/>
      </c>
      <c r="Z234" s="1">
        <f>'Paste cellinfo here'!$B$11</f>
        <v/>
      </c>
    </row>
    <row r="235">
      <c r="A235" s="1" t="n">
        <v>234</v>
      </c>
      <c r="B235" s="2">
        <f>DATE(Sintesi!$C$4-1,12,31)+A235</f>
        <v/>
      </c>
      <c r="C235" s="1">
        <f>'Paste cell here'!B235</f>
        <v/>
      </c>
      <c r="D235" s="1">
        <f>'Paste cell here'!I235</f>
        <v/>
      </c>
      <c r="E235" s="1">
        <f>'Paste cell here'!J235</f>
        <v/>
      </c>
      <c r="F235" s="1">
        <f>'Paste cell here'!K235</f>
        <v/>
      </c>
      <c r="G235" s="1">
        <f>'Paste cell here'!L235</f>
        <v/>
      </c>
      <c r="H235" s="1">
        <f>'Paste cell here'!M235</f>
        <v/>
      </c>
      <c r="I235" s="1">
        <f>'Paste cell here'!N235</f>
        <v/>
      </c>
      <c r="J235" s="1">
        <f>'Paste cell here'!O235</f>
        <v/>
      </c>
      <c r="K235" s="1">
        <f>'Paste cell here'!Q235</f>
        <v/>
      </c>
      <c r="L235" s="1">
        <f>'Paste cell here'!S235</f>
        <v/>
      </c>
      <c r="M235" s="1">
        <f>'Paste cell here'!T235</f>
        <v/>
      </c>
      <c r="N235" s="1">
        <f>'Paste cell here'!W235</f>
        <v/>
      </c>
      <c r="O235" s="1">
        <f>'Paste cell here'!U235</f>
        <v/>
      </c>
      <c r="P235" s="1">
        <f>O234</f>
        <v/>
      </c>
      <c r="Q235" s="1">
        <f>'Paste cell here'!V235</f>
        <v/>
      </c>
      <c r="R235" s="1">
        <f>ABS(O234+C235+D235+N235+Q234-H235-I235-K235-L235-M235-O235-Q235)</f>
        <v/>
      </c>
      <c r="S235" s="7">
        <f>Sintesi!$C$30</f>
        <v/>
      </c>
      <c r="T235" s="7">
        <f>Sintesi!$C$29</f>
        <v/>
      </c>
      <c r="U235" s="5">
        <f>O235/(Sintesi!$C$5*1000)</f>
        <v/>
      </c>
      <c r="V235" s="1">
        <f>T235-S235</f>
        <v/>
      </c>
      <c r="W235" s="1" t="n">
        <v>0.475935646287983</v>
      </c>
      <c r="X235" s="1">
        <f>W235*V235</f>
        <v/>
      </c>
      <c r="Y235" s="1">
        <f>T235-X235</f>
        <v/>
      </c>
      <c r="Z235" s="1">
        <f>'Paste cellinfo here'!$B$11</f>
        <v/>
      </c>
    </row>
    <row r="236">
      <c r="A236" s="1" t="n">
        <v>235</v>
      </c>
      <c r="B236" s="2">
        <f>DATE(Sintesi!$C$4-1,12,31)+A236</f>
        <v/>
      </c>
      <c r="C236" s="1">
        <f>'Paste cell here'!B236</f>
        <v/>
      </c>
      <c r="D236" s="1">
        <f>'Paste cell here'!I236</f>
        <v/>
      </c>
      <c r="E236" s="1">
        <f>'Paste cell here'!J236</f>
        <v/>
      </c>
      <c r="F236" s="1">
        <f>'Paste cell here'!K236</f>
        <v/>
      </c>
      <c r="G236" s="1">
        <f>'Paste cell here'!L236</f>
        <v/>
      </c>
      <c r="H236" s="1">
        <f>'Paste cell here'!M236</f>
        <v/>
      </c>
      <c r="I236" s="1">
        <f>'Paste cell here'!N236</f>
        <v/>
      </c>
      <c r="J236" s="1">
        <f>'Paste cell here'!O236</f>
        <v/>
      </c>
      <c r="K236" s="1">
        <f>'Paste cell here'!Q236</f>
        <v/>
      </c>
      <c r="L236" s="1">
        <f>'Paste cell here'!S236</f>
        <v/>
      </c>
      <c r="M236" s="1">
        <f>'Paste cell here'!T236</f>
        <v/>
      </c>
      <c r="N236" s="1">
        <f>'Paste cell here'!W236</f>
        <v/>
      </c>
      <c r="O236" s="1">
        <f>'Paste cell here'!U236</f>
        <v/>
      </c>
      <c r="P236" s="1">
        <f>O235</f>
        <v/>
      </c>
      <c r="Q236" s="1">
        <f>'Paste cell here'!V236</f>
        <v/>
      </c>
      <c r="R236" s="1">
        <f>ABS(O235+C236+D236+N236+Q235-H236-I236-K236-L236-M236-O236-Q236)</f>
        <v/>
      </c>
      <c r="S236" s="7">
        <f>Sintesi!$C$30</f>
        <v/>
      </c>
      <c r="T236" s="7">
        <f>Sintesi!$C$29</f>
        <v/>
      </c>
      <c r="U236" s="5">
        <f>O236/(Sintesi!$C$5*1000)</f>
        <v/>
      </c>
      <c r="V236" s="1">
        <f>T236-S236</f>
        <v/>
      </c>
      <c r="W236" s="1" t="n">
        <v>0.525780008225922</v>
      </c>
      <c r="X236" s="1">
        <f>W236*V236</f>
        <v/>
      </c>
      <c r="Y236" s="1">
        <f>T236-X236</f>
        <v/>
      </c>
      <c r="Z236" s="1">
        <f>'Paste cellinfo here'!$B$11</f>
        <v/>
      </c>
    </row>
    <row r="237">
      <c r="A237" s="1" t="n">
        <v>236</v>
      </c>
      <c r="B237" s="2">
        <f>DATE(Sintesi!$C$4-1,12,31)+A237</f>
        <v/>
      </c>
      <c r="C237" s="1">
        <f>'Paste cell here'!B237</f>
        <v/>
      </c>
      <c r="D237" s="1">
        <f>'Paste cell here'!I237</f>
        <v/>
      </c>
      <c r="E237" s="1">
        <f>'Paste cell here'!J237</f>
        <v/>
      </c>
      <c r="F237" s="1">
        <f>'Paste cell here'!K237</f>
        <v/>
      </c>
      <c r="G237" s="1">
        <f>'Paste cell here'!L237</f>
        <v/>
      </c>
      <c r="H237" s="1">
        <f>'Paste cell here'!M237</f>
        <v/>
      </c>
      <c r="I237" s="1">
        <f>'Paste cell here'!N237</f>
        <v/>
      </c>
      <c r="J237" s="1">
        <f>'Paste cell here'!O237</f>
        <v/>
      </c>
      <c r="K237" s="1">
        <f>'Paste cell here'!Q237</f>
        <v/>
      </c>
      <c r="L237" s="1">
        <f>'Paste cell here'!S237</f>
        <v/>
      </c>
      <c r="M237" s="1">
        <f>'Paste cell here'!T237</f>
        <v/>
      </c>
      <c r="N237" s="1">
        <f>'Paste cell here'!W237</f>
        <v/>
      </c>
      <c r="O237" s="1">
        <f>'Paste cell here'!U237</f>
        <v/>
      </c>
      <c r="P237" s="1">
        <f>O236</f>
        <v/>
      </c>
      <c r="Q237" s="1">
        <f>'Paste cell here'!V237</f>
        <v/>
      </c>
      <c r="R237" s="1">
        <f>ABS(O236+C237+D237+N237+Q236-H237-I237-K237-L237-M237-O237-Q237)</f>
        <v/>
      </c>
      <c r="S237" s="7">
        <f>Sintesi!$C$30</f>
        <v/>
      </c>
      <c r="T237" s="7">
        <f>Sintesi!$C$29</f>
        <v/>
      </c>
      <c r="U237" s="5">
        <f>O237/(Sintesi!$C$5*1000)</f>
        <v/>
      </c>
      <c r="V237" s="1">
        <f>T237-S237</f>
        <v/>
      </c>
      <c r="W237" s="1" t="n">
        <v>0.623414233733538</v>
      </c>
      <c r="X237" s="1">
        <f>W237*V237</f>
        <v/>
      </c>
      <c r="Y237" s="1">
        <f>T237-X237</f>
        <v/>
      </c>
      <c r="Z237" s="1">
        <f>'Paste cellinfo here'!$B$11</f>
        <v/>
      </c>
    </row>
    <row r="238">
      <c r="A238" s="1" t="n">
        <v>237</v>
      </c>
      <c r="B238" s="2">
        <f>DATE(Sintesi!$C$4-1,12,31)+A238</f>
        <v/>
      </c>
      <c r="C238" s="1">
        <f>'Paste cell here'!B238</f>
        <v/>
      </c>
      <c r="D238" s="1">
        <f>'Paste cell here'!I238</f>
        <v/>
      </c>
      <c r="E238" s="1">
        <f>'Paste cell here'!J238</f>
        <v/>
      </c>
      <c r="F238" s="1">
        <f>'Paste cell here'!K238</f>
        <v/>
      </c>
      <c r="G238" s="1">
        <f>'Paste cell here'!L238</f>
        <v/>
      </c>
      <c r="H238" s="1">
        <f>'Paste cell here'!M238</f>
        <v/>
      </c>
      <c r="I238" s="1">
        <f>'Paste cell here'!N238</f>
        <v/>
      </c>
      <c r="J238" s="1">
        <f>'Paste cell here'!O238</f>
        <v/>
      </c>
      <c r="K238" s="1">
        <f>'Paste cell here'!Q238</f>
        <v/>
      </c>
      <c r="L238" s="1">
        <f>'Paste cell here'!S238</f>
        <v/>
      </c>
      <c r="M238" s="1">
        <f>'Paste cell here'!T238</f>
        <v/>
      </c>
      <c r="N238" s="1">
        <f>'Paste cell here'!W238</f>
        <v/>
      </c>
      <c r="O238" s="1">
        <f>'Paste cell here'!U238</f>
        <v/>
      </c>
      <c r="P238" s="1">
        <f>O237</f>
        <v/>
      </c>
      <c r="Q238" s="1">
        <f>'Paste cell here'!V238</f>
        <v/>
      </c>
      <c r="R238" s="1">
        <f>ABS(O237+C238+D238+N238+Q237-H238-I238-K238-L238-M238-O238-Q238)</f>
        <v/>
      </c>
      <c r="S238" s="7">
        <f>Sintesi!$C$30</f>
        <v/>
      </c>
      <c r="T238" s="7">
        <f>Sintesi!$C$29</f>
        <v/>
      </c>
      <c r="U238" s="5">
        <f>O238/(Sintesi!$C$5*1000)</f>
        <v/>
      </c>
      <c r="V238" s="1">
        <f>T238-S238</f>
        <v/>
      </c>
      <c r="W238" s="1" t="n">
        <v>0.5316791762470749</v>
      </c>
      <c r="X238" s="1">
        <f>W238*V238</f>
        <v/>
      </c>
      <c r="Y238" s="1">
        <f>T238-X238</f>
        <v/>
      </c>
      <c r="Z238" s="1">
        <f>'Paste cellinfo here'!$B$11</f>
        <v/>
      </c>
    </row>
    <row r="239">
      <c r="A239" s="1" t="n">
        <v>238</v>
      </c>
      <c r="B239" s="2">
        <f>DATE(Sintesi!$C$4-1,12,31)+A239</f>
        <v/>
      </c>
      <c r="C239" s="1">
        <f>'Paste cell here'!B239</f>
        <v/>
      </c>
      <c r="D239" s="1">
        <f>'Paste cell here'!I239</f>
        <v/>
      </c>
      <c r="E239" s="1">
        <f>'Paste cell here'!J239</f>
        <v/>
      </c>
      <c r="F239" s="1">
        <f>'Paste cell here'!K239</f>
        <v/>
      </c>
      <c r="G239" s="1">
        <f>'Paste cell here'!L239</f>
        <v/>
      </c>
      <c r="H239" s="1">
        <f>'Paste cell here'!M239</f>
        <v/>
      </c>
      <c r="I239" s="1">
        <f>'Paste cell here'!N239</f>
        <v/>
      </c>
      <c r="J239" s="1">
        <f>'Paste cell here'!O239</f>
        <v/>
      </c>
      <c r="K239" s="1">
        <f>'Paste cell here'!Q239</f>
        <v/>
      </c>
      <c r="L239" s="1">
        <f>'Paste cell here'!S239</f>
        <v/>
      </c>
      <c r="M239" s="1">
        <f>'Paste cell here'!T239</f>
        <v/>
      </c>
      <c r="N239" s="1">
        <f>'Paste cell here'!W239</f>
        <v/>
      </c>
      <c r="O239" s="1">
        <f>'Paste cell here'!U239</f>
        <v/>
      </c>
      <c r="P239" s="1">
        <f>O238</f>
        <v/>
      </c>
      <c r="Q239" s="1">
        <f>'Paste cell here'!V239</f>
        <v/>
      </c>
      <c r="R239" s="1">
        <f>ABS(O238+C239+D239+N239+Q238-H239-I239-K239-L239-M239-O239-Q239)</f>
        <v/>
      </c>
      <c r="S239" s="7">
        <f>Sintesi!$C$30</f>
        <v/>
      </c>
      <c r="T239" s="7">
        <f>Sintesi!$C$29</f>
        <v/>
      </c>
      <c r="U239" s="5">
        <f>O239/(Sintesi!$C$5*1000)</f>
        <v/>
      </c>
      <c r="V239" s="1">
        <f>T239-S239</f>
        <v/>
      </c>
      <c r="W239" s="1" t="n">
        <v>0.52911647254334</v>
      </c>
      <c r="X239" s="1">
        <f>W239*V239</f>
        <v/>
      </c>
      <c r="Y239" s="1">
        <f>T239-X239</f>
        <v/>
      </c>
      <c r="Z239" s="1">
        <f>'Paste cellinfo here'!$B$11</f>
        <v/>
      </c>
    </row>
    <row r="240">
      <c r="A240" s="1" t="n">
        <v>239</v>
      </c>
      <c r="B240" s="2">
        <f>DATE(Sintesi!$C$4-1,12,31)+A240</f>
        <v/>
      </c>
      <c r="C240" s="1">
        <f>'Paste cell here'!B240</f>
        <v/>
      </c>
      <c r="D240" s="1">
        <f>'Paste cell here'!I240</f>
        <v/>
      </c>
      <c r="E240" s="1">
        <f>'Paste cell here'!J240</f>
        <v/>
      </c>
      <c r="F240" s="1">
        <f>'Paste cell here'!K240</f>
        <v/>
      </c>
      <c r="G240" s="1">
        <f>'Paste cell here'!L240</f>
        <v/>
      </c>
      <c r="H240" s="1">
        <f>'Paste cell here'!M240</f>
        <v/>
      </c>
      <c r="I240" s="1">
        <f>'Paste cell here'!N240</f>
        <v/>
      </c>
      <c r="J240" s="1">
        <f>'Paste cell here'!O240</f>
        <v/>
      </c>
      <c r="K240" s="1">
        <f>'Paste cell here'!Q240</f>
        <v/>
      </c>
      <c r="L240" s="1">
        <f>'Paste cell here'!S240</f>
        <v/>
      </c>
      <c r="M240" s="1">
        <f>'Paste cell here'!T240</f>
        <v/>
      </c>
      <c r="N240" s="1">
        <f>'Paste cell here'!W240</f>
        <v/>
      </c>
      <c r="O240" s="1">
        <f>'Paste cell here'!U240</f>
        <v/>
      </c>
      <c r="P240" s="1">
        <f>O239</f>
        <v/>
      </c>
      <c r="Q240" s="1">
        <f>'Paste cell here'!V240</f>
        <v/>
      </c>
      <c r="R240" s="1">
        <f>ABS(O239+C240+D240+N240+Q239-H240-I240-K240-L240-M240-O240-Q240)</f>
        <v/>
      </c>
      <c r="S240" s="7">
        <f>Sintesi!$C$30</f>
        <v/>
      </c>
      <c r="T240" s="7">
        <f>Sintesi!$C$29</f>
        <v/>
      </c>
      <c r="U240" s="5">
        <f>O240/(Sintesi!$C$5*1000)</f>
        <v/>
      </c>
      <c r="V240" s="1">
        <f>T240-S240</f>
        <v/>
      </c>
      <c r="W240" s="1" t="n">
        <v>0.513854170664226</v>
      </c>
      <c r="X240" s="1">
        <f>W240*V240</f>
        <v/>
      </c>
      <c r="Y240" s="1">
        <f>T240-X240</f>
        <v/>
      </c>
      <c r="Z240" s="1">
        <f>'Paste cellinfo here'!$B$11</f>
        <v/>
      </c>
    </row>
    <row r="241">
      <c r="A241" s="1" t="n">
        <v>240</v>
      </c>
      <c r="B241" s="2">
        <f>DATE(Sintesi!$C$4-1,12,31)+A241</f>
        <v/>
      </c>
      <c r="C241" s="1">
        <f>'Paste cell here'!B241</f>
        <v/>
      </c>
      <c r="D241" s="1">
        <f>'Paste cell here'!I241</f>
        <v/>
      </c>
      <c r="E241" s="1">
        <f>'Paste cell here'!J241</f>
        <v/>
      </c>
      <c r="F241" s="1">
        <f>'Paste cell here'!K241</f>
        <v/>
      </c>
      <c r="G241" s="1">
        <f>'Paste cell here'!L241</f>
        <v/>
      </c>
      <c r="H241" s="1">
        <f>'Paste cell here'!M241</f>
        <v/>
      </c>
      <c r="I241" s="1">
        <f>'Paste cell here'!N241</f>
        <v/>
      </c>
      <c r="J241" s="1">
        <f>'Paste cell here'!O241</f>
        <v/>
      </c>
      <c r="K241" s="1">
        <f>'Paste cell here'!Q241</f>
        <v/>
      </c>
      <c r="L241" s="1">
        <f>'Paste cell here'!S241</f>
        <v/>
      </c>
      <c r="M241" s="1">
        <f>'Paste cell here'!T241</f>
        <v/>
      </c>
      <c r="N241" s="1">
        <f>'Paste cell here'!W241</f>
        <v/>
      </c>
      <c r="O241" s="1">
        <f>'Paste cell here'!U241</f>
        <v/>
      </c>
      <c r="P241" s="1">
        <f>O240</f>
        <v/>
      </c>
      <c r="Q241" s="1">
        <f>'Paste cell here'!V241</f>
        <v/>
      </c>
      <c r="R241" s="1">
        <f>ABS(O240+C241+D241+N241+Q240-H241-I241-K241-L241-M241-O241-Q241)</f>
        <v/>
      </c>
      <c r="S241" s="7">
        <f>Sintesi!$C$30</f>
        <v/>
      </c>
      <c r="T241" s="7">
        <f>Sintesi!$C$29</f>
        <v/>
      </c>
      <c r="U241" s="5">
        <f>O241/(Sintesi!$C$5*1000)</f>
        <v/>
      </c>
      <c r="V241" s="1">
        <f>T241-S241</f>
        <v/>
      </c>
      <c r="W241" s="1" t="n">
        <v>0.515177533954447</v>
      </c>
      <c r="X241" s="1">
        <f>W241*V241</f>
        <v/>
      </c>
      <c r="Y241" s="1">
        <f>T241-X241</f>
        <v/>
      </c>
      <c r="Z241" s="1">
        <f>'Paste cellinfo here'!$B$11</f>
        <v/>
      </c>
    </row>
    <row r="242">
      <c r="A242" s="1" t="n">
        <v>241</v>
      </c>
      <c r="B242" s="2">
        <f>DATE(Sintesi!$C$4-1,12,31)+A242</f>
        <v/>
      </c>
      <c r="C242" s="1">
        <f>'Paste cell here'!B242</f>
        <v/>
      </c>
      <c r="D242" s="1">
        <f>'Paste cell here'!I242</f>
        <v/>
      </c>
      <c r="E242" s="1">
        <f>'Paste cell here'!J242</f>
        <v/>
      </c>
      <c r="F242" s="1">
        <f>'Paste cell here'!K242</f>
        <v/>
      </c>
      <c r="G242" s="1">
        <f>'Paste cell here'!L242</f>
        <v/>
      </c>
      <c r="H242" s="1">
        <f>'Paste cell here'!M242</f>
        <v/>
      </c>
      <c r="I242" s="1">
        <f>'Paste cell here'!N242</f>
        <v/>
      </c>
      <c r="J242" s="1">
        <f>'Paste cell here'!O242</f>
        <v/>
      </c>
      <c r="K242" s="1">
        <f>'Paste cell here'!Q242</f>
        <v/>
      </c>
      <c r="L242" s="1">
        <f>'Paste cell here'!S242</f>
        <v/>
      </c>
      <c r="M242" s="1">
        <f>'Paste cell here'!T242</f>
        <v/>
      </c>
      <c r="N242" s="1">
        <f>'Paste cell here'!W242</f>
        <v/>
      </c>
      <c r="O242" s="1">
        <f>'Paste cell here'!U242</f>
        <v/>
      </c>
      <c r="P242" s="1">
        <f>O241</f>
        <v/>
      </c>
      <c r="Q242" s="1">
        <f>'Paste cell here'!V242</f>
        <v/>
      </c>
      <c r="R242" s="1">
        <f>ABS(O241+C242+D242+N242+Q241-H242-I242-K242-L242-M242-O242-Q242)</f>
        <v/>
      </c>
      <c r="S242" s="7">
        <f>Sintesi!$C$30</f>
        <v/>
      </c>
      <c r="T242" s="7">
        <f>Sintesi!$C$29</f>
        <v/>
      </c>
      <c r="U242" s="5">
        <f>O242/(Sintesi!$C$5*1000)</f>
        <v/>
      </c>
      <c r="V242" s="1">
        <f>T242-S242</f>
        <v/>
      </c>
      <c r="W242" s="1" t="n">
        <v>0.531477092191871</v>
      </c>
      <c r="X242" s="1">
        <f>W242*V242</f>
        <v/>
      </c>
      <c r="Y242" s="1">
        <f>T242-X242</f>
        <v/>
      </c>
      <c r="Z242" s="1">
        <f>'Paste cellinfo here'!$B$11</f>
        <v/>
      </c>
    </row>
    <row r="243">
      <c r="A243" s="1" t="n">
        <v>242</v>
      </c>
      <c r="B243" s="2">
        <f>DATE(Sintesi!$C$4-1,12,31)+A243</f>
        <v/>
      </c>
      <c r="C243" s="1">
        <f>'Paste cell here'!B243</f>
        <v/>
      </c>
      <c r="D243" s="1">
        <f>'Paste cell here'!I243</f>
        <v/>
      </c>
      <c r="E243" s="1">
        <f>'Paste cell here'!J243</f>
        <v/>
      </c>
      <c r="F243" s="1">
        <f>'Paste cell here'!K243</f>
        <v/>
      </c>
      <c r="G243" s="1">
        <f>'Paste cell here'!L243</f>
        <v/>
      </c>
      <c r="H243" s="1">
        <f>'Paste cell here'!M243</f>
        <v/>
      </c>
      <c r="I243" s="1">
        <f>'Paste cell here'!N243</f>
        <v/>
      </c>
      <c r="J243" s="1">
        <f>'Paste cell here'!O243</f>
        <v/>
      </c>
      <c r="K243" s="1">
        <f>'Paste cell here'!Q243</f>
        <v/>
      </c>
      <c r="L243" s="1">
        <f>'Paste cell here'!S243</f>
        <v/>
      </c>
      <c r="M243" s="1">
        <f>'Paste cell here'!T243</f>
        <v/>
      </c>
      <c r="N243" s="1">
        <f>'Paste cell here'!W243</f>
        <v/>
      </c>
      <c r="O243" s="1">
        <f>'Paste cell here'!U243</f>
        <v/>
      </c>
      <c r="P243" s="1">
        <f>O242</f>
        <v/>
      </c>
      <c r="Q243" s="1">
        <f>'Paste cell here'!V243</f>
        <v/>
      </c>
      <c r="R243" s="1">
        <f>ABS(O242+C243+D243+N243+Q242-H243-I243-K243-L243-M243-O243-Q243)</f>
        <v/>
      </c>
      <c r="S243" s="7">
        <f>Sintesi!$C$30</f>
        <v/>
      </c>
      <c r="T243" s="7">
        <f>Sintesi!$C$29</f>
        <v/>
      </c>
      <c r="U243" s="5">
        <f>O243/(Sintesi!$C$5*1000)</f>
        <v/>
      </c>
      <c r="V243" s="1">
        <f>T243-S243</f>
        <v/>
      </c>
      <c r="W243" s="1" t="n">
        <v>0.504046729299941</v>
      </c>
      <c r="X243" s="1">
        <f>W243*V243</f>
        <v/>
      </c>
      <c r="Y243" s="1">
        <f>T243-X243</f>
        <v/>
      </c>
      <c r="Z243" s="1">
        <f>'Paste cellinfo here'!$B$11</f>
        <v/>
      </c>
    </row>
    <row r="244">
      <c r="A244" s="1" t="n">
        <v>243</v>
      </c>
      <c r="B244" s="2">
        <f>DATE(Sintesi!$C$4-1,12,31)+A244</f>
        <v/>
      </c>
      <c r="C244" s="1">
        <f>'Paste cell here'!B244</f>
        <v/>
      </c>
      <c r="D244" s="1">
        <f>'Paste cell here'!I244</f>
        <v/>
      </c>
      <c r="E244" s="1">
        <f>'Paste cell here'!J244</f>
        <v/>
      </c>
      <c r="F244" s="1">
        <f>'Paste cell here'!K244</f>
        <v/>
      </c>
      <c r="G244" s="1">
        <f>'Paste cell here'!L244</f>
        <v/>
      </c>
      <c r="H244" s="1">
        <f>'Paste cell here'!M244</f>
        <v/>
      </c>
      <c r="I244" s="1">
        <f>'Paste cell here'!N244</f>
        <v/>
      </c>
      <c r="J244" s="1">
        <f>'Paste cell here'!O244</f>
        <v/>
      </c>
      <c r="K244" s="1">
        <f>'Paste cell here'!Q244</f>
        <v/>
      </c>
      <c r="L244" s="1">
        <f>'Paste cell here'!S244</f>
        <v/>
      </c>
      <c r="M244" s="1">
        <f>'Paste cell here'!T244</f>
        <v/>
      </c>
      <c r="N244" s="1">
        <f>'Paste cell here'!W244</f>
        <v/>
      </c>
      <c r="O244" s="1">
        <f>'Paste cell here'!U244</f>
        <v/>
      </c>
      <c r="P244" s="1">
        <f>O243</f>
        <v/>
      </c>
      <c r="Q244" s="1">
        <f>'Paste cell here'!V244</f>
        <v/>
      </c>
      <c r="R244" s="1">
        <f>ABS(O243+C244+D244+N244+Q243-H244-I244-K244-L244-M244-O244-Q244)</f>
        <v/>
      </c>
      <c r="S244" s="7">
        <f>Sintesi!$C$30</f>
        <v/>
      </c>
      <c r="T244" s="7">
        <f>Sintesi!$C$29</f>
        <v/>
      </c>
      <c r="U244" s="5">
        <f>O244/(Sintesi!$C$5*1000)</f>
        <v/>
      </c>
      <c r="V244" s="1">
        <f>T244-S244</f>
        <v/>
      </c>
      <c r="W244" s="1" t="n">
        <v>0.5097816282100061</v>
      </c>
      <c r="X244" s="1">
        <f>W244*V244</f>
        <v/>
      </c>
      <c r="Y244" s="1">
        <f>T244-X244</f>
        <v/>
      </c>
      <c r="Z244" s="1">
        <f>'Paste cellinfo here'!$B$11</f>
        <v/>
      </c>
    </row>
    <row r="245">
      <c r="A245" s="1" t="n">
        <v>244</v>
      </c>
      <c r="B245" s="2">
        <f>DATE(Sintesi!$C$4-1,12,31)+A245</f>
        <v/>
      </c>
      <c r="C245" s="1">
        <f>'Paste cell here'!B245</f>
        <v/>
      </c>
      <c r="D245" s="1">
        <f>'Paste cell here'!I245</f>
        <v/>
      </c>
      <c r="E245" s="1">
        <f>'Paste cell here'!J245</f>
        <v/>
      </c>
      <c r="F245" s="1">
        <f>'Paste cell here'!K245</f>
        <v/>
      </c>
      <c r="G245" s="1">
        <f>'Paste cell here'!L245</f>
        <v/>
      </c>
      <c r="H245" s="1">
        <f>'Paste cell here'!M245</f>
        <v/>
      </c>
      <c r="I245" s="1">
        <f>'Paste cell here'!N245</f>
        <v/>
      </c>
      <c r="J245" s="1">
        <f>'Paste cell here'!O245</f>
        <v/>
      </c>
      <c r="K245" s="1">
        <f>'Paste cell here'!Q245</f>
        <v/>
      </c>
      <c r="L245" s="1">
        <f>'Paste cell here'!S245</f>
        <v/>
      </c>
      <c r="M245" s="1">
        <f>'Paste cell here'!T245</f>
        <v/>
      </c>
      <c r="N245" s="1">
        <f>'Paste cell here'!W245</f>
        <v/>
      </c>
      <c r="O245" s="1">
        <f>'Paste cell here'!U245</f>
        <v/>
      </c>
      <c r="P245" s="1">
        <f>O244</f>
        <v/>
      </c>
      <c r="Q245" s="1">
        <f>'Paste cell here'!V245</f>
        <v/>
      </c>
      <c r="R245" s="1">
        <f>ABS(O244+C245+D245+N245+Q244-H245-I245-K245-L245-M245-O245-Q245)</f>
        <v/>
      </c>
      <c r="S245" s="7">
        <f>Sintesi!$C$30</f>
        <v/>
      </c>
      <c r="T245" s="7">
        <f>Sintesi!$C$29</f>
        <v/>
      </c>
      <c r="U245" s="5">
        <f>O245/(Sintesi!$C$5*1000)</f>
        <v/>
      </c>
      <c r="V245" s="1">
        <f>T245-S245</f>
        <v/>
      </c>
      <c r="W245" s="1" t="n">
        <v>0.603998850668788</v>
      </c>
      <c r="X245" s="1">
        <f>W245*V245</f>
        <v/>
      </c>
      <c r="Y245" s="1">
        <f>T245-X245</f>
        <v/>
      </c>
      <c r="Z245" s="1">
        <f>'Paste cellinfo here'!$B$11</f>
        <v/>
      </c>
    </row>
    <row r="246">
      <c r="A246" s="1" t="n">
        <v>245</v>
      </c>
      <c r="B246" s="2">
        <f>DATE(Sintesi!$C$4-1,12,31)+A246</f>
        <v/>
      </c>
      <c r="C246" s="1">
        <f>'Paste cell here'!B246</f>
        <v/>
      </c>
      <c r="D246" s="1">
        <f>'Paste cell here'!I246</f>
        <v/>
      </c>
      <c r="E246" s="1">
        <f>'Paste cell here'!J246</f>
        <v/>
      </c>
      <c r="F246" s="1">
        <f>'Paste cell here'!K246</f>
        <v/>
      </c>
      <c r="G246" s="1">
        <f>'Paste cell here'!L246</f>
        <v/>
      </c>
      <c r="H246" s="1">
        <f>'Paste cell here'!M246</f>
        <v/>
      </c>
      <c r="I246" s="1">
        <f>'Paste cell here'!N246</f>
        <v/>
      </c>
      <c r="J246" s="1">
        <f>'Paste cell here'!O246</f>
        <v/>
      </c>
      <c r="K246" s="1">
        <f>'Paste cell here'!Q246</f>
        <v/>
      </c>
      <c r="L246" s="1">
        <f>'Paste cell here'!S246</f>
        <v/>
      </c>
      <c r="M246" s="1">
        <f>'Paste cell here'!T246</f>
        <v/>
      </c>
      <c r="N246" s="1">
        <f>'Paste cell here'!W246</f>
        <v/>
      </c>
      <c r="O246" s="1">
        <f>'Paste cell here'!U246</f>
        <v/>
      </c>
      <c r="P246" s="1">
        <f>O245</f>
        <v/>
      </c>
      <c r="Q246" s="1">
        <f>'Paste cell here'!V246</f>
        <v/>
      </c>
      <c r="R246" s="1">
        <f>ABS(O245+C246+D246+N246+Q245-H246-I246-K246-L246-M246-O246-Q246)</f>
        <v/>
      </c>
      <c r="S246" s="7">
        <f>Sintesi!$C$30</f>
        <v/>
      </c>
      <c r="T246" s="7">
        <f>Sintesi!$C$29</f>
        <v/>
      </c>
      <c r="U246" s="5">
        <f>O246/(Sintesi!$C$5*1000)</f>
        <v/>
      </c>
      <c r="V246" s="1">
        <f>T246-S246</f>
        <v/>
      </c>
      <c r="W246" s="1" t="n">
        <v>0.51732653275103</v>
      </c>
      <c r="X246" s="1">
        <f>W246*V246</f>
        <v/>
      </c>
      <c r="Y246" s="1">
        <f>T246-X246</f>
        <v/>
      </c>
      <c r="Z246" s="1">
        <f>'Paste cellinfo here'!$B$11</f>
        <v/>
      </c>
    </row>
    <row r="247">
      <c r="A247" s="1" t="n">
        <v>246</v>
      </c>
      <c r="B247" s="2">
        <f>DATE(Sintesi!$C$4-1,12,31)+A247</f>
        <v/>
      </c>
      <c r="C247" s="1">
        <f>'Paste cell here'!B247</f>
        <v/>
      </c>
      <c r="D247" s="1">
        <f>'Paste cell here'!I247</f>
        <v/>
      </c>
      <c r="E247" s="1">
        <f>'Paste cell here'!J247</f>
        <v/>
      </c>
      <c r="F247" s="1">
        <f>'Paste cell here'!K247</f>
        <v/>
      </c>
      <c r="G247" s="1">
        <f>'Paste cell here'!L247</f>
        <v/>
      </c>
      <c r="H247" s="1">
        <f>'Paste cell here'!M247</f>
        <v/>
      </c>
      <c r="I247" s="1">
        <f>'Paste cell here'!N247</f>
        <v/>
      </c>
      <c r="J247" s="1">
        <f>'Paste cell here'!O247</f>
        <v/>
      </c>
      <c r="K247" s="1">
        <f>'Paste cell here'!Q247</f>
        <v/>
      </c>
      <c r="L247" s="1">
        <f>'Paste cell here'!S247</f>
        <v/>
      </c>
      <c r="M247" s="1">
        <f>'Paste cell here'!T247</f>
        <v/>
      </c>
      <c r="N247" s="1">
        <f>'Paste cell here'!W247</f>
        <v/>
      </c>
      <c r="O247" s="1">
        <f>'Paste cell here'!U247</f>
        <v/>
      </c>
      <c r="P247" s="1">
        <f>O246</f>
        <v/>
      </c>
      <c r="Q247" s="1">
        <f>'Paste cell here'!V247</f>
        <v/>
      </c>
      <c r="R247" s="1">
        <f>ABS(O246+C247+D247+N247+Q246-H247-I247-K247-L247-M247-O247-Q247)</f>
        <v/>
      </c>
      <c r="S247" s="7">
        <f>Sintesi!$C$30</f>
        <v/>
      </c>
      <c r="T247" s="7">
        <f>Sintesi!$C$29</f>
        <v/>
      </c>
      <c r="U247" s="5">
        <f>O247/(Sintesi!$C$5*1000)</f>
        <v/>
      </c>
      <c r="V247" s="1">
        <f>T247-S247</f>
        <v/>
      </c>
      <c r="W247" s="1" t="n">
        <v>0.556446325645666</v>
      </c>
      <c r="X247" s="1">
        <f>W247*V247</f>
        <v/>
      </c>
      <c r="Y247" s="1">
        <f>T247-X247</f>
        <v/>
      </c>
      <c r="Z247" s="1">
        <f>'Paste cellinfo here'!$B$11</f>
        <v/>
      </c>
    </row>
    <row r="248">
      <c r="A248" s="1" t="n">
        <v>247</v>
      </c>
      <c r="B248" s="2">
        <f>DATE(Sintesi!$C$4-1,12,31)+A248</f>
        <v/>
      </c>
      <c r="C248" s="1">
        <f>'Paste cell here'!B248</f>
        <v/>
      </c>
      <c r="D248" s="1">
        <f>'Paste cell here'!I248</f>
        <v/>
      </c>
      <c r="E248" s="1">
        <f>'Paste cell here'!J248</f>
        <v/>
      </c>
      <c r="F248" s="1">
        <f>'Paste cell here'!K248</f>
        <v/>
      </c>
      <c r="G248" s="1">
        <f>'Paste cell here'!L248</f>
        <v/>
      </c>
      <c r="H248" s="1">
        <f>'Paste cell here'!M248</f>
        <v/>
      </c>
      <c r="I248" s="1">
        <f>'Paste cell here'!N248</f>
        <v/>
      </c>
      <c r="J248" s="1">
        <f>'Paste cell here'!O248</f>
        <v/>
      </c>
      <c r="K248" s="1">
        <f>'Paste cell here'!Q248</f>
        <v/>
      </c>
      <c r="L248" s="1">
        <f>'Paste cell here'!S248</f>
        <v/>
      </c>
      <c r="M248" s="1">
        <f>'Paste cell here'!T248</f>
        <v/>
      </c>
      <c r="N248" s="1">
        <f>'Paste cell here'!W248</f>
        <v/>
      </c>
      <c r="O248" s="1">
        <f>'Paste cell here'!U248</f>
        <v/>
      </c>
      <c r="P248" s="1">
        <f>O247</f>
        <v/>
      </c>
      <c r="Q248" s="1">
        <f>'Paste cell here'!V248</f>
        <v/>
      </c>
      <c r="R248" s="1">
        <f>ABS(O247+C248+D248+N248+Q247-H248-I248-K248-L248-M248-O248-Q248)</f>
        <v/>
      </c>
      <c r="S248" s="7">
        <f>Sintesi!$C$30</f>
        <v/>
      </c>
      <c r="T248" s="7">
        <f>Sintesi!$C$29</f>
        <v/>
      </c>
      <c r="U248" s="5">
        <f>O248/(Sintesi!$C$5*1000)</f>
        <v/>
      </c>
      <c r="V248" s="1">
        <f>T248-S248</f>
        <v/>
      </c>
      <c r="W248" s="1" t="n">
        <v>0.503797459039995</v>
      </c>
      <c r="X248" s="1">
        <f>W248*V248</f>
        <v/>
      </c>
      <c r="Y248" s="1">
        <f>T248-X248</f>
        <v/>
      </c>
      <c r="Z248" s="1">
        <f>'Paste cellinfo here'!$B$11</f>
        <v/>
      </c>
    </row>
    <row r="249">
      <c r="A249" s="1" t="n">
        <v>248</v>
      </c>
      <c r="B249" s="2">
        <f>DATE(Sintesi!$C$4-1,12,31)+A249</f>
        <v/>
      </c>
      <c r="C249" s="1">
        <f>'Paste cell here'!B249</f>
        <v/>
      </c>
      <c r="D249" s="1">
        <f>'Paste cell here'!I249</f>
        <v/>
      </c>
      <c r="E249" s="1">
        <f>'Paste cell here'!J249</f>
        <v/>
      </c>
      <c r="F249" s="1">
        <f>'Paste cell here'!K249</f>
        <v/>
      </c>
      <c r="G249" s="1">
        <f>'Paste cell here'!L249</f>
        <v/>
      </c>
      <c r="H249" s="1">
        <f>'Paste cell here'!M249</f>
        <v/>
      </c>
      <c r="I249" s="1">
        <f>'Paste cell here'!N249</f>
        <v/>
      </c>
      <c r="J249" s="1">
        <f>'Paste cell here'!O249</f>
        <v/>
      </c>
      <c r="K249" s="1">
        <f>'Paste cell here'!Q249</f>
        <v/>
      </c>
      <c r="L249" s="1">
        <f>'Paste cell here'!S249</f>
        <v/>
      </c>
      <c r="M249" s="1">
        <f>'Paste cell here'!T249</f>
        <v/>
      </c>
      <c r="N249" s="1">
        <f>'Paste cell here'!W249</f>
        <v/>
      </c>
      <c r="O249" s="1">
        <f>'Paste cell here'!U249</f>
        <v/>
      </c>
      <c r="P249" s="1">
        <f>O248</f>
        <v/>
      </c>
      <c r="Q249" s="1">
        <f>'Paste cell here'!V249</f>
        <v/>
      </c>
      <c r="R249" s="1">
        <f>ABS(O248+C249+D249+N249+Q248-H249-I249-K249-L249-M249-O249-Q249)</f>
        <v/>
      </c>
      <c r="S249" s="7">
        <f>Sintesi!$C$30</f>
        <v/>
      </c>
      <c r="T249" s="7">
        <f>Sintesi!$C$29</f>
        <v/>
      </c>
      <c r="U249" s="5">
        <f>O249/(Sintesi!$C$5*1000)</f>
        <v/>
      </c>
      <c r="V249" s="1">
        <f>T249-S249</f>
        <v/>
      </c>
      <c r="W249" s="1" t="n">
        <v>0.537964558375617</v>
      </c>
      <c r="X249" s="1">
        <f>W249*V249</f>
        <v/>
      </c>
      <c r="Y249" s="1">
        <f>T249-X249</f>
        <v/>
      </c>
      <c r="Z249" s="1">
        <f>'Paste cellinfo here'!$B$11</f>
        <v/>
      </c>
    </row>
    <row r="250">
      <c r="A250" s="1" t="n">
        <v>249</v>
      </c>
      <c r="B250" s="2">
        <f>DATE(Sintesi!$C$4-1,12,31)+A250</f>
        <v/>
      </c>
      <c r="C250" s="1">
        <f>'Paste cell here'!B250</f>
        <v/>
      </c>
      <c r="D250" s="1">
        <f>'Paste cell here'!I250</f>
        <v/>
      </c>
      <c r="E250" s="1">
        <f>'Paste cell here'!J250</f>
        <v/>
      </c>
      <c r="F250" s="1">
        <f>'Paste cell here'!K250</f>
        <v/>
      </c>
      <c r="G250" s="1">
        <f>'Paste cell here'!L250</f>
        <v/>
      </c>
      <c r="H250" s="1">
        <f>'Paste cell here'!M250</f>
        <v/>
      </c>
      <c r="I250" s="1">
        <f>'Paste cell here'!N250</f>
        <v/>
      </c>
      <c r="J250" s="1">
        <f>'Paste cell here'!O250</f>
        <v/>
      </c>
      <c r="K250" s="1">
        <f>'Paste cell here'!Q250</f>
        <v/>
      </c>
      <c r="L250" s="1">
        <f>'Paste cell here'!S250</f>
        <v/>
      </c>
      <c r="M250" s="1">
        <f>'Paste cell here'!T250</f>
        <v/>
      </c>
      <c r="N250" s="1">
        <f>'Paste cell here'!W250</f>
        <v/>
      </c>
      <c r="O250" s="1">
        <f>'Paste cell here'!U250</f>
        <v/>
      </c>
      <c r="P250" s="1">
        <f>O249</f>
        <v/>
      </c>
      <c r="Q250" s="1">
        <f>'Paste cell here'!V250</f>
        <v/>
      </c>
      <c r="R250" s="1">
        <f>ABS(O249+C250+D250+N250+Q249-H250-I250-K250-L250-M250-O250-Q250)</f>
        <v/>
      </c>
      <c r="S250" s="7">
        <f>Sintesi!$C$30</f>
        <v/>
      </c>
      <c r="T250" s="7">
        <f>Sintesi!$C$29</f>
        <v/>
      </c>
      <c r="U250" s="5">
        <f>O250/(Sintesi!$C$5*1000)</f>
        <v/>
      </c>
      <c r="V250" s="1">
        <f>T250-S250</f>
        <v/>
      </c>
      <c r="W250" s="1" t="n">
        <v>0.534382772904386</v>
      </c>
      <c r="X250" s="1">
        <f>W250*V250</f>
        <v/>
      </c>
      <c r="Y250" s="1">
        <f>T250-X250</f>
        <v/>
      </c>
      <c r="Z250" s="1">
        <f>'Paste cellinfo here'!$B$11</f>
        <v/>
      </c>
    </row>
    <row r="251">
      <c r="A251" s="1" t="n">
        <v>250</v>
      </c>
      <c r="B251" s="2">
        <f>DATE(Sintesi!$C$4-1,12,31)+A251</f>
        <v/>
      </c>
      <c r="C251" s="1">
        <f>'Paste cell here'!B251</f>
        <v/>
      </c>
      <c r="D251" s="1">
        <f>'Paste cell here'!I251</f>
        <v/>
      </c>
      <c r="E251" s="1">
        <f>'Paste cell here'!J251</f>
        <v/>
      </c>
      <c r="F251" s="1">
        <f>'Paste cell here'!K251</f>
        <v/>
      </c>
      <c r="G251" s="1">
        <f>'Paste cell here'!L251</f>
        <v/>
      </c>
      <c r="H251" s="1">
        <f>'Paste cell here'!M251</f>
        <v/>
      </c>
      <c r="I251" s="1">
        <f>'Paste cell here'!N251</f>
        <v/>
      </c>
      <c r="J251" s="1">
        <f>'Paste cell here'!O251</f>
        <v/>
      </c>
      <c r="K251" s="1">
        <f>'Paste cell here'!Q251</f>
        <v/>
      </c>
      <c r="L251" s="1">
        <f>'Paste cell here'!S251</f>
        <v/>
      </c>
      <c r="M251" s="1">
        <f>'Paste cell here'!T251</f>
        <v/>
      </c>
      <c r="N251" s="1">
        <f>'Paste cell here'!W251</f>
        <v/>
      </c>
      <c r="O251" s="1">
        <f>'Paste cell here'!U251</f>
        <v/>
      </c>
      <c r="P251" s="1">
        <f>O250</f>
        <v/>
      </c>
      <c r="Q251" s="1">
        <f>'Paste cell here'!V251</f>
        <v/>
      </c>
      <c r="R251" s="1">
        <f>ABS(O250+C251+D251+N251+Q250-H251-I251-K251-L251-M251-O251-Q251)</f>
        <v/>
      </c>
      <c r="S251" s="7">
        <f>Sintesi!$C$30</f>
        <v/>
      </c>
      <c r="T251" s="7">
        <f>Sintesi!$C$29</f>
        <v/>
      </c>
      <c r="U251" s="5">
        <f>O251/(Sintesi!$C$5*1000)</f>
        <v/>
      </c>
      <c r="V251" s="1">
        <f>T251-S251</f>
        <v/>
      </c>
      <c r="W251" s="1" t="n">
        <v>0.579122956360458</v>
      </c>
      <c r="X251" s="1">
        <f>W251*V251</f>
        <v/>
      </c>
      <c r="Y251" s="1">
        <f>T251-X251</f>
        <v/>
      </c>
      <c r="Z251" s="1">
        <f>'Paste cellinfo here'!$B$11</f>
        <v/>
      </c>
    </row>
    <row r="252">
      <c r="A252" s="1" t="n">
        <v>251</v>
      </c>
      <c r="B252" s="2">
        <f>DATE(Sintesi!$C$4-1,12,31)+A252</f>
        <v/>
      </c>
      <c r="C252" s="1">
        <f>'Paste cell here'!B252</f>
        <v/>
      </c>
      <c r="D252" s="1">
        <f>'Paste cell here'!I252</f>
        <v/>
      </c>
      <c r="E252" s="1">
        <f>'Paste cell here'!J252</f>
        <v/>
      </c>
      <c r="F252" s="1">
        <f>'Paste cell here'!K252</f>
        <v/>
      </c>
      <c r="G252" s="1">
        <f>'Paste cell here'!L252</f>
        <v/>
      </c>
      <c r="H252" s="1">
        <f>'Paste cell here'!M252</f>
        <v/>
      </c>
      <c r="I252" s="1">
        <f>'Paste cell here'!N252</f>
        <v/>
      </c>
      <c r="J252" s="1">
        <f>'Paste cell here'!O252</f>
        <v/>
      </c>
      <c r="K252" s="1">
        <f>'Paste cell here'!Q252</f>
        <v/>
      </c>
      <c r="L252" s="1">
        <f>'Paste cell here'!S252</f>
        <v/>
      </c>
      <c r="M252" s="1">
        <f>'Paste cell here'!T252</f>
        <v/>
      </c>
      <c r="N252" s="1">
        <f>'Paste cell here'!W252</f>
        <v/>
      </c>
      <c r="O252" s="1">
        <f>'Paste cell here'!U252</f>
        <v/>
      </c>
      <c r="P252" s="1">
        <f>O251</f>
        <v/>
      </c>
      <c r="Q252" s="1">
        <f>'Paste cell here'!V252</f>
        <v/>
      </c>
      <c r="R252" s="1">
        <f>ABS(O251+C252+D252+N252+Q251-H252-I252-K252-L252-M252-O252-Q252)</f>
        <v/>
      </c>
      <c r="S252" s="7">
        <f>Sintesi!$C$30</f>
        <v/>
      </c>
      <c r="T252" s="7">
        <f>Sintesi!$C$29</f>
        <v/>
      </c>
      <c r="U252" s="5">
        <f>O252/(Sintesi!$C$5*1000)</f>
        <v/>
      </c>
      <c r="V252" s="1">
        <f>T252-S252</f>
        <v/>
      </c>
      <c r="W252" s="1" t="n">
        <v>0.565764538467381</v>
      </c>
      <c r="X252" s="1">
        <f>W252*V252</f>
        <v/>
      </c>
      <c r="Y252" s="1">
        <f>T252-X252</f>
        <v/>
      </c>
      <c r="Z252" s="1">
        <f>'Paste cellinfo here'!$B$11</f>
        <v/>
      </c>
    </row>
    <row r="253">
      <c r="A253" s="1" t="n">
        <v>252</v>
      </c>
      <c r="B253" s="2">
        <f>DATE(Sintesi!$C$4-1,12,31)+A253</f>
        <v/>
      </c>
      <c r="C253" s="1">
        <f>'Paste cell here'!B253</f>
        <v/>
      </c>
      <c r="D253" s="1">
        <f>'Paste cell here'!I253</f>
        <v/>
      </c>
      <c r="E253" s="1">
        <f>'Paste cell here'!J253</f>
        <v/>
      </c>
      <c r="F253" s="1">
        <f>'Paste cell here'!K253</f>
        <v/>
      </c>
      <c r="G253" s="1">
        <f>'Paste cell here'!L253</f>
        <v/>
      </c>
      <c r="H253" s="1">
        <f>'Paste cell here'!M253</f>
        <v/>
      </c>
      <c r="I253" s="1">
        <f>'Paste cell here'!N253</f>
        <v/>
      </c>
      <c r="J253" s="1">
        <f>'Paste cell here'!O253</f>
        <v/>
      </c>
      <c r="K253" s="1">
        <f>'Paste cell here'!Q253</f>
        <v/>
      </c>
      <c r="L253" s="1">
        <f>'Paste cell here'!S253</f>
        <v/>
      </c>
      <c r="M253" s="1">
        <f>'Paste cell here'!T253</f>
        <v/>
      </c>
      <c r="N253" s="1">
        <f>'Paste cell here'!W253</f>
        <v/>
      </c>
      <c r="O253" s="1">
        <f>'Paste cell here'!U253</f>
        <v/>
      </c>
      <c r="P253" s="1">
        <f>O252</f>
        <v/>
      </c>
      <c r="Q253" s="1">
        <f>'Paste cell here'!V253</f>
        <v/>
      </c>
      <c r="R253" s="1">
        <f>ABS(O252+C253+D253+N253+Q252-H253-I253-K253-L253-M253-O253-Q253)</f>
        <v/>
      </c>
      <c r="S253" s="7">
        <f>Sintesi!$C$30</f>
        <v/>
      </c>
      <c r="T253" s="7">
        <f>Sintesi!$C$29</f>
        <v/>
      </c>
      <c r="U253" s="5">
        <f>O253/(Sintesi!$C$5*1000)</f>
        <v/>
      </c>
      <c r="V253" s="1">
        <f>T253-S253</f>
        <v/>
      </c>
      <c r="W253" s="1" t="n">
        <v>0.667079116658635</v>
      </c>
      <c r="X253" s="1">
        <f>W253*V253</f>
        <v/>
      </c>
      <c r="Y253" s="1">
        <f>T253-X253</f>
        <v/>
      </c>
      <c r="Z253" s="1">
        <f>'Paste cellinfo here'!$B$11</f>
        <v/>
      </c>
    </row>
    <row r="254">
      <c r="A254" s="1" t="n">
        <v>253</v>
      </c>
      <c r="B254" s="2">
        <f>DATE(Sintesi!$C$4-1,12,31)+A254</f>
        <v/>
      </c>
      <c r="C254" s="1">
        <f>'Paste cell here'!B254</f>
        <v/>
      </c>
      <c r="D254" s="1">
        <f>'Paste cell here'!I254</f>
        <v/>
      </c>
      <c r="E254" s="1">
        <f>'Paste cell here'!J254</f>
        <v/>
      </c>
      <c r="F254" s="1">
        <f>'Paste cell here'!K254</f>
        <v/>
      </c>
      <c r="G254" s="1">
        <f>'Paste cell here'!L254</f>
        <v/>
      </c>
      <c r="H254" s="1">
        <f>'Paste cell here'!M254</f>
        <v/>
      </c>
      <c r="I254" s="1">
        <f>'Paste cell here'!N254</f>
        <v/>
      </c>
      <c r="J254" s="1">
        <f>'Paste cell here'!O254</f>
        <v/>
      </c>
      <c r="K254" s="1">
        <f>'Paste cell here'!Q254</f>
        <v/>
      </c>
      <c r="L254" s="1">
        <f>'Paste cell here'!S254</f>
        <v/>
      </c>
      <c r="M254" s="1">
        <f>'Paste cell here'!T254</f>
        <v/>
      </c>
      <c r="N254" s="1">
        <f>'Paste cell here'!W254</f>
        <v/>
      </c>
      <c r="O254" s="1">
        <f>'Paste cell here'!U254</f>
        <v/>
      </c>
      <c r="P254" s="1">
        <f>O253</f>
        <v/>
      </c>
      <c r="Q254" s="1">
        <f>'Paste cell here'!V254</f>
        <v/>
      </c>
      <c r="R254" s="1">
        <f>ABS(O253+C254+D254+N254+Q253-H254-I254-K254-L254-M254-O254-Q254)</f>
        <v/>
      </c>
      <c r="S254" s="7">
        <f>Sintesi!$C$30</f>
        <v/>
      </c>
      <c r="T254" s="7">
        <f>Sintesi!$C$29</f>
        <v/>
      </c>
      <c r="U254" s="5">
        <f>O254/(Sintesi!$C$5*1000)</f>
        <v/>
      </c>
      <c r="V254" s="1">
        <f>T254-S254</f>
        <v/>
      </c>
      <c r="W254" s="1" t="n">
        <v>0.550377647834674</v>
      </c>
      <c r="X254" s="1">
        <f>W254*V254</f>
        <v/>
      </c>
      <c r="Y254" s="1">
        <f>T254-X254</f>
        <v/>
      </c>
      <c r="Z254" s="1">
        <f>'Paste cellinfo here'!$B$11</f>
        <v/>
      </c>
    </row>
    <row r="255">
      <c r="A255" s="1" t="n">
        <v>254</v>
      </c>
      <c r="B255" s="2">
        <f>DATE(Sintesi!$C$4-1,12,31)+A255</f>
        <v/>
      </c>
      <c r="C255" s="1">
        <f>'Paste cell here'!B255</f>
        <v/>
      </c>
      <c r="D255" s="1">
        <f>'Paste cell here'!I255</f>
        <v/>
      </c>
      <c r="E255" s="1">
        <f>'Paste cell here'!J255</f>
        <v/>
      </c>
      <c r="F255" s="1">
        <f>'Paste cell here'!K255</f>
        <v/>
      </c>
      <c r="G255" s="1">
        <f>'Paste cell here'!L255</f>
        <v/>
      </c>
      <c r="H255" s="1">
        <f>'Paste cell here'!M255</f>
        <v/>
      </c>
      <c r="I255" s="1">
        <f>'Paste cell here'!N255</f>
        <v/>
      </c>
      <c r="J255" s="1">
        <f>'Paste cell here'!O255</f>
        <v/>
      </c>
      <c r="K255" s="1">
        <f>'Paste cell here'!Q255</f>
        <v/>
      </c>
      <c r="L255" s="1">
        <f>'Paste cell here'!S255</f>
        <v/>
      </c>
      <c r="M255" s="1">
        <f>'Paste cell here'!T255</f>
        <v/>
      </c>
      <c r="N255" s="1">
        <f>'Paste cell here'!W255</f>
        <v/>
      </c>
      <c r="O255" s="1">
        <f>'Paste cell here'!U255</f>
        <v/>
      </c>
      <c r="P255" s="1">
        <f>O254</f>
        <v/>
      </c>
      <c r="Q255" s="1">
        <f>'Paste cell here'!V255</f>
        <v/>
      </c>
      <c r="R255" s="1">
        <f>ABS(O254+C255+D255+N255+Q254-H255-I255-K255-L255-M255-O255-Q255)</f>
        <v/>
      </c>
      <c r="S255" s="7">
        <f>Sintesi!$C$30</f>
        <v/>
      </c>
      <c r="T255" s="7">
        <f>Sintesi!$C$29</f>
        <v/>
      </c>
      <c r="U255" s="5">
        <f>O255/(Sintesi!$C$5*1000)</f>
        <v/>
      </c>
      <c r="V255" s="1">
        <f>T255-S255</f>
        <v/>
      </c>
      <c r="W255" s="1" t="n">
        <v>0.562741631631744</v>
      </c>
      <c r="X255" s="1">
        <f>W255*V255</f>
        <v/>
      </c>
      <c r="Y255" s="1">
        <f>T255-X255</f>
        <v/>
      </c>
      <c r="Z255" s="1">
        <f>'Paste cellinfo here'!$B$11</f>
        <v/>
      </c>
    </row>
    <row r="256">
      <c r="A256" s="1" t="n">
        <v>255</v>
      </c>
      <c r="B256" s="2">
        <f>DATE(Sintesi!$C$4-1,12,31)+A256</f>
        <v/>
      </c>
      <c r="C256" s="1">
        <f>'Paste cell here'!B256</f>
        <v/>
      </c>
      <c r="D256" s="1">
        <f>'Paste cell here'!I256</f>
        <v/>
      </c>
      <c r="E256" s="1">
        <f>'Paste cell here'!J256</f>
        <v/>
      </c>
      <c r="F256" s="1">
        <f>'Paste cell here'!K256</f>
        <v/>
      </c>
      <c r="G256" s="1">
        <f>'Paste cell here'!L256</f>
        <v/>
      </c>
      <c r="H256" s="1">
        <f>'Paste cell here'!M256</f>
        <v/>
      </c>
      <c r="I256" s="1">
        <f>'Paste cell here'!N256</f>
        <v/>
      </c>
      <c r="J256" s="1">
        <f>'Paste cell here'!O256</f>
        <v/>
      </c>
      <c r="K256" s="1">
        <f>'Paste cell here'!Q256</f>
        <v/>
      </c>
      <c r="L256" s="1">
        <f>'Paste cell here'!S256</f>
        <v/>
      </c>
      <c r="M256" s="1">
        <f>'Paste cell here'!T256</f>
        <v/>
      </c>
      <c r="N256" s="1">
        <f>'Paste cell here'!W256</f>
        <v/>
      </c>
      <c r="O256" s="1">
        <f>'Paste cell here'!U256</f>
        <v/>
      </c>
      <c r="P256" s="1">
        <f>O255</f>
        <v/>
      </c>
      <c r="Q256" s="1">
        <f>'Paste cell here'!V256</f>
        <v/>
      </c>
      <c r="R256" s="1">
        <f>ABS(O255+C256+D256+N256+Q255-H256-I256-K256-L256-M256-O256-Q256)</f>
        <v/>
      </c>
      <c r="S256" s="7">
        <f>Sintesi!$C$30</f>
        <v/>
      </c>
      <c r="T256" s="7">
        <f>Sintesi!$C$29</f>
        <v/>
      </c>
      <c r="U256" s="5">
        <f>O256/(Sintesi!$C$5*1000)</f>
        <v/>
      </c>
      <c r="V256" s="1">
        <f>T256-S256</f>
        <v/>
      </c>
      <c r="W256" s="1" t="n">
        <v>0.555515073192728</v>
      </c>
      <c r="X256" s="1">
        <f>W256*V256</f>
        <v/>
      </c>
      <c r="Y256" s="1">
        <f>T256-X256</f>
        <v/>
      </c>
      <c r="Z256" s="1">
        <f>'Paste cellinfo here'!$B$11</f>
        <v/>
      </c>
    </row>
    <row r="257">
      <c r="A257" s="1" t="n">
        <v>256</v>
      </c>
      <c r="B257" s="2">
        <f>DATE(Sintesi!$C$4-1,12,31)+A257</f>
        <v/>
      </c>
      <c r="C257" s="1">
        <f>'Paste cell here'!B257</f>
        <v/>
      </c>
      <c r="D257" s="1">
        <f>'Paste cell here'!I257</f>
        <v/>
      </c>
      <c r="E257" s="1">
        <f>'Paste cell here'!J257</f>
        <v/>
      </c>
      <c r="F257" s="1">
        <f>'Paste cell here'!K257</f>
        <v/>
      </c>
      <c r="G257" s="1">
        <f>'Paste cell here'!L257</f>
        <v/>
      </c>
      <c r="H257" s="1">
        <f>'Paste cell here'!M257</f>
        <v/>
      </c>
      <c r="I257" s="1">
        <f>'Paste cell here'!N257</f>
        <v/>
      </c>
      <c r="J257" s="1">
        <f>'Paste cell here'!O257</f>
        <v/>
      </c>
      <c r="K257" s="1">
        <f>'Paste cell here'!Q257</f>
        <v/>
      </c>
      <c r="L257" s="1">
        <f>'Paste cell here'!S257</f>
        <v/>
      </c>
      <c r="M257" s="1">
        <f>'Paste cell here'!T257</f>
        <v/>
      </c>
      <c r="N257" s="1">
        <f>'Paste cell here'!W257</f>
        <v/>
      </c>
      <c r="O257" s="1">
        <f>'Paste cell here'!U257</f>
        <v/>
      </c>
      <c r="P257" s="1">
        <f>O256</f>
        <v/>
      </c>
      <c r="Q257" s="1">
        <f>'Paste cell here'!V257</f>
        <v/>
      </c>
      <c r="R257" s="1">
        <f>ABS(O256+C257+D257+N257+Q256-H257-I257-K257-L257-M257-O257-Q257)</f>
        <v/>
      </c>
      <c r="S257" s="7">
        <f>Sintesi!$C$30</f>
        <v/>
      </c>
      <c r="T257" s="7">
        <f>Sintesi!$C$29</f>
        <v/>
      </c>
      <c r="U257" s="5">
        <f>O257/(Sintesi!$C$5*1000)</f>
        <v/>
      </c>
      <c r="V257" s="1">
        <f>T257-S257</f>
        <v/>
      </c>
      <c r="W257" s="1" t="n">
        <v>0.551049676833679</v>
      </c>
      <c r="X257" s="1">
        <f>W257*V257</f>
        <v/>
      </c>
      <c r="Y257" s="1">
        <f>T257-X257</f>
        <v/>
      </c>
      <c r="Z257" s="1">
        <f>'Paste cellinfo here'!$B$11</f>
        <v/>
      </c>
    </row>
    <row r="258">
      <c r="A258" s="1" t="n">
        <v>257</v>
      </c>
      <c r="B258" s="2">
        <f>DATE(Sintesi!$C$4-1,12,31)+A258</f>
        <v/>
      </c>
      <c r="C258" s="1">
        <f>'Paste cell here'!B258</f>
        <v/>
      </c>
      <c r="D258" s="1">
        <f>'Paste cell here'!I258</f>
        <v/>
      </c>
      <c r="E258" s="1">
        <f>'Paste cell here'!J258</f>
        <v/>
      </c>
      <c r="F258" s="1">
        <f>'Paste cell here'!K258</f>
        <v/>
      </c>
      <c r="G258" s="1">
        <f>'Paste cell here'!L258</f>
        <v/>
      </c>
      <c r="H258" s="1">
        <f>'Paste cell here'!M258</f>
        <v/>
      </c>
      <c r="I258" s="1">
        <f>'Paste cell here'!N258</f>
        <v/>
      </c>
      <c r="J258" s="1">
        <f>'Paste cell here'!O258</f>
        <v/>
      </c>
      <c r="K258" s="1">
        <f>'Paste cell here'!Q258</f>
        <v/>
      </c>
      <c r="L258" s="1">
        <f>'Paste cell here'!S258</f>
        <v/>
      </c>
      <c r="M258" s="1">
        <f>'Paste cell here'!T258</f>
        <v/>
      </c>
      <c r="N258" s="1">
        <f>'Paste cell here'!W258</f>
        <v/>
      </c>
      <c r="O258" s="1">
        <f>'Paste cell here'!U258</f>
        <v/>
      </c>
      <c r="P258" s="1">
        <f>O257</f>
        <v/>
      </c>
      <c r="Q258" s="1">
        <f>'Paste cell here'!V258</f>
        <v/>
      </c>
      <c r="R258" s="1">
        <f>ABS(O257+C258+D258+N258+Q257-H258-I258-K258-L258-M258-O258-Q258)</f>
        <v/>
      </c>
      <c r="S258" s="7">
        <f>Sintesi!$C$30</f>
        <v/>
      </c>
      <c r="T258" s="7">
        <f>Sintesi!$C$29</f>
        <v/>
      </c>
      <c r="U258" s="5">
        <f>O258/(Sintesi!$C$5*1000)</f>
        <v/>
      </c>
      <c r="V258" s="1">
        <f>T258-S258</f>
        <v/>
      </c>
      <c r="W258" s="1" t="n">
        <v>0.542597404411274</v>
      </c>
      <c r="X258" s="1">
        <f>W258*V258</f>
        <v/>
      </c>
      <c r="Y258" s="1">
        <f>T258-X258</f>
        <v/>
      </c>
      <c r="Z258" s="1">
        <f>'Paste cellinfo here'!$B$11</f>
        <v/>
      </c>
    </row>
    <row r="259">
      <c r="A259" s="1" t="n">
        <v>258</v>
      </c>
      <c r="B259" s="2">
        <f>DATE(Sintesi!$C$4-1,12,31)+A259</f>
        <v/>
      </c>
      <c r="C259" s="1">
        <f>'Paste cell here'!B259</f>
        <v/>
      </c>
      <c r="D259" s="1">
        <f>'Paste cell here'!I259</f>
        <v/>
      </c>
      <c r="E259" s="1">
        <f>'Paste cell here'!J259</f>
        <v/>
      </c>
      <c r="F259" s="1">
        <f>'Paste cell here'!K259</f>
        <v/>
      </c>
      <c r="G259" s="1">
        <f>'Paste cell here'!L259</f>
        <v/>
      </c>
      <c r="H259" s="1">
        <f>'Paste cell here'!M259</f>
        <v/>
      </c>
      <c r="I259" s="1">
        <f>'Paste cell here'!N259</f>
        <v/>
      </c>
      <c r="J259" s="1">
        <f>'Paste cell here'!O259</f>
        <v/>
      </c>
      <c r="K259" s="1">
        <f>'Paste cell here'!Q259</f>
        <v/>
      </c>
      <c r="L259" s="1">
        <f>'Paste cell here'!S259</f>
        <v/>
      </c>
      <c r="M259" s="1">
        <f>'Paste cell here'!T259</f>
        <v/>
      </c>
      <c r="N259" s="1">
        <f>'Paste cell here'!W259</f>
        <v/>
      </c>
      <c r="O259" s="1">
        <f>'Paste cell here'!U259</f>
        <v/>
      </c>
      <c r="P259" s="1">
        <f>O258</f>
        <v/>
      </c>
      <c r="Q259" s="1">
        <f>'Paste cell here'!V259</f>
        <v/>
      </c>
      <c r="R259" s="1">
        <f>ABS(O258+C259+D259+N259+Q258-H259-I259-K259-L259-M259-O259-Q259)</f>
        <v/>
      </c>
      <c r="S259" s="7">
        <f>Sintesi!$C$30</f>
        <v/>
      </c>
      <c r="T259" s="7">
        <f>Sintesi!$C$29</f>
        <v/>
      </c>
      <c r="U259" s="5">
        <f>O259/(Sintesi!$C$5*1000)</f>
        <v/>
      </c>
      <c r="V259" s="1">
        <f>T259-S259</f>
        <v/>
      </c>
      <c r="W259" s="1" t="n">
        <v>0.549047404862103</v>
      </c>
      <c r="X259" s="1">
        <f>W259*V259</f>
        <v/>
      </c>
      <c r="Y259" s="1">
        <f>T259-X259</f>
        <v/>
      </c>
      <c r="Z259" s="1">
        <f>'Paste cellinfo here'!$B$11</f>
        <v/>
      </c>
    </row>
    <row r="260">
      <c r="A260" s="1" t="n">
        <v>259</v>
      </c>
      <c r="B260" s="2">
        <f>DATE(Sintesi!$C$4-1,12,31)+A260</f>
        <v/>
      </c>
      <c r="C260" s="1">
        <f>'Paste cell here'!B260</f>
        <v/>
      </c>
      <c r="D260" s="1">
        <f>'Paste cell here'!I260</f>
        <v/>
      </c>
      <c r="E260" s="1">
        <f>'Paste cell here'!J260</f>
        <v/>
      </c>
      <c r="F260" s="1">
        <f>'Paste cell here'!K260</f>
        <v/>
      </c>
      <c r="G260" s="1">
        <f>'Paste cell here'!L260</f>
        <v/>
      </c>
      <c r="H260" s="1">
        <f>'Paste cell here'!M260</f>
        <v/>
      </c>
      <c r="I260" s="1">
        <f>'Paste cell here'!N260</f>
        <v/>
      </c>
      <c r="J260" s="1">
        <f>'Paste cell here'!O260</f>
        <v/>
      </c>
      <c r="K260" s="1">
        <f>'Paste cell here'!Q260</f>
        <v/>
      </c>
      <c r="L260" s="1">
        <f>'Paste cell here'!S260</f>
        <v/>
      </c>
      <c r="M260" s="1">
        <f>'Paste cell here'!T260</f>
        <v/>
      </c>
      <c r="N260" s="1">
        <f>'Paste cell here'!W260</f>
        <v/>
      </c>
      <c r="O260" s="1">
        <f>'Paste cell here'!U260</f>
        <v/>
      </c>
      <c r="P260" s="1">
        <f>O259</f>
        <v/>
      </c>
      <c r="Q260" s="1">
        <f>'Paste cell here'!V260</f>
        <v/>
      </c>
      <c r="R260" s="1">
        <f>ABS(O259+C260+D260+N260+Q259-H260-I260-K260-L260-M260-O260-Q260)</f>
        <v/>
      </c>
      <c r="S260" s="7">
        <f>Sintesi!$C$30</f>
        <v/>
      </c>
      <c r="T260" s="7">
        <f>Sintesi!$C$29</f>
        <v/>
      </c>
      <c r="U260" s="5">
        <f>O260/(Sintesi!$C$5*1000)</f>
        <v/>
      </c>
      <c r="V260" s="1">
        <f>T260-S260</f>
        <v/>
      </c>
      <c r="W260" s="1" t="n">
        <v>0.563511676869951</v>
      </c>
      <c r="X260" s="1">
        <f>W260*V260</f>
        <v/>
      </c>
      <c r="Y260" s="1">
        <f>T260-X260</f>
        <v/>
      </c>
      <c r="Z260" s="1">
        <f>'Paste cellinfo here'!$B$11</f>
        <v/>
      </c>
    </row>
    <row r="261">
      <c r="A261" s="1" t="n">
        <v>260</v>
      </c>
      <c r="B261" s="2">
        <f>DATE(Sintesi!$C$4-1,12,31)+A261</f>
        <v/>
      </c>
      <c r="C261" s="1">
        <f>'Paste cell here'!B261</f>
        <v/>
      </c>
      <c r="D261" s="1">
        <f>'Paste cell here'!I261</f>
        <v/>
      </c>
      <c r="E261" s="1">
        <f>'Paste cell here'!J261</f>
        <v/>
      </c>
      <c r="F261" s="1">
        <f>'Paste cell here'!K261</f>
        <v/>
      </c>
      <c r="G261" s="1">
        <f>'Paste cell here'!L261</f>
        <v/>
      </c>
      <c r="H261" s="1">
        <f>'Paste cell here'!M261</f>
        <v/>
      </c>
      <c r="I261" s="1">
        <f>'Paste cell here'!N261</f>
        <v/>
      </c>
      <c r="J261" s="1">
        <f>'Paste cell here'!O261</f>
        <v/>
      </c>
      <c r="K261" s="1">
        <f>'Paste cell here'!Q261</f>
        <v/>
      </c>
      <c r="L261" s="1">
        <f>'Paste cell here'!S261</f>
        <v/>
      </c>
      <c r="M261" s="1">
        <f>'Paste cell here'!T261</f>
        <v/>
      </c>
      <c r="N261" s="1">
        <f>'Paste cell here'!W261</f>
        <v/>
      </c>
      <c r="O261" s="1">
        <f>'Paste cell here'!U261</f>
        <v/>
      </c>
      <c r="P261" s="1">
        <f>O260</f>
        <v/>
      </c>
      <c r="Q261" s="1">
        <f>'Paste cell here'!V261</f>
        <v/>
      </c>
      <c r="R261" s="1">
        <f>ABS(O260+C261+D261+N261+Q260-H261-I261-K261-L261-M261-O261-Q261)</f>
        <v/>
      </c>
      <c r="S261" s="7">
        <f>Sintesi!$C$30</f>
        <v/>
      </c>
      <c r="T261" s="7">
        <f>Sintesi!$C$29</f>
        <v/>
      </c>
      <c r="U261" s="5">
        <f>O261/(Sintesi!$C$5*1000)</f>
        <v/>
      </c>
      <c r="V261" s="1">
        <f>T261-S261</f>
        <v/>
      </c>
      <c r="W261" s="1" t="n">
        <v>0.55413337156108</v>
      </c>
      <c r="X261" s="1">
        <f>W261*V261</f>
        <v/>
      </c>
      <c r="Y261" s="1">
        <f>T261-X261</f>
        <v/>
      </c>
      <c r="Z261" s="1">
        <f>'Paste cellinfo here'!$B$11</f>
        <v/>
      </c>
    </row>
    <row r="262">
      <c r="A262" s="1" t="n">
        <v>261</v>
      </c>
      <c r="B262" s="2">
        <f>DATE(Sintesi!$C$4-1,12,31)+A262</f>
        <v/>
      </c>
      <c r="C262" s="1">
        <f>'Paste cell here'!B262</f>
        <v/>
      </c>
      <c r="D262" s="1">
        <f>'Paste cell here'!I262</f>
        <v/>
      </c>
      <c r="E262" s="1">
        <f>'Paste cell here'!J262</f>
        <v/>
      </c>
      <c r="F262" s="1">
        <f>'Paste cell here'!K262</f>
        <v/>
      </c>
      <c r="G262" s="1">
        <f>'Paste cell here'!L262</f>
        <v/>
      </c>
      <c r="H262" s="1">
        <f>'Paste cell here'!M262</f>
        <v/>
      </c>
      <c r="I262" s="1">
        <f>'Paste cell here'!N262</f>
        <v/>
      </c>
      <c r="J262" s="1">
        <f>'Paste cell here'!O262</f>
        <v/>
      </c>
      <c r="K262" s="1">
        <f>'Paste cell here'!Q262</f>
        <v/>
      </c>
      <c r="L262" s="1">
        <f>'Paste cell here'!S262</f>
        <v/>
      </c>
      <c r="M262" s="1">
        <f>'Paste cell here'!T262</f>
        <v/>
      </c>
      <c r="N262" s="1">
        <f>'Paste cell here'!W262</f>
        <v/>
      </c>
      <c r="O262" s="1">
        <f>'Paste cell here'!U262</f>
        <v/>
      </c>
      <c r="P262" s="1">
        <f>O261</f>
        <v/>
      </c>
      <c r="Q262" s="1">
        <f>'Paste cell here'!V262</f>
        <v/>
      </c>
      <c r="R262" s="1">
        <f>ABS(O261+C262+D262+N262+Q261-H262-I262-K262-L262-M262-O262-Q262)</f>
        <v/>
      </c>
      <c r="S262" s="7">
        <f>Sintesi!$C$30</f>
        <v/>
      </c>
      <c r="T262" s="7">
        <f>Sintesi!$C$29</f>
        <v/>
      </c>
      <c r="U262" s="5">
        <f>O262/(Sintesi!$C$5*1000)</f>
        <v/>
      </c>
      <c r="V262" s="1">
        <f>T262-S262</f>
        <v/>
      </c>
      <c r="W262" s="1" t="n">
        <v>0.550090540309923</v>
      </c>
      <c r="X262" s="1">
        <f>W262*V262</f>
        <v/>
      </c>
      <c r="Y262" s="1">
        <f>T262-X262</f>
        <v/>
      </c>
      <c r="Z262" s="1">
        <f>'Paste cellinfo here'!$B$11</f>
        <v/>
      </c>
    </row>
    <row r="263">
      <c r="A263" s="1" t="n">
        <v>262</v>
      </c>
      <c r="B263" s="2">
        <f>DATE(Sintesi!$C$4-1,12,31)+A263</f>
        <v/>
      </c>
      <c r="C263" s="1">
        <f>'Paste cell here'!B263</f>
        <v/>
      </c>
      <c r="D263" s="1">
        <f>'Paste cell here'!I263</f>
        <v/>
      </c>
      <c r="E263" s="1">
        <f>'Paste cell here'!J263</f>
        <v/>
      </c>
      <c r="F263" s="1">
        <f>'Paste cell here'!K263</f>
        <v/>
      </c>
      <c r="G263" s="1">
        <f>'Paste cell here'!L263</f>
        <v/>
      </c>
      <c r="H263" s="1">
        <f>'Paste cell here'!M263</f>
        <v/>
      </c>
      <c r="I263" s="1">
        <f>'Paste cell here'!N263</f>
        <v/>
      </c>
      <c r="J263" s="1">
        <f>'Paste cell here'!O263</f>
        <v/>
      </c>
      <c r="K263" s="1">
        <f>'Paste cell here'!Q263</f>
        <v/>
      </c>
      <c r="L263" s="1">
        <f>'Paste cell here'!S263</f>
        <v/>
      </c>
      <c r="M263" s="1">
        <f>'Paste cell here'!T263</f>
        <v/>
      </c>
      <c r="N263" s="1">
        <f>'Paste cell here'!W263</f>
        <v/>
      </c>
      <c r="O263" s="1">
        <f>'Paste cell here'!U263</f>
        <v/>
      </c>
      <c r="P263" s="1">
        <f>O262</f>
        <v/>
      </c>
      <c r="Q263" s="1">
        <f>'Paste cell here'!V263</f>
        <v/>
      </c>
      <c r="R263" s="1">
        <f>ABS(O262+C263+D263+N263+Q262-H263-I263-K263-L263-M263-O263-Q263)</f>
        <v/>
      </c>
      <c r="S263" s="7">
        <f>Sintesi!$C$30</f>
        <v/>
      </c>
      <c r="T263" s="7">
        <f>Sintesi!$C$29</f>
        <v/>
      </c>
      <c r="U263" s="5">
        <f>O263/(Sintesi!$C$5*1000)</f>
        <v/>
      </c>
      <c r="V263" s="1">
        <f>T263-S263</f>
        <v/>
      </c>
      <c r="W263" s="1" t="n">
        <v>0.641901660041435</v>
      </c>
      <c r="X263" s="1">
        <f>W263*V263</f>
        <v/>
      </c>
      <c r="Y263" s="1">
        <f>T263-X263</f>
        <v/>
      </c>
      <c r="Z263" s="1">
        <f>'Paste cellinfo here'!$B$11</f>
        <v/>
      </c>
    </row>
    <row r="264">
      <c r="A264" s="1" t="n">
        <v>263</v>
      </c>
      <c r="B264" s="2">
        <f>DATE(Sintesi!$C$4-1,12,31)+A264</f>
        <v/>
      </c>
      <c r="C264" s="1">
        <f>'Paste cell here'!B264</f>
        <v/>
      </c>
      <c r="D264" s="1">
        <f>'Paste cell here'!I264</f>
        <v/>
      </c>
      <c r="E264" s="1">
        <f>'Paste cell here'!J264</f>
        <v/>
      </c>
      <c r="F264" s="1">
        <f>'Paste cell here'!K264</f>
        <v/>
      </c>
      <c r="G264" s="1">
        <f>'Paste cell here'!L264</f>
        <v/>
      </c>
      <c r="H264" s="1">
        <f>'Paste cell here'!M264</f>
        <v/>
      </c>
      <c r="I264" s="1">
        <f>'Paste cell here'!N264</f>
        <v/>
      </c>
      <c r="J264" s="1">
        <f>'Paste cell here'!O264</f>
        <v/>
      </c>
      <c r="K264" s="1">
        <f>'Paste cell here'!Q264</f>
        <v/>
      </c>
      <c r="L264" s="1">
        <f>'Paste cell here'!S264</f>
        <v/>
      </c>
      <c r="M264" s="1">
        <f>'Paste cell here'!T264</f>
        <v/>
      </c>
      <c r="N264" s="1">
        <f>'Paste cell here'!W264</f>
        <v/>
      </c>
      <c r="O264" s="1">
        <f>'Paste cell here'!U264</f>
        <v/>
      </c>
      <c r="P264" s="1">
        <f>O263</f>
        <v/>
      </c>
      <c r="Q264" s="1">
        <f>'Paste cell here'!V264</f>
        <v/>
      </c>
      <c r="R264" s="1">
        <f>ABS(O263+C264+D264+N264+Q263-H264-I264-K264-L264-M264-O264-Q264)</f>
        <v/>
      </c>
      <c r="S264" s="7">
        <f>Sintesi!$C$30</f>
        <v/>
      </c>
      <c r="T264" s="7">
        <f>Sintesi!$C$29</f>
        <v/>
      </c>
      <c r="U264" s="5">
        <f>O264/(Sintesi!$C$5*1000)</f>
        <v/>
      </c>
      <c r="V264" s="1">
        <f>T264-S264</f>
        <v/>
      </c>
      <c r="W264" s="1" t="n">
        <v>0.570130238129442</v>
      </c>
      <c r="X264" s="1">
        <f>W264*V264</f>
        <v/>
      </c>
      <c r="Y264" s="1">
        <f>T264-X264</f>
        <v/>
      </c>
      <c r="Z264" s="1">
        <f>'Paste cellinfo here'!$B$11</f>
        <v/>
      </c>
    </row>
    <row r="265">
      <c r="A265" s="1" t="n">
        <v>264</v>
      </c>
      <c r="B265" s="2">
        <f>DATE(Sintesi!$C$4-1,12,31)+A265</f>
        <v/>
      </c>
      <c r="C265" s="1">
        <f>'Paste cell here'!B265</f>
        <v/>
      </c>
      <c r="D265" s="1">
        <f>'Paste cell here'!I265</f>
        <v/>
      </c>
      <c r="E265" s="1">
        <f>'Paste cell here'!J265</f>
        <v/>
      </c>
      <c r="F265" s="1">
        <f>'Paste cell here'!K265</f>
        <v/>
      </c>
      <c r="G265" s="1">
        <f>'Paste cell here'!L265</f>
        <v/>
      </c>
      <c r="H265" s="1">
        <f>'Paste cell here'!M265</f>
        <v/>
      </c>
      <c r="I265" s="1">
        <f>'Paste cell here'!N265</f>
        <v/>
      </c>
      <c r="J265" s="1">
        <f>'Paste cell here'!O265</f>
        <v/>
      </c>
      <c r="K265" s="1">
        <f>'Paste cell here'!Q265</f>
        <v/>
      </c>
      <c r="L265" s="1">
        <f>'Paste cell here'!S265</f>
        <v/>
      </c>
      <c r="M265" s="1">
        <f>'Paste cell here'!T265</f>
        <v/>
      </c>
      <c r="N265" s="1">
        <f>'Paste cell here'!W265</f>
        <v/>
      </c>
      <c r="O265" s="1">
        <f>'Paste cell here'!U265</f>
        <v/>
      </c>
      <c r="P265" s="1">
        <f>O264</f>
        <v/>
      </c>
      <c r="Q265" s="1">
        <f>'Paste cell here'!V265</f>
        <v/>
      </c>
      <c r="R265" s="1">
        <f>ABS(O264+C265+D265+N265+Q264-H265-I265-K265-L265-M265-O265-Q265)</f>
        <v/>
      </c>
      <c r="S265" s="7">
        <f>Sintesi!$C$30</f>
        <v/>
      </c>
      <c r="T265" s="7">
        <f>Sintesi!$C$29</f>
        <v/>
      </c>
      <c r="U265" s="5">
        <f>O265/(Sintesi!$C$5*1000)</f>
        <v/>
      </c>
      <c r="V265" s="1">
        <f>T265-S265</f>
        <v/>
      </c>
      <c r="W265" s="1" t="n">
        <v>0.572973938178331</v>
      </c>
      <c r="X265" s="1">
        <f>W265*V265</f>
        <v/>
      </c>
      <c r="Y265" s="1">
        <f>T265-X265</f>
        <v/>
      </c>
      <c r="Z265" s="1">
        <f>'Paste cellinfo here'!$B$11</f>
        <v/>
      </c>
    </row>
    <row r="266">
      <c r="A266" s="1" t="n">
        <v>265</v>
      </c>
      <c r="B266" s="2">
        <f>DATE(Sintesi!$C$4-1,12,31)+A266</f>
        <v/>
      </c>
      <c r="C266" s="1">
        <f>'Paste cell here'!B266</f>
        <v/>
      </c>
      <c r="D266" s="1">
        <f>'Paste cell here'!I266</f>
        <v/>
      </c>
      <c r="E266" s="1">
        <f>'Paste cell here'!J266</f>
        <v/>
      </c>
      <c r="F266" s="1">
        <f>'Paste cell here'!K266</f>
        <v/>
      </c>
      <c r="G266" s="1">
        <f>'Paste cell here'!L266</f>
        <v/>
      </c>
      <c r="H266" s="1">
        <f>'Paste cell here'!M266</f>
        <v/>
      </c>
      <c r="I266" s="1">
        <f>'Paste cell here'!N266</f>
        <v/>
      </c>
      <c r="J266" s="1">
        <f>'Paste cell here'!O266</f>
        <v/>
      </c>
      <c r="K266" s="1">
        <f>'Paste cell here'!Q266</f>
        <v/>
      </c>
      <c r="L266" s="1">
        <f>'Paste cell here'!S266</f>
        <v/>
      </c>
      <c r="M266" s="1">
        <f>'Paste cell here'!T266</f>
        <v/>
      </c>
      <c r="N266" s="1">
        <f>'Paste cell here'!W266</f>
        <v/>
      </c>
      <c r="O266" s="1">
        <f>'Paste cell here'!U266</f>
        <v/>
      </c>
      <c r="P266" s="1">
        <f>O265</f>
        <v/>
      </c>
      <c r="Q266" s="1">
        <f>'Paste cell here'!V266</f>
        <v/>
      </c>
      <c r="R266" s="1">
        <f>ABS(O265+C266+D266+N266+Q265-H266-I266-K266-L266-M266-O266-Q266)</f>
        <v/>
      </c>
      <c r="S266" s="7">
        <f>Sintesi!$C$30</f>
        <v/>
      </c>
      <c r="T266" s="7">
        <f>Sintesi!$C$29</f>
        <v/>
      </c>
      <c r="U266" s="5">
        <f>O266/(Sintesi!$C$5*1000)</f>
        <v/>
      </c>
      <c r="V266" s="1">
        <f>T266-S266</f>
        <v/>
      </c>
      <c r="W266" s="1" t="n">
        <v>0.579396149497425</v>
      </c>
      <c r="X266" s="1">
        <f>W266*V266</f>
        <v/>
      </c>
      <c r="Y266" s="1">
        <f>T266-X266</f>
        <v/>
      </c>
      <c r="Z266" s="1">
        <f>'Paste cellinfo here'!$B$11</f>
        <v/>
      </c>
    </row>
    <row r="267">
      <c r="A267" s="1" t="n">
        <v>266</v>
      </c>
      <c r="B267" s="2">
        <f>DATE(Sintesi!$C$4-1,12,31)+A267</f>
        <v/>
      </c>
      <c r="C267" s="1">
        <f>'Paste cell here'!B267</f>
        <v/>
      </c>
      <c r="D267" s="1">
        <f>'Paste cell here'!I267</f>
        <v/>
      </c>
      <c r="E267" s="1">
        <f>'Paste cell here'!J267</f>
        <v/>
      </c>
      <c r="F267" s="1">
        <f>'Paste cell here'!K267</f>
        <v/>
      </c>
      <c r="G267" s="1">
        <f>'Paste cell here'!L267</f>
        <v/>
      </c>
      <c r="H267" s="1">
        <f>'Paste cell here'!M267</f>
        <v/>
      </c>
      <c r="I267" s="1">
        <f>'Paste cell here'!N267</f>
        <v/>
      </c>
      <c r="J267" s="1">
        <f>'Paste cell here'!O267</f>
        <v/>
      </c>
      <c r="K267" s="1">
        <f>'Paste cell here'!Q267</f>
        <v/>
      </c>
      <c r="L267" s="1">
        <f>'Paste cell here'!S267</f>
        <v/>
      </c>
      <c r="M267" s="1">
        <f>'Paste cell here'!T267</f>
        <v/>
      </c>
      <c r="N267" s="1">
        <f>'Paste cell here'!W267</f>
        <v/>
      </c>
      <c r="O267" s="1">
        <f>'Paste cell here'!U267</f>
        <v/>
      </c>
      <c r="P267" s="1">
        <f>O266</f>
        <v/>
      </c>
      <c r="Q267" s="1">
        <f>'Paste cell here'!V267</f>
        <v/>
      </c>
      <c r="R267" s="1">
        <f>ABS(O266+C267+D267+N267+Q266-H267-I267-K267-L267-M267-O267-Q267)</f>
        <v/>
      </c>
      <c r="S267" s="7">
        <f>Sintesi!$C$30</f>
        <v/>
      </c>
      <c r="T267" s="7">
        <f>Sintesi!$C$29</f>
        <v/>
      </c>
      <c r="U267" s="5">
        <f>O267/(Sintesi!$C$5*1000)</f>
        <v/>
      </c>
      <c r="V267" s="1">
        <f>T267-S267</f>
        <v/>
      </c>
      <c r="W267" s="1" t="n">
        <v>0.6453164517875301</v>
      </c>
      <c r="X267" s="1">
        <f>W267*V267</f>
        <v/>
      </c>
      <c r="Y267" s="1">
        <f>T267-X267</f>
        <v/>
      </c>
      <c r="Z267" s="1">
        <f>'Paste cellinfo here'!$B$11</f>
        <v/>
      </c>
    </row>
    <row r="268">
      <c r="A268" s="1" t="n">
        <v>267</v>
      </c>
      <c r="B268" s="2">
        <f>DATE(Sintesi!$C$4-1,12,31)+A268</f>
        <v/>
      </c>
      <c r="C268" s="1">
        <f>'Paste cell here'!B268</f>
        <v/>
      </c>
      <c r="D268" s="1">
        <f>'Paste cell here'!I268</f>
        <v/>
      </c>
      <c r="E268" s="1">
        <f>'Paste cell here'!J268</f>
        <v/>
      </c>
      <c r="F268" s="1">
        <f>'Paste cell here'!K268</f>
        <v/>
      </c>
      <c r="G268" s="1">
        <f>'Paste cell here'!L268</f>
        <v/>
      </c>
      <c r="H268" s="1">
        <f>'Paste cell here'!M268</f>
        <v/>
      </c>
      <c r="I268" s="1">
        <f>'Paste cell here'!N268</f>
        <v/>
      </c>
      <c r="J268" s="1">
        <f>'Paste cell here'!O268</f>
        <v/>
      </c>
      <c r="K268" s="1">
        <f>'Paste cell here'!Q268</f>
        <v/>
      </c>
      <c r="L268" s="1">
        <f>'Paste cell here'!S268</f>
        <v/>
      </c>
      <c r="M268" s="1">
        <f>'Paste cell here'!T268</f>
        <v/>
      </c>
      <c r="N268" s="1">
        <f>'Paste cell here'!W268</f>
        <v/>
      </c>
      <c r="O268" s="1">
        <f>'Paste cell here'!U268</f>
        <v/>
      </c>
      <c r="P268" s="1">
        <f>O267</f>
        <v/>
      </c>
      <c r="Q268" s="1">
        <f>'Paste cell here'!V268</f>
        <v/>
      </c>
      <c r="R268" s="1">
        <f>ABS(O267+C268+D268+N268+Q267-H268-I268-K268-L268-M268-O268-Q268)</f>
        <v/>
      </c>
      <c r="S268" s="7">
        <f>Sintesi!$C$30</f>
        <v/>
      </c>
      <c r="T268" s="7">
        <f>Sintesi!$C$29</f>
        <v/>
      </c>
      <c r="U268" s="5">
        <f>O268/(Sintesi!$C$5*1000)</f>
        <v/>
      </c>
      <c r="V268" s="1">
        <f>T268-S268</f>
        <v/>
      </c>
      <c r="W268" s="1" t="n">
        <v>0.652111901140831</v>
      </c>
      <c r="X268" s="1">
        <f>W268*V268</f>
        <v/>
      </c>
      <c r="Y268" s="1">
        <f>T268-X268</f>
        <v/>
      </c>
      <c r="Z268" s="1">
        <f>'Paste cellinfo here'!$B$11</f>
        <v/>
      </c>
    </row>
    <row r="269">
      <c r="A269" s="1" t="n">
        <v>268</v>
      </c>
      <c r="B269" s="2">
        <f>DATE(Sintesi!$C$4-1,12,31)+A269</f>
        <v/>
      </c>
      <c r="C269" s="1">
        <f>'Paste cell here'!B269</f>
        <v/>
      </c>
      <c r="D269" s="1">
        <f>'Paste cell here'!I269</f>
        <v/>
      </c>
      <c r="E269" s="1">
        <f>'Paste cell here'!J269</f>
        <v/>
      </c>
      <c r="F269" s="1">
        <f>'Paste cell here'!K269</f>
        <v/>
      </c>
      <c r="G269" s="1">
        <f>'Paste cell here'!L269</f>
        <v/>
      </c>
      <c r="H269" s="1">
        <f>'Paste cell here'!M269</f>
        <v/>
      </c>
      <c r="I269" s="1">
        <f>'Paste cell here'!N269</f>
        <v/>
      </c>
      <c r="J269" s="1">
        <f>'Paste cell here'!O269</f>
        <v/>
      </c>
      <c r="K269" s="1">
        <f>'Paste cell here'!Q269</f>
        <v/>
      </c>
      <c r="L269" s="1">
        <f>'Paste cell here'!S269</f>
        <v/>
      </c>
      <c r="M269" s="1">
        <f>'Paste cell here'!T269</f>
        <v/>
      </c>
      <c r="N269" s="1">
        <f>'Paste cell here'!W269</f>
        <v/>
      </c>
      <c r="O269" s="1">
        <f>'Paste cell here'!U269</f>
        <v/>
      </c>
      <c r="P269" s="1">
        <f>O268</f>
        <v/>
      </c>
      <c r="Q269" s="1">
        <f>'Paste cell here'!V269</f>
        <v/>
      </c>
      <c r="R269" s="1">
        <f>ABS(O268+C269+D269+N269+Q268-H269-I269-K269-L269-M269-O269-Q269)</f>
        <v/>
      </c>
      <c r="S269" s="7">
        <f>Sintesi!$C$30</f>
        <v/>
      </c>
      <c r="T269" s="7">
        <f>Sintesi!$C$29</f>
        <v/>
      </c>
      <c r="U269" s="5">
        <f>O269/(Sintesi!$C$5*1000)</f>
        <v/>
      </c>
      <c r="V269" s="1">
        <f>T269-S269</f>
        <v/>
      </c>
      <c r="W269" s="1" t="n">
        <v>0.596358739855951</v>
      </c>
      <c r="X269" s="1">
        <f>W269*V269</f>
        <v/>
      </c>
      <c r="Y269" s="1">
        <f>T269-X269</f>
        <v/>
      </c>
      <c r="Z269" s="1">
        <f>'Paste cellinfo here'!$B$11</f>
        <v/>
      </c>
    </row>
    <row r="270">
      <c r="A270" s="1" t="n">
        <v>269</v>
      </c>
      <c r="B270" s="2">
        <f>DATE(Sintesi!$C$4-1,12,31)+A270</f>
        <v/>
      </c>
      <c r="C270" s="1">
        <f>'Paste cell here'!B270</f>
        <v/>
      </c>
      <c r="D270" s="1">
        <f>'Paste cell here'!I270</f>
        <v/>
      </c>
      <c r="E270" s="1">
        <f>'Paste cell here'!J270</f>
        <v/>
      </c>
      <c r="F270" s="1">
        <f>'Paste cell here'!K270</f>
        <v/>
      </c>
      <c r="G270" s="1">
        <f>'Paste cell here'!L270</f>
        <v/>
      </c>
      <c r="H270" s="1">
        <f>'Paste cell here'!M270</f>
        <v/>
      </c>
      <c r="I270" s="1">
        <f>'Paste cell here'!N270</f>
        <v/>
      </c>
      <c r="J270" s="1">
        <f>'Paste cell here'!O270</f>
        <v/>
      </c>
      <c r="K270" s="1">
        <f>'Paste cell here'!Q270</f>
        <v/>
      </c>
      <c r="L270" s="1">
        <f>'Paste cell here'!S270</f>
        <v/>
      </c>
      <c r="M270" s="1">
        <f>'Paste cell here'!T270</f>
        <v/>
      </c>
      <c r="N270" s="1">
        <f>'Paste cell here'!W270</f>
        <v/>
      </c>
      <c r="O270" s="1">
        <f>'Paste cell here'!U270</f>
        <v/>
      </c>
      <c r="P270" s="1">
        <f>O269</f>
        <v/>
      </c>
      <c r="Q270" s="1">
        <f>'Paste cell here'!V270</f>
        <v/>
      </c>
      <c r="R270" s="1">
        <f>ABS(O269+C270+D270+N270+Q269-H270-I270-K270-L270-M270-O270-Q270)</f>
        <v/>
      </c>
      <c r="S270" s="7">
        <f>Sintesi!$C$30</f>
        <v/>
      </c>
      <c r="T270" s="7">
        <f>Sintesi!$C$29</f>
        <v/>
      </c>
      <c r="U270" s="5">
        <f>O270/(Sintesi!$C$5*1000)</f>
        <v/>
      </c>
      <c r="V270" s="1">
        <f>T270-S270</f>
        <v/>
      </c>
      <c r="W270" s="1" t="n">
        <v>0.628651188205068</v>
      </c>
      <c r="X270" s="1">
        <f>W270*V270</f>
        <v/>
      </c>
      <c r="Y270" s="1">
        <f>T270-X270</f>
        <v/>
      </c>
      <c r="Z270" s="1">
        <f>'Paste cellinfo here'!$B$11</f>
        <v/>
      </c>
    </row>
    <row r="271">
      <c r="A271" s="1" t="n">
        <v>270</v>
      </c>
      <c r="B271" s="2">
        <f>DATE(Sintesi!$C$4-1,12,31)+A271</f>
        <v/>
      </c>
      <c r="C271" s="1">
        <f>'Paste cell here'!B271</f>
        <v/>
      </c>
      <c r="D271" s="1">
        <f>'Paste cell here'!I271</f>
        <v/>
      </c>
      <c r="E271" s="1">
        <f>'Paste cell here'!J271</f>
        <v/>
      </c>
      <c r="F271" s="1">
        <f>'Paste cell here'!K271</f>
        <v/>
      </c>
      <c r="G271" s="1">
        <f>'Paste cell here'!L271</f>
        <v/>
      </c>
      <c r="H271" s="1">
        <f>'Paste cell here'!M271</f>
        <v/>
      </c>
      <c r="I271" s="1">
        <f>'Paste cell here'!N271</f>
        <v/>
      </c>
      <c r="J271" s="1">
        <f>'Paste cell here'!O271</f>
        <v/>
      </c>
      <c r="K271" s="1">
        <f>'Paste cell here'!Q271</f>
        <v/>
      </c>
      <c r="L271" s="1">
        <f>'Paste cell here'!S271</f>
        <v/>
      </c>
      <c r="M271" s="1">
        <f>'Paste cell here'!T271</f>
        <v/>
      </c>
      <c r="N271" s="1">
        <f>'Paste cell here'!W271</f>
        <v/>
      </c>
      <c r="O271" s="1">
        <f>'Paste cell here'!U271</f>
        <v/>
      </c>
      <c r="P271" s="1">
        <f>O270</f>
        <v/>
      </c>
      <c r="Q271" s="1">
        <f>'Paste cell here'!V271</f>
        <v/>
      </c>
      <c r="R271" s="1">
        <f>ABS(O270+C271+D271+N271+Q270-H271-I271-K271-L271-M271-O271-Q271)</f>
        <v/>
      </c>
      <c r="S271" s="7">
        <f>Sintesi!$C$30</f>
        <v/>
      </c>
      <c r="T271" s="7">
        <f>Sintesi!$C$29</f>
        <v/>
      </c>
      <c r="U271" s="5">
        <f>O271/(Sintesi!$C$5*1000)</f>
        <v/>
      </c>
      <c r="V271" s="1">
        <f>T271-S271</f>
        <v/>
      </c>
      <c r="W271" s="1" t="n">
        <v>0.60019667387753</v>
      </c>
      <c r="X271" s="1">
        <f>W271*V271</f>
        <v/>
      </c>
      <c r="Y271" s="1">
        <f>T271-X271</f>
        <v/>
      </c>
      <c r="Z271" s="1">
        <f>'Paste cellinfo here'!$B$11</f>
        <v/>
      </c>
    </row>
    <row r="272">
      <c r="A272" s="1" t="n">
        <v>271</v>
      </c>
      <c r="B272" s="2">
        <f>DATE(Sintesi!$C$4-1,12,31)+A272</f>
        <v/>
      </c>
      <c r="C272" s="1">
        <f>'Paste cell here'!B272</f>
        <v/>
      </c>
      <c r="D272" s="1">
        <f>'Paste cell here'!I272</f>
        <v/>
      </c>
      <c r="E272" s="1">
        <f>'Paste cell here'!J272</f>
        <v/>
      </c>
      <c r="F272" s="1">
        <f>'Paste cell here'!K272</f>
        <v/>
      </c>
      <c r="G272" s="1">
        <f>'Paste cell here'!L272</f>
        <v/>
      </c>
      <c r="H272" s="1">
        <f>'Paste cell here'!M272</f>
        <v/>
      </c>
      <c r="I272" s="1">
        <f>'Paste cell here'!N272</f>
        <v/>
      </c>
      <c r="J272" s="1">
        <f>'Paste cell here'!O272</f>
        <v/>
      </c>
      <c r="K272" s="1">
        <f>'Paste cell here'!Q272</f>
        <v/>
      </c>
      <c r="L272" s="1">
        <f>'Paste cell here'!S272</f>
        <v/>
      </c>
      <c r="M272" s="1">
        <f>'Paste cell here'!T272</f>
        <v/>
      </c>
      <c r="N272" s="1">
        <f>'Paste cell here'!W272</f>
        <v/>
      </c>
      <c r="O272" s="1">
        <f>'Paste cell here'!U272</f>
        <v/>
      </c>
      <c r="P272" s="1">
        <f>O271</f>
        <v/>
      </c>
      <c r="Q272" s="1">
        <f>'Paste cell here'!V272</f>
        <v/>
      </c>
      <c r="R272" s="1">
        <f>ABS(O271+C272+D272+N272+Q271-H272-I272-K272-L272-M272-O272-Q272)</f>
        <v/>
      </c>
      <c r="S272" s="7">
        <f>Sintesi!$C$30</f>
        <v/>
      </c>
      <c r="T272" s="7">
        <f>Sintesi!$C$29</f>
        <v/>
      </c>
      <c r="U272" s="5">
        <f>O272/(Sintesi!$C$5*1000)</f>
        <v/>
      </c>
      <c r="V272" s="1">
        <f>T272-S272</f>
        <v/>
      </c>
      <c r="W272" s="1" t="n">
        <v>0.62269335698133</v>
      </c>
      <c r="X272" s="1">
        <f>W272*V272</f>
        <v/>
      </c>
      <c r="Y272" s="1">
        <f>T272-X272</f>
        <v/>
      </c>
      <c r="Z272" s="1">
        <f>'Paste cellinfo here'!$B$11</f>
        <v/>
      </c>
    </row>
    <row r="273">
      <c r="A273" s="1" t="n">
        <v>272</v>
      </c>
      <c r="B273" s="2">
        <f>DATE(Sintesi!$C$4-1,12,31)+A273</f>
        <v/>
      </c>
      <c r="C273" s="1">
        <f>'Paste cell here'!B273</f>
        <v/>
      </c>
      <c r="D273" s="1">
        <f>'Paste cell here'!I273</f>
        <v/>
      </c>
      <c r="E273" s="1">
        <f>'Paste cell here'!J273</f>
        <v/>
      </c>
      <c r="F273" s="1">
        <f>'Paste cell here'!K273</f>
        <v/>
      </c>
      <c r="G273" s="1">
        <f>'Paste cell here'!L273</f>
        <v/>
      </c>
      <c r="H273" s="1">
        <f>'Paste cell here'!M273</f>
        <v/>
      </c>
      <c r="I273" s="1">
        <f>'Paste cell here'!N273</f>
        <v/>
      </c>
      <c r="J273" s="1">
        <f>'Paste cell here'!O273</f>
        <v/>
      </c>
      <c r="K273" s="1">
        <f>'Paste cell here'!Q273</f>
        <v/>
      </c>
      <c r="L273" s="1">
        <f>'Paste cell here'!S273</f>
        <v/>
      </c>
      <c r="M273" s="1">
        <f>'Paste cell here'!T273</f>
        <v/>
      </c>
      <c r="N273" s="1">
        <f>'Paste cell here'!W273</f>
        <v/>
      </c>
      <c r="O273" s="1">
        <f>'Paste cell here'!U273</f>
        <v/>
      </c>
      <c r="P273" s="1">
        <f>O272</f>
        <v/>
      </c>
      <c r="Q273" s="1">
        <f>'Paste cell here'!V273</f>
        <v/>
      </c>
      <c r="R273" s="1">
        <f>ABS(O272+C273+D273+N273+Q272-H273-I273-K273-L273-M273-O273-Q273)</f>
        <v/>
      </c>
      <c r="S273" s="7">
        <f>Sintesi!$C$30</f>
        <v/>
      </c>
      <c r="T273" s="7">
        <f>Sintesi!$C$29</f>
        <v/>
      </c>
      <c r="U273" s="5">
        <f>O273/(Sintesi!$C$5*1000)</f>
        <v/>
      </c>
      <c r="V273" s="1">
        <f>T273-S273</f>
        <v/>
      </c>
      <c r="W273" s="1" t="n">
        <v>0.604520480736176</v>
      </c>
      <c r="X273" s="1">
        <f>W273*V273</f>
        <v/>
      </c>
      <c r="Y273" s="1">
        <f>T273-X273</f>
        <v/>
      </c>
      <c r="Z273" s="1">
        <f>'Paste cellinfo here'!$B$11</f>
        <v/>
      </c>
    </row>
    <row r="274">
      <c r="A274" s="1" t="n">
        <v>273</v>
      </c>
      <c r="B274" s="2">
        <f>DATE(Sintesi!$C$4-1,12,31)+A274</f>
        <v/>
      </c>
      <c r="C274" s="1">
        <f>'Paste cell here'!B274</f>
        <v/>
      </c>
      <c r="D274" s="1">
        <f>'Paste cell here'!I274</f>
        <v/>
      </c>
      <c r="E274" s="1">
        <f>'Paste cell here'!J274</f>
        <v/>
      </c>
      <c r="F274" s="1">
        <f>'Paste cell here'!K274</f>
        <v/>
      </c>
      <c r="G274" s="1">
        <f>'Paste cell here'!L274</f>
        <v/>
      </c>
      <c r="H274" s="1">
        <f>'Paste cell here'!M274</f>
        <v/>
      </c>
      <c r="I274" s="1">
        <f>'Paste cell here'!N274</f>
        <v/>
      </c>
      <c r="J274" s="1">
        <f>'Paste cell here'!O274</f>
        <v/>
      </c>
      <c r="K274" s="1">
        <f>'Paste cell here'!Q274</f>
        <v/>
      </c>
      <c r="L274" s="1">
        <f>'Paste cell here'!S274</f>
        <v/>
      </c>
      <c r="M274" s="1">
        <f>'Paste cell here'!T274</f>
        <v/>
      </c>
      <c r="N274" s="1">
        <f>'Paste cell here'!W274</f>
        <v/>
      </c>
      <c r="O274" s="1">
        <f>'Paste cell here'!U274</f>
        <v/>
      </c>
      <c r="P274" s="1">
        <f>O273</f>
        <v/>
      </c>
      <c r="Q274" s="1">
        <f>'Paste cell here'!V274</f>
        <v/>
      </c>
      <c r="R274" s="1">
        <f>ABS(O273+C274+D274+N274+Q273-H274-I274-K274-L274-M274-O274-Q274)</f>
        <v/>
      </c>
      <c r="S274" s="7">
        <f>Sintesi!$C$30</f>
        <v/>
      </c>
      <c r="T274" s="7">
        <f>Sintesi!$C$29</f>
        <v/>
      </c>
      <c r="U274" s="5">
        <f>O274/(Sintesi!$C$5*1000)</f>
        <v/>
      </c>
      <c r="V274" s="1">
        <f>T274-S274</f>
        <v/>
      </c>
      <c r="W274" s="1" t="n">
        <v>0.6000198236997319</v>
      </c>
      <c r="X274" s="1">
        <f>W274*V274</f>
        <v/>
      </c>
      <c r="Y274" s="1">
        <f>T274-X274</f>
        <v/>
      </c>
      <c r="Z274" s="1">
        <f>'Paste cellinfo here'!$B$11</f>
        <v/>
      </c>
    </row>
    <row r="275">
      <c r="A275" s="1" t="n">
        <v>274</v>
      </c>
      <c r="B275" s="2">
        <f>DATE(Sintesi!$C$4-1,12,31)+A275</f>
        <v/>
      </c>
      <c r="C275" s="1">
        <f>'Paste cell here'!B275</f>
        <v/>
      </c>
      <c r="D275" s="1">
        <f>'Paste cell here'!I275</f>
        <v/>
      </c>
      <c r="E275" s="1">
        <f>'Paste cell here'!J275</f>
        <v/>
      </c>
      <c r="F275" s="1">
        <f>'Paste cell here'!K275</f>
        <v/>
      </c>
      <c r="G275" s="1">
        <f>'Paste cell here'!L275</f>
        <v/>
      </c>
      <c r="H275" s="1">
        <f>'Paste cell here'!M275</f>
        <v/>
      </c>
      <c r="I275" s="1">
        <f>'Paste cell here'!N275</f>
        <v/>
      </c>
      <c r="J275" s="1">
        <f>'Paste cell here'!O275</f>
        <v/>
      </c>
      <c r="K275" s="1">
        <f>'Paste cell here'!Q275</f>
        <v/>
      </c>
      <c r="L275" s="1">
        <f>'Paste cell here'!S275</f>
        <v/>
      </c>
      <c r="M275" s="1">
        <f>'Paste cell here'!T275</f>
        <v/>
      </c>
      <c r="N275" s="1">
        <f>'Paste cell here'!W275</f>
        <v/>
      </c>
      <c r="O275" s="1">
        <f>'Paste cell here'!U275</f>
        <v/>
      </c>
      <c r="P275" s="1">
        <f>O274</f>
        <v/>
      </c>
      <c r="Q275" s="1">
        <f>'Paste cell here'!V275</f>
        <v/>
      </c>
      <c r="R275" s="1">
        <f>ABS(O274+C275+D275+N275+Q274-H275-I275-K275-L275-M275-O275-Q275)</f>
        <v/>
      </c>
      <c r="S275" s="7">
        <f>Sintesi!$C$30</f>
        <v/>
      </c>
      <c r="T275" s="7">
        <f>Sintesi!$C$29</f>
        <v/>
      </c>
      <c r="U275" s="5">
        <f>O275/(Sintesi!$C$5*1000)</f>
        <v/>
      </c>
      <c r="V275" s="1">
        <f>T275-S275</f>
        <v/>
      </c>
      <c r="W275" s="1" t="n">
        <v>0.585379869028377</v>
      </c>
      <c r="X275" s="1">
        <f>W275*V275</f>
        <v/>
      </c>
      <c r="Y275" s="1">
        <f>T275-X275</f>
        <v/>
      </c>
      <c r="Z275" s="1">
        <f>'Paste cellinfo here'!$B$11</f>
        <v/>
      </c>
    </row>
    <row r="276">
      <c r="A276" s="1" t="n">
        <v>275</v>
      </c>
      <c r="B276" s="2">
        <f>DATE(Sintesi!$C$4-1,12,31)+A276</f>
        <v/>
      </c>
      <c r="C276" s="1">
        <f>'Paste cell here'!B276</f>
        <v/>
      </c>
      <c r="D276" s="1">
        <f>'Paste cell here'!I276</f>
        <v/>
      </c>
      <c r="E276" s="1">
        <f>'Paste cell here'!J276</f>
        <v/>
      </c>
      <c r="F276" s="1">
        <f>'Paste cell here'!K276</f>
        <v/>
      </c>
      <c r="G276" s="1">
        <f>'Paste cell here'!L276</f>
        <v/>
      </c>
      <c r="H276" s="1">
        <f>'Paste cell here'!M276</f>
        <v/>
      </c>
      <c r="I276" s="1">
        <f>'Paste cell here'!N276</f>
        <v/>
      </c>
      <c r="J276" s="1">
        <f>'Paste cell here'!O276</f>
        <v/>
      </c>
      <c r="K276" s="1">
        <f>'Paste cell here'!Q276</f>
        <v/>
      </c>
      <c r="L276" s="1">
        <f>'Paste cell here'!S276</f>
        <v/>
      </c>
      <c r="M276" s="1">
        <f>'Paste cell here'!T276</f>
        <v/>
      </c>
      <c r="N276" s="1">
        <f>'Paste cell here'!W276</f>
        <v/>
      </c>
      <c r="O276" s="1">
        <f>'Paste cell here'!U276</f>
        <v/>
      </c>
      <c r="P276" s="1">
        <f>O275</f>
        <v/>
      </c>
      <c r="Q276" s="1">
        <f>'Paste cell here'!V276</f>
        <v/>
      </c>
      <c r="R276" s="1">
        <f>ABS(O275+C276+D276+N276+Q275-H276-I276-K276-L276-M276-O276-Q276)</f>
        <v/>
      </c>
      <c r="S276" s="7">
        <f>Sintesi!$C$30</f>
        <v/>
      </c>
      <c r="T276" s="7">
        <f>Sintesi!$C$29</f>
        <v/>
      </c>
      <c r="U276" s="5">
        <f>O276/(Sintesi!$C$5*1000)</f>
        <v/>
      </c>
      <c r="V276" s="1">
        <f>T276-S276</f>
        <v/>
      </c>
      <c r="W276" s="1" t="n">
        <v>0.621598991247419</v>
      </c>
      <c r="X276" s="1">
        <f>W276*V276</f>
        <v/>
      </c>
      <c r="Y276" s="1">
        <f>T276-X276</f>
        <v/>
      </c>
      <c r="Z276" s="1">
        <f>'Paste cellinfo here'!$B$11</f>
        <v/>
      </c>
    </row>
    <row r="277">
      <c r="A277" s="1" t="n">
        <v>276</v>
      </c>
      <c r="B277" s="2">
        <f>DATE(Sintesi!$C$4-1,12,31)+A277</f>
        <v/>
      </c>
      <c r="C277" s="1">
        <f>'Paste cell here'!B277</f>
        <v/>
      </c>
      <c r="D277" s="1">
        <f>'Paste cell here'!I277</f>
        <v/>
      </c>
      <c r="E277" s="1">
        <f>'Paste cell here'!J277</f>
        <v/>
      </c>
      <c r="F277" s="1">
        <f>'Paste cell here'!K277</f>
        <v/>
      </c>
      <c r="G277" s="1">
        <f>'Paste cell here'!L277</f>
        <v/>
      </c>
      <c r="H277" s="1">
        <f>'Paste cell here'!M277</f>
        <v/>
      </c>
      <c r="I277" s="1">
        <f>'Paste cell here'!N277</f>
        <v/>
      </c>
      <c r="J277" s="1">
        <f>'Paste cell here'!O277</f>
        <v/>
      </c>
      <c r="K277" s="1">
        <f>'Paste cell here'!Q277</f>
        <v/>
      </c>
      <c r="L277" s="1">
        <f>'Paste cell here'!S277</f>
        <v/>
      </c>
      <c r="M277" s="1">
        <f>'Paste cell here'!T277</f>
        <v/>
      </c>
      <c r="N277" s="1">
        <f>'Paste cell here'!W277</f>
        <v/>
      </c>
      <c r="O277" s="1">
        <f>'Paste cell here'!U277</f>
        <v/>
      </c>
      <c r="P277" s="1">
        <f>O276</f>
        <v/>
      </c>
      <c r="Q277" s="1">
        <f>'Paste cell here'!V277</f>
        <v/>
      </c>
      <c r="R277" s="1">
        <f>ABS(O276+C277+D277+N277+Q276-H277-I277-K277-L277-M277-O277-Q277)</f>
        <v/>
      </c>
      <c r="S277" s="7">
        <f>Sintesi!$C$30</f>
        <v/>
      </c>
      <c r="T277" s="7">
        <f>Sintesi!$C$29</f>
        <v/>
      </c>
      <c r="U277" s="5">
        <f>O277/(Sintesi!$C$5*1000)</f>
        <v/>
      </c>
      <c r="V277" s="1">
        <f>T277-S277</f>
        <v/>
      </c>
      <c r="W277" s="1" t="n">
        <v>0.628265081412404</v>
      </c>
      <c r="X277" s="1">
        <f>W277*V277</f>
        <v/>
      </c>
      <c r="Y277" s="1">
        <f>T277-X277</f>
        <v/>
      </c>
      <c r="Z277" s="1">
        <f>'Paste cellinfo here'!$B$11</f>
        <v/>
      </c>
    </row>
    <row r="278">
      <c r="A278" s="1" t="n">
        <v>277</v>
      </c>
      <c r="B278" s="2">
        <f>DATE(Sintesi!$C$4-1,12,31)+A278</f>
        <v/>
      </c>
      <c r="C278" s="1">
        <f>'Paste cell here'!B278</f>
        <v/>
      </c>
      <c r="D278" s="1">
        <f>'Paste cell here'!I278</f>
        <v/>
      </c>
      <c r="E278" s="1">
        <f>'Paste cell here'!J278</f>
        <v/>
      </c>
      <c r="F278" s="1">
        <f>'Paste cell here'!K278</f>
        <v/>
      </c>
      <c r="G278" s="1">
        <f>'Paste cell here'!L278</f>
        <v/>
      </c>
      <c r="H278" s="1">
        <f>'Paste cell here'!M278</f>
        <v/>
      </c>
      <c r="I278" s="1">
        <f>'Paste cell here'!N278</f>
        <v/>
      </c>
      <c r="J278" s="1">
        <f>'Paste cell here'!O278</f>
        <v/>
      </c>
      <c r="K278" s="1">
        <f>'Paste cell here'!Q278</f>
        <v/>
      </c>
      <c r="L278" s="1">
        <f>'Paste cell here'!S278</f>
        <v/>
      </c>
      <c r="M278" s="1">
        <f>'Paste cell here'!T278</f>
        <v/>
      </c>
      <c r="N278" s="1">
        <f>'Paste cell here'!W278</f>
        <v/>
      </c>
      <c r="O278" s="1">
        <f>'Paste cell here'!U278</f>
        <v/>
      </c>
      <c r="P278" s="1">
        <f>O277</f>
        <v/>
      </c>
      <c r="Q278" s="1">
        <f>'Paste cell here'!V278</f>
        <v/>
      </c>
      <c r="R278" s="1">
        <f>ABS(O277+C278+D278+N278+Q277-H278-I278-K278-L278-M278-O278-Q278)</f>
        <v/>
      </c>
      <c r="S278" s="7">
        <f>Sintesi!$C$30</f>
        <v/>
      </c>
      <c r="T278" s="7">
        <f>Sintesi!$C$29</f>
        <v/>
      </c>
      <c r="U278" s="5">
        <f>O278/(Sintesi!$C$5*1000)</f>
        <v/>
      </c>
      <c r="V278" s="1">
        <f>T278-S278</f>
        <v/>
      </c>
      <c r="W278" s="1" t="n">
        <v>0.607295263926005</v>
      </c>
      <c r="X278" s="1">
        <f>W278*V278</f>
        <v/>
      </c>
      <c r="Y278" s="1">
        <f>T278-X278</f>
        <v/>
      </c>
      <c r="Z278" s="1">
        <f>'Paste cellinfo here'!$B$11</f>
        <v/>
      </c>
    </row>
    <row r="279">
      <c r="A279" s="1" t="n">
        <v>278</v>
      </c>
      <c r="B279" s="2">
        <f>DATE(Sintesi!$C$4-1,12,31)+A279</f>
        <v/>
      </c>
      <c r="C279" s="1">
        <f>'Paste cell here'!B279</f>
        <v/>
      </c>
      <c r="D279" s="1">
        <f>'Paste cell here'!I279</f>
        <v/>
      </c>
      <c r="E279" s="1">
        <f>'Paste cell here'!J279</f>
        <v/>
      </c>
      <c r="F279" s="1">
        <f>'Paste cell here'!K279</f>
        <v/>
      </c>
      <c r="G279" s="1">
        <f>'Paste cell here'!L279</f>
        <v/>
      </c>
      <c r="H279" s="1">
        <f>'Paste cell here'!M279</f>
        <v/>
      </c>
      <c r="I279" s="1">
        <f>'Paste cell here'!N279</f>
        <v/>
      </c>
      <c r="J279" s="1">
        <f>'Paste cell here'!O279</f>
        <v/>
      </c>
      <c r="K279" s="1">
        <f>'Paste cell here'!Q279</f>
        <v/>
      </c>
      <c r="L279" s="1">
        <f>'Paste cell here'!S279</f>
        <v/>
      </c>
      <c r="M279" s="1">
        <f>'Paste cell here'!T279</f>
        <v/>
      </c>
      <c r="N279" s="1">
        <f>'Paste cell here'!W279</f>
        <v/>
      </c>
      <c r="O279" s="1">
        <f>'Paste cell here'!U279</f>
        <v/>
      </c>
      <c r="P279" s="1">
        <f>O278</f>
        <v/>
      </c>
      <c r="Q279" s="1">
        <f>'Paste cell here'!V279</f>
        <v/>
      </c>
      <c r="R279" s="1">
        <f>ABS(O278+C279+D279+N279+Q278-H279-I279-K279-L279-M279-O279-Q279)</f>
        <v/>
      </c>
      <c r="S279" s="7">
        <f>Sintesi!$C$30</f>
        <v/>
      </c>
      <c r="T279" s="7">
        <f>Sintesi!$C$29</f>
        <v/>
      </c>
      <c r="U279" s="5">
        <f>O279/(Sintesi!$C$5*1000)</f>
        <v/>
      </c>
      <c r="V279" s="1">
        <f>T279-S279</f>
        <v/>
      </c>
      <c r="W279" s="1" t="n">
        <v>0.6249921825688149</v>
      </c>
      <c r="X279" s="1">
        <f>W279*V279</f>
        <v/>
      </c>
      <c r="Y279" s="1">
        <f>T279-X279</f>
        <v/>
      </c>
      <c r="Z279" s="1">
        <f>'Paste cellinfo here'!$B$11</f>
        <v/>
      </c>
    </row>
    <row r="280">
      <c r="A280" s="1" t="n">
        <v>279</v>
      </c>
      <c r="B280" s="2">
        <f>DATE(Sintesi!$C$4-1,12,31)+A280</f>
        <v/>
      </c>
      <c r="C280" s="1">
        <f>'Paste cell here'!B280</f>
        <v/>
      </c>
      <c r="D280" s="1">
        <f>'Paste cell here'!I280</f>
        <v/>
      </c>
      <c r="E280" s="1">
        <f>'Paste cell here'!J280</f>
        <v/>
      </c>
      <c r="F280" s="1">
        <f>'Paste cell here'!K280</f>
        <v/>
      </c>
      <c r="G280" s="1">
        <f>'Paste cell here'!L280</f>
        <v/>
      </c>
      <c r="H280" s="1">
        <f>'Paste cell here'!M280</f>
        <v/>
      </c>
      <c r="I280" s="1">
        <f>'Paste cell here'!N280</f>
        <v/>
      </c>
      <c r="J280" s="1">
        <f>'Paste cell here'!O280</f>
        <v/>
      </c>
      <c r="K280" s="1">
        <f>'Paste cell here'!Q280</f>
        <v/>
      </c>
      <c r="L280" s="1">
        <f>'Paste cell here'!S280</f>
        <v/>
      </c>
      <c r="M280" s="1">
        <f>'Paste cell here'!T280</f>
        <v/>
      </c>
      <c r="N280" s="1">
        <f>'Paste cell here'!W280</f>
        <v/>
      </c>
      <c r="O280" s="1">
        <f>'Paste cell here'!U280</f>
        <v/>
      </c>
      <c r="P280" s="1">
        <f>O279</f>
        <v/>
      </c>
      <c r="Q280" s="1">
        <f>'Paste cell here'!V280</f>
        <v/>
      </c>
      <c r="R280" s="1">
        <f>ABS(O279+C280+D280+N280+Q279-H280-I280-K280-L280-M280-O280-Q280)</f>
        <v/>
      </c>
      <c r="S280" s="7">
        <f>Sintesi!$C$30</f>
        <v/>
      </c>
      <c r="T280" s="7">
        <f>Sintesi!$C$29</f>
        <v/>
      </c>
      <c r="U280" s="5">
        <f>O280/(Sintesi!$C$5*1000)</f>
        <v/>
      </c>
      <c r="V280" s="1">
        <f>T280-S280</f>
        <v/>
      </c>
      <c r="W280" s="1" t="n">
        <v>0.613506709371178</v>
      </c>
      <c r="X280" s="1">
        <f>W280*V280</f>
        <v/>
      </c>
      <c r="Y280" s="1">
        <f>T280-X280</f>
        <v/>
      </c>
      <c r="Z280" s="1">
        <f>'Paste cellinfo here'!$B$11</f>
        <v/>
      </c>
    </row>
    <row r="281">
      <c r="A281" s="1" t="n">
        <v>280</v>
      </c>
      <c r="B281" s="2">
        <f>DATE(Sintesi!$C$4-1,12,31)+A281</f>
        <v/>
      </c>
      <c r="C281" s="1">
        <f>'Paste cell here'!B281</f>
        <v/>
      </c>
      <c r="D281" s="1">
        <f>'Paste cell here'!I281</f>
        <v/>
      </c>
      <c r="E281" s="1">
        <f>'Paste cell here'!J281</f>
        <v/>
      </c>
      <c r="F281" s="1">
        <f>'Paste cell here'!K281</f>
        <v/>
      </c>
      <c r="G281" s="1">
        <f>'Paste cell here'!L281</f>
        <v/>
      </c>
      <c r="H281" s="1">
        <f>'Paste cell here'!M281</f>
        <v/>
      </c>
      <c r="I281" s="1">
        <f>'Paste cell here'!N281</f>
        <v/>
      </c>
      <c r="J281" s="1">
        <f>'Paste cell here'!O281</f>
        <v/>
      </c>
      <c r="K281" s="1">
        <f>'Paste cell here'!Q281</f>
        <v/>
      </c>
      <c r="L281" s="1">
        <f>'Paste cell here'!S281</f>
        <v/>
      </c>
      <c r="M281" s="1">
        <f>'Paste cell here'!T281</f>
        <v/>
      </c>
      <c r="N281" s="1">
        <f>'Paste cell here'!W281</f>
        <v/>
      </c>
      <c r="O281" s="1">
        <f>'Paste cell here'!U281</f>
        <v/>
      </c>
      <c r="P281" s="1">
        <f>O280</f>
        <v/>
      </c>
      <c r="Q281" s="1">
        <f>'Paste cell here'!V281</f>
        <v/>
      </c>
      <c r="R281" s="1">
        <f>ABS(O280+C281+D281+N281+Q280-H281-I281-K281-L281-M281-O281-Q281)</f>
        <v/>
      </c>
      <c r="S281" s="7">
        <f>Sintesi!$C$30</f>
        <v/>
      </c>
      <c r="T281" s="7">
        <f>Sintesi!$C$29</f>
        <v/>
      </c>
      <c r="U281" s="5">
        <f>O281/(Sintesi!$C$5*1000)</f>
        <v/>
      </c>
      <c r="V281" s="1">
        <f>T281-S281</f>
        <v/>
      </c>
      <c r="W281" s="1" t="n">
        <v>0.618894810749509</v>
      </c>
      <c r="X281" s="1">
        <f>W281*V281</f>
        <v/>
      </c>
      <c r="Y281" s="1">
        <f>T281-X281</f>
        <v/>
      </c>
      <c r="Z281" s="1">
        <f>'Paste cellinfo here'!$B$11</f>
        <v/>
      </c>
    </row>
    <row r="282">
      <c r="A282" s="1" t="n">
        <v>281</v>
      </c>
      <c r="B282" s="2">
        <f>DATE(Sintesi!$C$4-1,12,31)+A282</f>
        <v/>
      </c>
      <c r="C282" s="1">
        <f>'Paste cell here'!B282</f>
        <v/>
      </c>
      <c r="D282" s="1">
        <f>'Paste cell here'!I282</f>
        <v/>
      </c>
      <c r="E282" s="1">
        <f>'Paste cell here'!J282</f>
        <v/>
      </c>
      <c r="F282" s="1">
        <f>'Paste cell here'!K282</f>
        <v/>
      </c>
      <c r="G282" s="1">
        <f>'Paste cell here'!L282</f>
        <v/>
      </c>
      <c r="H282" s="1">
        <f>'Paste cell here'!M282</f>
        <v/>
      </c>
      <c r="I282" s="1">
        <f>'Paste cell here'!N282</f>
        <v/>
      </c>
      <c r="J282" s="1">
        <f>'Paste cell here'!O282</f>
        <v/>
      </c>
      <c r="K282" s="1">
        <f>'Paste cell here'!Q282</f>
        <v/>
      </c>
      <c r="L282" s="1">
        <f>'Paste cell here'!S282</f>
        <v/>
      </c>
      <c r="M282" s="1">
        <f>'Paste cell here'!T282</f>
        <v/>
      </c>
      <c r="N282" s="1">
        <f>'Paste cell here'!W282</f>
        <v/>
      </c>
      <c r="O282" s="1">
        <f>'Paste cell here'!U282</f>
        <v/>
      </c>
      <c r="P282" s="1">
        <f>O281</f>
        <v/>
      </c>
      <c r="Q282" s="1">
        <f>'Paste cell here'!V282</f>
        <v/>
      </c>
      <c r="R282" s="1">
        <f>ABS(O281+C282+D282+N282+Q281-H282-I282-K282-L282-M282-O282-Q282)</f>
        <v/>
      </c>
      <c r="S282" s="7">
        <f>Sintesi!$C$30</f>
        <v/>
      </c>
      <c r="T282" s="7">
        <f>Sintesi!$C$29</f>
        <v/>
      </c>
      <c r="U282" s="5">
        <f>O282/(Sintesi!$C$5*1000)</f>
        <v/>
      </c>
      <c r="V282" s="1">
        <f>T282-S282</f>
        <v/>
      </c>
      <c r="W282" s="1" t="n">
        <v>0.61088486274455</v>
      </c>
      <c r="X282" s="1">
        <f>W282*V282</f>
        <v/>
      </c>
      <c r="Y282" s="1">
        <f>T282-X282</f>
        <v/>
      </c>
      <c r="Z282" s="1">
        <f>'Paste cellinfo here'!$B$11</f>
        <v/>
      </c>
    </row>
    <row r="283">
      <c r="A283" s="1" t="n">
        <v>282</v>
      </c>
      <c r="B283" s="2">
        <f>DATE(Sintesi!$C$4-1,12,31)+A283</f>
        <v/>
      </c>
      <c r="C283" s="1">
        <f>'Paste cell here'!B283</f>
        <v/>
      </c>
      <c r="D283" s="1">
        <f>'Paste cell here'!I283</f>
        <v/>
      </c>
      <c r="E283" s="1">
        <f>'Paste cell here'!J283</f>
        <v/>
      </c>
      <c r="F283" s="1">
        <f>'Paste cell here'!K283</f>
        <v/>
      </c>
      <c r="G283" s="1">
        <f>'Paste cell here'!L283</f>
        <v/>
      </c>
      <c r="H283" s="1">
        <f>'Paste cell here'!M283</f>
        <v/>
      </c>
      <c r="I283" s="1">
        <f>'Paste cell here'!N283</f>
        <v/>
      </c>
      <c r="J283" s="1">
        <f>'Paste cell here'!O283</f>
        <v/>
      </c>
      <c r="K283" s="1">
        <f>'Paste cell here'!Q283</f>
        <v/>
      </c>
      <c r="L283" s="1">
        <f>'Paste cell here'!S283</f>
        <v/>
      </c>
      <c r="M283" s="1">
        <f>'Paste cell here'!T283</f>
        <v/>
      </c>
      <c r="N283" s="1">
        <f>'Paste cell here'!W283</f>
        <v/>
      </c>
      <c r="O283" s="1">
        <f>'Paste cell here'!U283</f>
        <v/>
      </c>
      <c r="P283" s="1">
        <f>O282</f>
        <v/>
      </c>
      <c r="Q283" s="1">
        <f>'Paste cell here'!V283</f>
        <v/>
      </c>
      <c r="R283" s="1">
        <f>ABS(O282+C283+D283+N283+Q282-H283-I283-K283-L283-M283-O283-Q283)</f>
        <v/>
      </c>
      <c r="S283" s="7">
        <f>Sintesi!$C$30</f>
        <v/>
      </c>
      <c r="T283" s="7">
        <f>Sintesi!$C$29</f>
        <v/>
      </c>
      <c r="U283" s="5">
        <f>O283/(Sintesi!$C$5*1000)</f>
        <v/>
      </c>
      <c r="V283" s="1">
        <f>T283-S283</f>
        <v/>
      </c>
      <c r="W283" s="1" t="n">
        <v>0.6225068387557809</v>
      </c>
      <c r="X283" s="1">
        <f>W283*V283</f>
        <v/>
      </c>
      <c r="Y283" s="1">
        <f>T283-X283</f>
        <v/>
      </c>
      <c r="Z283" s="1">
        <f>'Paste cellinfo here'!$B$11</f>
        <v/>
      </c>
    </row>
    <row r="284">
      <c r="A284" s="1" t="n">
        <v>283</v>
      </c>
      <c r="B284" s="2">
        <f>DATE(Sintesi!$C$4-1,12,31)+A284</f>
        <v/>
      </c>
      <c r="C284" s="1">
        <f>'Paste cell here'!B284</f>
        <v/>
      </c>
      <c r="D284" s="1">
        <f>'Paste cell here'!I284</f>
        <v/>
      </c>
      <c r="E284" s="1">
        <f>'Paste cell here'!J284</f>
        <v/>
      </c>
      <c r="F284" s="1">
        <f>'Paste cell here'!K284</f>
        <v/>
      </c>
      <c r="G284" s="1">
        <f>'Paste cell here'!L284</f>
        <v/>
      </c>
      <c r="H284" s="1">
        <f>'Paste cell here'!M284</f>
        <v/>
      </c>
      <c r="I284" s="1">
        <f>'Paste cell here'!N284</f>
        <v/>
      </c>
      <c r="J284" s="1">
        <f>'Paste cell here'!O284</f>
        <v/>
      </c>
      <c r="K284" s="1">
        <f>'Paste cell here'!Q284</f>
        <v/>
      </c>
      <c r="L284" s="1">
        <f>'Paste cell here'!S284</f>
        <v/>
      </c>
      <c r="M284" s="1">
        <f>'Paste cell here'!T284</f>
        <v/>
      </c>
      <c r="N284" s="1">
        <f>'Paste cell here'!W284</f>
        <v/>
      </c>
      <c r="O284" s="1">
        <f>'Paste cell here'!U284</f>
        <v/>
      </c>
      <c r="P284" s="1">
        <f>O283</f>
        <v/>
      </c>
      <c r="Q284" s="1">
        <f>'Paste cell here'!V284</f>
        <v/>
      </c>
      <c r="R284" s="1">
        <f>ABS(O283+C284+D284+N284+Q283-H284-I284-K284-L284-M284-O284-Q284)</f>
        <v/>
      </c>
      <c r="S284" s="7">
        <f>Sintesi!$C$30</f>
        <v/>
      </c>
      <c r="T284" s="7">
        <f>Sintesi!$C$29</f>
        <v/>
      </c>
      <c r="U284" s="5">
        <f>O284/(Sintesi!$C$5*1000)</f>
        <v/>
      </c>
      <c r="V284" s="1">
        <f>T284-S284</f>
        <v/>
      </c>
      <c r="W284" s="1" t="n">
        <v>0.650841618899893</v>
      </c>
      <c r="X284" s="1">
        <f>W284*V284</f>
        <v/>
      </c>
      <c r="Y284" s="1">
        <f>T284-X284</f>
        <v/>
      </c>
      <c r="Z284" s="1">
        <f>'Paste cellinfo here'!$B$11</f>
        <v/>
      </c>
    </row>
    <row r="285">
      <c r="A285" s="1" t="n">
        <v>284</v>
      </c>
      <c r="B285" s="2">
        <f>DATE(Sintesi!$C$4-1,12,31)+A285</f>
        <v/>
      </c>
      <c r="C285" s="1">
        <f>'Paste cell here'!B285</f>
        <v/>
      </c>
      <c r="D285" s="1">
        <f>'Paste cell here'!I285</f>
        <v/>
      </c>
      <c r="E285" s="1">
        <f>'Paste cell here'!J285</f>
        <v/>
      </c>
      <c r="F285" s="1">
        <f>'Paste cell here'!K285</f>
        <v/>
      </c>
      <c r="G285" s="1">
        <f>'Paste cell here'!L285</f>
        <v/>
      </c>
      <c r="H285" s="1">
        <f>'Paste cell here'!M285</f>
        <v/>
      </c>
      <c r="I285" s="1">
        <f>'Paste cell here'!N285</f>
        <v/>
      </c>
      <c r="J285" s="1">
        <f>'Paste cell here'!O285</f>
        <v/>
      </c>
      <c r="K285" s="1">
        <f>'Paste cell here'!Q285</f>
        <v/>
      </c>
      <c r="L285" s="1">
        <f>'Paste cell here'!S285</f>
        <v/>
      </c>
      <c r="M285" s="1">
        <f>'Paste cell here'!T285</f>
        <v/>
      </c>
      <c r="N285" s="1">
        <f>'Paste cell here'!W285</f>
        <v/>
      </c>
      <c r="O285" s="1">
        <f>'Paste cell here'!U285</f>
        <v/>
      </c>
      <c r="P285" s="1">
        <f>O284</f>
        <v/>
      </c>
      <c r="Q285" s="1">
        <f>'Paste cell here'!V285</f>
        <v/>
      </c>
      <c r="R285" s="1">
        <f>ABS(O284+C285+D285+N285+Q284-H285-I285-K285-L285-M285-O285-Q285)</f>
        <v/>
      </c>
      <c r="S285" s="7">
        <f>Sintesi!$C$30</f>
        <v/>
      </c>
      <c r="T285" s="7">
        <f>Sintesi!$C$29</f>
        <v/>
      </c>
      <c r="U285" s="5">
        <f>O285/(Sintesi!$C$5*1000)</f>
        <v/>
      </c>
      <c r="V285" s="1">
        <f>T285-S285</f>
        <v/>
      </c>
      <c r="W285" s="1" t="n">
        <v>0.636159424755028</v>
      </c>
      <c r="X285" s="1">
        <f>W285*V285</f>
        <v/>
      </c>
      <c r="Y285" s="1">
        <f>T285-X285</f>
        <v/>
      </c>
      <c r="Z285" s="1">
        <f>'Paste cellinfo here'!$B$11</f>
        <v/>
      </c>
    </row>
    <row r="286">
      <c r="A286" s="1" t="n">
        <v>285</v>
      </c>
      <c r="B286" s="2">
        <f>DATE(Sintesi!$C$4-1,12,31)+A286</f>
        <v/>
      </c>
      <c r="C286" s="1">
        <f>'Paste cell here'!B286</f>
        <v/>
      </c>
      <c r="D286" s="1">
        <f>'Paste cell here'!I286</f>
        <v/>
      </c>
      <c r="E286" s="1">
        <f>'Paste cell here'!J286</f>
        <v/>
      </c>
      <c r="F286" s="1">
        <f>'Paste cell here'!K286</f>
        <v/>
      </c>
      <c r="G286" s="1">
        <f>'Paste cell here'!L286</f>
        <v/>
      </c>
      <c r="H286" s="1">
        <f>'Paste cell here'!M286</f>
        <v/>
      </c>
      <c r="I286" s="1">
        <f>'Paste cell here'!N286</f>
        <v/>
      </c>
      <c r="J286" s="1">
        <f>'Paste cell here'!O286</f>
        <v/>
      </c>
      <c r="K286" s="1">
        <f>'Paste cell here'!Q286</f>
        <v/>
      </c>
      <c r="L286" s="1">
        <f>'Paste cell here'!S286</f>
        <v/>
      </c>
      <c r="M286" s="1">
        <f>'Paste cell here'!T286</f>
        <v/>
      </c>
      <c r="N286" s="1">
        <f>'Paste cell here'!W286</f>
        <v/>
      </c>
      <c r="O286" s="1">
        <f>'Paste cell here'!U286</f>
        <v/>
      </c>
      <c r="P286" s="1">
        <f>O285</f>
        <v/>
      </c>
      <c r="Q286" s="1">
        <f>'Paste cell here'!V286</f>
        <v/>
      </c>
      <c r="R286" s="1">
        <f>ABS(O285+C286+D286+N286+Q285-H286-I286-K286-L286-M286-O286-Q286)</f>
        <v/>
      </c>
      <c r="S286" s="7">
        <f>Sintesi!$C$30</f>
        <v/>
      </c>
      <c r="T286" s="7">
        <f>Sintesi!$C$29</f>
        <v/>
      </c>
      <c r="U286" s="5">
        <f>O286/(Sintesi!$C$5*1000)</f>
        <v/>
      </c>
      <c r="V286" s="1">
        <f>T286-S286</f>
        <v/>
      </c>
      <c r="W286" s="1" t="n">
        <v>0.627709741114224</v>
      </c>
      <c r="X286" s="1">
        <f>W286*V286</f>
        <v/>
      </c>
      <c r="Y286" s="1">
        <f>T286-X286</f>
        <v/>
      </c>
      <c r="Z286" s="1">
        <f>'Paste cellinfo here'!$B$11</f>
        <v/>
      </c>
    </row>
    <row r="287">
      <c r="A287" s="1" t="n">
        <v>286</v>
      </c>
      <c r="B287" s="2">
        <f>DATE(Sintesi!$C$4-1,12,31)+A287</f>
        <v/>
      </c>
      <c r="C287" s="1">
        <f>'Paste cell here'!B287</f>
        <v/>
      </c>
      <c r="D287" s="1">
        <f>'Paste cell here'!I287</f>
        <v/>
      </c>
      <c r="E287" s="1">
        <f>'Paste cell here'!J287</f>
        <v/>
      </c>
      <c r="F287" s="1">
        <f>'Paste cell here'!K287</f>
        <v/>
      </c>
      <c r="G287" s="1">
        <f>'Paste cell here'!L287</f>
        <v/>
      </c>
      <c r="H287" s="1">
        <f>'Paste cell here'!M287</f>
        <v/>
      </c>
      <c r="I287" s="1">
        <f>'Paste cell here'!N287</f>
        <v/>
      </c>
      <c r="J287" s="1">
        <f>'Paste cell here'!O287</f>
        <v/>
      </c>
      <c r="K287" s="1">
        <f>'Paste cell here'!Q287</f>
        <v/>
      </c>
      <c r="L287" s="1">
        <f>'Paste cell here'!S287</f>
        <v/>
      </c>
      <c r="M287" s="1">
        <f>'Paste cell here'!T287</f>
        <v/>
      </c>
      <c r="N287" s="1">
        <f>'Paste cell here'!W287</f>
        <v/>
      </c>
      <c r="O287" s="1">
        <f>'Paste cell here'!U287</f>
        <v/>
      </c>
      <c r="P287" s="1">
        <f>O286</f>
        <v/>
      </c>
      <c r="Q287" s="1">
        <f>'Paste cell here'!V287</f>
        <v/>
      </c>
      <c r="R287" s="1">
        <f>ABS(O286+C287+D287+N287+Q286-H287-I287-K287-L287-M287-O287-Q287)</f>
        <v/>
      </c>
      <c r="S287" s="7">
        <f>Sintesi!$C$30</f>
        <v/>
      </c>
      <c r="T287" s="7">
        <f>Sintesi!$C$29</f>
        <v/>
      </c>
      <c r="U287" s="5">
        <f>O287/(Sintesi!$C$5*1000)</f>
        <v/>
      </c>
      <c r="V287" s="1">
        <f>T287-S287</f>
        <v/>
      </c>
      <c r="W287" s="1" t="n">
        <v>0.630916635002742</v>
      </c>
      <c r="X287" s="1">
        <f>W287*V287</f>
        <v/>
      </c>
      <c r="Y287" s="1">
        <f>T287-X287</f>
        <v/>
      </c>
      <c r="Z287" s="1">
        <f>'Paste cellinfo here'!$B$11</f>
        <v/>
      </c>
    </row>
    <row r="288">
      <c r="A288" s="1" t="n">
        <v>287</v>
      </c>
      <c r="B288" s="2">
        <f>DATE(Sintesi!$C$4-1,12,31)+A288</f>
        <v/>
      </c>
      <c r="C288" s="1">
        <f>'Paste cell here'!B288</f>
        <v/>
      </c>
      <c r="D288" s="1">
        <f>'Paste cell here'!I288</f>
        <v/>
      </c>
      <c r="E288" s="1">
        <f>'Paste cell here'!J288</f>
        <v/>
      </c>
      <c r="F288" s="1">
        <f>'Paste cell here'!K288</f>
        <v/>
      </c>
      <c r="G288" s="1">
        <f>'Paste cell here'!L288</f>
        <v/>
      </c>
      <c r="H288" s="1">
        <f>'Paste cell here'!M288</f>
        <v/>
      </c>
      <c r="I288" s="1">
        <f>'Paste cell here'!N288</f>
        <v/>
      </c>
      <c r="J288" s="1">
        <f>'Paste cell here'!O288</f>
        <v/>
      </c>
      <c r="K288" s="1">
        <f>'Paste cell here'!Q288</f>
        <v/>
      </c>
      <c r="L288" s="1">
        <f>'Paste cell here'!S288</f>
        <v/>
      </c>
      <c r="M288" s="1">
        <f>'Paste cell here'!T288</f>
        <v/>
      </c>
      <c r="N288" s="1">
        <f>'Paste cell here'!W288</f>
        <v/>
      </c>
      <c r="O288" s="1">
        <f>'Paste cell here'!U288</f>
        <v/>
      </c>
      <c r="P288" s="1">
        <f>O287</f>
        <v/>
      </c>
      <c r="Q288" s="1">
        <f>'Paste cell here'!V288</f>
        <v/>
      </c>
      <c r="R288" s="1">
        <f>ABS(O287+C288+D288+N288+Q287-H288-I288-K288-L288-M288-O288-Q288)</f>
        <v/>
      </c>
      <c r="S288" s="7">
        <f>Sintesi!$C$30</f>
        <v/>
      </c>
      <c r="T288" s="7">
        <f>Sintesi!$C$29</f>
        <v/>
      </c>
      <c r="U288" s="5">
        <f>O288/(Sintesi!$C$5*1000)</f>
        <v/>
      </c>
      <c r="V288" s="1">
        <f>T288-S288</f>
        <v/>
      </c>
      <c r="W288" s="1" t="n">
        <v>0.632732252616089</v>
      </c>
      <c r="X288" s="1">
        <f>W288*V288</f>
        <v/>
      </c>
      <c r="Y288" s="1">
        <f>T288-X288</f>
        <v/>
      </c>
      <c r="Z288" s="1">
        <f>'Paste cellinfo here'!$B$11</f>
        <v/>
      </c>
    </row>
    <row r="289">
      <c r="A289" s="1" t="n">
        <v>288</v>
      </c>
      <c r="B289" s="2">
        <f>DATE(Sintesi!$C$4-1,12,31)+A289</f>
        <v/>
      </c>
      <c r="C289" s="1">
        <f>'Paste cell here'!B289</f>
        <v/>
      </c>
      <c r="D289" s="1">
        <f>'Paste cell here'!I289</f>
        <v/>
      </c>
      <c r="E289" s="1">
        <f>'Paste cell here'!J289</f>
        <v/>
      </c>
      <c r="F289" s="1">
        <f>'Paste cell here'!K289</f>
        <v/>
      </c>
      <c r="G289" s="1">
        <f>'Paste cell here'!L289</f>
        <v/>
      </c>
      <c r="H289" s="1">
        <f>'Paste cell here'!M289</f>
        <v/>
      </c>
      <c r="I289" s="1">
        <f>'Paste cell here'!N289</f>
        <v/>
      </c>
      <c r="J289" s="1">
        <f>'Paste cell here'!O289</f>
        <v/>
      </c>
      <c r="K289" s="1">
        <f>'Paste cell here'!Q289</f>
        <v/>
      </c>
      <c r="L289" s="1">
        <f>'Paste cell here'!S289</f>
        <v/>
      </c>
      <c r="M289" s="1">
        <f>'Paste cell here'!T289</f>
        <v/>
      </c>
      <c r="N289" s="1">
        <f>'Paste cell here'!W289</f>
        <v/>
      </c>
      <c r="O289" s="1">
        <f>'Paste cell here'!U289</f>
        <v/>
      </c>
      <c r="P289" s="1">
        <f>O288</f>
        <v/>
      </c>
      <c r="Q289" s="1">
        <f>'Paste cell here'!V289</f>
        <v/>
      </c>
      <c r="R289" s="1">
        <f>ABS(O288+C289+D289+N289+Q288-H289-I289-K289-L289-M289-O289-Q289)</f>
        <v/>
      </c>
      <c r="S289" s="7">
        <f>Sintesi!$C$30</f>
        <v/>
      </c>
      <c r="T289" s="7">
        <f>Sintesi!$C$29</f>
        <v/>
      </c>
      <c r="U289" s="5">
        <f>O289/(Sintesi!$C$5*1000)</f>
        <v/>
      </c>
      <c r="V289" s="1">
        <f>T289-S289</f>
        <v/>
      </c>
      <c r="W289" s="1" t="n">
        <v>0.6330737043610219</v>
      </c>
      <c r="X289" s="1">
        <f>W289*V289</f>
        <v/>
      </c>
      <c r="Y289" s="1">
        <f>T289-X289</f>
        <v/>
      </c>
      <c r="Z289" s="1">
        <f>'Paste cellinfo here'!$B$11</f>
        <v/>
      </c>
    </row>
    <row r="290">
      <c r="A290" s="1" t="n">
        <v>289</v>
      </c>
      <c r="B290" s="2">
        <f>DATE(Sintesi!$C$4-1,12,31)+A290</f>
        <v/>
      </c>
      <c r="C290" s="1">
        <f>'Paste cell here'!B290</f>
        <v/>
      </c>
      <c r="D290" s="1">
        <f>'Paste cell here'!I290</f>
        <v/>
      </c>
      <c r="E290" s="1">
        <f>'Paste cell here'!J290</f>
        <v/>
      </c>
      <c r="F290" s="1">
        <f>'Paste cell here'!K290</f>
        <v/>
      </c>
      <c r="G290" s="1">
        <f>'Paste cell here'!L290</f>
        <v/>
      </c>
      <c r="H290" s="1">
        <f>'Paste cell here'!M290</f>
        <v/>
      </c>
      <c r="I290" s="1">
        <f>'Paste cell here'!N290</f>
        <v/>
      </c>
      <c r="J290" s="1">
        <f>'Paste cell here'!O290</f>
        <v/>
      </c>
      <c r="K290" s="1">
        <f>'Paste cell here'!Q290</f>
        <v/>
      </c>
      <c r="L290" s="1">
        <f>'Paste cell here'!S290</f>
        <v/>
      </c>
      <c r="M290" s="1">
        <f>'Paste cell here'!T290</f>
        <v/>
      </c>
      <c r="N290" s="1">
        <f>'Paste cell here'!W290</f>
        <v/>
      </c>
      <c r="O290" s="1">
        <f>'Paste cell here'!U290</f>
        <v/>
      </c>
      <c r="P290" s="1">
        <f>O289</f>
        <v/>
      </c>
      <c r="Q290" s="1">
        <f>'Paste cell here'!V290</f>
        <v/>
      </c>
      <c r="R290" s="1">
        <f>ABS(O289+C290+D290+N290+Q289-H290-I290-K290-L290-M290-O290-Q290)</f>
        <v/>
      </c>
      <c r="S290" s="7">
        <f>Sintesi!$C$30</f>
        <v/>
      </c>
      <c r="T290" s="7">
        <f>Sintesi!$C$29</f>
        <v/>
      </c>
      <c r="U290" s="5">
        <f>O290/(Sintesi!$C$5*1000)</f>
        <v/>
      </c>
      <c r="V290" s="1">
        <f>T290-S290</f>
        <v/>
      </c>
      <c r="W290" s="1" t="n">
        <v>0.639015781006587</v>
      </c>
      <c r="X290" s="1">
        <f>W290*V290</f>
        <v/>
      </c>
      <c r="Y290" s="1">
        <f>T290-X290</f>
        <v/>
      </c>
      <c r="Z290" s="1">
        <f>'Paste cellinfo here'!$B$11</f>
        <v/>
      </c>
    </row>
    <row r="291">
      <c r="A291" s="1" t="n">
        <v>290</v>
      </c>
      <c r="B291" s="2">
        <f>DATE(Sintesi!$C$4-1,12,31)+A291</f>
        <v/>
      </c>
      <c r="C291" s="1">
        <f>'Paste cell here'!B291</f>
        <v/>
      </c>
      <c r="D291" s="1">
        <f>'Paste cell here'!I291</f>
        <v/>
      </c>
      <c r="E291" s="1">
        <f>'Paste cell here'!J291</f>
        <v/>
      </c>
      <c r="F291" s="1">
        <f>'Paste cell here'!K291</f>
        <v/>
      </c>
      <c r="G291" s="1">
        <f>'Paste cell here'!L291</f>
        <v/>
      </c>
      <c r="H291" s="1">
        <f>'Paste cell here'!M291</f>
        <v/>
      </c>
      <c r="I291" s="1">
        <f>'Paste cell here'!N291</f>
        <v/>
      </c>
      <c r="J291" s="1">
        <f>'Paste cell here'!O291</f>
        <v/>
      </c>
      <c r="K291" s="1">
        <f>'Paste cell here'!Q291</f>
        <v/>
      </c>
      <c r="L291" s="1">
        <f>'Paste cell here'!S291</f>
        <v/>
      </c>
      <c r="M291" s="1">
        <f>'Paste cell here'!T291</f>
        <v/>
      </c>
      <c r="N291" s="1">
        <f>'Paste cell here'!W291</f>
        <v/>
      </c>
      <c r="O291" s="1">
        <f>'Paste cell here'!U291</f>
        <v/>
      </c>
      <c r="P291" s="1">
        <f>O290</f>
        <v/>
      </c>
      <c r="Q291" s="1">
        <f>'Paste cell here'!V291</f>
        <v/>
      </c>
      <c r="R291" s="1">
        <f>ABS(O290+C291+D291+N291+Q290-H291-I291-K291-L291-M291-O291-Q291)</f>
        <v/>
      </c>
      <c r="S291" s="7">
        <f>Sintesi!$C$30</f>
        <v/>
      </c>
      <c r="T291" s="7">
        <f>Sintesi!$C$29</f>
        <v/>
      </c>
      <c r="U291" s="5">
        <f>O291/(Sintesi!$C$5*1000)</f>
        <v/>
      </c>
      <c r="V291" s="1">
        <f>T291-S291</f>
        <v/>
      </c>
      <c r="W291" s="1" t="n">
        <v>0.6311304365229921</v>
      </c>
      <c r="X291" s="1">
        <f>W291*V291</f>
        <v/>
      </c>
      <c r="Y291" s="1">
        <f>T291-X291</f>
        <v/>
      </c>
      <c r="Z291" s="1">
        <f>'Paste cellinfo here'!$B$11</f>
        <v/>
      </c>
    </row>
    <row r="292">
      <c r="A292" s="1" t="n">
        <v>291</v>
      </c>
      <c r="B292" s="2">
        <f>DATE(Sintesi!$C$4-1,12,31)+A292</f>
        <v/>
      </c>
      <c r="C292" s="1">
        <f>'Paste cell here'!B292</f>
        <v/>
      </c>
      <c r="D292" s="1">
        <f>'Paste cell here'!I292</f>
        <v/>
      </c>
      <c r="E292" s="1">
        <f>'Paste cell here'!J292</f>
        <v/>
      </c>
      <c r="F292" s="1">
        <f>'Paste cell here'!K292</f>
        <v/>
      </c>
      <c r="G292" s="1">
        <f>'Paste cell here'!L292</f>
        <v/>
      </c>
      <c r="H292" s="1">
        <f>'Paste cell here'!M292</f>
        <v/>
      </c>
      <c r="I292" s="1">
        <f>'Paste cell here'!N292</f>
        <v/>
      </c>
      <c r="J292" s="1">
        <f>'Paste cell here'!O292</f>
        <v/>
      </c>
      <c r="K292" s="1">
        <f>'Paste cell here'!Q292</f>
        <v/>
      </c>
      <c r="L292" s="1">
        <f>'Paste cell here'!S292</f>
        <v/>
      </c>
      <c r="M292" s="1">
        <f>'Paste cell here'!T292</f>
        <v/>
      </c>
      <c r="N292" s="1">
        <f>'Paste cell here'!W292</f>
        <v/>
      </c>
      <c r="O292" s="1">
        <f>'Paste cell here'!U292</f>
        <v/>
      </c>
      <c r="P292" s="1">
        <f>O291</f>
        <v/>
      </c>
      <c r="Q292" s="1">
        <f>'Paste cell here'!V292</f>
        <v/>
      </c>
      <c r="R292" s="1">
        <f>ABS(O291+C292+D292+N292+Q291-H292-I292-K292-L292-M292-O292-Q292)</f>
        <v/>
      </c>
      <c r="S292" s="7">
        <f>Sintesi!$C$30</f>
        <v/>
      </c>
      <c r="T292" s="7">
        <f>Sintesi!$C$29</f>
        <v/>
      </c>
      <c r="U292" s="5">
        <f>O292/(Sintesi!$C$5*1000)</f>
        <v/>
      </c>
      <c r="V292" s="1">
        <f>T292-S292</f>
        <v/>
      </c>
      <c r="W292" s="1" t="n">
        <v>0.628366489124635</v>
      </c>
      <c r="X292" s="1">
        <f>W292*V292</f>
        <v/>
      </c>
      <c r="Y292" s="1">
        <f>T292-X292</f>
        <v/>
      </c>
      <c r="Z292" s="1">
        <f>'Paste cellinfo here'!$B$11</f>
        <v/>
      </c>
    </row>
    <row r="293">
      <c r="A293" s="1" t="n">
        <v>292</v>
      </c>
      <c r="B293" s="2">
        <f>DATE(Sintesi!$C$4-1,12,31)+A293</f>
        <v/>
      </c>
      <c r="C293" s="1">
        <f>'Paste cell here'!B293</f>
        <v/>
      </c>
      <c r="D293" s="1">
        <f>'Paste cell here'!I293</f>
        <v/>
      </c>
      <c r="E293" s="1">
        <f>'Paste cell here'!J293</f>
        <v/>
      </c>
      <c r="F293" s="1">
        <f>'Paste cell here'!K293</f>
        <v/>
      </c>
      <c r="G293" s="1">
        <f>'Paste cell here'!L293</f>
        <v/>
      </c>
      <c r="H293" s="1">
        <f>'Paste cell here'!M293</f>
        <v/>
      </c>
      <c r="I293" s="1">
        <f>'Paste cell here'!N293</f>
        <v/>
      </c>
      <c r="J293" s="1">
        <f>'Paste cell here'!O293</f>
        <v/>
      </c>
      <c r="K293" s="1">
        <f>'Paste cell here'!Q293</f>
        <v/>
      </c>
      <c r="L293" s="1">
        <f>'Paste cell here'!S293</f>
        <v/>
      </c>
      <c r="M293" s="1">
        <f>'Paste cell here'!T293</f>
        <v/>
      </c>
      <c r="N293" s="1">
        <f>'Paste cell here'!W293</f>
        <v/>
      </c>
      <c r="O293" s="1">
        <f>'Paste cell here'!U293</f>
        <v/>
      </c>
      <c r="P293" s="1">
        <f>O292</f>
        <v/>
      </c>
      <c r="Q293" s="1">
        <f>'Paste cell here'!V293</f>
        <v/>
      </c>
      <c r="R293" s="1">
        <f>ABS(O292+C293+D293+N293+Q292-H293-I293-K293-L293-M293-O293-Q293)</f>
        <v/>
      </c>
      <c r="S293" s="7">
        <f>Sintesi!$C$30</f>
        <v/>
      </c>
      <c r="T293" s="7">
        <f>Sintesi!$C$29</f>
        <v/>
      </c>
      <c r="U293" s="5">
        <f>O293/(Sintesi!$C$5*1000)</f>
        <v/>
      </c>
      <c r="V293" s="1">
        <f>T293-S293</f>
        <v/>
      </c>
      <c r="W293" s="1" t="n">
        <v>0.642890502750094</v>
      </c>
      <c r="X293" s="1">
        <f>W293*V293</f>
        <v/>
      </c>
      <c r="Y293" s="1">
        <f>T293-X293</f>
        <v/>
      </c>
      <c r="Z293" s="1">
        <f>'Paste cellinfo here'!$B$11</f>
        <v/>
      </c>
    </row>
    <row r="294">
      <c r="A294" s="1" t="n">
        <v>293</v>
      </c>
      <c r="B294" s="2">
        <f>DATE(Sintesi!$C$4-1,12,31)+A294</f>
        <v/>
      </c>
      <c r="C294" s="1">
        <f>'Paste cell here'!B294</f>
        <v/>
      </c>
      <c r="D294" s="1">
        <f>'Paste cell here'!I294</f>
        <v/>
      </c>
      <c r="E294" s="1">
        <f>'Paste cell here'!J294</f>
        <v/>
      </c>
      <c r="F294" s="1">
        <f>'Paste cell here'!K294</f>
        <v/>
      </c>
      <c r="G294" s="1">
        <f>'Paste cell here'!L294</f>
        <v/>
      </c>
      <c r="H294" s="1">
        <f>'Paste cell here'!M294</f>
        <v/>
      </c>
      <c r="I294" s="1">
        <f>'Paste cell here'!N294</f>
        <v/>
      </c>
      <c r="J294" s="1">
        <f>'Paste cell here'!O294</f>
        <v/>
      </c>
      <c r="K294" s="1">
        <f>'Paste cell here'!Q294</f>
        <v/>
      </c>
      <c r="L294" s="1">
        <f>'Paste cell here'!S294</f>
        <v/>
      </c>
      <c r="M294" s="1">
        <f>'Paste cell here'!T294</f>
        <v/>
      </c>
      <c r="N294" s="1">
        <f>'Paste cell here'!W294</f>
        <v/>
      </c>
      <c r="O294" s="1">
        <f>'Paste cell here'!U294</f>
        <v/>
      </c>
      <c r="P294" s="1">
        <f>O293</f>
        <v/>
      </c>
      <c r="Q294" s="1">
        <f>'Paste cell here'!V294</f>
        <v/>
      </c>
      <c r="R294" s="1">
        <f>ABS(O293+C294+D294+N294+Q293-H294-I294-K294-L294-M294-O294-Q294)</f>
        <v/>
      </c>
      <c r="S294" s="7">
        <f>Sintesi!$C$30</f>
        <v/>
      </c>
      <c r="T294" s="7">
        <f>Sintesi!$C$29</f>
        <v/>
      </c>
      <c r="U294" s="5">
        <f>O294/(Sintesi!$C$5*1000)</f>
        <v/>
      </c>
      <c r="V294" s="1">
        <f>T294-S294</f>
        <v/>
      </c>
      <c r="W294" s="1" t="n">
        <v>0.641900459782121</v>
      </c>
      <c r="X294" s="1">
        <f>W294*V294</f>
        <v/>
      </c>
      <c r="Y294" s="1">
        <f>T294-X294</f>
        <v/>
      </c>
      <c r="Z294" s="1">
        <f>'Paste cellinfo here'!$B$11</f>
        <v/>
      </c>
    </row>
    <row r="295">
      <c r="A295" s="1" t="n">
        <v>294</v>
      </c>
      <c r="B295" s="2">
        <f>DATE(Sintesi!$C$4-1,12,31)+A295</f>
        <v/>
      </c>
      <c r="C295" s="1">
        <f>'Paste cell here'!B295</f>
        <v/>
      </c>
      <c r="D295" s="1">
        <f>'Paste cell here'!I295</f>
        <v/>
      </c>
      <c r="E295" s="1">
        <f>'Paste cell here'!J295</f>
        <v/>
      </c>
      <c r="F295" s="1">
        <f>'Paste cell here'!K295</f>
        <v/>
      </c>
      <c r="G295" s="1">
        <f>'Paste cell here'!L295</f>
        <v/>
      </c>
      <c r="H295" s="1">
        <f>'Paste cell here'!M295</f>
        <v/>
      </c>
      <c r="I295" s="1">
        <f>'Paste cell here'!N295</f>
        <v/>
      </c>
      <c r="J295" s="1">
        <f>'Paste cell here'!O295</f>
        <v/>
      </c>
      <c r="K295" s="1">
        <f>'Paste cell here'!Q295</f>
        <v/>
      </c>
      <c r="L295" s="1">
        <f>'Paste cell here'!S295</f>
        <v/>
      </c>
      <c r="M295" s="1">
        <f>'Paste cell here'!T295</f>
        <v/>
      </c>
      <c r="N295" s="1">
        <f>'Paste cell here'!W295</f>
        <v/>
      </c>
      <c r="O295" s="1">
        <f>'Paste cell here'!U295</f>
        <v/>
      </c>
      <c r="P295" s="1">
        <f>O294</f>
        <v/>
      </c>
      <c r="Q295" s="1">
        <f>'Paste cell here'!V295</f>
        <v/>
      </c>
      <c r="R295" s="1">
        <f>ABS(O294+C295+D295+N295+Q294-H295-I295-K295-L295-M295-O295-Q295)</f>
        <v/>
      </c>
      <c r="S295" s="7">
        <f>Sintesi!$C$30</f>
        <v/>
      </c>
      <c r="T295" s="7">
        <f>Sintesi!$C$29</f>
        <v/>
      </c>
      <c r="U295" s="5">
        <f>O295/(Sintesi!$C$5*1000)</f>
        <v/>
      </c>
      <c r="V295" s="1">
        <f>T295-S295</f>
        <v/>
      </c>
      <c r="W295" s="1" t="n">
        <v>0.624627240682807</v>
      </c>
      <c r="X295" s="1">
        <f>W295*V295</f>
        <v/>
      </c>
      <c r="Y295" s="1">
        <f>T295-X295</f>
        <v/>
      </c>
      <c r="Z295" s="1">
        <f>'Paste cellinfo here'!$B$11</f>
        <v/>
      </c>
    </row>
    <row r="296">
      <c r="A296" s="1" t="n">
        <v>295</v>
      </c>
      <c r="B296" s="2">
        <f>DATE(Sintesi!$C$4-1,12,31)+A296</f>
        <v/>
      </c>
      <c r="C296" s="1">
        <f>'Paste cell here'!B296</f>
        <v/>
      </c>
      <c r="D296" s="1">
        <f>'Paste cell here'!I296</f>
        <v/>
      </c>
      <c r="E296" s="1">
        <f>'Paste cell here'!J296</f>
        <v/>
      </c>
      <c r="F296" s="1">
        <f>'Paste cell here'!K296</f>
        <v/>
      </c>
      <c r="G296" s="1">
        <f>'Paste cell here'!L296</f>
        <v/>
      </c>
      <c r="H296" s="1">
        <f>'Paste cell here'!M296</f>
        <v/>
      </c>
      <c r="I296" s="1">
        <f>'Paste cell here'!N296</f>
        <v/>
      </c>
      <c r="J296" s="1">
        <f>'Paste cell here'!O296</f>
        <v/>
      </c>
      <c r="K296" s="1">
        <f>'Paste cell here'!Q296</f>
        <v/>
      </c>
      <c r="L296" s="1">
        <f>'Paste cell here'!S296</f>
        <v/>
      </c>
      <c r="M296" s="1">
        <f>'Paste cell here'!T296</f>
        <v/>
      </c>
      <c r="N296" s="1">
        <f>'Paste cell here'!W296</f>
        <v/>
      </c>
      <c r="O296" s="1">
        <f>'Paste cell here'!U296</f>
        <v/>
      </c>
      <c r="P296" s="1">
        <f>O295</f>
        <v/>
      </c>
      <c r="Q296" s="1">
        <f>'Paste cell here'!V296</f>
        <v/>
      </c>
      <c r="R296" s="1">
        <f>ABS(O295+C296+D296+N296+Q295-H296-I296-K296-L296-M296-O296-Q296)</f>
        <v/>
      </c>
      <c r="S296" s="7">
        <f>Sintesi!$C$30</f>
        <v/>
      </c>
      <c r="T296" s="7">
        <f>Sintesi!$C$29</f>
        <v/>
      </c>
      <c r="U296" s="5">
        <f>O296/(Sintesi!$C$5*1000)</f>
        <v/>
      </c>
      <c r="V296" s="1">
        <f>T296-S296</f>
        <v/>
      </c>
      <c r="W296" s="1" t="n">
        <v>0.618114331922069</v>
      </c>
      <c r="X296" s="1">
        <f>W296*V296</f>
        <v/>
      </c>
      <c r="Y296" s="1">
        <f>T296-X296</f>
        <v/>
      </c>
      <c r="Z296" s="1">
        <f>'Paste cellinfo here'!$B$11</f>
        <v/>
      </c>
    </row>
    <row r="297">
      <c r="A297" s="1" t="n">
        <v>296</v>
      </c>
      <c r="B297" s="2">
        <f>DATE(Sintesi!$C$4-1,12,31)+A297</f>
        <v/>
      </c>
      <c r="C297" s="1">
        <f>'Paste cell here'!B297</f>
        <v/>
      </c>
      <c r="D297" s="1">
        <f>'Paste cell here'!I297</f>
        <v/>
      </c>
      <c r="E297" s="1">
        <f>'Paste cell here'!J297</f>
        <v/>
      </c>
      <c r="F297" s="1">
        <f>'Paste cell here'!K297</f>
        <v/>
      </c>
      <c r="G297" s="1">
        <f>'Paste cell here'!L297</f>
        <v/>
      </c>
      <c r="H297" s="1">
        <f>'Paste cell here'!M297</f>
        <v/>
      </c>
      <c r="I297" s="1">
        <f>'Paste cell here'!N297</f>
        <v/>
      </c>
      <c r="J297" s="1">
        <f>'Paste cell here'!O297</f>
        <v/>
      </c>
      <c r="K297" s="1">
        <f>'Paste cell here'!Q297</f>
        <v/>
      </c>
      <c r="L297" s="1">
        <f>'Paste cell here'!S297</f>
        <v/>
      </c>
      <c r="M297" s="1">
        <f>'Paste cell here'!T297</f>
        <v/>
      </c>
      <c r="N297" s="1">
        <f>'Paste cell here'!W297</f>
        <v/>
      </c>
      <c r="O297" s="1">
        <f>'Paste cell here'!U297</f>
        <v/>
      </c>
      <c r="P297" s="1">
        <f>O296</f>
        <v/>
      </c>
      <c r="Q297" s="1">
        <f>'Paste cell here'!V297</f>
        <v/>
      </c>
      <c r="R297" s="1">
        <f>ABS(O296+C297+D297+N297+Q296-H297-I297-K297-L297-M297-O297-Q297)</f>
        <v/>
      </c>
      <c r="S297" s="7">
        <f>Sintesi!$C$30</f>
        <v/>
      </c>
      <c r="T297" s="7">
        <f>Sintesi!$C$29</f>
        <v/>
      </c>
      <c r="U297" s="5">
        <f>O297/(Sintesi!$C$5*1000)</f>
        <v/>
      </c>
      <c r="V297" s="1">
        <f>T297-S297</f>
        <v/>
      </c>
      <c r="W297" s="1" t="n">
        <v>0.643523103643674</v>
      </c>
      <c r="X297" s="1">
        <f>W297*V297</f>
        <v/>
      </c>
      <c r="Y297" s="1">
        <f>T297-X297</f>
        <v/>
      </c>
      <c r="Z297" s="1">
        <f>'Paste cellinfo here'!$B$11</f>
        <v/>
      </c>
    </row>
    <row r="298">
      <c r="A298" s="1" t="n">
        <v>297</v>
      </c>
      <c r="B298" s="2">
        <f>DATE(Sintesi!$C$4-1,12,31)+A298</f>
        <v/>
      </c>
      <c r="C298" s="1">
        <f>'Paste cell here'!B298</f>
        <v/>
      </c>
      <c r="D298" s="1">
        <f>'Paste cell here'!I298</f>
        <v/>
      </c>
      <c r="E298" s="1">
        <f>'Paste cell here'!J298</f>
        <v/>
      </c>
      <c r="F298" s="1">
        <f>'Paste cell here'!K298</f>
        <v/>
      </c>
      <c r="G298" s="1">
        <f>'Paste cell here'!L298</f>
        <v/>
      </c>
      <c r="H298" s="1">
        <f>'Paste cell here'!M298</f>
        <v/>
      </c>
      <c r="I298" s="1">
        <f>'Paste cell here'!N298</f>
        <v/>
      </c>
      <c r="J298" s="1">
        <f>'Paste cell here'!O298</f>
        <v/>
      </c>
      <c r="K298" s="1">
        <f>'Paste cell here'!Q298</f>
        <v/>
      </c>
      <c r="L298" s="1">
        <f>'Paste cell here'!S298</f>
        <v/>
      </c>
      <c r="M298" s="1">
        <f>'Paste cell here'!T298</f>
        <v/>
      </c>
      <c r="N298" s="1">
        <f>'Paste cell here'!W298</f>
        <v/>
      </c>
      <c r="O298" s="1">
        <f>'Paste cell here'!U298</f>
        <v/>
      </c>
      <c r="P298" s="1">
        <f>O297</f>
        <v/>
      </c>
      <c r="Q298" s="1">
        <f>'Paste cell here'!V298</f>
        <v/>
      </c>
      <c r="R298" s="1">
        <f>ABS(O297+C298+D298+N298+Q297-H298-I298-K298-L298-M298-O298-Q298)</f>
        <v/>
      </c>
      <c r="S298" s="7">
        <f>Sintesi!$C$30</f>
        <v/>
      </c>
      <c r="T298" s="7">
        <f>Sintesi!$C$29</f>
        <v/>
      </c>
      <c r="U298" s="5">
        <f>O298/(Sintesi!$C$5*1000)</f>
        <v/>
      </c>
      <c r="V298" s="1">
        <f>T298-S298</f>
        <v/>
      </c>
      <c r="W298" s="1" t="n">
        <v>0.6394752367365391</v>
      </c>
      <c r="X298" s="1">
        <f>W298*V298</f>
        <v/>
      </c>
      <c r="Y298" s="1">
        <f>T298-X298</f>
        <v/>
      </c>
      <c r="Z298" s="1">
        <f>'Paste cellinfo here'!$B$11</f>
        <v/>
      </c>
    </row>
    <row r="299">
      <c r="A299" s="1" t="n">
        <v>298</v>
      </c>
      <c r="B299" s="2">
        <f>DATE(Sintesi!$C$4-1,12,31)+A299</f>
        <v/>
      </c>
      <c r="C299" s="1">
        <f>'Paste cell here'!B299</f>
        <v/>
      </c>
      <c r="D299" s="1">
        <f>'Paste cell here'!I299</f>
        <v/>
      </c>
      <c r="E299" s="1">
        <f>'Paste cell here'!J299</f>
        <v/>
      </c>
      <c r="F299" s="1">
        <f>'Paste cell here'!K299</f>
        <v/>
      </c>
      <c r="G299" s="1">
        <f>'Paste cell here'!L299</f>
        <v/>
      </c>
      <c r="H299" s="1">
        <f>'Paste cell here'!M299</f>
        <v/>
      </c>
      <c r="I299" s="1">
        <f>'Paste cell here'!N299</f>
        <v/>
      </c>
      <c r="J299" s="1">
        <f>'Paste cell here'!O299</f>
        <v/>
      </c>
      <c r="K299" s="1">
        <f>'Paste cell here'!Q299</f>
        <v/>
      </c>
      <c r="L299" s="1">
        <f>'Paste cell here'!S299</f>
        <v/>
      </c>
      <c r="M299" s="1">
        <f>'Paste cell here'!T299</f>
        <v/>
      </c>
      <c r="N299" s="1">
        <f>'Paste cell here'!W299</f>
        <v/>
      </c>
      <c r="O299" s="1">
        <f>'Paste cell here'!U299</f>
        <v/>
      </c>
      <c r="P299" s="1">
        <f>O298</f>
        <v/>
      </c>
      <c r="Q299" s="1">
        <f>'Paste cell here'!V299</f>
        <v/>
      </c>
      <c r="R299" s="1">
        <f>ABS(O298+C299+D299+N299+Q298-H299-I299-K299-L299-M299-O299-Q299)</f>
        <v/>
      </c>
      <c r="S299" s="7">
        <f>Sintesi!$C$30</f>
        <v/>
      </c>
      <c r="T299" s="7">
        <f>Sintesi!$C$29</f>
        <v/>
      </c>
      <c r="U299" s="5">
        <f>O299/(Sintesi!$C$5*1000)</f>
        <v/>
      </c>
      <c r="V299" s="1">
        <f>T299-S299</f>
        <v/>
      </c>
      <c r="W299" s="1" t="n">
        <v>0.661460364099546</v>
      </c>
      <c r="X299" s="1">
        <f>W299*V299</f>
        <v/>
      </c>
      <c r="Y299" s="1">
        <f>T299-X299</f>
        <v/>
      </c>
      <c r="Z299" s="1">
        <f>'Paste cellinfo here'!$B$11</f>
        <v/>
      </c>
    </row>
    <row r="300">
      <c r="A300" s="1" t="n">
        <v>299</v>
      </c>
      <c r="B300" s="2">
        <f>DATE(Sintesi!$C$4-1,12,31)+A300</f>
        <v/>
      </c>
      <c r="C300" s="1">
        <f>'Paste cell here'!B300</f>
        <v/>
      </c>
      <c r="D300" s="1">
        <f>'Paste cell here'!I300</f>
        <v/>
      </c>
      <c r="E300" s="1">
        <f>'Paste cell here'!J300</f>
        <v/>
      </c>
      <c r="F300" s="1">
        <f>'Paste cell here'!K300</f>
        <v/>
      </c>
      <c r="G300" s="1">
        <f>'Paste cell here'!L300</f>
        <v/>
      </c>
      <c r="H300" s="1">
        <f>'Paste cell here'!M300</f>
        <v/>
      </c>
      <c r="I300" s="1">
        <f>'Paste cell here'!N300</f>
        <v/>
      </c>
      <c r="J300" s="1">
        <f>'Paste cell here'!O300</f>
        <v/>
      </c>
      <c r="K300" s="1">
        <f>'Paste cell here'!Q300</f>
        <v/>
      </c>
      <c r="L300" s="1">
        <f>'Paste cell here'!S300</f>
        <v/>
      </c>
      <c r="M300" s="1">
        <f>'Paste cell here'!T300</f>
        <v/>
      </c>
      <c r="N300" s="1">
        <f>'Paste cell here'!W300</f>
        <v/>
      </c>
      <c r="O300" s="1">
        <f>'Paste cell here'!U300</f>
        <v/>
      </c>
      <c r="P300" s="1">
        <f>O299</f>
        <v/>
      </c>
      <c r="Q300" s="1">
        <f>'Paste cell here'!V300</f>
        <v/>
      </c>
      <c r="R300" s="1">
        <f>ABS(O299+C300+D300+N300+Q299-H300-I300-K300-L300-M300-O300-Q300)</f>
        <v/>
      </c>
      <c r="S300" s="7">
        <f>Sintesi!$C$30</f>
        <v/>
      </c>
      <c r="T300" s="7">
        <f>Sintesi!$C$29</f>
        <v/>
      </c>
      <c r="U300" s="5">
        <f>O300/(Sintesi!$C$5*1000)</f>
        <v/>
      </c>
      <c r="V300" s="1">
        <f>T300-S300</f>
        <v/>
      </c>
      <c r="W300" s="1" t="n">
        <v>0.646315677458442</v>
      </c>
      <c r="X300" s="1">
        <f>W300*V300</f>
        <v/>
      </c>
      <c r="Y300" s="1">
        <f>T300-X300</f>
        <v/>
      </c>
      <c r="Z300" s="1">
        <f>'Paste cellinfo here'!$B$11</f>
        <v/>
      </c>
    </row>
    <row r="301">
      <c r="A301" s="1" t="n">
        <v>300</v>
      </c>
      <c r="B301" s="2">
        <f>DATE(Sintesi!$C$4-1,12,31)+A301</f>
        <v/>
      </c>
      <c r="C301" s="1">
        <f>'Paste cell here'!B301</f>
        <v/>
      </c>
      <c r="D301" s="1">
        <f>'Paste cell here'!I301</f>
        <v/>
      </c>
      <c r="E301" s="1">
        <f>'Paste cell here'!J301</f>
        <v/>
      </c>
      <c r="F301" s="1">
        <f>'Paste cell here'!K301</f>
        <v/>
      </c>
      <c r="G301" s="1">
        <f>'Paste cell here'!L301</f>
        <v/>
      </c>
      <c r="H301" s="1">
        <f>'Paste cell here'!M301</f>
        <v/>
      </c>
      <c r="I301" s="1">
        <f>'Paste cell here'!N301</f>
        <v/>
      </c>
      <c r="J301" s="1">
        <f>'Paste cell here'!O301</f>
        <v/>
      </c>
      <c r="K301" s="1">
        <f>'Paste cell here'!Q301</f>
        <v/>
      </c>
      <c r="L301" s="1">
        <f>'Paste cell here'!S301</f>
        <v/>
      </c>
      <c r="M301" s="1">
        <f>'Paste cell here'!T301</f>
        <v/>
      </c>
      <c r="N301" s="1">
        <f>'Paste cell here'!W301</f>
        <v/>
      </c>
      <c r="O301" s="1">
        <f>'Paste cell here'!U301</f>
        <v/>
      </c>
      <c r="P301" s="1">
        <f>O300</f>
        <v/>
      </c>
      <c r="Q301" s="1">
        <f>'Paste cell here'!V301</f>
        <v/>
      </c>
      <c r="R301" s="1">
        <f>ABS(O300+C301+D301+N301+Q300-H301-I301-K301-L301-M301-O301-Q301)</f>
        <v/>
      </c>
      <c r="S301" s="7">
        <f>Sintesi!$C$30</f>
        <v/>
      </c>
      <c r="T301" s="7">
        <f>Sintesi!$C$29</f>
        <v/>
      </c>
      <c r="U301" s="5">
        <f>O301/(Sintesi!$C$5*1000)</f>
        <v/>
      </c>
      <c r="V301" s="1">
        <f>T301-S301</f>
        <v/>
      </c>
      <c r="W301" s="1" t="n">
        <v>0.642084917118218</v>
      </c>
      <c r="X301" s="1">
        <f>W301*V301</f>
        <v/>
      </c>
      <c r="Y301" s="1">
        <f>T301-X301</f>
        <v/>
      </c>
      <c r="Z301" s="1">
        <f>'Paste cellinfo here'!$B$11</f>
        <v/>
      </c>
    </row>
    <row r="302">
      <c r="A302" s="1" t="n">
        <v>301</v>
      </c>
      <c r="B302" s="2">
        <f>DATE(Sintesi!$C$4-1,12,31)+A302</f>
        <v/>
      </c>
      <c r="C302" s="1">
        <f>'Paste cell here'!B302</f>
        <v/>
      </c>
      <c r="D302" s="1">
        <f>'Paste cell here'!I302</f>
        <v/>
      </c>
      <c r="E302" s="1">
        <f>'Paste cell here'!J302</f>
        <v/>
      </c>
      <c r="F302" s="1">
        <f>'Paste cell here'!K302</f>
        <v/>
      </c>
      <c r="G302" s="1">
        <f>'Paste cell here'!L302</f>
        <v/>
      </c>
      <c r="H302" s="1">
        <f>'Paste cell here'!M302</f>
        <v/>
      </c>
      <c r="I302" s="1">
        <f>'Paste cell here'!N302</f>
        <v/>
      </c>
      <c r="J302" s="1">
        <f>'Paste cell here'!O302</f>
        <v/>
      </c>
      <c r="K302" s="1">
        <f>'Paste cell here'!Q302</f>
        <v/>
      </c>
      <c r="L302" s="1">
        <f>'Paste cell here'!S302</f>
        <v/>
      </c>
      <c r="M302" s="1">
        <f>'Paste cell here'!T302</f>
        <v/>
      </c>
      <c r="N302" s="1">
        <f>'Paste cell here'!W302</f>
        <v/>
      </c>
      <c r="O302" s="1">
        <f>'Paste cell here'!U302</f>
        <v/>
      </c>
      <c r="P302" s="1">
        <f>O301</f>
        <v/>
      </c>
      <c r="Q302" s="1">
        <f>'Paste cell here'!V302</f>
        <v/>
      </c>
      <c r="R302" s="1">
        <f>ABS(O301+C302+D302+N302+Q301-H302-I302-K302-L302-M302-O302-Q302)</f>
        <v/>
      </c>
      <c r="S302" s="7">
        <f>Sintesi!$C$30</f>
        <v/>
      </c>
      <c r="T302" s="7">
        <f>Sintesi!$C$29</f>
        <v/>
      </c>
      <c r="U302" s="5">
        <f>O302/(Sintesi!$C$5*1000)</f>
        <v/>
      </c>
      <c r="V302" s="1">
        <f>T302-S302</f>
        <v/>
      </c>
      <c r="W302" s="1" t="n">
        <v>0.642840077580853</v>
      </c>
      <c r="X302" s="1">
        <f>W302*V302</f>
        <v/>
      </c>
      <c r="Y302" s="1">
        <f>T302-X302</f>
        <v/>
      </c>
      <c r="Z302" s="1">
        <f>'Paste cellinfo here'!$B$11</f>
        <v/>
      </c>
    </row>
    <row r="303">
      <c r="A303" s="1" t="n">
        <v>302</v>
      </c>
      <c r="B303" s="2">
        <f>DATE(Sintesi!$C$4-1,12,31)+A303</f>
        <v/>
      </c>
      <c r="C303" s="1">
        <f>'Paste cell here'!B303</f>
        <v/>
      </c>
      <c r="D303" s="1">
        <f>'Paste cell here'!I303</f>
        <v/>
      </c>
      <c r="E303" s="1">
        <f>'Paste cell here'!J303</f>
        <v/>
      </c>
      <c r="F303" s="1">
        <f>'Paste cell here'!K303</f>
        <v/>
      </c>
      <c r="G303" s="1">
        <f>'Paste cell here'!L303</f>
        <v/>
      </c>
      <c r="H303" s="1">
        <f>'Paste cell here'!M303</f>
        <v/>
      </c>
      <c r="I303" s="1">
        <f>'Paste cell here'!N303</f>
        <v/>
      </c>
      <c r="J303" s="1">
        <f>'Paste cell here'!O303</f>
        <v/>
      </c>
      <c r="K303" s="1">
        <f>'Paste cell here'!Q303</f>
        <v/>
      </c>
      <c r="L303" s="1">
        <f>'Paste cell here'!S303</f>
        <v/>
      </c>
      <c r="M303" s="1">
        <f>'Paste cell here'!T303</f>
        <v/>
      </c>
      <c r="N303" s="1">
        <f>'Paste cell here'!W303</f>
        <v/>
      </c>
      <c r="O303" s="1">
        <f>'Paste cell here'!U303</f>
        <v/>
      </c>
      <c r="P303" s="1">
        <f>O302</f>
        <v/>
      </c>
      <c r="Q303" s="1">
        <f>'Paste cell here'!V303</f>
        <v/>
      </c>
      <c r="R303" s="1">
        <f>ABS(O302+C303+D303+N303+Q302-H303-I303-K303-L303-M303-O303-Q303)</f>
        <v/>
      </c>
      <c r="S303" s="7">
        <f>Sintesi!$C$30</f>
        <v/>
      </c>
      <c r="T303" s="7">
        <f>Sintesi!$C$29</f>
        <v/>
      </c>
      <c r="U303" s="5">
        <f>O303/(Sintesi!$C$5*1000)</f>
        <v/>
      </c>
      <c r="V303" s="1">
        <f>T303-S303</f>
        <v/>
      </c>
      <c r="W303" s="1" t="n">
        <v>0.667028104266664</v>
      </c>
      <c r="X303" s="1">
        <f>W303*V303</f>
        <v/>
      </c>
      <c r="Y303" s="1">
        <f>T303-X303</f>
        <v/>
      </c>
      <c r="Z303" s="1">
        <f>'Paste cellinfo here'!$B$11</f>
        <v/>
      </c>
    </row>
    <row r="304">
      <c r="A304" s="1" t="n">
        <v>303</v>
      </c>
      <c r="B304" s="2">
        <f>DATE(Sintesi!$C$4-1,12,31)+A304</f>
        <v/>
      </c>
      <c r="C304" s="1">
        <f>'Paste cell here'!B304</f>
        <v/>
      </c>
      <c r="D304" s="1">
        <f>'Paste cell here'!I304</f>
        <v/>
      </c>
      <c r="E304" s="1">
        <f>'Paste cell here'!J304</f>
        <v/>
      </c>
      <c r="F304" s="1">
        <f>'Paste cell here'!K304</f>
        <v/>
      </c>
      <c r="G304" s="1">
        <f>'Paste cell here'!L304</f>
        <v/>
      </c>
      <c r="H304" s="1">
        <f>'Paste cell here'!M304</f>
        <v/>
      </c>
      <c r="I304" s="1">
        <f>'Paste cell here'!N304</f>
        <v/>
      </c>
      <c r="J304" s="1">
        <f>'Paste cell here'!O304</f>
        <v/>
      </c>
      <c r="K304" s="1">
        <f>'Paste cell here'!Q304</f>
        <v/>
      </c>
      <c r="L304" s="1">
        <f>'Paste cell here'!S304</f>
        <v/>
      </c>
      <c r="M304" s="1">
        <f>'Paste cell here'!T304</f>
        <v/>
      </c>
      <c r="N304" s="1">
        <f>'Paste cell here'!W304</f>
        <v/>
      </c>
      <c r="O304" s="1">
        <f>'Paste cell here'!U304</f>
        <v/>
      </c>
      <c r="P304" s="1">
        <f>O303</f>
        <v/>
      </c>
      <c r="Q304" s="1">
        <f>'Paste cell here'!V304</f>
        <v/>
      </c>
      <c r="R304" s="1">
        <f>ABS(O303+C304+D304+N304+Q303-H304-I304-K304-L304-M304-O304-Q304)</f>
        <v/>
      </c>
      <c r="S304" s="7">
        <f>Sintesi!$C$30</f>
        <v/>
      </c>
      <c r="T304" s="7">
        <f>Sintesi!$C$29</f>
        <v/>
      </c>
      <c r="U304" s="5">
        <f>O304/(Sintesi!$C$5*1000)</f>
        <v/>
      </c>
      <c r="V304" s="1">
        <f>T304-S304</f>
        <v/>
      </c>
      <c r="W304" s="1" t="n">
        <v>0.672956400957169</v>
      </c>
      <c r="X304" s="1">
        <f>W304*V304</f>
        <v/>
      </c>
      <c r="Y304" s="1">
        <f>T304-X304</f>
        <v/>
      </c>
      <c r="Z304" s="1">
        <f>'Paste cellinfo here'!$B$11</f>
        <v/>
      </c>
    </row>
    <row r="305">
      <c r="A305" s="1" t="n">
        <v>304</v>
      </c>
      <c r="B305" s="2">
        <f>DATE(Sintesi!$C$4-1,12,31)+A305</f>
        <v/>
      </c>
      <c r="C305" s="1">
        <f>'Paste cell here'!B305</f>
        <v/>
      </c>
      <c r="D305" s="1">
        <f>'Paste cell here'!I305</f>
        <v/>
      </c>
      <c r="E305" s="1">
        <f>'Paste cell here'!J305</f>
        <v/>
      </c>
      <c r="F305" s="1">
        <f>'Paste cell here'!K305</f>
        <v/>
      </c>
      <c r="G305" s="1">
        <f>'Paste cell here'!L305</f>
        <v/>
      </c>
      <c r="H305" s="1">
        <f>'Paste cell here'!M305</f>
        <v/>
      </c>
      <c r="I305" s="1">
        <f>'Paste cell here'!N305</f>
        <v/>
      </c>
      <c r="J305" s="1">
        <f>'Paste cell here'!O305</f>
        <v/>
      </c>
      <c r="K305" s="1">
        <f>'Paste cell here'!Q305</f>
        <v/>
      </c>
      <c r="L305" s="1">
        <f>'Paste cell here'!S305</f>
        <v/>
      </c>
      <c r="M305" s="1">
        <f>'Paste cell here'!T305</f>
        <v/>
      </c>
      <c r="N305" s="1">
        <f>'Paste cell here'!W305</f>
        <v/>
      </c>
      <c r="O305" s="1">
        <f>'Paste cell here'!U305</f>
        <v/>
      </c>
      <c r="P305" s="1">
        <f>O304</f>
        <v/>
      </c>
      <c r="Q305" s="1">
        <f>'Paste cell here'!V305</f>
        <v/>
      </c>
      <c r="R305" s="1">
        <f>ABS(O304+C305+D305+N305+Q304-H305-I305-K305-L305-M305-O305-Q305)</f>
        <v/>
      </c>
      <c r="S305" s="7">
        <f>Sintesi!$C$30</f>
        <v/>
      </c>
      <c r="T305" s="7">
        <f>Sintesi!$C$29</f>
        <v/>
      </c>
      <c r="U305" s="5">
        <f>O305/(Sintesi!$C$5*1000)</f>
        <v/>
      </c>
      <c r="V305" s="1">
        <f>T305-S305</f>
        <v/>
      </c>
      <c r="W305" s="1" t="n">
        <v>0.656280313210418</v>
      </c>
      <c r="X305" s="1">
        <f>W305*V305</f>
        <v/>
      </c>
      <c r="Y305" s="1">
        <f>T305-X305</f>
        <v/>
      </c>
      <c r="Z305" s="1">
        <f>'Paste cellinfo here'!$B$11</f>
        <v/>
      </c>
    </row>
    <row r="306">
      <c r="A306" s="1" t="n">
        <v>305</v>
      </c>
      <c r="B306" s="2">
        <f>DATE(Sintesi!$C$4-1,12,31)+A306</f>
        <v/>
      </c>
      <c r="C306" s="1">
        <f>'Paste cell here'!B306</f>
        <v/>
      </c>
      <c r="D306" s="1">
        <f>'Paste cell here'!I306</f>
        <v/>
      </c>
      <c r="E306" s="1">
        <f>'Paste cell here'!J306</f>
        <v/>
      </c>
      <c r="F306" s="1">
        <f>'Paste cell here'!K306</f>
        <v/>
      </c>
      <c r="G306" s="1">
        <f>'Paste cell here'!L306</f>
        <v/>
      </c>
      <c r="H306" s="1">
        <f>'Paste cell here'!M306</f>
        <v/>
      </c>
      <c r="I306" s="1">
        <f>'Paste cell here'!N306</f>
        <v/>
      </c>
      <c r="J306" s="1">
        <f>'Paste cell here'!O306</f>
        <v/>
      </c>
      <c r="K306" s="1">
        <f>'Paste cell here'!Q306</f>
        <v/>
      </c>
      <c r="L306" s="1">
        <f>'Paste cell here'!S306</f>
        <v/>
      </c>
      <c r="M306" s="1">
        <f>'Paste cell here'!T306</f>
        <v/>
      </c>
      <c r="N306" s="1">
        <f>'Paste cell here'!W306</f>
        <v/>
      </c>
      <c r="O306" s="1">
        <f>'Paste cell here'!U306</f>
        <v/>
      </c>
      <c r="P306" s="1">
        <f>O305</f>
        <v/>
      </c>
      <c r="Q306" s="1">
        <f>'Paste cell here'!V306</f>
        <v/>
      </c>
      <c r="R306" s="1">
        <f>ABS(O305+C306+D306+N306+Q305-H306-I306-K306-L306-M306-O306-Q306)</f>
        <v/>
      </c>
      <c r="S306" s="7">
        <f>Sintesi!$C$30</f>
        <v/>
      </c>
      <c r="T306" s="7">
        <f>Sintesi!$C$29</f>
        <v/>
      </c>
      <c r="U306" s="5">
        <f>O306/(Sintesi!$C$5*1000)</f>
        <v/>
      </c>
      <c r="V306" s="1">
        <f>T306-S306</f>
        <v/>
      </c>
      <c r="W306" s="1" t="n">
        <v>0.6574329753993881</v>
      </c>
      <c r="X306" s="1">
        <f>W306*V306</f>
        <v/>
      </c>
      <c r="Y306" s="1">
        <f>T306-X306</f>
        <v/>
      </c>
      <c r="Z306" s="1">
        <f>'Paste cellinfo here'!$B$11</f>
        <v/>
      </c>
    </row>
    <row r="307">
      <c r="A307" s="1" t="n">
        <v>306</v>
      </c>
      <c r="B307" s="2">
        <f>DATE(Sintesi!$C$4-1,12,31)+A307</f>
        <v/>
      </c>
      <c r="C307" s="1">
        <f>'Paste cell here'!B307</f>
        <v/>
      </c>
      <c r="D307" s="1">
        <f>'Paste cell here'!I307</f>
        <v/>
      </c>
      <c r="E307" s="1">
        <f>'Paste cell here'!J307</f>
        <v/>
      </c>
      <c r="F307" s="1">
        <f>'Paste cell here'!K307</f>
        <v/>
      </c>
      <c r="G307" s="1">
        <f>'Paste cell here'!L307</f>
        <v/>
      </c>
      <c r="H307" s="1">
        <f>'Paste cell here'!M307</f>
        <v/>
      </c>
      <c r="I307" s="1">
        <f>'Paste cell here'!N307</f>
        <v/>
      </c>
      <c r="J307" s="1">
        <f>'Paste cell here'!O307</f>
        <v/>
      </c>
      <c r="K307" s="1">
        <f>'Paste cell here'!Q307</f>
        <v/>
      </c>
      <c r="L307" s="1">
        <f>'Paste cell here'!S307</f>
        <v/>
      </c>
      <c r="M307" s="1">
        <f>'Paste cell here'!T307</f>
        <v/>
      </c>
      <c r="N307" s="1">
        <f>'Paste cell here'!W307</f>
        <v/>
      </c>
      <c r="O307" s="1">
        <f>'Paste cell here'!U307</f>
        <v/>
      </c>
      <c r="P307" s="1">
        <f>O306</f>
        <v/>
      </c>
      <c r="Q307" s="1">
        <f>'Paste cell here'!V307</f>
        <v/>
      </c>
      <c r="R307" s="1">
        <f>ABS(O306+C307+D307+N307+Q306-H307-I307-K307-L307-M307-O307-Q307)</f>
        <v/>
      </c>
      <c r="S307" s="7">
        <f>Sintesi!$C$30</f>
        <v/>
      </c>
      <c r="T307" s="7">
        <f>Sintesi!$C$29</f>
        <v/>
      </c>
      <c r="U307" s="5">
        <f>O307/(Sintesi!$C$5*1000)</f>
        <v/>
      </c>
      <c r="V307" s="1">
        <f>T307-S307</f>
        <v/>
      </c>
      <c r="W307" s="1" t="n">
        <v>0.6635951752238231</v>
      </c>
      <c r="X307" s="1">
        <f>W307*V307</f>
        <v/>
      </c>
      <c r="Y307" s="1">
        <f>T307-X307</f>
        <v/>
      </c>
      <c r="Z307" s="1">
        <f>'Paste cellinfo here'!$B$11</f>
        <v/>
      </c>
    </row>
    <row r="308">
      <c r="A308" s="1" t="n">
        <v>307</v>
      </c>
      <c r="B308" s="2">
        <f>DATE(Sintesi!$C$4-1,12,31)+A308</f>
        <v/>
      </c>
      <c r="C308" s="1">
        <f>'Paste cell here'!B308</f>
        <v/>
      </c>
      <c r="D308" s="1">
        <f>'Paste cell here'!I308</f>
        <v/>
      </c>
      <c r="E308" s="1">
        <f>'Paste cell here'!J308</f>
        <v/>
      </c>
      <c r="F308" s="1">
        <f>'Paste cell here'!K308</f>
        <v/>
      </c>
      <c r="G308" s="1">
        <f>'Paste cell here'!L308</f>
        <v/>
      </c>
      <c r="H308" s="1">
        <f>'Paste cell here'!M308</f>
        <v/>
      </c>
      <c r="I308" s="1">
        <f>'Paste cell here'!N308</f>
        <v/>
      </c>
      <c r="J308" s="1">
        <f>'Paste cell here'!O308</f>
        <v/>
      </c>
      <c r="K308" s="1">
        <f>'Paste cell here'!Q308</f>
        <v/>
      </c>
      <c r="L308" s="1">
        <f>'Paste cell here'!S308</f>
        <v/>
      </c>
      <c r="M308" s="1">
        <f>'Paste cell here'!T308</f>
        <v/>
      </c>
      <c r="N308" s="1">
        <f>'Paste cell here'!W308</f>
        <v/>
      </c>
      <c r="O308" s="1">
        <f>'Paste cell here'!U308</f>
        <v/>
      </c>
      <c r="P308" s="1">
        <f>O307</f>
        <v/>
      </c>
      <c r="Q308" s="1">
        <f>'Paste cell here'!V308</f>
        <v/>
      </c>
      <c r="R308" s="1">
        <f>ABS(O307+C308+D308+N308+Q307-H308-I308-K308-L308-M308-O308-Q308)</f>
        <v/>
      </c>
      <c r="S308" s="7">
        <f>Sintesi!$C$30</f>
        <v/>
      </c>
      <c r="T308" s="7">
        <f>Sintesi!$C$29</f>
        <v/>
      </c>
      <c r="U308" s="5">
        <f>O308/(Sintesi!$C$5*1000)</f>
        <v/>
      </c>
      <c r="V308" s="1">
        <f>T308-S308</f>
        <v/>
      </c>
      <c r="W308" s="1" t="n">
        <v>0.674379454696256</v>
      </c>
      <c r="X308" s="1">
        <f>W308*V308</f>
        <v/>
      </c>
      <c r="Y308" s="1">
        <f>T308-X308</f>
        <v/>
      </c>
      <c r="Z308" s="1">
        <f>'Paste cellinfo here'!$B$11</f>
        <v/>
      </c>
    </row>
    <row r="309">
      <c r="A309" s="1" t="n">
        <v>308</v>
      </c>
      <c r="B309" s="2">
        <f>DATE(Sintesi!$C$4-1,12,31)+A309</f>
        <v/>
      </c>
      <c r="C309" s="1">
        <f>'Paste cell here'!B309</f>
        <v/>
      </c>
      <c r="D309" s="1">
        <f>'Paste cell here'!I309</f>
        <v/>
      </c>
      <c r="E309" s="1">
        <f>'Paste cell here'!J309</f>
        <v/>
      </c>
      <c r="F309" s="1">
        <f>'Paste cell here'!K309</f>
        <v/>
      </c>
      <c r="G309" s="1">
        <f>'Paste cell here'!L309</f>
        <v/>
      </c>
      <c r="H309" s="1">
        <f>'Paste cell here'!M309</f>
        <v/>
      </c>
      <c r="I309" s="1">
        <f>'Paste cell here'!N309</f>
        <v/>
      </c>
      <c r="J309" s="1">
        <f>'Paste cell here'!O309</f>
        <v/>
      </c>
      <c r="K309" s="1">
        <f>'Paste cell here'!Q309</f>
        <v/>
      </c>
      <c r="L309" s="1">
        <f>'Paste cell here'!S309</f>
        <v/>
      </c>
      <c r="M309" s="1">
        <f>'Paste cell here'!T309</f>
        <v/>
      </c>
      <c r="N309" s="1">
        <f>'Paste cell here'!W309</f>
        <v/>
      </c>
      <c r="O309" s="1">
        <f>'Paste cell here'!U309</f>
        <v/>
      </c>
      <c r="P309" s="1">
        <f>O308</f>
        <v/>
      </c>
      <c r="Q309" s="1">
        <f>'Paste cell here'!V309</f>
        <v/>
      </c>
      <c r="R309" s="1">
        <f>ABS(O308+C309+D309+N309+Q308-H309-I309-K309-L309-M309-O309-Q309)</f>
        <v/>
      </c>
      <c r="S309" s="7">
        <f>Sintesi!$C$30</f>
        <v/>
      </c>
      <c r="T309" s="7">
        <f>Sintesi!$C$29</f>
        <v/>
      </c>
      <c r="U309" s="5">
        <f>O309/(Sintesi!$C$5*1000)</f>
        <v/>
      </c>
      <c r="V309" s="1">
        <f>T309-S309</f>
        <v/>
      </c>
      <c r="W309" s="1" t="n">
        <v>0.673863486188943</v>
      </c>
      <c r="X309" s="1">
        <f>W309*V309</f>
        <v/>
      </c>
      <c r="Y309" s="1">
        <f>T309-X309</f>
        <v/>
      </c>
      <c r="Z309" s="1">
        <f>'Paste cellinfo here'!$B$11</f>
        <v/>
      </c>
    </row>
    <row r="310">
      <c r="A310" s="1" t="n">
        <v>309</v>
      </c>
      <c r="B310" s="2">
        <f>DATE(Sintesi!$C$4-1,12,31)+A310</f>
        <v/>
      </c>
      <c r="C310" s="1">
        <f>'Paste cell here'!B310</f>
        <v/>
      </c>
      <c r="D310" s="1">
        <f>'Paste cell here'!I310</f>
        <v/>
      </c>
      <c r="E310" s="1">
        <f>'Paste cell here'!J310</f>
        <v/>
      </c>
      <c r="F310" s="1">
        <f>'Paste cell here'!K310</f>
        <v/>
      </c>
      <c r="G310" s="1">
        <f>'Paste cell here'!L310</f>
        <v/>
      </c>
      <c r="H310" s="1">
        <f>'Paste cell here'!M310</f>
        <v/>
      </c>
      <c r="I310" s="1">
        <f>'Paste cell here'!N310</f>
        <v/>
      </c>
      <c r="J310" s="1">
        <f>'Paste cell here'!O310</f>
        <v/>
      </c>
      <c r="K310" s="1">
        <f>'Paste cell here'!Q310</f>
        <v/>
      </c>
      <c r="L310" s="1">
        <f>'Paste cell here'!S310</f>
        <v/>
      </c>
      <c r="M310" s="1">
        <f>'Paste cell here'!T310</f>
        <v/>
      </c>
      <c r="N310" s="1">
        <f>'Paste cell here'!W310</f>
        <v/>
      </c>
      <c r="O310" s="1">
        <f>'Paste cell here'!U310</f>
        <v/>
      </c>
      <c r="P310" s="1">
        <f>O309</f>
        <v/>
      </c>
      <c r="Q310" s="1">
        <f>'Paste cell here'!V310</f>
        <v/>
      </c>
      <c r="R310" s="1">
        <f>ABS(O309+C310+D310+N310+Q309-H310-I310-K310-L310-M310-O310-Q310)</f>
        <v/>
      </c>
      <c r="S310" s="7">
        <f>Sintesi!$C$30</f>
        <v/>
      </c>
      <c r="T310" s="7">
        <f>Sintesi!$C$29</f>
        <v/>
      </c>
      <c r="U310" s="5">
        <f>O310/(Sintesi!$C$5*1000)</f>
        <v/>
      </c>
      <c r="V310" s="1">
        <f>T310-S310</f>
        <v/>
      </c>
      <c r="W310" s="1" t="n">
        <v>0.649333885859122</v>
      </c>
      <c r="X310" s="1">
        <f>W310*V310</f>
        <v/>
      </c>
      <c r="Y310" s="1">
        <f>T310-X310</f>
        <v/>
      </c>
      <c r="Z310" s="1">
        <f>'Paste cellinfo here'!$B$11</f>
        <v/>
      </c>
    </row>
    <row r="311">
      <c r="A311" s="1" t="n">
        <v>310</v>
      </c>
      <c r="B311" s="2">
        <f>DATE(Sintesi!$C$4-1,12,31)+A311</f>
        <v/>
      </c>
      <c r="C311" s="1">
        <f>'Paste cell here'!B311</f>
        <v/>
      </c>
      <c r="D311" s="1">
        <f>'Paste cell here'!I311</f>
        <v/>
      </c>
      <c r="E311" s="1">
        <f>'Paste cell here'!J311</f>
        <v/>
      </c>
      <c r="F311" s="1">
        <f>'Paste cell here'!K311</f>
        <v/>
      </c>
      <c r="G311" s="1">
        <f>'Paste cell here'!L311</f>
        <v/>
      </c>
      <c r="H311" s="1">
        <f>'Paste cell here'!M311</f>
        <v/>
      </c>
      <c r="I311" s="1">
        <f>'Paste cell here'!N311</f>
        <v/>
      </c>
      <c r="J311" s="1">
        <f>'Paste cell here'!O311</f>
        <v/>
      </c>
      <c r="K311" s="1">
        <f>'Paste cell here'!Q311</f>
        <v/>
      </c>
      <c r="L311" s="1">
        <f>'Paste cell here'!S311</f>
        <v/>
      </c>
      <c r="M311" s="1">
        <f>'Paste cell here'!T311</f>
        <v/>
      </c>
      <c r="N311" s="1">
        <f>'Paste cell here'!W311</f>
        <v/>
      </c>
      <c r="O311" s="1">
        <f>'Paste cell here'!U311</f>
        <v/>
      </c>
      <c r="P311" s="1">
        <f>O310</f>
        <v/>
      </c>
      <c r="Q311" s="1">
        <f>'Paste cell here'!V311</f>
        <v/>
      </c>
      <c r="R311" s="1">
        <f>ABS(O310+C311+D311+N311+Q310-H311-I311-K311-L311-M311-O311-Q311)</f>
        <v/>
      </c>
      <c r="S311" s="7">
        <f>Sintesi!$C$30</f>
        <v/>
      </c>
      <c r="T311" s="7">
        <f>Sintesi!$C$29</f>
        <v/>
      </c>
      <c r="U311" s="5">
        <f>O311/(Sintesi!$C$5*1000)</f>
        <v/>
      </c>
      <c r="V311" s="1">
        <f>T311-S311</f>
        <v/>
      </c>
      <c r="W311" s="1" t="n">
        <v>0.664619177289922</v>
      </c>
      <c r="X311" s="1">
        <f>W311*V311</f>
        <v/>
      </c>
      <c r="Y311" s="1">
        <f>T311-X311</f>
        <v/>
      </c>
      <c r="Z311" s="1">
        <f>'Paste cellinfo here'!$B$11</f>
        <v/>
      </c>
    </row>
    <row r="312">
      <c r="A312" s="1" t="n">
        <v>311</v>
      </c>
      <c r="B312" s="2">
        <f>DATE(Sintesi!$C$4-1,12,31)+A312</f>
        <v/>
      </c>
      <c r="C312" s="1">
        <f>'Paste cell here'!B312</f>
        <v/>
      </c>
      <c r="D312" s="1">
        <f>'Paste cell here'!I312</f>
        <v/>
      </c>
      <c r="E312" s="1">
        <f>'Paste cell here'!J312</f>
        <v/>
      </c>
      <c r="F312" s="1">
        <f>'Paste cell here'!K312</f>
        <v/>
      </c>
      <c r="G312" s="1">
        <f>'Paste cell here'!L312</f>
        <v/>
      </c>
      <c r="H312" s="1">
        <f>'Paste cell here'!M312</f>
        <v/>
      </c>
      <c r="I312" s="1">
        <f>'Paste cell here'!N312</f>
        <v/>
      </c>
      <c r="J312" s="1">
        <f>'Paste cell here'!O312</f>
        <v/>
      </c>
      <c r="K312" s="1">
        <f>'Paste cell here'!Q312</f>
        <v/>
      </c>
      <c r="L312" s="1">
        <f>'Paste cell here'!S312</f>
        <v/>
      </c>
      <c r="M312" s="1">
        <f>'Paste cell here'!T312</f>
        <v/>
      </c>
      <c r="N312" s="1">
        <f>'Paste cell here'!W312</f>
        <v/>
      </c>
      <c r="O312" s="1">
        <f>'Paste cell here'!U312</f>
        <v/>
      </c>
      <c r="P312" s="1">
        <f>O311</f>
        <v/>
      </c>
      <c r="Q312" s="1">
        <f>'Paste cell here'!V312</f>
        <v/>
      </c>
      <c r="R312" s="1">
        <f>ABS(O311+C312+D312+N312+Q311-H312-I312-K312-L312-M312-O312-Q312)</f>
        <v/>
      </c>
      <c r="S312" s="7">
        <f>Sintesi!$C$30</f>
        <v/>
      </c>
      <c r="T312" s="7">
        <f>Sintesi!$C$29</f>
        <v/>
      </c>
      <c r="U312" s="5">
        <f>O312/(Sintesi!$C$5*1000)</f>
        <v/>
      </c>
      <c r="V312" s="1">
        <f>T312-S312</f>
        <v/>
      </c>
      <c r="W312" s="1" t="n">
        <v>0.673349572678138</v>
      </c>
      <c r="X312" s="1">
        <f>W312*V312</f>
        <v/>
      </c>
      <c r="Y312" s="1">
        <f>T312-X312</f>
        <v/>
      </c>
      <c r="Z312" s="1">
        <f>'Paste cellinfo here'!$B$11</f>
        <v/>
      </c>
    </row>
    <row r="313">
      <c r="A313" s="1" t="n">
        <v>312</v>
      </c>
      <c r="B313" s="2">
        <f>DATE(Sintesi!$C$4-1,12,31)+A313</f>
        <v/>
      </c>
      <c r="C313" s="1">
        <f>'Paste cell here'!B313</f>
        <v/>
      </c>
      <c r="D313" s="1">
        <f>'Paste cell here'!I313</f>
        <v/>
      </c>
      <c r="E313" s="1">
        <f>'Paste cell here'!J313</f>
        <v/>
      </c>
      <c r="F313" s="1">
        <f>'Paste cell here'!K313</f>
        <v/>
      </c>
      <c r="G313" s="1">
        <f>'Paste cell here'!L313</f>
        <v/>
      </c>
      <c r="H313" s="1">
        <f>'Paste cell here'!M313</f>
        <v/>
      </c>
      <c r="I313" s="1">
        <f>'Paste cell here'!N313</f>
        <v/>
      </c>
      <c r="J313" s="1">
        <f>'Paste cell here'!O313</f>
        <v/>
      </c>
      <c r="K313" s="1">
        <f>'Paste cell here'!Q313</f>
        <v/>
      </c>
      <c r="L313" s="1">
        <f>'Paste cell here'!S313</f>
        <v/>
      </c>
      <c r="M313" s="1">
        <f>'Paste cell here'!T313</f>
        <v/>
      </c>
      <c r="N313" s="1">
        <f>'Paste cell here'!W313</f>
        <v/>
      </c>
      <c r="O313" s="1">
        <f>'Paste cell here'!U313</f>
        <v/>
      </c>
      <c r="P313" s="1">
        <f>O312</f>
        <v/>
      </c>
      <c r="Q313" s="1">
        <f>'Paste cell here'!V313</f>
        <v/>
      </c>
      <c r="R313" s="1">
        <f>ABS(O312+C313+D313+N313+Q312-H313-I313-K313-L313-M313-O313-Q313)</f>
        <v/>
      </c>
      <c r="S313" s="7">
        <f>Sintesi!$C$30</f>
        <v/>
      </c>
      <c r="T313" s="7">
        <f>Sintesi!$C$29</f>
        <v/>
      </c>
      <c r="U313" s="5">
        <f>O313/(Sintesi!$C$5*1000)</f>
        <v/>
      </c>
      <c r="V313" s="1">
        <f>T313-S313</f>
        <v/>
      </c>
      <c r="W313" s="1" t="n">
        <v>0.666891544366253</v>
      </c>
      <c r="X313" s="1">
        <f>W313*V313</f>
        <v/>
      </c>
      <c r="Y313" s="1">
        <f>T313-X313</f>
        <v/>
      </c>
      <c r="Z313" s="1">
        <f>'Paste cellinfo here'!$B$11</f>
        <v/>
      </c>
    </row>
    <row r="314">
      <c r="A314" s="1" t="n">
        <v>313</v>
      </c>
      <c r="B314" s="2">
        <f>DATE(Sintesi!$C$4-1,12,31)+A314</f>
        <v/>
      </c>
      <c r="C314" s="1">
        <f>'Paste cell here'!B314</f>
        <v/>
      </c>
      <c r="D314" s="1">
        <f>'Paste cell here'!I314</f>
        <v/>
      </c>
      <c r="E314" s="1">
        <f>'Paste cell here'!J314</f>
        <v/>
      </c>
      <c r="F314" s="1">
        <f>'Paste cell here'!K314</f>
        <v/>
      </c>
      <c r="G314" s="1">
        <f>'Paste cell here'!L314</f>
        <v/>
      </c>
      <c r="H314" s="1">
        <f>'Paste cell here'!M314</f>
        <v/>
      </c>
      <c r="I314" s="1">
        <f>'Paste cell here'!N314</f>
        <v/>
      </c>
      <c r="J314" s="1">
        <f>'Paste cell here'!O314</f>
        <v/>
      </c>
      <c r="K314" s="1">
        <f>'Paste cell here'!Q314</f>
        <v/>
      </c>
      <c r="L314" s="1">
        <f>'Paste cell here'!S314</f>
        <v/>
      </c>
      <c r="M314" s="1">
        <f>'Paste cell here'!T314</f>
        <v/>
      </c>
      <c r="N314" s="1">
        <f>'Paste cell here'!W314</f>
        <v/>
      </c>
      <c r="O314" s="1">
        <f>'Paste cell here'!U314</f>
        <v/>
      </c>
      <c r="P314" s="1">
        <f>O313</f>
        <v/>
      </c>
      <c r="Q314" s="1">
        <f>'Paste cell here'!V314</f>
        <v/>
      </c>
      <c r="R314" s="1">
        <f>ABS(O313+C314+D314+N314+Q313-H314-I314-K314-L314-M314-O314-Q314)</f>
        <v/>
      </c>
      <c r="S314" s="7">
        <f>Sintesi!$C$30</f>
        <v/>
      </c>
      <c r="T314" s="7">
        <f>Sintesi!$C$29</f>
        <v/>
      </c>
      <c r="U314" s="5">
        <f>O314/(Sintesi!$C$5*1000)</f>
        <v/>
      </c>
      <c r="V314" s="1">
        <f>T314-S314</f>
        <v/>
      </c>
      <c r="W314" s="1" t="n">
        <v>0.667609729182245</v>
      </c>
      <c r="X314" s="1">
        <f>W314*V314</f>
        <v/>
      </c>
      <c r="Y314" s="1">
        <f>T314-X314</f>
        <v/>
      </c>
      <c r="Z314" s="1">
        <f>'Paste cellinfo here'!$B$11</f>
        <v/>
      </c>
    </row>
    <row r="315">
      <c r="A315" s="1" t="n">
        <v>314</v>
      </c>
      <c r="B315" s="2">
        <f>DATE(Sintesi!$C$4-1,12,31)+A315</f>
        <v/>
      </c>
      <c r="C315" s="1">
        <f>'Paste cell here'!B315</f>
        <v/>
      </c>
      <c r="D315" s="1">
        <f>'Paste cell here'!I315</f>
        <v/>
      </c>
      <c r="E315" s="1">
        <f>'Paste cell here'!J315</f>
        <v/>
      </c>
      <c r="F315" s="1">
        <f>'Paste cell here'!K315</f>
        <v/>
      </c>
      <c r="G315" s="1">
        <f>'Paste cell here'!L315</f>
        <v/>
      </c>
      <c r="H315" s="1">
        <f>'Paste cell here'!M315</f>
        <v/>
      </c>
      <c r="I315" s="1">
        <f>'Paste cell here'!N315</f>
        <v/>
      </c>
      <c r="J315" s="1">
        <f>'Paste cell here'!O315</f>
        <v/>
      </c>
      <c r="K315" s="1">
        <f>'Paste cell here'!Q315</f>
        <v/>
      </c>
      <c r="L315" s="1">
        <f>'Paste cell here'!S315</f>
        <v/>
      </c>
      <c r="M315" s="1">
        <f>'Paste cell here'!T315</f>
        <v/>
      </c>
      <c r="N315" s="1">
        <f>'Paste cell here'!W315</f>
        <v/>
      </c>
      <c r="O315" s="1">
        <f>'Paste cell here'!U315</f>
        <v/>
      </c>
      <c r="P315" s="1">
        <f>O314</f>
        <v/>
      </c>
      <c r="Q315" s="1">
        <f>'Paste cell here'!V315</f>
        <v/>
      </c>
      <c r="R315" s="1">
        <f>ABS(O314+C315+D315+N315+Q314-H315-I315-K315-L315-M315-O315-Q315)</f>
        <v/>
      </c>
      <c r="S315" s="7">
        <f>Sintesi!$C$30</f>
        <v/>
      </c>
      <c r="T315" s="7">
        <f>Sintesi!$C$29</f>
        <v/>
      </c>
      <c r="U315" s="5">
        <f>O315/(Sintesi!$C$5*1000)</f>
        <v/>
      </c>
      <c r="V315" s="1">
        <f>T315-S315</f>
        <v/>
      </c>
      <c r="W315" s="1" t="n">
        <v>0.665334210717922</v>
      </c>
      <c r="X315" s="1">
        <f>W315*V315</f>
        <v/>
      </c>
      <c r="Y315" s="1">
        <f>T315-X315</f>
        <v/>
      </c>
      <c r="Z315" s="1">
        <f>'Paste cellinfo here'!$B$11</f>
        <v/>
      </c>
    </row>
    <row r="316">
      <c r="A316" s="1" t="n">
        <v>315</v>
      </c>
      <c r="B316" s="2">
        <f>DATE(Sintesi!$C$4-1,12,31)+A316</f>
        <v/>
      </c>
      <c r="C316" s="1">
        <f>'Paste cell here'!B316</f>
        <v/>
      </c>
      <c r="D316" s="1">
        <f>'Paste cell here'!I316</f>
        <v/>
      </c>
      <c r="E316" s="1">
        <f>'Paste cell here'!J316</f>
        <v/>
      </c>
      <c r="F316" s="1">
        <f>'Paste cell here'!K316</f>
        <v/>
      </c>
      <c r="G316" s="1">
        <f>'Paste cell here'!L316</f>
        <v/>
      </c>
      <c r="H316" s="1">
        <f>'Paste cell here'!M316</f>
        <v/>
      </c>
      <c r="I316" s="1">
        <f>'Paste cell here'!N316</f>
        <v/>
      </c>
      <c r="J316" s="1">
        <f>'Paste cell here'!O316</f>
        <v/>
      </c>
      <c r="K316" s="1">
        <f>'Paste cell here'!Q316</f>
        <v/>
      </c>
      <c r="L316" s="1">
        <f>'Paste cell here'!S316</f>
        <v/>
      </c>
      <c r="M316" s="1">
        <f>'Paste cell here'!T316</f>
        <v/>
      </c>
      <c r="N316" s="1">
        <f>'Paste cell here'!W316</f>
        <v/>
      </c>
      <c r="O316" s="1">
        <f>'Paste cell here'!U316</f>
        <v/>
      </c>
      <c r="P316" s="1">
        <f>O315</f>
        <v/>
      </c>
      <c r="Q316" s="1">
        <f>'Paste cell here'!V316</f>
        <v/>
      </c>
      <c r="R316" s="1">
        <f>ABS(O315+C316+D316+N316+Q315-H316-I316-K316-L316-M316-O316-Q316)</f>
        <v/>
      </c>
      <c r="S316" s="7">
        <f>Sintesi!$C$30</f>
        <v/>
      </c>
      <c r="T316" s="7">
        <f>Sintesi!$C$29</f>
        <v/>
      </c>
      <c r="U316" s="5">
        <f>O316/(Sintesi!$C$5*1000)</f>
        <v/>
      </c>
      <c r="V316" s="1">
        <f>T316-S316</f>
        <v/>
      </c>
      <c r="W316" s="1" t="n">
        <v>0.670227557252386</v>
      </c>
      <c r="X316" s="1">
        <f>W316*V316</f>
        <v/>
      </c>
      <c r="Y316" s="1">
        <f>T316-X316</f>
        <v/>
      </c>
      <c r="Z316" s="1">
        <f>'Paste cellinfo here'!$B$11</f>
        <v/>
      </c>
    </row>
    <row r="317">
      <c r="A317" s="1" t="n">
        <v>316</v>
      </c>
      <c r="B317" s="2">
        <f>DATE(Sintesi!$C$4-1,12,31)+A317</f>
        <v/>
      </c>
      <c r="C317" s="1">
        <f>'Paste cell here'!B317</f>
        <v/>
      </c>
      <c r="D317" s="1">
        <f>'Paste cell here'!I317</f>
        <v/>
      </c>
      <c r="E317" s="1">
        <f>'Paste cell here'!J317</f>
        <v/>
      </c>
      <c r="F317" s="1">
        <f>'Paste cell here'!K317</f>
        <v/>
      </c>
      <c r="G317" s="1">
        <f>'Paste cell here'!L317</f>
        <v/>
      </c>
      <c r="H317" s="1">
        <f>'Paste cell here'!M317</f>
        <v/>
      </c>
      <c r="I317" s="1">
        <f>'Paste cell here'!N317</f>
        <v/>
      </c>
      <c r="J317" s="1">
        <f>'Paste cell here'!O317</f>
        <v/>
      </c>
      <c r="K317" s="1">
        <f>'Paste cell here'!Q317</f>
        <v/>
      </c>
      <c r="L317" s="1">
        <f>'Paste cell here'!S317</f>
        <v/>
      </c>
      <c r="M317" s="1">
        <f>'Paste cell here'!T317</f>
        <v/>
      </c>
      <c r="N317" s="1">
        <f>'Paste cell here'!W317</f>
        <v/>
      </c>
      <c r="O317" s="1">
        <f>'Paste cell here'!U317</f>
        <v/>
      </c>
      <c r="P317" s="1">
        <f>O316</f>
        <v/>
      </c>
      <c r="Q317" s="1">
        <f>'Paste cell here'!V317</f>
        <v/>
      </c>
      <c r="R317" s="1">
        <f>ABS(O316+C317+D317+N317+Q316-H317-I317-K317-L317-M317-O317-Q317)</f>
        <v/>
      </c>
      <c r="S317" s="7">
        <f>Sintesi!$C$30</f>
        <v/>
      </c>
      <c r="T317" s="7">
        <f>Sintesi!$C$29</f>
        <v/>
      </c>
      <c r="U317" s="5">
        <f>O317/(Sintesi!$C$5*1000)</f>
        <v/>
      </c>
      <c r="V317" s="1">
        <f>T317-S317</f>
        <v/>
      </c>
      <c r="W317" s="1" t="n">
        <v>0.667330670295142</v>
      </c>
      <c r="X317" s="1">
        <f>W317*V317</f>
        <v/>
      </c>
      <c r="Y317" s="1">
        <f>T317-X317</f>
        <v/>
      </c>
      <c r="Z317" s="1">
        <f>'Paste cellinfo here'!$B$11</f>
        <v/>
      </c>
    </row>
    <row r="318">
      <c r="A318" s="1" t="n">
        <v>317</v>
      </c>
      <c r="B318" s="2">
        <f>DATE(Sintesi!$C$4-1,12,31)+A318</f>
        <v/>
      </c>
      <c r="C318" s="1">
        <f>'Paste cell here'!B318</f>
        <v/>
      </c>
      <c r="D318" s="1">
        <f>'Paste cell here'!I318</f>
        <v/>
      </c>
      <c r="E318" s="1">
        <f>'Paste cell here'!J318</f>
        <v/>
      </c>
      <c r="F318" s="1">
        <f>'Paste cell here'!K318</f>
        <v/>
      </c>
      <c r="G318" s="1">
        <f>'Paste cell here'!L318</f>
        <v/>
      </c>
      <c r="H318" s="1">
        <f>'Paste cell here'!M318</f>
        <v/>
      </c>
      <c r="I318" s="1">
        <f>'Paste cell here'!N318</f>
        <v/>
      </c>
      <c r="J318" s="1">
        <f>'Paste cell here'!O318</f>
        <v/>
      </c>
      <c r="K318" s="1">
        <f>'Paste cell here'!Q318</f>
        <v/>
      </c>
      <c r="L318" s="1">
        <f>'Paste cell here'!S318</f>
        <v/>
      </c>
      <c r="M318" s="1">
        <f>'Paste cell here'!T318</f>
        <v/>
      </c>
      <c r="N318" s="1">
        <f>'Paste cell here'!W318</f>
        <v/>
      </c>
      <c r="O318" s="1">
        <f>'Paste cell here'!U318</f>
        <v/>
      </c>
      <c r="P318" s="1">
        <f>O317</f>
        <v/>
      </c>
      <c r="Q318" s="1">
        <f>'Paste cell here'!V318</f>
        <v/>
      </c>
      <c r="R318" s="1">
        <f>ABS(O317+C318+D318+N318+Q317-H318-I318-K318-L318-M318-O318-Q318)</f>
        <v/>
      </c>
      <c r="S318" s="7">
        <f>Sintesi!$C$30</f>
        <v/>
      </c>
      <c r="T318" s="7">
        <f>Sintesi!$C$29</f>
        <v/>
      </c>
      <c r="U318" s="5">
        <f>O318/(Sintesi!$C$5*1000)</f>
        <v/>
      </c>
      <c r="V318" s="1">
        <f>T318-S318</f>
        <v/>
      </c>
      <c r="W318" s="1" t="n">
        <v>0.676103396323223</v>
      </c>
      <c r="X318" s="1">
        <f>W318*V318</f>
        <v/>
      </c>
      <c r="Y318" s="1">
        <f>T318-X318</f>
        <v/>
      </c>
      <c r="Z318" s="1">
        <f>'Paste cellinfo here'!$B$11</f>
        <v/>
      </c>
    </row>
    <row r="319">
      <c r="A319" s="1" t="n">
        <v>318</v>
      </c>
      <c r="B319" s="2">
        <f>DATE(Sintesi!$C$4-1,12,31)+A319</f>
        <v/>
      </c>
      <c r="C319" s="1">
        <f>'Paste cell here'!B319</f>
        <v/>
      </c>
      <c r="D319" s="1">
        <f>'Paste cell here'!I319</f>
        <v/>
      </c>
      <c r="E319" s="1">
        <f>'Paste cell here'!J319</f>
        <v/>
      </c>
      <c r="F319" s="1">
        <f>'Paste cell here'!K319</f>
        <v/>
      </c>
      <c r="G319" s="1">
        <f>'Paste cell here'!L319</f>
        <v/>
      </c>
      <c r="H319" s="1">
        <f>'Paste cell here'!M319</f>
        <v/>
      </c>
      <c r="I319" s="1">
        <f>'Paste cell here'!N319</f>
        <v/>
      </c>
      <c r="J319" s="1">
        <f>'Paste cell here'!O319</f>
        <v/>
      </c>
      <c r="K319" s="1">
        <f>'Paste cell here'!Q319</f>
        <v/>
      </c>
      <c r="L319" s="1">
        <f>'Paste cell here'!S319</f>
        <v/>
      </c>
      <c r="M319" s="1">
        <f>'Paste cell here'!T319</f>
        <v/>
      </c>
      <c r="N319" s="1">
        <f>'Paste cell here'!W319</f>
        <v/>
      </c>
      <c r="O319" s="1">
        <f>'Paste cell here'!U319</f>
        <v/>
      </c>
      <c r="P319" s="1">
        <f>O318</f>
        <v/>
      </c>
      <c r="Q319" s="1">
        <f>'Paste cell here'!V319</f>
        <v/>
      </c>
      <c r="R319" s="1">
        <f>ABS(O318+C319+D319+N319+Q318-H319-I319-K319-L319-M319-O319-Q319)</f>
        <v/>
      </c>
      <c r="S319" s="7">
        <f>Sintesi!$C$30</f>
        <v/>
      </c>
      <c r="T319" s="7">
        <f>Sintesi!$C$29</f>
        <v/>
      </c>
      <c r="U319" s="5">
        <f>O319/(Sintesi!$C$5*1000)</f>
        <v/>
      </c>
      <c r="V319" s="1">
        <f>T319-S319</f>
        <v/>
      </c>
      <c r="W319" s="1" t="n">
        <v>0.664889469575906</v>
      </c>
      <c r="X319" s="1">
        <f>W319*V319</f>
        <v/>
      </c>
      <c r="Y319" s="1">
        <f>T319-X319</f>
        <v/>
      </c>
      <c r="Z319" s="1">
        <f>'Paste cellinfo here'!$B$11</f>
        <v/>
      </c>
    </row>
    <row r="320">
      <c r="A320" s="1" t="n">
        <v>319</v>
      </c>
      <c r="B320" s="2">
        <f>DATE(Sintesi!$C$4-1,12,31)+A320</f>
        <v/>
      </c>
      <c r="C320" s="1">
        <f>'Paste cell here'!B320</f>
        <v/>
      </c>
      <c r="D320" s="1">
        <f>'Paste cell here'!I320</f>
        <v/>
      </c>
      <c r="E320" s="1">
        <f>'Paste cell here'!J320</f>
        <v/>
      </c>
      <c r="F320" s="1">
        <f>'Paste cell here'!K320</f>
        <v/>
      </c>
      <c r="G320" s="1">
        <f>'Paste cell here'!L320</f>
        <v/>
      </c>
      <c r="H320" s="1">
        <f>'Paste cell here'!M320</f>
        <v/>
      </c>
      <c r="I320" s="1">
        <f>'Paste cell here'!N320</f>
        <v/>
      </c>
      <c r="J320" s="1">
        <f>'Paste cell here'!O320</f>
        <v/>
      </c>
      <c r="K320" s="1">
        <f>'Paste cell here'!Q320</f>
        <v/>
      </c>
      <c r="L320" s="1">
        <f>'Paste cell here'!S320</f>
        <v/>
      </c>
      <c r="M320" s="1">
        <f>'Paste cell here'!T320</f>
        <v/>
      </c>
      <c r="N320" s="1">
        <f>'Paste cell here'!W320</f>
        <v/>
      </c>
      <c r="O320" s="1">
        <f>'Paste cell here'!U320</f>
        <v/>
      </c>
      <c r="P320" s="1">
        <f>O319</f>
        <v/>
      </c>
      <c r="Q320" s="1">
        <f>'Paste cell here'!V320</f>
        <v/>
      </c>
      <c r="R320" s="1">
        <f>ABS(O319+C320+D320+N320+Q319-H320-I320-K320-L320-M320-O320-Q320)</f>
        <v/>
      </c>
      <c r="S320" s="7">
        <f>Sintesi!$C$30</f>
        <v/>
      </c>
      <c r="T320" s="7">
        <f>Sintesi!$C$29</f>
        <v/>
      </c>
      <c r="U320" s="5">
        <f>O320/(Sintesi!$C$5*1000)</f>
        <v/>
      </c>
      <c r="V320" s="1">
        <f>T320-S320</f>
        <v/>
      </c>
      <c r="W320" s="1" t="n">
        <v>0.641695484522839</v>
      </c>
      <c r="X320" s="1">
        <f>W320*V320</f>
        <v/>
      </c>
      <c r="Y320" s="1">
        <f>T320-X320</f>
        <v/>
      </c>
      <c r="Z320" s="1">
        <f>'Paste cellinfo here'!$B$11</f>
        <v/>
      </c>
    </row>
    <row r="321">
      <c r="A321" s="1" t="n">
        <v>320</v>
      </c>
      <c r="B321" s="2">
        <f>DATE(Sintesi!$C$4-1,12,31)+A321</f>
        <v/>
      </c>
      <c r="C321" s="1">
        <f>'Paste cell here'!B321</f>
        <v/>
      </c>
      <c r="D321" s="1">
        <f>'Paste cell here'!I321</f>
        <v/>
      </c>
      <c r="E321" s="1">
        <f>'Paste cell here'!J321</f>
        <v/>
      </c>
      <c r="F321" s="1">
        <f>'Paste cell here'!K321</f>
        <v/>
      </c>
      <c r="G321" s="1">
        <f>'Paste cell here'!L321</f>
        <v/>
      </c>
      <c r="H321" s="1">
        <f>'Paste cell here'!M321</f>
        <v/>
      </c>
      <c r="I321" s="1">
        <f>'Paste cell here'!N321</f>
        <v/>
      </c>
      <c r="J321" s="1">
        <f>'Paste cell here'!O321</f>
        <v/>
      </c>
      <c r="K321" s="1">
        <f>'Paste cell here'!Q321</f>
        <v/>
      </c>
      <c r="L321" s="1">
        <f>'Paste cell here'!S321</f>
        <v/>
      </c>
      <c r="M321" s="1">
        <f>'Paste cell here'!T321</f>
        <v/>
      </c>
      <c r="N321" s="1">
        <f>'Paste cell here'!W321</f>
        <v/>
      </c>
      <c r="O321" s="1">
        <f>'Paste cell here'!U321</f>
        <v/>
      </c>
      <c r="P321" s="1">
        <f>O320</f>
        <v/>
      </c>
      <c r="Q321" s="1">
        <f>'Paste cell here'!V321</f>
        <v/>
      </c>
      <c r="R321" s="1">
        <f>ABS(O320+C321+D321+N321+Q320-H321-I321-K321-L321-M321-O321-Q321)</f>
        <v/>
      </c>
      <c r="S321" s="7">
        <f>Sintesi!$C$30</f>
        <v/>
      </c>
      <c r="T321" s="7">
        <f>Sintesi!$C$29</f>
        <v/>
      </c>
      <c r="U321" s="5">
        <f>O321/(Sintesi!$C$5*1000)</f>
        <v/>
      </c>
      <c r="V321" s="1">
        <f>T321-S321</f>
        <v/>
      </c>
      <c r="W321" s="1" t="n">
        <v>0.67123581948719</v>
      </c>
      <c r="X321" s="1">
        <f>W321*V321</f>
        <v/>
      </c>
      <c r="Y321" s="1">
        <f>T321-X321</f>
        <v/>
      </c>
      <c r="Z321" s="1">
        <f>'Paste cellinfo here'!$B$11</f>
        <v/>
      </c>
    </row>
    <row r="322">
      <c r="A322" s="1" t="n">
        <v>321</v>
      </c>
      <c r="B322" s="2">
        <f>DATE(Sintesi!$C$4-1,12,31)+A322</f>
        <v/>
      </c>
      <c r="C322" s="1">
        <f>'Paste cell here'!B322</f>
        <v/>
      </c>
      <c r="D322" s="1">
        <f>'Paste cell here'!I322</f>
        <v/>
      </c>
      <c r="E322" s="1">
        <f>'Paste cell here'!J322</f>
        <v/>
      </c>
      <c r="F322" s="1">
        <f>'Paste cell here'!K322</f>
        <v/>
      </c>
      <c r="G322" s="1">
        <f>'Paste cell here'!L322</f>
        <v/>
      </c>
      <c r="H322" s="1">
        <f>'Paste cell here'!M322</f>
        <v/>
      </c>
      <c r="I322" s="1">
        <f>'Paste cell here'!N322</f>
        <v/>
      </c>
      <c r="J322" s="1">
        <f>'Paste cell here'!O322</f>
        <v/>
      </c>
      <c r="K322" s="1">
        <f>'Paste cell here'!Q322</f>
        <v/>
      </c>
      <c r="L322" s="1">
        <f>'Paste cell here'!S322</f>
        <v/>
      </c>
      <c r="M322" s="1">
        <f>'Paste cell here'!T322</f>
        <v/>
      </c>
      <c r="N322" s="1">
        <f>'Paste cell here'!W322</f>
        <v/>
      </c>
      <c r="O322" s="1">
        <f>'Paste cell here'!U322</f>
        <v/>
      </c>
      <c r="P322" s="1">
        <f>O321</f>
        <v/>
      </c>
      <c r="Q322" s="1">
        <f>'Paste cell here'!V322</f>
        <v/>
      </c>
      <c r="R322" s="1">
        <f>ABS(O321+C322+D322+N322+Q321-H322-I322-K322-L322-M322-O322-Q322)</f>
        <v/>
      </c>
      <c r="S322" s="7">
        <f>Sintesi!$C$30</f>
        <v/>
      </c>
      <c r="T322" s="7">
        <f>Sintesi!$C$29</f>
        <v/>
      </c>
      <c r="U322" s="5">
        <f>O322/(Sintesi!$C$5*1000)</f>
        <v/>
      </c>
      <c r="V322" s="1">
        <f>T322-S322</f>
        <v/>
      </c>
      <c r="W322" s="1" t="n">
        <v>0.669237351614134</v>
      </c>
      <c r="X322" s="1">
        <f>W322*V322</f>
        <v/>
      </c>
      <c r="Y322" s="1">
        <f>T322-X322</f>
        <v/>
      </c>
      <c r="Z322" s="1">
        <f>'Paste cellinfo here'!$B$11</f>
        <v/>
      </c>
    </row>
    <row r="323">
      <c r="A323" s="1" t="n">
        <v>322</v>
      </c>
      <c r="B323" s="2">
        <f>DATE(Sintesi!$C$4-1,12,31)+A323</f>
        <v/>
      </c>
      <c r="C323" s="1">
        <f>'Paste cell here'!B323</f>
        <v/>
      </c>
      <c r="D323" s="1">
        <f>'Paste cell here'!I323</f>
        <v/>
      </c>
      <c r="E323" s="1">
        <f>'Paste cell here'!J323</f>
        <v/>
      </c>
      <c r="F323" s="1">
        <f>'Paste cell here'!K323</f>
        <v/>
      </c>
      <c r="G323" s="1">
        <f>'Paste cell here'!L323</f>
        <v/>
      </c>
      <c r="H323" s="1">
        <f>'Paste cell here'!M323</f>
        <v/>
      </c>
      <c r="I323" s="1">
        <f>'Paste cell here'!N323</f>
        <v/>
      </c>
      <c r="J323" s="1">
        <f>'Paste cell here'!O323</f>
        <v/>
      </c>
      <c r="K323" s="1">
        <f>'Paste cell here'!Q323</f>
        <v/>
      </c>
      <c r="L323" s="1">
        <f>'Paste cell here'!S323</f>
        <v/>
      </c>
      <c r="M323" s="1">
        <f>'Paste cell here'!T323</f>
        <v/>
      </c>
      <c r="N323" s="1">
        <f>'Paste cell here'!W323</f>
        <v/>
      </c>
      <c r="O323" s="1">
        <f>'Paste cell here'!U323</f>
        <v/>
      </c>
      <c r="P323" s="1">
        <f>O322</f>
        <v/>
      </c>
      <c r="Q323" s="1">
        <f>'Paste cell here'!V323</f>
        <v/>
      </c>
      <c r="R323" s="1">
        <f>ABS(O322+C323+D323+N323+Q322-H323-I323-K323-L323-M323-O323-Q323)</f>
        <v/>
      </c>
      <c r="S323" s="7">
        <f>Sintesi!$C$30</f>
        <v/>
      </c>
      <c r="T323" s="7">
        <f>Sintesi!$C$29</f>
        <v/>
      </c>
      <c r="U323" s="5">
        <f>O323/(Sintesi!$C$5*1000)</f>
        <v/>
      </c>
      <c r="V323" s="1">
        <f>T323-S323</f>
        <v/>
      </c>
      <c r="W323" s="1" t="n">
        <v>0.6765051053903181</v>
      </c>
      <c r="X323" s="1">
        <f>W323*V323</f>
        <v/>
      </c>
      <c r="Y323" s="1">
        <f>T323-X323</f>
        <v/>
      </c>
      <c r="Z323" s="1">
        <f>'Paste cellinfo here'!$B$11</f>
        <v/>
      </c>
    </row>
    <row r="324">
      <c r="A324" s="1" t="n">
        <v>323</v>
      </c>
      <c r="B324" s="2">
        <f>DATE(Sintesi!$C$4-1,12,31)+A324</f>
        <v/>
      </c>
      <c r="C324" s="1">
        <f>'Paste cell here'!B324</f>
        <v/>
      </c>
      <c r="D324" s="1">
        <f>'Paste cell here'!I324</f>
        <v/>
      </c>
      <c r="E324" s="1">
        <f>'Paste cell here'!J324</f>
        <v/>
      </c>
      <c r="F324" s="1">
        <f>'Paste cell here'!K324</f>
        <v/>
      </c>
      <c r="G324" s="1">
        <f>'Paste cell here'!L324</f>
        <v/>
      </c>
      <c r="H324" s="1">
        <f>'Paste cell here'!M324</f>
        <v/>
      </c>
      <c r="I324" s="1">
        <f>'Paste cell here'!N324</f>
        <v/>
      </c>
      <c r="J324" s="1">
        <f>'Paste cell here'!O324</f>
        <v/>
      </c>
      <c r="K324" s="1">
        <f>'Paste cell here'!Q324</f>
        <v/>
      </c>
      <c r="L324" s="1">
        <f>'Paste cell here'!S324</f>
        <v/>
      </c>
      <c r="M324" s="1">
        <f>'Paste cell here'!T324</f>
        <v/>
      </c>
      <c r="N324" s="1">
        <f>'Paste cell here'!W324</f>
        <v/>
      </c>
      <c r="O324" s="1">
        <f>'Paste cell here'!U324</f>
        <v/>
      </c>
      <c r="P324" s="1">
        <f>O323</f>
        <v/>
      </c>
      <c r="Q324" s="1">
        <f>'Paste cell here'!V324</f>
        <v/>
      </c>
      <c r="R324" s="1">
        <f>ABS(O323+C324+D324+N324+Q323-H324-I324-K324-L324-M324-O324-Q324)</f>
        <v/>
      </c>
      <c r="S324" s="7">
        <f>Sintesi!$C$30</f>
        <v/>
      </c>
      <c r="T324" s="7">
        <f>Sintesi!$C$29</f>
        <v/>
      </c>
      <c r="U324" s="5">
        <f>O324/(Sintesi!$C$5*1000)</f>
        <v/>
      </c>
      <c r="V324" s="1">
        <f>T324-S324</f>
        <v/>
      </c>
      <c r="W324" s="1" t="n">
        <v>0.6730872961605791</v>
      </c>
      <c r="X324" s="1">
        <f>W324*V324</f>
        <v/>
      </c>
      <c r="Y324" s="1">
        <f>T324-X324</f>
        <v/>
      </c>
      <c r="Z324" s="1">
        <f>'Paste cellinfo here'!$B$11</f>
        <v/>
      </c>
    </row>
    <row r="325">
      <c r="A325" s="1" t="n">
        <v>324</v>
      </c>
      <c r="B325" s="2">
        <f>DATE(Sintesi!$C$4-1,12,31)+A325</f>
        <v/>
      </c>
      <c r="C325" s="1">
        <f>'Paste cell here'!B325</f>
        <v/>
      </c>
      <c r="D325" s="1">
        <f>'Paste cell here'!I325</f>
        <v/>
      </c>
      <c r="E325" s="1">
        <f>'Paste cell here'!J325</f>
        <v/>
      </c>
      <c r="F325" s="1">
        <f>'Paste cell here'!K325</f>
        <v/>
      </c>
      <c r="G325" s="1">
        <f>'Paste cell here'!L325</f>
        <v/>
      </c>
      <c r="H325" s="1">
        <f>'Paste cell here'!M325</f>
        <v/>
      </c>
      <c r="I325" s="1">
        <f>'Paste cell here'!N325</f>
        <v/>
      </c>
      <c r="J325" s="1">
        <f>'Paste cell here'!O325</f>
        <v/>
      </c>
      <c r="K325" s="1">
        <f>'Paste cell here'!Q325</f>
        <v/>
      </c>
      <c r="L325" s="1">
        <f>'Paste cell here'!S325</f>
        <v/>
      </c>
      <c r="M325" s="1">
        <f>'Paste cell here'!T325</f>
        <v/>
      </c>
      <c r="N325" s="1">
        <f>'Paste cell here'!W325</f>
        <v/>
      </c>
      <c r="O325" s="1">
        <f>'Paste cell here'!U325</f>
        <v/>
      </c>
      <c r="P325" s="1">
        <f>O324</f>
        <v/>
      </c>
      <c r="Q325" s="1">
        <f>'Paste cell here'!V325</f>
        <v/>
      </c>
      <c r="R325" s="1">
        <f>ABS(O324+C325+D325+N325+Q324-H325-I325-K325-L325-M325-O325-Q325)</f>
        <v/>
      </c>
      <c r="S325" s="7">
        <f>Sintesi!$C$30</f>
        <v/>
      </c>
      <c r="T325" s="7">
        <f>Sintesi!$C$29</f>
        <v/>
      </c>
      <c r="U325" s="5">
        <f>O325/(Sintesi!$C$5*1000)</f>
        <v/>
      </c>
      <c r="V325" s="1">
        <f>T325-S325</f>
        <v/>
      </c>
      <c r="W325" s="1" t="n">
        <v>0.664793560318771</v>
      </c>
      <c r="X325" s="1">
        <f>W325*V325</f>
        <v/>
      </c>
      <c r="Y325" s="1">
        <f>T325-X325</f>
        <v/>
      </c>
      <c r="Z325" s="1">
        <f>'Paste cellinfo here'!$B$11</f>
        <v/>
      </c>
    </row>
    <row r="326">
      <c r="A326" s="1" t="n">
        <v>325</v>
      </c>
      <c r="B326" s="2">
        <f>DATE(Sintesi!$C$4-1,12,31)+A326</f>
        <v/>
      </c>
      <c r="C326" s="1">
        <f>'Paste cell here'!B326</f>
        <v/>
      </c>
      <c r="D326" s="1">
        <f>'Paste cell here'!I326</f>
        <v/>
      </c>
      <c r="E326" s="1">
        <f>'Paste cell here'!J326</f>
        <v/>
      </c>
      <c r="F326" s="1">
        <f>'Paste cell here'!K326</f>
        <v/>
      </c>
      <c r="G326" s="1">
        <f>'Paste cell here'!L326</f>
        <v/>
      </c>
      <c r="H326" s="1">
        <f>'Paste cell here'!M326</f>
        <v/>
      </c>
      <c r="I326" s="1">
        <f>'Paste cell here'!N326</f>
        <v/>
      </c>
      <c r="J326" s="1">
        <f>'Paste cell here'!O326</f>
        <v/>
      </c>
      <c r="K326" s="1">
        <f>'Paste cell here'!Q326</f>
        <v/>
      </c>
      <c r="L326" s="1">
        <f>'Paste cell here'!S326</f>
        <v/>
      </c>
      <c r="M326" s="1">
        <f>'Paste cell here'!T326</f>
        <v/>
      </c>
      <c r="N326" s="1">
        <f>'Paste cell here'!W326</f>
        <v/>
      </c>
      <c r="O326" s="1">
        <f>'Paste cell here'!U326</f>
        <v/>
      </c>
      <c r="P326" s="1">
        <f>O325</f>
        <v/>
      </c>
      <c r="Q326" s="1">
        <f>'Paste cell here'!V326</f>
        <v/>
      </c>
      <c r="R326" s="1">
        <f>ABS(O325+C326+D326+N326+Q325-H326-I326-K326-L326-M326-O326-Q326)</f>
        <v/>
      </c>
      <c r="S326" s="7">
        <f>Sintesi!$C$30</f>
        <v/>
      </c>
      <c r="T326" s="7">
        <f>Sintesi!$C$29</f>
        <v/>
      </c>
      <c r="U326" s="5">
        <f>O326/(Sintesi!$C$5*1000)</f>
        <v/>
      </c>
      <c r="V326" s="1">
        <f>T326-S326</f>
        <v/>
      </c>
      <c r="W326" s="1" t="n">
        <v>0.676570493825669</v>
      </c>
      <c r="X326" s="1">
        <f>W326*V326</f>
        <v/>
      </c>
      <c r="Y326" s="1">
        <f>T326-X326</f>
        <v/>
      </c>
      <c r="Z326" s="1">
        <f>'Paste cellinfo here'!$B$11</f>
        <v/>
      </c>
    </row>
    <row r="327">
      <c r="A327" s="1" t="n">
        <v>326</v>
      </c>
      <c r="B327" s="2">
        <f>DATE(Sintesi!$C$4-1,12,31)+A327</f>
        <v/>
      </c>
      <c r="C327" s="1">
        <f>'Paste cell here'!B327</f>
        <v/>
      </c>
      <c r="D327" s="1">
        <f>'Paste cell here'!I327</f>
        <v/>
      </c>
      <c r="E327" s="1">
        <f>'Paste cell here'!J327</f>
        <v/>
      </c>
      <c r="F327" s="1">
        <f>'Paste cell here'!K327</f>
        <v/>
      </c>
      <c r="G327" s="1">
        <f>'Paste cell here'!L327</f>
        <v/>
      </c>
      <c r="H327" s="1">
        <f>'Paste cell here'!M327</f>
        <v/>
      </c>
      <c r="I327" s="1">
        <f>'Paste cell here'!N327</f>
        <v/>
      </c>
      <c r="J327" s="1">
        <f>'Paste cell here'!O327</f>
        <v/>
      </c>
      <c r="K327" s="1">
        <f>'Paste cell here'!Q327</f>
        <v/>
      </c>
      <c r="L327" s="1">
        <f>'Paste cell here'!S327</f>
        <v/>
      </c>
      <c r="M327" s="1">
        <f>'Paste cell here'!T327</f>
        <v/>
      </c>
      <c r="N327" s="1">
        <f>'Paste cell here'!W327</f>
        <v/>
      </c>
      <c r="O327" s="1">
        <f>'Paste cell here'!U327</f>
        <v/>
      </c>
      <c r="P327" s="1">
        <f>O326</f>
        <v/>
      </c>
      <c r="Q327" s="1">
        <f>'Paste cell here'!V327</f>
        <v/>
      </c>
      <c r="R327" s="1">
        <f>ABS(O326+C327+D327+N327+Q326-H327-I327-K327-L327-M327-O327-Q327)</f>
        <v/>
      </c>
      <c r="S327" s="7">
        <f>Sintesi!$C$30</f>
        <v/>
      </c>
      <c r="T327" s="7">
        <f>Sintesi!$C$29</f>
        <v/>
      </c>
      <c r="U327" s="5">
        <f>O327/(Sintesi!$C$5*1000)</f>
        <v/>
      </c>
      <c r="V327" s="1">
        <f>T327-S327</f>
        <v/>
      </c>
      <c r="W327" s="1" t="n">
        <v>0.681493234709598</v>
      </c>
      <c r="X327" s="1">
        <f>W327*V327</f>
        <v/>
      </c>
      <c r="Y327" s="1">
        <f>T327-X327</f>
        <v/>
      </c>
      <c r="Z327" s="1">
        <f>'Paste cellinfo here'!$B$11</f>
        <v/>
      </c>
    </row>
    <row r="328">
      <c r="A328" s="1" t="n">
        <v>327</v>
      </c>
      <c r="B328" s="2">
        <f>DATE(Sintesi!$C$4-1,12,31)+A328</f>
        <v/>
      </c>
      <c r="C328" s="1">
        <f>'Paste cell here'!B328</f>
        <v/>
      </c>
      <c r="D328" s="1">
        <f>'Paste cell here'!I328</f>
        <v/>
      </c>
      <c r="E328" s="1">
        <f>'Paste cell here'!J328</f>
        <v/>
      </c>
      <c r="F328" s="1">
        <f>'Paste cell here'!K328</f>
        <v/>
      </c>
      <c r="G328" s="1">
        <f>'Paste cell here'!L328</f>
        <v/>
      </c>
      <c r="H328" s="1">
        <f>'Paste cell here'!M328</f>
        <v/>
      </c>
      <c r="I328" s="1">
        <f>'Paste cell here'!N328</f>
        <v/>
      </c>
      <c r="J328" s="1">
        <f>'Paste cell here'!O328</f>
        <v/>
      </c>
      <c r="K328" s="1">
        <f>'Paste cell here'!Q328</f>
        <v/>
      </c>
      <c r="L328" s="1">
        <f>'Paste cell here'!S328</f>
        <v/>
      </c>
      <c r="M328" s="1">
        <f>'Paste cell here'!T328</f>
        <v/>
      </c>
      <c r="N328" s="1">
        <f>'Paste cell here'!W328</f>
        <v/>
      </c>
      <c r="O328" s="1">
        <f>'Paste cell here'!U328</f>
        <v/>
      </c>
      <c r="P328" s="1">
        <f>O327</f>
        <v/>
      </c>
      <c r="Q328" s="1">
        <f>'Paste cell here'!V328</f>
        <v/>
      </c>
      <c r="R328" s="1">
        <f>ABS(O327+C328+D328+N328+Q327-H328-I328-K328-L328-M328-O328-Q328)</f>
        <v/>
      </c>
      <c r="S328" s="7">
        <f>Sintesi!$C$30</f>
        <v/>
      </c>
      <c r="T328" s="7">
        <f>Sintesi!$C$29</f>
        <v/>
      </c>
      <c r="U328" s="5">
        <f>O328/(Sintesi!$C$5*1000)</f>
        <v/>
      </c>
      <c r="V328" s="1">
        <f>T328-S328</f>
        <v/>
      </c>
      <c r="W328" s="1" t="n">
        <v>0.664889109699764</v>
      </c>
      <c r="X328" s="1">
        <f>W328*V328</f>
        <v/>
      </c>
      <c r="Y328" s="1">
        <f>T328-X328</f>
        <v/>
      </c>
      <c r="Z328" s="1">
        <f>'Paste cellinfo here'!$B$11</f>
        <v/>
      </c>
    </row>
    <row r="329">
      <c r="A329" s="1" t="n">
        <v>328</v>
      </c>
      <c r="B329" s="2">
        <f>DATE(Sintesi!$C$4-1,12,31)+A329</f>
        <v/>
      </c>
      <c r="C329" s="1">
        <f>'Paste cell here'!B329</f>
        <v/>
      </c>
      <c r="D329" s="1">
        <f>'Paste cell here'!I329</f>
        <v/>
      </c>
      <c r="E329" s="1">
        <f>'Paste cell here'!J329</f>
        <v/>
      </c>
      <c r="F329" s="1">
        <f>'Paste cell here'!K329</f>
        <v/>
      </c>
      <c r="G329" s="1">
        <f>'Paste cell here'!L329</f>
        <v/>
      </c>
      <c r="H329" s="1">
        <f>'Paste cell here'!M329</f>
        <v/>
      </c>
      <c r="I329" s="1">
        <f>'Paste cell here'!N329</f>
        <v/>
      </c>
      <c r="J329" s="1">
        <f>'Paste cell here'!O329</f>
        <v/>
      </c>
      <c r="K329" s="1">
        <f>'Paste cell here'!Q329</f>
        <v/>
      </c>
      <c r="L329" s="1">
        <f>'Paste cell here'!S329</f>
        <v/>
      </c>
      <c r="M329" s="1">
        <f>'Paste cell here'!T329</f>
        <v/>
      </c>
      <c r="N329" s="1">
        <f>'Paste cell here'!W329</f>
        <v/>
      </c>
      <c r="O329" s="1">
        <f>'Paste cell here'!U329</f>
        <v/>
      </c>
      <c r="P329" s="1">
        <f>O328</f>
        <v/>
      </c>
      <c r="Q329" s="1">
        <f>'Paste cell here'!V329</f>
        <v/>
      </c>
      <c r="R329" s="1">
        <f>ABS(O328+C329+D329+N329+Q328-H329-I329-K329-L329-M329-O329-Q329)</f>
        <v/>
      </c>
      <c r="S329" s="7">
        <f>Sintesi!$C$30</f>
        <v/>
      </c>
      <c r="T329" s="7">
        <f>Sintesi!$C$29</f>
        <v/>
      </c>
      <c r="U329" s="5">
        <f>O329/(Sintesi!$C$5*1000)</f>
        <v/>
      </c>
      <c r="V329" s="1">
        <f>T329-S329</f>
        <v/>
      </c>
      <c r="W329" s="1" t="n">
        <v>0.653683486686548</v>
      </c>
      <c r="X329" s="1">
        <f>W329*V329</f>
        <v/>
      </c>
      <c r="Y329" s="1">
        <f>T329-X329</f>
        <v/>
      </c>
      <c r="Z329" s="1">
        <f>'Paste cellinfo here'!$B$11</f>
        <v/>
      </c>
    </row>
    <row r="330">
      <c r="A330" s="1" t="n">
        <v>329</v>
      </c>
      <c r="B330" s="2">
        <f>DATE(Sintesi!$C$4-1,12,31)+A330</f>
        <v/>
      </c>
      <c r="C330" s="1">
        <f>'Paste cell here'!B330</f>
        <v/>
      </c>
      <c r="D330" s="1">
        <f>'Paste cell here'!I330</f>
        <v/>
      </c>
      <c r="E330" s="1">
        <f>'Paste cell here'!J330</f>
        <v/>
      </c>
      <c r="F330" s="1">
        <f>'Paste cell here'!K330</f>
        <v/>
      </c>
      <c r="G330" s="1">
        <f>'Paste cell here'!L330</f>
        <v/>
      </c>
      <c r="H330" s="1">
        <f>'Paste cell here'!M330</f>
        <v/>
      </c>
      <c r="I330" s="1">
        <f>'Paste cell here'!N330</f>
        <v/>
      </c>
      <c r="J330" s="1">
        <f>'Paste cell here'!O330</f>
        <v/>
      </c>
      <c r="K330" s="1">
        <f>'Paste cell here'!Q330</f>
        <v/>
      </c>
      <c r="L330" s="1">
        <f>'Paste cell here'!S330</f>
        <v/>
      </c>
      <c r="M330" s="1">
        <f>'Paste cell here'!T330</f>
        <v/>
      </c>
      <c r="N330" s="1">
        <f>'Paste cell here'!W330</f>
        <v/>
      </c>
      <c r="O330" s="1">
        <f>'Paste cell here'!U330</f>
        <v/>
      </c>
      <c r="P330" s="1">
        <f>O329</f>
        <v/>
      </c>
      <c r="Q330" s="1">
        <f>'Paste cell here'!V330</f>
        <v/>
      </c>
      <c r="R330" s="1">
        <f>ABS(O329+C330+D330+N330+Q329-H330-I330-K330-L330-M330-O330-Q330)</f>
        <v/>
      </c>
      <c r="S330" s="7">
        <f>Sintesi!$C$30</f>
        <v/>
      </c>
      <c r="T330" s="7">
        <f>Sintesi!$C$29</f>
        <v/>
      </c>
      <c r="U330" s="5">
        <f>O330/(Sintesi!$C$5*1000)</f>
        <v/>
      </c>
      <c r="V330" s="1">
        <f>T330-S330</f>
        <v/>
      </c>
      <c r="W330" s="1" t="n">
        <v>0.65375708009545</v>
      </c>
      <c r="X330" s="1">
        <f>W330*V330</f>
        <v/>
      </c>
      <c r="Y330" s="1">
        <f>T330-X330</f>
        <v/>
      </c>
      <c r="Z330" s="1">
        <f>'Paste cellinfo here'!$B$11</f>
        <v/>
      </c>
    </row>
    <row r="331">
      <c r="A331" s="1" t="n">
        <v>330</v>
      </c>
      <c r="B331" s="2">
        <f>DATE(Sintesi!$C$4-1,12,31)+A331</f>
        <v/>
      </c>
      <c r="C331" s="1">
        <f>'Paste cell here'!B331</f>
        <v/>
      </c>
      <c r="D331" s="1">
        <f>'Paste cell here'!I331</f>
        <v/>
      </c>
      <c r="E331" s="1">
        <f>'Paste cell here'!J331</f>
        <v/>
      </c>
      <c r="F331" s="1">
        <f>'Paste cell here'!K331</f>
        <v/>
      </c>
      <c r="G331" s="1">
        <f>'Paste cell here'!L331</f>
        <v/>
      </c>
      <c r="H331" s="1">
        <f>'Paste cell here'!M331</f>
        <v/>
      </c>
      <c r="I331" s="1">
        <f>'Paste cell here'!N331</f>
        <v/>
      </c>
      <c r="J331" s="1">
        <f>'Paste cell here'!O331</f>
        <v/>
      </c>
      <c r="K331" s="1">
        <f>'Paste cell here'!Q331</f>
        <v/>
      </c>
      <c r="L331" s="1">
        <f>'Paste cell here'!S331</f>
        <v/>
      </c>
      <c r="M331" s="1">
        <f>'Paste cell here'!T331</f>
        <v/>
      </c>
      <c r="N331" s="1">
        <f>'Paste cell here'!W331</f>
        <v/>
      </c>
      <c r="O331" s="1">
        <f>'Paste cell here'!U331</f>
        <v/>
      </c>
      <c r="P331" s="1">
        <f>O330</f>
        <v/>
      </c>
      <c r="Q331" s="1">
        <f>'Paste cell here'!V331</f>
        <v/>
      </c>
      <c r="R331" s="1">
        <f>ABS(O330+C331+D331+N331+Q330-H331-I331-K331-L331-M331-O331-Q331)</f>
        <v/>
      </c>
      <c r="S331" s="7">
        <f>Sintesi!$C$30</f>
        <v/>
      </c>
      <c r="T331" s="7">
        <f>Sintesi!$C$29</f>
        <v/>
      </c>
      <c r="U331" s="5">
        <f>O331/(Sintesi!$C$5*1000)</f>
        <v/>
      </c>
      <c r="V331" s="1">
        <f>T331-S331</f>
        <v/>
      </c>
      <c r="W331" s="1" t="n">
        <v>0.666410014939007</v>
      </c>
      <c r="X331" s="1">
        <f>W331*V331</f>
        <v/>
      </c>
      <c r="Y331" s="1">
        <f>T331-X331</f>
        <v/>
      </c>
      <c r="Z331" s="1">
        <f>'Paste cellinfo here'!$B$11</f>
        <v/>
      </c>
    </row>
    <row r="332">
      <c r="A332" s="1" t="n">
        <v>331</v>
      </c>
      <c r="B332" s="2">
        <f>DATE(Sintesi!$C$4-1,12,31)+A332</f>
        <v/>
      </c>
      <c r="C332" s="1">
        <f>'Paste cell here'!B332</f>
        <v/>
      </c>
      <c r="D332" s="1">
        <f>'Paste cell here'!I332</f>
        <v/>
      </c>
      <c r="E332" s="1">
        <f>'Paste cell here'!J332</f>
        <v/>
      </c>
      <c r="F332" s="1">
        <f>'Paste cell here'!K332</f>
        <v/>
      </c>
      <c r="G332" s="1">
        <f>'Paste cell here'!L332</f>
        <v/>
      </c>
      <c r="H332" s="1">
        <f>'Paste cell here'!M332</f>
        <v/>
      </c>
      <c r="I332" s="1">
        <f>'Paste cell here'!N332</f>
        <v/>
      </c>
      <c r="J332" s="1">
        <f>'Paste cell here'!O332</f>
        <v/>
      </c>
      <c r="K332" s="1">
        <f>'Paste cell here'!Q332</f>
        <v/>
      </c>
      <c r="L332" s="1">
        <f>'Paste cell here'!S332</f>
        <v/>
      </c>
      <c r="M332" s="1">
        <f>'Paste cell here'!T332</f>
        <v/>
      </c>
      <c r="N332" s="1">
        <f>'Paste cell here'!W332</f>
        <v/>
      </c>
      <c r="O332" s="1">
        <f>'Paste cell here'!U332</f>
        <v/>
      </c>
      <c r="P332" s="1">
        <f>O331</f>
        <v/>
      </c>
      <c r="Q332" s="1">
        <f>'Paste cell here'!V332</f>
        <v/>
      </c>
      <c r="R332" s="1">
        <f>ABS(O331+C332+D332+N332+Q331-H332-I332-K332-L332-M332-O332-Q332)</f>
        <v/>
      </c>
      <c r="S332" s="7">
        <f>Sintesi!$C$30</f>
        <v/>
      </c>
      <c r="T332" s="7">
        <f>Sintesi!$C$29</f>
        <v/>
      </c>
      <c r="U332" s="5">
        <f>O332/(Sintesi!$C$5*1000)</f>
        <v/>
      </c>
      <c r="V332" s="1">
        <f>T332-S332</f>
        <v/>
      </c>
      <c r="W332" s="1" t="n">
        <v>0.6771648841996331</v>
      </c>
      <c r="X332" s="1">
        <f>W332*V332</f>
        <v/>
      </c>
      <c r="Y332" s="1">
        <f>T332-X332</f>
        <v/>
      </c>
      <c r="Z332" s="1">
        <f>'Paste cellinfo here'!$B$11</f>
        <v/>
      </c>
    </row>
    <row r="333">
      <c r="A333" s="1" t="n">
        <v>332</v>
      </c>
      <c r="B333" s="2">
        <f>DATE(Sintesi!$C$4-1,12,31)+A333</f>
        <v/>
      </c>
      <c r="C333" s="1">
        <f>'Paste cell here'!B333</f>
        <v/>
      </c>
      <c r="D333" s="1">
        <f>'Paste cell here'!I333</f>
        <v/>
      </c>
      <c r="E333" s="1">
        <f>'Paste cell here'!J333</f>
        <v/>
      </c>
      <c r="F333" s="1">
        <f>'Paste cell here'!K333</f>
        <v/>
      </c>
      <c r="G333" s="1">
        <f>'Paste cell here'!L333</f>
        <v/>
      </c>
      <c r="H333" s="1">
        <f>'Paste cell here'!M333</f>
        <v/>
      </c>
      <c r="I333" s="1">
        <f>'Paste cell here'!N333</f>
        <v/>
      </c>
      <c r="J333" s="1">
        <f>'Paste cell here'!O333</f>
        <v/>
      </c>
      <c r="K333" s="1">
        <f>'Paste cell here'!Q333</f>
        <v/>
      </c>
      <c r="L333" s="1">
        <f>'Paste cell here'!S333</f>
        <v/>
      </c>
      <c r="M333" s="1">
        <f>'Paste cell here'!T333</f>
        <v/>
      </c>
      <c r="N333" s="1">
        <f>'Paste cell here'!W333</f>
        <v/>
      </c>
      <c r="O333" s="1">
        <f>'Paste cell here'!U333</f>
        <v/>
      </c>
      <c r="P333" s="1">
        <f>O332</f>
        <v/>
      </c>
      <c r="Q333" s="1">
        <f>'Paste cell here'!V333</f>
        <v/>
      </c>
      <c r="R333" s="1">
        <f>ABS(O332+C333+D333+N333+Q332-H333-I333-K333-L333-M333-O333-Q333)</f>
        <v/>
      </c>
      <c r="S333" s="7">
        <f>Sintesi!$C$30</f>
        <v/>
      </c>
      <c r="T333" s="7">
        <f>Sintesi!$C$29</f>
        <v/>
      </c>
      <c r="U333" s="5">
        <f>O333/(Sintesi!$C$5*1000)</f>
        <v/>
      </c>
      <c r="V333" s="1">
        <f>T333-S333</f>
        <v/>
      </c>
      <c r="W333" s="1" t="n">
        <v>0.675620233370879</v>
      </c>
      <c r="X333" s="1">
        <f>W333*V333</f>
        <v/>
      </c>
      <c r="Y333" s="1">
        <f>T333-X333</f>
        <v/>
      </c>
      <c r="Z333" s="1">
        <f>'Paste cellinfo here'!$B$11</f>
        <v/>
      </c>
    </row>
    <row r="334">
      <c r="A334" s="1" t="n">
        <v>333</v>
      </c>
      <c r="B334" s="2">
        <f>DATE(Sintesi!$C$4-1,12,31)+A334</f>
        <v/>
      </c>
      <c r="C334" s="1">
        <f>'Paste cell here'!B334</f>
        <v/>
      </c>
      <c r="D334" s="1">
        <f>'Paste cell here'!I334</f>
        <v/>
      </c>
      <c r="E334" s="1">
        <f>'Paste cell here'!J334</f>
        <v/>
      </c>
      <c r="F334" s="1">
        <f>'Paste cell here'!K334</f>
        <v/>
      </c>
      <c r="G334" s="1">
        <f>'Paste cell here'!L334</f>
        <v/>
      </c>
      <c r="H334" s="1">
        <f>'Paste cell here'!M334</f>
        <v/>
      </c>
      <c r="I334" s="1">
        <f>'Paste cell here'!N334</f>
        <v/>
      </c>
      <c r="J334" s="1">
        <f>'Paste cell here'!O334</f>
        <v/>
      </c>
      <c r="K334" s="1">
        <f>'Paste cell here'!Q334</f>
        <v/>
      </c>
      <c r="L334" s="1">
        <f>'Paste cell here'!S334</f>
        <v/>
      </c>
      <c r="M334" s="1">
        <f>'Paste cell here'!T334</f>
        <v/>
      </c>
      <c r="N334" s="1">
        <f>'Paste cell here'!W334</f>
        <v/>
      </c>
      <c r="O334" s="1">
        <f>'Paste cell here'!U334</f>
        <v/>
      </c>
      <c r="P334" s="1">
        <f>O333</f>
        <v/>
      </c>
      <c r="Q334" s="1">
        <f>'Paste cell here'!V334</f>
        <v/>
      </c>
      <c r="R334" s="1">
        <f>ABS(O333+C334+D334+N334+Q333-H334-I334-K334-L334-M334-O334-Q334)</f>
        <v/>
      </c>
      <c r="S334" s="7">
        <f>Sintesi!$C$30</f>
        <v/>
      </c>
      <c r="T334" s="7">
        <f>Sintesi!$C$29</f>
        <v/>
      </c>
      <c r="U334" s="5">
        <f>O334/(Sintesi!$C$5*1000)</f>
        <v/>
      </c>
      <c r="V334" s="1">
        <f>T334-S334</f>
        <v/>
      </c>
      <c r="W334" s="1" t="n">
        <v>0.679882791667663</v>
      </c>
      <c r="X334" s="1">
        <f>W334*V334</f>
        <v/>
      </c>
      <c r="Y334" s="1">
        <f>T334-X334</f>
        <v/>
      </c>
      <c r="Z334" s="1">
        <f>'Paste cellinfo here'!$B$11</f>
        <v/>
      </c>
    </row>
    <row r="335">
      <c r="A335" s="1" t="n">
        <v>334</v>
      </c>
      <c r="B335" s="2">
        <f>DATE(Sintesi!$C$4-1,12,31)+A335</f>
        <v/>
      </c>
      <c r="C335" s="1">
        <f>'Paste cell here'!B335</f>
        <v/>
      </c>
      <c r="D335" s="1">
        <f>'Paste cell here'!I335</f>
        <v/>
      </c>
      <c r="E335" s="1">
        <f>'Paste cell here'!J335</f>
        <v/>
      </c>
      <c r="F335" s="1">
        <f>'Paste cell here'!K335</f>
        <v/>
      </c>
      <c r="G335" s="1">
        <f>'Paste cell here'!L335</f>
        <v/>
      </c>
      <c r="H335" s="1">
        <f>'Paste cell here'!M335</f>
        <v/>
      </c>
      <c r="I335" s="1">
        <f>'Paste cell here'!N335</f>
        <v/>
      </c>
      <c r="J335" s="1">
        <f>'Paste cell here'!O335</f>
        <v/>
      </c>
      <c r="K335" s="1">
        <f>'Paste cell here'!Q335</f>
        <v/>
      </c>
      <c r="L335" s="1">
        <f>'Paste cell here'!S335</f>
        <v/>
      </c>
      <c r="M335" s="1">
        <f>'Paste cell here'!T335</f>
        <v/>
      </c>
      <c r="N335" s="1">
        <f>'Paste cell here'!W335</f>
        <v/>
      </c>
      <c r="O335" s="1">
        <f>'Paste cell here'!U335</f>
        <v/>
      </c>
      <c r="P335" s="1">
        <f>O334</f>
        <v/>
      </c>
      <c r="Q335" s="1">
        <f>'Paste cell here'!V335</f>
        <v/>
      </c>
      <c r="R335" s="1">
        <f>ABS(O334+C335+D335+N335+Q334-H335-I335-K335-L335-M335-O335-Q335)</f>
        <v/>
      </c>
      <c r="S335" s="7">
        <f>Sintesi!$C$30</f>
        <v/>
      </c>
      <c r="T335" s="7">
        <f>Sintesi!$C$29</f>
        <v/>
      </c>
      <c r="U335" s="5">
        <f>O335/(Sintesi!$C$5*1000)</f>
        <v/>
      </c>
      <c r="V335" s="1">
        <f>T335-S335</f>
        <v/>
      </c>
      <c r="W335" s="1" t="n">
        <v>0.684607477219015</v>
      </c>
      <c r="X335" s="1">
        <f>W335*V335</f>
        <v/>
      </c>
      <c r="Y335" s="1">
        <f>T335-X335</f>
        <v/>
      </c>
      <c r="Z335" s="1">
        <f>'Paste cellinfo here'!$B$11</f>
        <v/>
      </c>
    </row>
    <row r="336">
      <c r="A336" s="1" t="n">
        <v>335</v>
      </c>
      <c r="B336" s="2">
        <f>DATE(Sintesi!$C$4-1,12,31)+A336</f>
        <v/>
      </c>
      <c r="C336" s="1">
        <f>'Paste cell here'!B336</f>
        <v/>
      </c>
      <c r="D336" s="1">
        <f>'Paste cell here'!I336</f>
        <v/>
      </c>
      <c r="E336" s="1">
        <f>'Paste cell here'!J336</f>
        <v/>
      </c>
      <c r="F336" s="1">
        <f>'Paste cell here'!K336</f>
        <v/>
      </c>
      <c r="G336" s="1">
        <f>'Paste cell here'!L336</f>
        <v/>
      </c>
      <c r="H336" s="1">
        <f>'Paste cell here'!M336</f>
        <v/>
      </c>
      <c r="I336" s="1">
        <f>'Paste cell here'!N336</f>
        <v/>
      </c>
      <c r="J336" s="1">
        <f>'Paste cell here'!O336</f>
        <v/>
      </c>
      <c r="K336" s="1">
        <f>'Paste cell here'!Q336</f>
        <v/>
      </c>
      <c r="L336" s="1">
        <f>'Paste cell here'!S336</f>
        <v/>
      </c>
      <c r="M336" s="1">
        <f>'Paste cell here'!T336</f>
        <v/>
      </c>
      <c r="N336" s="1">
        <f>'Paste cell here'!W336</f>
        <v/>
      </c>
      <c r="O336" s="1">
        <f>'Paste cell here'!U336</f>
        <v/>
      </c>
      <c r="P336" s="1">
        <f>O335</f>
        <v/>
      </c>
      <c r="Q336" s="1">
        <f>'Paste cell here'!V336</f>
        <v/>
      </c>
      <c r="R336" s="1">
        <f>ABS(O335+C336+D336+N336+Q335-H336-I336-K336-L336-M336-O336-Q336)</f>
        <v/>
      </c>
      <c r="S336" s="7">
        <f>Sintesi!$C$30</f>
        <v/>
      </c>
      <c r="T336" s="7">
        <f>Sintesi!$C$29</f>
        <v/>
      </c>
      <c r="U336" s="5">
        <f>O336/(Sintesi!$C$5*1000)</f>
        <v/>
      </c>
      <c r="V336" s="1">
        <f>T336-S336</f>
        <v/>
      </c>
      <c r="W336" s="1" t="n">
        <v>0.6771865328230871</v>
      </c>
      <c r="X336" s="1">
        <f>W336*V336</f>
        <v/>
      </c>
      <c r="Y336" s="1">
        <f>T336-X336</f>
        <v/>
      </c>
      <c r="Z336" s="1">
        <f>'Paste cellinfo here'!$B$11</f>
        <v/>
      </c>
    </row>
    <row r="337">
      <c r="A337" s="1" t="n">
        <v>336</v>
      </c>
      <c r="B337" s="2">
        <f>DATE(Sintesi!$C$4-1,12,31)+A337</f>
        <v/>
      </c>
      <c r="C337" s="1">
        <f>'Paste cell here'!B337</f>
        <v/>
      </c>
      <c r="D337" s="1">
        <f>'Paste cell here'!I337</f>
        <v/>
      </c>
      <c r="E337" s="1">
        <f>'Paste cell here'!J337</f>
        <v/>
      </c>
      <c r="F337" s="1">
        <f>'Paste cell here'!K337</f>
        <v/>
      </c>
      <c r="G337" s="1">
        <f>'Paste cell here'!L337</f>
        <v/>
      </c>
      <c r="H337" s="1">
        <f>'Paste cell here'!M337</f>
        <v/>
      </c>
      <c r="I337" s="1">
        <f>'Paste cell here'!N337</f>
        <v/>
      </c>
      <c r="J337" s="1">
        <f>'Paste cell here'!O337</f>
        <v/>
      </c>
      <c r="K337" s="1">
        <f>'Paste cell here'!Q337</f>
        <v/>
      </c>
      <c r="L337" s="1">
        <f>'Paste cell here'!S337</f>
        <v/>
      </c>
      <c r="M337" s="1">
        <f>'Paste cell here'!T337</f>
        <v/>
      </c>
      <c r="N337" s="1">
        <f>'Paste cell here'!W337</f>
        <v/>
      </c>
      <c r="O337" s="1">
        <f>'Paste cell here'!U337</f>
        <v/>
      </c>
      <c r="P337" s="1">
        <f>O336</f>
        <v/>
      </c>
      <c r="Q337" s="1">
        <f>'Paste cell here'!V337</f>
        <v/>
      </c>
      <c r="R337" s="1">
        <f>ABS(O336+C337+D337+N337+Q336-H337-I337-K337-L337-M337-O337-Q337)</f>
        <v/>
      </c>
      <c r="S337" s="7">
        <f>Sintesi!$C$30</f>
        <v/>
      </c>
      <c r="T337" s="7">
        <f>Sintesi!$C$29</f>
        <v/>
      </c>
      <c r="U337" s="5">
        <f>O337/(Sintesi!$C$5*1000)</f>
        <v/>
      </c>
      <c r="V337" s="1">
        <f>T337-S337</f>
        <v/>
      </c>
      <c r="W337" s="1" t="n">
        <v>0.661484571193545</v>
      </c>
      <c r="X337" s="1">
        <f>W337*V337</f>
        <v/>
      </c>
      <c r="Y337" s="1">
        <f>T337-X337</f>
        <v/>
      </c>
      <c r="Z337" s="1">
        <f>'Paste cellinfo here'!$B$11</f>
        <v/>
      </c>
    </row>
    <row r="338">
      <c r="A338" s="1" t="n">
        <v>337</v>
      </c>
      <c r="B338" s="2">
        <f>DATE(Sintesi!$C$4-1,12,31)+A338</f>
        <v/>
      </c>
      <c r="C338" s="1">
        <f>'Paste cell here'!B338</f>
        <v/>
      </c>
      <c r="D338" s="1">
        <f>'Paste cell here'!I338</f>
        <v/>
      </c>
      <c r="E338" s="1">
        <f>'Paste cell here'!J338</f>
        <v/>
      </c>
      <c r="F338" s="1">
        <f>'Paste cell here'!K338</f>
        <v/>
      </c>
      <c r="G338" s="1">
        <f>'Paste cell here'!L338</f>
        <v/>
      </c>
      <c r="H338" s="1">
        <f>'Paste cell here'!M338</f>
        <v/>
      </c>
      <c r="I338" s="1">
        <f>'Paste cell here'!N338</f>
        <v/>
      </c>
      <c r="J338" s="1">
        <f>'Paste cell here'!O338</f>
        <v/>
      </c>
      <c r="K338" s="1">
        <f>'Paste cell here'!Q338</f>
        <v/>
      </c>
      <c r="L338" s="1">
        <f>'Paste cell here'!S338</f>
        <v/>
      </c>
      <c r="M338" s="1">
        <f>'Paste cell here'!T338</f>
        <v/>
      </c>
      <c r="N338" s="1">
        <f>'Paste cell here'!W338</f>
        <v/>
      </c>
      <c r="O338" s="1">
        <f>'Paste cell here'!U338</f>
        <v/>
      </c>
      <c r="P338" s="1">
        <f>O337</f>
        <v/>
      </c>
      <c r="Q338" s="1">
        <f>'Paste cell here'!V338</f>
        <v/>
      </c>
      <c r="R338" s="1">
        <f>ABS(O337+C338+D338+N338+Q337-H338-I338-K338-L338-M338-O338-Q338)</f>
        <v/>
      </c>
      <c r="S338" s="7">
        <f>Sintesi!$C$30</f>
        <v/>
      </c>
      <c r="T338" s="7">
        <f>Sintesi!$C$29</f>
        <v/>
      </c>
      <c r="U338" s="5">
        <f>O338/(Sintesi!$C$5*1000)</f>
        <v/>
      </c>
      <c r="V338" s="1">
        <f>T338-S338</f>
        <v/>
      </c>
      <c r="W338" s="1" t="n">
        <v>0.682176557676837</v>
      </c>
      <c r="X338" s="1">
        <f>W338*V338</f>
        <v/>
      </c>
      <c r="Y338" s="1">
        <f>T338-X338</f>
        <v/>
      </c>
      <c r="Z338" s="1">
        <f>'Paste cellinfo here'!$B$11</f>
        <v/>
      </c>
    </row>
    <row r="339">
      <c r="A339" s="1" t="n">
        <v>338</v>
      </c>
      <c r="B339" s="2">
        <f>DATE(Sintesi!$C$4-1,12,31)+A339</f>
        <v/>
      </c>
      <c r="C339" s="1">
        <f>'Paste cell here'!B339</f>
        <v/>
      </c>
      <c r="D339" s="1">
        <f>'Paste cell here'!I339</f>
        <v/>
      </c>
      <c r="E339" s="1">
        <f>'Paste cell here'!J339</f>
        <v/>
      </c>
      <c r="F339" s="1">
        <f>'Paste cell here'!K339</f>
        <v/>
      </c>
      <c r="G339" s="1">
        <f>'Paste cell here'!L339</f>
        <v/>
      </c>
      <c r="H339" s="1">
        <f>'Paste cell here'!M339</f>
        <v/>
      </c>
      <c r="I339" s="1">
        <f>'Paste cell here'!N339</f>
        <v/>
      </c>
      <c r="J339" s="1">
        <f>'Paste cell here'!O339</f>
        <v/>
      </c>
      <c r="K339" s="1">
        <f>'Paste cell here'!Q339</f>
        <v/>
      </c>
      <c r="L339" s="1">
        <f>'Paste cell here'!S339</f>
        <v/>
      </c>
      <c r="M339" s="1">
        <f>'Paste cell here'!T339</f>
        <v/>
      </c>
      <c r="N339" s="1">
        <f>'Paste cell here'!W339</f>
        <v/>
      </c>
      <c r="O339" s="1">
        <f>'Paste cell here'!U339</f>
        <v/>
      </c>
      <c r="P339" s="1">
        <f>O338</f>
        <v/>
      </c>
      <c r="Q339" s="1">
        <f>'Paste cell here'!V339</f>
        <v/>
      </c>
      <c r="R339" s="1">
        <f>ABS(O338+C339+D339+N339+Q338-H339-I339-K339-L339-M339-O339-Q339)</f>
        <v/>
      </c>
      <c r="S339" s="7">
        <f>Sintesi!$C$30</f>
        <v/>
      </c>
      <c r="T339" s="7">
        <f>Sintesi!$C$29</f>
        <v/>
      </c>
      <c r="U339" s="5">
        <f>O339/(Sintesi!$C$5*1000)</f>
        <v/>
      </c>
      <c r="V339" s="1">
        <f>T339-S339</f>
        <v/>
      </c>
      <c r="W339" s="1" t="n">
        <v>0.6710904869083421</v>
      </c>
      <c r="X339" s="1">
        <f>W339*V339</f>
        <v/>
      </c>
      <c r="Y339" s="1">
        <f>T339-X339</f>
        <v/>
      </c>
      <c r="Z339" s="1">
        <f>'Paste cellinfo here'!$B$11</f>
        <v/>
      </c>
    </row>
    <row r="340">
      <c r="A340" s="1" t="n">
        <v>339</v>
      </c>
      <c r="B340" s="2">
        <f>DATE(Sintesi!$C$4-1,12,31)+A340</f>
        <v/>
      </c>
      <c r="C340" s="1">
        <f>'Paste cell here'!B340</f>
        <v/>
      </c>
      <c r="D340" s="1">
        <f>'Paste cell here'!I340</f>
        <v/>
      </c>
      <c r="E340" s="1">
        <f>'Paste cell here'!J340</f>
        <v/>
      </c>
      <c r="F340" s="1">
        <f>'Paste cell here'!K340</f>
        <v/>
      </c>
      <c r="G340" s="1">
        <f>'Paste cell here'!L340</f>
        <v/>
      </c>
      <c r="H340" s="1">
        <f>'Paste cell here'!M340</f>
        <v/>
      </c>
      <c r="I340" s="1">
        <f>'Paste cell here'!N340</f>
        <v/>
      </c>
      <c r="J340" s="1">
        <f>'Paste cell here'!O340</f>
        <v/>
      </c>
      <c r="K340" s="1">
        <f>'Paste cell here'!Q340</f>
        <v/>
      </c>
      <c r="L340" s="1">
        <f>'Paste cell here'!S340</f>
        <v/>
      </c>
      <c r="M340" s="1">
        <f>'Paste cell here'!T340</f>
        <v/>
      </c>
      <c r="N340" s="1">
        <f>'Paste cell here'!W340</f>
        <v/>
      </c>
      <c r="O340" s="1">
        <f>'Paste cell here'!U340</f>
        <v/>
      </c>
      <c r="P340" s="1">
        <f>O339</f>
        <v/>
      </c>
      <c r="Q340" s="1">
        <f>'Paste cell here'!V340</f>
        <v/>
      </c>
      <c r="R340" s="1">
        <f>ABS(O339+C340+D340+N340+Q339-H340-I340-K340-L340-M340-O340-Q340)</f>
        <v/>
      </c>
      <c r="S340" s="7">
        <f>Sintesi!$C$30</f>
        <v/>
      </c>
      <c r="T340" s="7">
        <f>Sintesi!$C$29</f>
        <v/>
      </c>
      <c r="U340" s="5">
        <f>O340/(Sintesi!$C$5*1000)</f>
        <v/>
      </c>
      <c r="V340" s="1">
        <f>T340-S340</f>
        <v/>
      </c>
      <c r="W340" s="1" t="n">
        <v>0.683577481768621</v>
      </c>
      <c r="X340" s="1">
        <f>W340*V340</f>
        <v/>
      </c>
      <c r="Y340" s="1">
        <f>T340-X340</f>
        <v/>
      </c>
      <c r="Z340" s="1">
        <f>'Paste cellinfo here'!$B$11</f>
        <v/>
      </c>
    </row>
    <row r="341">
      <c r="A341" s="1" t="n">
        <v>340</v>
      </c>
      <c r="B341" s="2">
        <f>DATE(Sintesi!$C$4-1,12,31)+A341</f>
        <v/>
      </c>
      <c r="C341" s="1">
        <f>'Paste cell here'!B341</f>
        <v/>
      </c>
      <c r="D341" s="1">
        <f>'Paste cell here'!I341</f>
        <v/>
      </c>
      <c r="E341" s="1">
        <f>'Paste cell here'!J341</f>
        <v/>
      </c>
      <c r="F341" s="1">
        <f>'Paste cell here'!K341</f>
        <v/>
      </c>
      <c r="G341" s="1">
        <f>'Paste cell here'!L341</f>
        <v/>
      </c>
      <c r="H341" s="1">
        <f>'Paste cell here'!M341</f>
        <v/>
      </c>
      <c r="I341" s="1">
        <f>'Paste cell here'!N341</f>
        <v/>
      </c>
      <c r="J341" s="1">
        <f>'Paste cell here'!O341</f>
        <v/>
      </c>
      <c r="K341" s="1">
        <f>'Paste cell here'!Q341</f>
        <v/>
      </c>
      <c r="L341" s="1">
        <f>'Paste cell here'!S341</f>
        <v/>
      </c>
      <c r="M341" s="1">
        <f>'Paste cell here'!T341</f>
        <v/>
      </c>
      <c r="N341" s="1">
        <f>'Paste cell here'!W341</f>
        <v/>
      </c>
      <c r="O341" s="1">
        <f>'Paste cell here'!U341</f>
        <v/>
      </c>
      <c r="P341" s="1">
        <f>O340</f>
        <v/>
      </c>
      <c r="Q341" s="1">
        <f>'Paste cell here'!V341</f>
        <v/>
      </c>
      <c r="R341" s="1">
        <f>ABS(O340+C341+D341+N341+Q340-H341-I341-K341-L341-M341-O341-Q341)</f>
        <v/>
      </c>
      <c r="S341" s="7">
        <f>Sintesi!$C$30</f>
        <v/>
      </c>
      <c r="T341" s="7">
        <f>Sintesi!$C$29</f>
        <v/>
      </c>
      <c r="U341" s="5">
        <f>O341/(Sintesi!$C$5*1000)</f>
        <v/>
      </c>
      <c r="V341" s="1">
        <f>T341-S341</f>
        <v/>
      </c>
      <c r="W341" s="1" t="n">
        <v>0.6876356738363451</v>
      </c>
      <c r="X341" s="1">
        <f>W341*V341</f>
        <v/>
      </c>
      <c r="Y341" s="1">
        <f>T341-X341</f>
        <v/>
      </c>
      <c r="Z341" s="1">
        <f>'Paste cellinfo here'!$B$11</f>
        <v/>
      </c>
    </row>
    <row r="342">
      <c r="A342" s="1" t="n">
        <v>341</v>
      </c>
      <c r="B342" s="2">
        <f>DATE(Sintesi!$C$4-1,12,31)+A342</f>
        <v/>
      </c>
      <c r="C342" s="1">
        <f>'Paste cell here'!B342</f>
        <v/>
      </c>
      <c r="D342" s="1">
        <f>'Paste cell here'!I342</f>
        <v/>
      </c>
      <c r="E342" s="1">
        <f>'Paste cell here'!J342</f>
        <v/>
      </c>
      <c r="F342" s="1">
        <f>'Paste cell here'!K342</f>
        <v/>
      </c>
      <c r="G342" s="1">
        <f>'Paste cell here'!L342</f>
        <v/>
      </c>
      <c r="H342" s="1">
        <f>'Paste cell here'!M342</f>
        <v/>
      </c>
      <c r="I342" s="1">
        <f>'Paste cell here'!N342</f>
        <v/>
      </c>
      <c r="J342" s="1">
        <f>'Paste cell here'!O342</f>
        <v/>
      </c>
      <c r="K342" s="1">
        <f>'Paste cell here'!Q342</f>
        <v/>
      </c>
      <c r="L342" s="1">
        <f>'Paste cell here'!S342</f>
        <v/>
      </c>
      <c r="M342" s="1">
        <f>'Paste cell here'!T342</f>
        <v/>
      </c>
      <c r="N342" s="1">
        <f>'Paste cell here'!W342</f>
        <v/>
      </c>
      <c r="O342" s="1">
        <f>'Paste cell here'!U342</f>
        <v/>
      </c>
      <c r="P342" s="1">
        <f>O341</f>
        <v/>
      </c>
      <c r="Q342" s="1">
        <f>'Paste cell here'!V342</f>
        <v/>
      </c>
      <c r="R342" s="1">
        <f>ABS(O341+C342+D342+N342+Q341-H342-I342-K342-L342-M342-O342-Q342)</f>
        <v/>
      </c>
      <c r="S342" s="7">
        <f>Sintesi!$C$30</f>
        <v/>
      </c>
      <c r="T342" s="7">
        <f>Sintesi!$C$29</f>
        <v/>
      </c>
      <c r="U342" s="5">
        <f>O342/(Sintesi!$C$5*1000)</f>
        <v/>
      </c>
      <c r="V342" s="1">
        <f>T342-S342</f>
        <v/>
      </c>
      <c r="W342" s="1" t="n">
        <v>0.687448982141417</v>
      </c>
      <c r="X342" s="1">
        <f>W342*V342</f>
        <v/>
      </c>
      <c r="Y342" s="1">
        <f>T342-X342</f>
        <v/>
      </c>
      <c r="Z342" s="1">
        <f>'Paste cellinfo here'!$B$11</f>
        <v/>
      </c>
    </row>
    <row r="343">
      <c r="A343" s="1" t="n">
        <v>342</v>
      </c>
      <c r="B343" s="2">
        <f>DATE(Sintesi!$C$4-1,12,31)+A343</f>
        <v/>
      </c>
      <c r="C343" s="1">
        <f>'Paste cell here'!B343</f>
        <v/>
      </c>
      <c r="D343" s="1">
        <f>'Paste cell here'!I343</f>
        <v/>
      </c>
      <c r="E343" s="1">
        <f>'Paste cell here'!J343</f>
        <v/>
      </c>
      <c r="F343" s="1">
        <f>'Paste cell here'!K343</f>
        <v/>
      </c>
      <c r="G343" s="1">
        <f>'Paste cell here'!L343</f>
        <v/>
      </c>
      <c r="H343" s="1">
        <f>'Paste cell here'!M343</f>
        <v/>
      </c>
      <c r="I343" s="1">
        <f>'Paste cell here'!N343</f>
        <v/>
      </c>
      <c r="J343" s="1">
        <f>'Paste cell here'!O343</f>
        <v/>
      </c>
      <c r="K343" s="1">
        <f>'Paste cell here'!Q343</f>
        <v/>
      </c>
      <c r="L343" s="1">
        <f>'Paste cell here'!S343</f>
        <v/>
      </c>
      <c r="M343" s="1">
        <f>'Paste cell here'!T343</f>
        <v/>
      </c>
      <c r="N343" s="1">
        <f>'Paste cell here'!W343</f>
        <v/>
      </c>
      <c r="O343" s="1">
        <f>'Paste cell here'!U343</f>
        <v/>
      </c>
      <c r="P343" s="1">
        <f>O342</f>
        <v/>
      </c>
      <c r="Q343" s="1">
        <f>'Paste cell here'!V343</f>
        <v/>
      </c>
      <c r="R343" s="1">
        <f>ABS(O342+C343+D343+N343+Q342-H343-I343-K343-L343-M343-O343-Q343)</f>
        <v/>
      </c>
      <c r="S343" s="7">
        <f>Sintesi!$C$30</f>
        <v/>
      </c>
      <c r="T343" s="7">
        <f>Sintesi!$C$29</f>
        <v/>
      </c>
      <c r="U343" s="5">
        <f>O343/(Sintesi!$C$5*1000)</f>
        <v/>
      </c>
      <c r="V343" s="1">
        <f>T343-S343</f>
        <v/>
      </c>
      <c r="W343" s="1" t="n">
        <v>0.685800759045778</v>
      </c>
      <c r="X343" s="1">
        <f>W343*V343</f>
        <v/>
      </c>
      <c r="Y343" s="1">
        <f>T343-X343</f>
        <v/>
      </c>
      <c r="Z343" s="1">
        <f>'Paste cellinfo here'!$B$11</f>
        <v/>
      </c>
    </row>
    <row r="344">
      <c r="A344" s="1" t="n">
        <v>343</v>
      </c>
      <c r="B344" s="2">
        <f>DATE(Sintesi!$C$4-1,12,31)+A344</f>
        <v/>
      </c>
      <c r="C344" s="1">
        <f>'Paste cell here'!B344</f>
        <v/>
      </c>
      <c r="D344" s="1">
        <f>'Paste cell here'!I344</f>
        <v/>
      </c>
      <c r="E344" s="1">
        <f>'Paste cell here'!J344</f>
        <v/>
      </c>
      <c r="F344" s="1">
        <f>'Paste cell here'!K344</f>
        <v/>
      </c>
      <c r="G344" s="1">
        <f>'Paste cell here'!L344</f>
        <v/>
      </c>
      <c r="H344" s="1">
        <f>'Paste cell here'!M344</f>
        <v/>
      </c>
      <c r="I344" s="1">
        <f>'Paste cell here'!N344</f>
        <v/>
      </c>
      <c r="J344" s="1">
        <f>'Paste cell here'!O344</f>
        <v/>
      </c>
      <c r="K344" s="1">
        <f>'Paste cell here'!Q344</f>
        <v/>
      </c>
      <c r="L344" s="1">
        <f>'Paste cell here'!S344</f>
        <v/>
      </c>
      <c r="M344" s="1">
        <f>'Paste cell here'!T344</f>
        <v/>
      </c>
      <c r="N344" s="1">
        <f>'Paste cell here'!W344</f>
        <v/>
      </c>
      <c r="O344" s="1">
        <f>'Paste cell here'!U344</f>
        <v/>
      </c>
      <c r="P344" s="1">
        <f>O343</f>
        <v/>
      </c>
      <c r="Q344" s="1">
        <f>'Paste cell here'!V344</f>
        <v/>
      </c>
      <c r="R344" s="1">
        <f>ABS(O343+C344+D344+N344+Q343-H344-I344-K344-L344-M344-O344-Q344)</f>
        <v/>
      </c>
      <c r="S344" s="7">
        <f>Sintesi!$C$30</f>
        <v/>
      </c>
      <c r="T344" s="7">
        <f>Sintesi!$C$29</f>
        <v/>
      </c>
      <c r="U344" s="5">
        <f>O344/(Sintesi!$C$5*1000)</f>
        <v/>
      </c>
      <c r="V344" s="1">
        <f>T344-S344</f>
        <v/>
      </c>
      <c r="W344" s="1" t="n">
        <v>0.688446846933513</v>
      </c>
      <c r="X344" s="1">
        <f>W344*V344</f>
        <v/>
      </c>
      <c r="Y344" s="1">
        <f>T344-X344</f>
        <v/>
      </c>
      <c r="Z344" s="1">
        <f>'Paste cellinfo here'!$B$11</f>
        <v/>
      </c>
    </row>
    <row r="345">
      <c r="A345" s="1" t="n">
        <v>344</v>
      </c>
      <c r="B345" s="2">
        <f>DATE(Sintesi!$C$4-1,12,31)+A345</f>
        <v/>
      </c>
      <c r="C345" s="1">
        <f>'Paste cell here'!B345</f>
        <v/>
      </c>
      <c r="D345" s="1">
        <f>'Paste cell here'!I345</f>
        <v/>
      </c>
      <c r="E345" s="1">
        <f>'Paste cell here'!J345</f>
        <v/>
      </c>
      <c r="F345" s="1">
        <f>'Paste cell here'!K345</f>
        <v/>
      </c>
      <c r="G345" s="1">
        <f>'Paste cell here'!L345</f>
        <v/>
      </c>
      <c r="H345" s="1">
        <f>'Paste cell here'!M345</f>
        <v/>
      </c>
      <c r="I345" s="1">
        <f>'Paste cell here'!N345</f>
        <v/>
      </c>
      <c r="J345" s="1">
        <f>'Paste cell here'!O345</f>
        <v/>
      </c>
      <c r="K345" s="1">
        <f>'Paste cell here'!Q345</f>
        <v/>
      </c>
      <c r="L345" s="1">
        <f>'Paste cell here'!S345</f>
        <v/>
      </c>
      <c r="M345" s="1">
        <f>'Paste cell here'!T345</f>
        <v/>
      </c>
      <c r="N345" s="1">
        <f>'Paste cell here'!W345</f>
        <v/>
      </c>
      <c r="O345" s="1">
        <f>'Paste cell here'!U345</f>
        <v/>
      </c>
      <c r="P345" s="1">
        <f>O344</f>
        <v/>
      </c>
      <c r="Q345" s="1">
        <f>'Paste cell here'!V345</f>
        <v/>
      </c>
      <c r="R345" s="1">
        <f>ABS(O344+C345+D345+N345+Q344-H345-I345-K345-L345-M345-O345-Q345)</f>
        <v/>
      </c>
      <c r="S345" s="7">
        <f>Sintesi!$C$30</f>
        <v/>
      </c>
      <c r="T345" s="7">
        <f>Sintesi!$C$29</f>
        <v/>
      </c>
      <c r="U345" s="5">
        <f>O345/(Sintesi!$C$5*1000)</f>
        <v/>
      </c>
      <c r="V345" s="1">
        <f>T345-S345</f>
        <v/>
      </c>
      <c r="W345" s="1" t="n">
        <v>0.6852570224965679</v>
      </c>
      <c r="X345" s="1">
        <f>W345*V345</f>
        <v/>
      </c>
      <c r="Y345" s="1">
        <f>T345-X345</f>
        <v/>
      </c>
      <c r="Z345" s="1">
        <f>'Paste cellinfo here'!$B$11</f>
        <v/>
      </c>
    </row>
    <row r="346">
      <c r="A346" s="1" t="n">
        <v>345</v>
      </c>
      <c r="B346" s="2">
        <f>DATE(Sintesi!$C$4-1,12,31)+A346</f>
        <v/>
      </c>
      <c r="C346" s="1">
        <f>'Paste cell here'!B346</f>
        <v/>
      </c>
      <c r="D346" s="1">
        <f>'Paste cell here'!I346</f>
        <v/>
      </c>
      <c r="E346" s="1">
        <f>'Paste cell here'!J346</f>
        <v/>
      </c>
      <c r="F346" s="1">
        <f>'Paste cell here'!K346</f>
        <v/>
      </c>
      <c r="G346" s="1">
        <f>'Paste cell here'!L346</f>
        <v/>
      </c>
      <c r="H346" s="1">
        <f>'Paste cell here'!M346</f>
        <v/>
      </c>
      <c r="I346" s="1">
        <f>'Paste cell here'!N346</f>
        <v/>
      </c>
      <c r="J346" s="1">
        <f>'Paste cell here'!O346</f>
        <v/>
      </c>
      <c r="K346" s="1">
        <f>'Paste cell here'!Q346</f>
        <v/>
      </c>
      <c r="L346" s="1">
        <f>'Paste cell here'!S346</f>
        <v/>
      </c>
      <c r="M346" s="1">
        <f>'Paste cell here'!T346</f>
        <v/>
      </c>
      <c r="N346" s="1">
        <f>'Paste cell here'!W346</f>
        <v/>
      </c>
      <c r="O346" s="1">
        <f>'Paste cell here'!U346</f>
        <v/>
      </c>
      <c r="P346" s="1">
        <f>O345</f>
        <v/>
      </c>
      <c r="Q346" s="1">
        <f>'Paste cell here'!V346</f>
        <v/>
      </c>
      <c r="R346" s="1">
        <f>ABS(O345+C346+D346+N346+Q345-H346-I346-K346-L346-M346-O346-Q346)</f>
        <v/>
      </c>
      <c r="S346" s="7">
        <f>Sintesi!$C$30</f>
        <v/>
      </c>
      <c r="T346" s="7">
        <f>Sintesi!$C$29</f>
        <v/>
      </c>
      <c r="U346" s="5">
        <f>O346/(Sintesi!$C$5*1000)</f>
        <v/>
      </c>
      <c r="V346" s="1">
        <f>T346-S346</f>
        <v/>
      </c>
      <c r="W346" s="1" t="n">
        <v>0.679244004631159</v>
      </c>
      <c r="X346" s="1">
        <f>W346*V346</f>
        <v/>
      </c>
      <c r="Y346" s="1">
        <f>T346-X346</f>
        <v/>
      </c>
      <c r="Z346" s="1">
        <f>'Paste cellinfo here'!$B$11</f>
        <v/>
      </c>
    </row>
    <row r="347">
      <c r="A347" s="1" t="n">
        <v>346</v>
      </c>
      <c r="B347" s="2">
        <f>DATE(Sintesi!$C$4-1,12,31)+A347</f>
        <v/>
      </c>
      <c r="C347" s="1">
        <f>'Paste cell here'!B347</f>
        <v/>
      </c>
      <c r="D347" s="1">
        <f>'Paste cell here'!I347</f>
        <v/>
      </c>
      <c r="E347" s="1">
        <f>'Paste cell here'!J347</f>
        <v/>
      </c>
      <c r="F347" s="1">
        <f>'Paste cell here'!K347</f>
        <v/>
      </c>
      <c r="G347" s="1">
        <f>'Paste cell here'!L347</f>
        <v/>
      </c>
      <c r="H347" s="1">
        <f>'Paste cell here'!M347</f>
        <v/>
      </c>
      <c r="I347" s="1">
        <f>'Paste cell here'!N347</f>
        <v/>
      </c>
      <c r="J347" s="1">
        <f>'Paste cell here'!O347</f>
        <v/>
      </c>
      <c r="K347" s="1">
        <f>'Paste cell here'!Q347</f>
        <v/>
      </c>
      <c r="L347" s="1">
        <f>'Paste cell here'!S347</f>
        <v/>
      </c>
      <c r="M347" s="1">
        <f>'Paste cell here'!T347</f>
        <v/>
      </c>
      <c r="N347" s="1">
        <f>'Paste cell here'!W347</f>
        <v/>
      </c>
      <c r="O347" s="1">
        <f>'Paste cell here'!U347</f>
        <v/>
      </c>
      <c r="P347" s="1">
        <f>O346</f>
        <v/>
      </c>
      <c r="Q347" s="1">
        <f>'Paste cell here'!V347</f>
        <v/>
      </c>
      <c r="R347" s="1">
        <f>ABS(O346+C347+D347+N347+Q346-H347-I347-K347-L347-M347-O347-Q347)</f>
        <v/>
      </c>
      <c r="S347" s="7">
        <f>Sintesi!$C$30</f>
        <v/>
      </c>
      <c r="T347" s="7">
        <f>Sintesi!$C$29</f>
        <v/>
      </c>
      <c r="U347" s="5">
        <f>O347/(Sintesi!$C$5*1000)</f>
        <v/>
      </c>
      <c r="V347" s="1">
        <f>T347-S347</f>
        <v/>
      </c>
      <c r="W347" s="1" t="n">
        <v>0.689212524241514</v>
      </c>
      <c r="X347" s="1">
        <f>W347*V347</f>
        <v/>
      </c>
      <c r="Y347" s="1">
        <f>T347-X347</f>
        <v/>
      </c>
      <c r="Z347" s="1">
        <f>'Paste cellinfo here'!$B$11</f>
        <v/>
      </c>
    </row>
    <row r="348">
      <c r="A348" s="1" t="n">
        <v>347</v>
      </c>
      <c r="B348" s="2">
        <f>DATE(Sintesi!$C$4-1,12,31)+A348</f>
        <v/>
      </c>
      <c r="C348" s="1">
        <f>'Paste cell here'!B348</f>
        <v/>
      </c>
      <c r="D348" s="1">
        <f>'Paste cell here'!I348</f>
        <v/>
      </c>
      <c r="E348" s="1">
        <f>'Paste cell here'!J348</f>
        <v/>
      </c>
      <c r="F348" s="1">
        <f>'Paste cell here'!K348</f>
        <v/>
      </c>
      <c r="G348" s="1">
        <f>'Paste cell here'!L348</f>
        <v/>
      </c>
      <c r="H348" s="1">
        <f>'Paste cell here'!M348</f>
        <v/>
      </c>
      <c r="I348" s="1">
        <f>'Paste cell here'!N348</f>
        <v/>
      </c>
      <c r="J348" s="1">
        <f>'Paste cell here'!O348</f>
        <v/>
      </c>
      <c r="K348" s="1">
        <f>'Paste cell here'!Q348</f>
        <v/>
      </c>
      <c r="L348" s="1">
        <f>'Paste cell here'!S348</f>
        <v/>
      </c>
      <c r="M348" s="1">
        <f>'Paste cell here'!T348</f>
        <v/>
      </c>
      <c r="N348" s="1">
        <f>'Paste cell here'!W348</f>
        <v/>
      </c>
      <c r="O348" s="1">
        <f>'Paste cell here'!U348</f>
        <v/>
      </c>
      <c r="P348" s="1">
        <f>O347</f>
        <v/>
      </c>
      <c r="Q348" s="1">
        <f>'Paste cell here'!V348</f>
        <v/>
      </c>
      <c r="R348" s="1">
        <f>ABS(O347+C348+D348+N348+Q347-H348-I348-K348-L348-M348-O348-Q348)</f>
        <v/>
      </c>
      <c r="S348" s="7">
        <f>Sintesi!$C$30</f>
        <v/>
      </c>
      <c r="T348" s="7">
        <f>Sintesi!$C$29</f>
        <v/>
      </c>
      <c r="U348" s="5">
        <f>O348/(Sintesi!$C$5*1000)</f>
        <v/>
      </c>
      <c r="V348" s="1">
        <f>T348-S348</f>
        <v/>
      </c>
      <c r="W348" s="1" t="n">
        <v>0.683216878219623</v>
      </c>
      <c r="X348" s="1">
        <f>W348*V348</f>
        <v/>
      </c>
      <c r="Y348" s="1">
        <f>T348-X348</f>
        <v/>
      </c>
      <c r="Z348" s="1">
        <f>'Paste cellinfo here'!$B$11</f>
        <v/>
      </c>
    </row>
    <row r="349">
      <c r="A349" s="1" t="n">
        <v>348</v>
      </c>
      <c r="B349" s="2">
        <f>DATE(Sintesi!$C$4-1,12,31)+A349</f>
        <v/>
      </c>
      <c r="C349" s="1">
        <f>'Paste cell here'!B349</f>
        <v/>
      </c>
      <c r="D349" s="1">
        <f>'Paste cell here'!I349</f>
        <v/>
      </c>
      <c r="E349" s="1">
        <f>'Paste cell here'!J349</f>
        <v/>
      </c>
      <c r="F349" s="1">
        <f>'Paste cell here'!K349</f>
        <v/>
      </c>
      <c r="G349" s="1">
        <f>'Paste cell here'!L349</f>
        <v/>
      </c>
      <c r="H349" s="1">
        <f>'Paste cell here'!M349</f>
        <v/>
      </c>
      <c r="I349" s="1">
        <f>'Paste cell here'!N349</f>
        <v/>
      </c>
      <c r="J349" s="1">
        <f>'Paste cell here'!O349</f>
        <v/>
      </c>
      <c r="K349" s="1">
        <f>'Paste cell here'!Q349</f>
        <v/>
      </c>
      <c r="L349" s="1">
        <f>'Paste cell here'!S349</f>
        <v/>
      </c>
      <c r="M349" s="1">
        <f>'Paste cell here'!T349</f>
        <v/>
      </c>
      <c r="N349" s="1">
        <f>'Paste cell here'!W349</f>
        <v/>
      </c>
      <c r="O349" s="1">
        <f>'Paste cell here'!U349</f>
        <v/>
      </c>
      <c r="P349" s="1">
        <f>O348</f>
        <v/>
      </c>
      <c r="Q349" s="1">
        <f>'Paste cell here'!V349</f>
        <v/>
      </c>
      <c r="R349" s="1">
        <f>ABS(O348+C349+D349+N349+Q348-H349-I349-K349-L349-M349-O349-Q349)</f>
        <v/>
      </c>
      <c r="S349" s="7">
        <f>Sintesi!$C$30</f>
        <v/>
      </c>
      <c r="T349" s="7">
        <f>Sintesi!$C$29</f>
        <v/>
      </c>
      <c r="U349" s="5">
        <f>O349/(Sintesi!$C$5*1000)</f>
        <v/>
      </c>
      <c r="V349" s="1">
        <f>T349-S349</f>
        <v/>
      </c>
      <c r="W349" s="1" t="n">
        <v>0.685293548135172</v>
      </c>
      <c r="X349" s="1">
        <f>W349*V349</f>
        <v/>
      </c>
      <c r="Y349" s="1">
        <f>T349-X349</f>
        <v/>
      </c>
      <c r="Z349" s="1">
        <f>'Paste cellinfo here'!$B$11</f>
        <v/>
      </c>
    </row>
    <row r="350">
      <c r="A350" s="1" t="n">
        <v>349</v>
      </c>
      <c r="B350" s="2">
        <f>DATE(Sintesi!$C$4-1,12,31)+A350</f>
        <v/>
      </c>
      <c r="C350" s="1">
        <f>'Paste cell here'!B350</f>
        <v/>
      </c>
      <c r="D350" s="1">
        <f>'Paste cell here'!I350</f>
        <v/>
      </c>
      <c r="E350" s="1">
        <f>'Paste cell here'!J350</f>
        <v/>
      </c>
      <c r="F350" s="1">
        <f>'Paste cell here'!K350</f>
        <v/>
      </c>
      <c r="G350" s="1">
        <f>'Paste cell here'!L350</f>
        <v/>
      </c>
      <c r="H350" s="1">
        <f>'Paste cell here'!M350</f>
        <v/>
      </c>
      <c r="I350" s="1">
        <f>'Paste cell here'!N350</f>
        <v/>
      </c>
      <c r="J350" s="1">
        <f>'Paste cell here'!O350</f>
        <v/>
      </c>
      <c r="K350" s="1">
        <f>'Paste cell here'!Q350</f>
        <v/>
      </c>
      <c r="L350" s="1">
        <f>'Paste cell here'!S350</f>
        <v/>
      </c>
      <c r="M350" s="1">
        <f>'Paste cell here'!T350</f>
        <v/>
      </c>
      <c r="N350" s="1">
        <f>'Paste cell here'!W350</f>
        <v/>
      </c>
      <c r="O350" s="1">
        <f>'Paste cell here'!U350</f>
        <v/>
      </c>
      <c r="P350" s="1">
        <f>O349</f>
        <v/>
      </c>
      <c r="Q350" s="1">
        <f>'Paste cell here'!V350</f>
        <v/>
      </c>
      <c r="R350" s="1">
        <f>ABS(O349+C350+D350+N350+Q349-H350-I350-K350-L350-M350-O350-Q350)</f>
        <v/>
      </c>
      <c r="S350" s="7">
        <f>Sintesi!$C$30</f>
        <v/>
      </c>
      <c r="T350" s="7">
        <f>Sintesi!$C$29</f>
        <v/>
      </c>
      <c r="U350" s="5">
        <f>O350/(Sintesi!$C$5*1000)</f>
        <v/>
      </c>
      <c r="V350" s="1">
        <f>T350-S350</f>
        <v/>
      </c>
      <c r="W350" s="1" t="n">
        <v>0.684950185660086</v>
      </c>
      <c r="X350" s="1">
        <f>W350*V350</f>
        <v/>
      </c>
      <c r="Y350" s="1">
        <f>T350-X350</f>
        <v/>
      </c>
      <c r="Z350" s="1">
        <f>'Paste cellinfo here'!$B$11</f>
        <v/>
      </c>
    </row>
    <row r="351">
      <c r="A351" s="1" t="n">
        <v>350</v>
      </c>
      <c r="B351" s="2">
        <f>DATE(Sintesi!$C$4-1,12,31)+A351</f>
        <v/>
      </c>
      <c r="C351" s="1">
        <f>'Paste cell here'!B351</f>
        <v/>
      </c>
      <c r="D351" s="1">
        <f>'Paste cell here'!I351</f>
        <v/>
      </c>
      <c r="E351" s="1">
        <f>'Paste cell here'!J351</f>
        <v/>
      </c>
      <c r="F351" s="1">
        <f>'Paste cell here'!K351</f>
        <v/>
      </c>
      <c r="G351" s="1">
        <f>'Paste cell here'!L351</f>
        <v/>
      </c>
      <c r="H351" s="1">
        <f>'Paste cell here'!M351</f>
        <v/>
      </c>
      <c r="I351" s="1">
        <f>'Paste cell here'!N351</f>
        <v/>
      </c>
      <c r="J351" s="1">
        <f>'Paste cell here'!O351</f>
        <v/>
      </c>
      <c r="K351" s="1">
        <f>'Paste cell here'!Q351</f>
        <v/>
      </c>
      <c r="L351" s="1">
        <f>'Paste cell here'!S351</f>
        <v/>
      </c>
      <c r="M351" s="1">
        <f>'Paste cell here'!T351</f>
        <v/>
      </c>
      <c r="N351" s="1">
        <f>'Paste cell here'!W351</f>
        <v/>
      </c>
      <c r="O351" s="1">
        <f>'Paste cell here'!U351</f>
        <v/>
      </c>
      <c r="P351" s="1">
        <f>O350</f>
        <v/>
      </c>
      <c r="Q351" s="1">
        <f>'Paste cell here'!V351</f>
        <v/>
      </c>
      <c r="R351" s="1">
        <f>ABS(O350+C351+D351+N351+Q350-H351-I351-K351-L351-M351-O351-Q351)</f>
        <v/>
      </c>
      <c r="S351" s="7">
        <f>Sintesi!$C$30</f>
        <v/>
      </c>
      <c r="T351" s="7">
        <f>Sintesi!$C$29</f>
        <v/>
      </c>
      <c r="U351" s="5">
        <f>O351/(Sintesi!$C$5*1000)</f>
        <v/>
      </c>
      <c r="V351" s="1">
        <f>T351-S351</f>
        <v/>
      </c>
      <c r="W351" s="1" t="n">
        <v>0.678457640076005</v>
      </c>
      <c r="X351" s="1">
        <f>W351*V351</f>
        <v/>
      </c>
      <c r="Y351" s="1">
        <f>T351-X351</f>
        <v/>
      </c>
      <c r="Z351" s="1">
        <f>'Paste cellinfo here'!$B$11</f>
        <v/>
      </c>
    </row>
    <row r="352">
      <c r="A352" s="1" t="n">
        <v>351</v>
      </c>
      <c r="B352" s="2">
        <f>DATE(Sintesi!$C$4-1,12,31)+A352</f>
        <v/>
      </c>
      <c r="C352" s="1">
        <f>'Paste cell here'!B352</f>
        <v/>
      </c>
      <c r="D352" s="1">
        <f>'Paste cell here'!I352</f>
        <v/>
      </c>
      <c r="E352" s="1">
        <f>'Paste cell here'!J352</f>
        <v/>
      </c>
      <c r="F352" s="1">
        <f>'Paste cell here'!K352</f>
        <v/>
      </c>
      <c r="G352" s="1">
        <f>'Paste cell here'!L352</f>
        <v/>
      </c>
      <c r="H352" s="1">
        <f>'Paste cell here'!M352</f>
        <v/>
      </c>
      <c r="I352" s="1">
        <f>'Paste cell here'!N352</f>
        <v/>
      </c>
      <c r="J352" s="1">
        <f>'Paste cell here'!O352</f>
        <v/>
      </c>
      <c r="K352" s="1">
        <f>'Paste cell here'!Q352</f>
        <v/>
      </c>
      <c r="L352" s="1">
        <f>'Paste cell here'!S352</f>
        <v/>
      </c>
      <c r="M352" s="1">
        <f>'Paste cell here'!T352</f>
        <v/>
      </c>
      <c r="N352" s="1">
        <f>'Paste cell here'!W352</f>
        <v/>
      </c>
      <c r="O352" s="1">
        <f>'Paste cell here'!U352</f>
        <v/>
      </c>
      <c r="P352" s="1">
        <f>O351</f>
        <v/>
      </c>
      <c r="Q352" s="1">
        <f>'Paste cell here'!V352</f>
        <v/>
      </c>
      <c r="R352" s="1">
        <f>ABS(O351+C352+D352+N352+Q351-H352-I352-K352-L352-M352-O352-Q352)</f>
        <v/>
      </c>
      <c r="S352" s="7">
        <f>Sintesi!$C$30</f>
        <v/>
      </c>
      <c r="T352" s="7">
        <f>Sintesi!$C$29</f>
        <v/>
      </c>
      <c r="U352" s="5">
        <f>O352/(Sintesi!$C$5*1000)</f>
        <v/>
      </c>
      <c r="V352" s="1">
        <f>T352-S352</f>
        <v/>
      </c>
      <c r="W352" s="1" t="n">
        <v>0.679834735647292</v>
      </c>
      <c r="X352" s="1">
        <f>W352*V352</f>
        <v/>
      </c>
      <c r="Y352" s="1">
        <f>T352-X352</f>
        <v/>
      </c>
      <c r="Z352" s="1">
        <f>'Paste cellinfo here'!$B$11</f>
        <v/>
      </c>
    </row>
    <row r="353">
      <c r="A353" s="1" t="n">
        <v>352</v>
      </c>
      <c r="B353" s="2">
        <f>DATE(Sintesi!$C$4-1,12,31)+A353</f>
        <v/>
      </c>
      <c r="C353" s="1">
        <f>'Paste cell here'!B353</f>
        <v/>
      </c>
      <c r="D353" s="1">
        <f>'Paste cell here'!I353</f>
        <v/>
      </c>
      <c r="E353" s="1">
        <f>'Paste cell here'!J353</f>
        <v/>
      </c>
      <c r="F353" s="1">
        <f>'Paste cell here'!K353</f>
        <v/>
      </c>
      <c r="G353" s="1">
        <f>'Paste cell here'!L353</f>
        <v/>
      </c>
      <c r="H353" s="1">
        <f>'Paste cell here'!M353</f>
        <v/>
      </c>
      <c r="I353" s="1">
        <f>'Paste cell here'!N353</f>
        <v/>
      </c>
      <c r="J353" s="1">
        <f>'Paste cell here'!O353</f>
        <v/>
      </c>
      <c r="K353" s="1">
        <f>'Paste cell here'!Q353</f>
        <v/>
      </c>
      <c r="L353" s="1">
        <f>'Paste cell here'!S353</f>
        <v/>
      </c>
      <c r="M353" s="1">
        <f>'Paste cell here'!T353</f>
        <v/>
      </c>
      <c r="N353" s="1">
        <f>'Paste cell here'!W353</f>
        <v/>
      </c>
      <c r="O353" s="1">
        <f>'Paste cell here'!U353</f>
        <v/>
      </c>
      <c r="P353" s="1">
        <f>O352</f>
        <v/>
      </c>
      <c r="Q353" s="1">
        <f>'Paste cell here'!V353</f>
        <v/>
      </c>
      <c r="R353" s="1">
        <f>ABS(O352+C353+D353+N353+Q352-H353-I353-K353-L353-M353-O353-Q353)</f>
        <v/>
      </c>
      <c r="S353" s="7">
        <f>Sintesi!$C$30</f>
        <v/>
      </c>
      <c r="T353" s="7">
        <f>Sintesi!$C$29</f>
        <v/>
      </c>
      <c r="U353" s="5">
        <f>O353/(Sintesi!$C$5*1000)</f>
        <v/>
      </c>
      <c r="V353" s="1">
        <f>T353-S353</f>
        <v/>
      </c>
      <c r="W353" s="1" t="n">
        <v>0.674481495928693</v>
      </c>
      <c r="X353" s="1">
        <f>W353*V353</f>
        <v/>
      </c>
      <c r="Y353" s="1">
        <f>T353-X353</f>
        <v/>
      </c>
      <c r="Z353" s="1">
        <f>'Paste cellinfo here'!$B$11</f>
        <v/>
      </c>
    </row>
    <row r="354">
      <c r="A354" s="1" t="n">
        <v>353</v>
      </c>
      <c r="B354" s="2">
        <f>DATE(Sintesi!$C$4-1,12,31)+A354</f>
        <v/>
      </c>
      <c r="C354" s="1">
        <f>'Paste cell here'!B354</f>
        <v/>
      </c>
      <c r="D354" s="1">
        <f>'Paste cell here'!I354</f>
        <v/>
      </c>
      <c r="E354" s="1">
        <f>'Paste cell here'!J354</f>
        <v/>
      </c>
      <c r="F354" s="1">
        <f>'Paste cell here'!K354</f>
        <v/>
      </c>
      <c r="G354" s="1">
        <f>'Paste cell here'!L354</f>
        <v/>
      </c>
      <c r="H354" s="1">
        <f>'Paste cell here'!M354</f>
        <v/>
      </c>
      <c r="I354" s="1">
        <f>'Paste cell here'!N354</f>
        <v/>
      </c>
      <c r="J354" s="1">
        <f>'Paste cell here'!O354</f>
        <v/>
      </c>
      <c r="K354" s="1">
        <f>'Paste cell here'!Q354</f>
        <v/>
      </c>
      <c r="L354" s="1">
        <f>'Paste cell here'!S354</f>
        <v/>
      </c>
      <c r="M354" s="1">
        <f>'Paste cell here'!T354</f>
        <v/>
      </c>
      <c r="N354" s="1">
        <f>'Paste cell here'!W354</f>
        <v/>
      </c>
      <c r="O354" s="1">
        <f>'Paste cell here'!U354</f>
        <v/>
      </c>
      <c r="P354" s="1">
        <f>O353</f>
        <v/>
      </c>
      <c r="Q354" s="1">
        <f>'Paste cell here'!V354</f>
        <v/>
      </c>
      <c r="R354" s="1">
        <f>ABS(O353+C354+D354+N354+Q353-H354-I354-K354-L354-M354-O354-Q354)</f>
        <v/>
      </c>
      <c r="S354" s="7">
        <f>Sintesi!$C$30</f>
        <v/>
      </c>
      <c r="T354" s="7">
        <f>Sintesi!$C$29</f>
        <v/>
      </c>
      <c r="U354" s="5">
        <f>O354/(Sintesi!$C$5*1000)</f>
        <v/>
      </c>
      <c r="V354" s="1">
        <f>T354-S354</f>
        <v/>
      </c>
      <c r="W354" s="1" t="n">
        <v>0.68273124229006</v>
      </c>
      <c r="X354" s="1">
        <f>W354*V354</f>
        <v/>
      </c>
      <c r="Y354" s="1">
        <f>T354-X354</f>
        <v/>
      </c>
      <c r="Z354" s="1">
        <f>'Paste cellinfo here'!$B$11</f>
        <v/>
      </c>
    </row>
    <row r="355">
      <c r="A355" s="1" t="n">
        <v>354</v>
      </c>
      <c r="B355" s="2">
        <f>DATE(Sintesi!$C$4-1,12,31)+A355</f>
        <v/>
      </c>
      <c r="C355" s="1">
        <f>'Paste cell here'!B355</f>
        <v/>
      </c>
      <c r="D355" s="1">
        <f>'Paste cell here'!I355</f>
        <v/>
      </c>
      <c r="E355" s="1">
        <f>'Paste cell here'!J355</f>
        <v/>
      </c>
      <c r="F355" s="1">
        <f>'Paste cell here'!K355</f>
        <v/>
      </c>
      <c r="G355" s="1">
        <f>'Paste cell here'!L355</f>
        <v/>
      </c>
      <c r="H355" s="1">
        <f>'Paste cell here'!M355</f>
        <v/>
      </c>
      <c r="I355" s="1">
        <f>'Paste cell here'!N355</f>
        <v/>
      </c>
      <c r="J355" s="1">
        <f>'Paste cell here'!O355</f>
        <v/>
      </c>
      <c r="K355" s="1">
        <f>'Paste cell here'!Q355</f>
        <v/>
      </c>
      <c r="L355" s="1">
        <f>'Paste cell here'!S355</f>
        <v/>
      </c>
      <c r="M355" s="1">
        <f>'Paste cell here'!T355</f>
        <v/>
      </c>
      <c r="N355" s="1">
        <f>'Paste cell here'!W355</f>
        <v/>
      </c>
      <c r="O355" s="1">
        <f>'Paste cell here'!U355</f>
        <v/>
      </c>
      <c r="P355" s="1">
        <f>O354</f>
        <v/>
      </c>
      <c r="Q355" s="1">
        <f>'Paste cell here'!V355</f>
        <v/>
      </c>
      <c r="R355" s="1">
        <f>ABS(O354+C355+D355+N355+Q354-H355-I355-K355-L355-M355-O355-Q355)</f>
        <v/>
      </c>
      <c r="S355" s="7">
        <f>Sintesi!$C$30</f>
        <v/>
      </c>
      <c r="T355" s="7">
        <f>Sintesi!$C$29</f>
        <v/>
      </c>
      <c r="U355" s="5">
        <f>O355/(Sintesi!$C$5*1000)</f>
        <v/>
      </c>
      <c r="V355" s="1">
        <f>T355-S355</f>
        <v/>
      </c>
      <c r="W355" s="1" t="n">
        <v>0.681703788038302</v>
      </c>
      <c r="X355" s="1">
        <f>W355*V355</f>
        <v/>
      </c>
      <c r="Y355" s="1">
        <f>T355-X355</f>
        <v/>
      </c>
      <c r="Z355" s="1">
        <f>'Paste cellinfo here'!$B$11</f>
        <v/>
      </c>
    </row>
    <row r="356">
      <c r="A356" s="1" t="n">
        <v>355</v>
      </c>
      <c r="B356" s="2">
        <f>DATE(Sintesi!$C$4-1,12,31)+A356</f>
        <v/>
      </c>
      <c r="C356" s="1">
        <f>'Paste cell here'!B356</f>
        <v/>
      </c>
      <c r="D356" s="1">
        <f>'Paste cell here'!I356</f>
        <v/>
      </c>
      <c r="E356" s="1">
        <f>'Paste cell here'!J356</f>
        <v/>
      </c>
      <c r="F356" s="1">
        <f>'Paste cell here'!K356</f>
        <v/>
      </c>
      <c r="G356" s="1">
        <f>'Paste cell here'!L356</f>
        <v/>
      </c>
      <c r="H356" s="1">
        <f>'Paste cell here'!M356</f>
        <v/>
      </c>
      <c r="I356" s="1">
        <f>'Paste cell here'!N356</f>
        <v/>
      </c>
      <c r="J356" s="1">
        <f>'Paste cell here'!O356</f>
        <v/>
      </c>
      <c r="K356" s="1">
        <f>'Paste cell here'!Q356</f>
        <v/>
      </c>
      <c r="L356" s="1">
        <f>'Paste cell here'!S356</f>
        <v/>
      </c>
      <c r="M356" s="1">
        <f>'Paste cell here'!T356</f>
        <v/>
      </c>
      <c r="N356" s="1">
        <f>'Paste cell here'!W356</f>
        <v/>
      </c>
      <c r="O356" s="1">
        <f>'Paste cell here'!U356</f>
        <v/>
      </c>
      <c r="P356" s="1">
        <f>O355</f>
        <v/>
      </c>
      <c r="Q356" s="1">
        <f>'Paste cell here'!V356</f>
        <v/>
      </c>
      <c r="R356" s="1">
        <f>ABS(O355+C356+D356+N356+Q355-H356-I356-K356-L356-M356-O356-Q356)</f>
        <v/>
      </c>
      <c r="S356" s="7">
        <f>Sintesi!$C$30</f>
        <v/>
      </c>
      <c r="T356" s="7">
        <f>Sintesi!$C$29</f>
        <v/>
      </c>
      <c r="U356" s="5">
        <f>O356/(Sintesi!$C$5*1000)</f>
        <v/>
      </c>
      <c r="V356" s="1">
        <f>T356-S356</f>
        <v/>
      </c>
      <c r="W356" s="1" t="n">
        <v>0.679887634427747</v>
      </c>
      <c r="X356" s="1">
        <f>W356*V356</f>
        <v/>
      </c>
      <c r="Y356" s="1">
        <f>T356-X356</f>
        <v/>
      </c>
      <c r="Z356" s="1">
        <f>'Paste cellinfo here'!$B$11</f>
        <v/>
      </c>
    </row>
    <row r="357">
      <c r="A357" s="1" t="n">
        <v>356</v>
      </c>
      <c r="B357" s="2">
        <f>DATE(Sintesi!$C$4-1,12,31)+A357</f>
        <v/>
      </c>
      <c r="C357" s="1">
        <f>'Paste cell here'!B357</f>
        <v/>
      </c>
      <c r="D357" s="1">
        <f>'Paste cell here'!I357</f>
        <v/>
      </c>
      <c r="E357" s="1">
        <f>'Paste cell here'!J357</f>
        <v/>
      </c>
      <c r="F357" s="1">
        <f>'Paste cell here'!K357</f>
        <v/>
      </c>
      <c r="G357" s="1">
        <f>'Paste cell here'!L357</f>
        <v/>
      </c>
      <c r="H357" s="1">
        <f>'Paste cell here'!M357</f>
        <v/>
      </c>
      <c r="I357" s="1">
        <f>'Paste cell here'!N357</f>
        <v/>
      </c>
      <c r="J357" s="1">
        <f>'Paste cell here'!O357</f>
        <v/>
      </c>
      <c r="K357" s="1">
        <f>'Paste cell here'!Q357</f>
        <v/>
      </c>
      <c r="L357" s="1">
        <f>'Paste cell here'!S357</f>
        <v/>
      </c>
      <c r="M357" s="1">
        <f>'Paste cell here'!T357</f>
        <v/>
      </c>
      <c r="N357" s="1">
        <f>'Paste cell here'!W357</f>
        <v/>
      </c>
      <c r="O357" s="1">
        <f>'Paste cell here'!U357</f>
        <v/>
      </c>
      <c r="P357" s="1">
        <f>O356</f>
        <v/>
      </c>
      <c r="Q357" s="1">
        <f>'Paste cell here'!V357</f>
        <v/>
      </c>
      <c r="R357" s="1">
        <f>ABS(O356+C357+D357+N357+Q356-H357-I357-K357-L357-M357-O357-Q357)</f>
        <v/>
      </c>
      <c r="S357" s="7">
        <f>Sintesi!$C$30</f>
        <v/>
      </c>
      <c r="T357" s="7">
        <f>Sintesi!$C$29</f>
        <v/>
      </c>
      <c r="U357" s="5">
        <f>O357/(Sintesi!$C$5*1000)</f>
        <v/>
      </c>
      <c r="V357" s="1">
        <f>T357-S357</f>
        <v/>
      </c>
      <c r="W357" s="1" t="n">
        <v>0.679677039296632</v>
      </c>
      <c r="X357" s="1">
        <f>W357*V357</f>
        <v/>
      </c>
      <c r="Y357" s="1">
        <f>T357-X357</f>
        <v/>
      </c>
      <c r="Z357" s="1">
        <f>'Paste cellinfo here'!$B$11</f>
        <v/>
      </c>
    </row>
    <row r="358">
      <c r="A358" s="1" t="n">
        <v>357</v>
      </c>
      <c r="B358" s="2">
        <f>DATE(Sintesi!$C$4-1,12,31)+A358</f>
        <v/>
      </c>
      <c r="C358" s="1">
        <f>'Paste cell here'!B358</f>
        <v/>
      </c>
      <c r="D358" s="1">
        <f>'Paste cell here'!I358</f>
        <v/>
      </c>
      <c r="E358" s="1">
        <f>'Paste cell here'!J358</f>
        <v/>
      </c>
      <c r="F358" s="1">
        <f>'Paste cell here'!K358</f>
        <v/>
      </c>
      <c r="G358" s="1">
        <f>'Paste cell here'!L358</f>
        <v/>
      </c>
      <c r="H358" s="1">
        <f>'Paste cell here'!M358</f>
        <v/>
      </c>
      <c r="I358" s="1">
        <f>'Paste cell here'!N358</f>
        <v/>
      </c>
      <c r="J358" s="1">
        <f>'Paste cell here'!O358</f>
        <v/>
      </c>
      <c r="K358" s="1">
        <f>'Paste cell here'!Q358</f>
        <v/>
      </c>
      <c r="L358" s="1">
        <f>'Paste cell here'!S358</f>
        <v/>
      </c>
      <c r="M358" s="1">
        <f>'Paste cell here'!T358</f>
        <v/>
      </c>
      <c r="N358" s="1">
        <f>'Paste cell here'!W358</f>
        <v/>
      </c>
      <c r="O358" s="1">
        <f>'Paste cell here'!U358</f>
        <v/>
      </c>
      <c r="P358" s="1">
        <f>O357</f>
        <v/>
      </c>
      <c r="Q358" s="1">
        <f>'Paste cell here'!V358</f>
        <v/>
      </c>
      <c r="R358" s="1">
        <f>ABS(O357+C358+D358+N358+Q357-H358-I358-K358-L358-M358-O358-Q358)</f>
        <v/>
      </c>
      <c r="S358" s="7">
        <f>Sintesi!$C$30</f>
        <v/>
      </c>
      <c r="T358" s="7">
        <f>Sintesi!$C$29</f>
        <v/>
      </c>
      <c r="U358" s="5">
        <f>O358/(Sintesi!$C$5*1000)</f>
        <v/>
      </c>
      <c r="V358" s="1">
        <f>T358-S358</f>
        <v/>
      </c>
      <c r="W358" s="1" t="n">
        <v>0.676607491063128</v>
      </c>
      <c r="X358" s="1">
        <f>W358*V358</f>
        <v/>
      </c>
      <c r="Y358" s="1">
        <f>T358-X358</f>
        <v/>
      </c>
      <c r="Z358" s="1">
        <f>'Paste cellinfo here'!$B$11</f>
        <v/>
      </c>
    </row>
    <row r="359">
      <c r="A359" s="1" t="n">
        <v>358</v>
      </c>
      <c r="B359" s="2">
        <f>DATE(Sintesi!$C$4-1,12,31)+A359</f>
        <v/>
      </c>
      <c r="C359" s="1">
        <f>'Paste cell here'!B359</f>
        <v/>
      </c>
      <c r="D359" s="1">
        <f>'Paste cell here'!I359</f>
        <v/>
      </c>
      <c r="E359" s="1">
        <f>'Paste cell here'!J359</f>
        <v/>
      </c>
      <c r="F359" s="1">
        <f>'Paste cell here'!K359</f>
        <v/>
      </c>
      <c r="G359" s="1">
        <f>'Paste cell here'!L359</f>
        <v/>
      </c>
      <c r="H359" s="1">
        <f>'Paste cell here'!M359</f>
        <v/>
      </c>
      <c r="I359" s="1">
        <f>'Paste cell here'!N359</f>
        <v/>
      </c>
      <c r="J359" s="1">
        <f>'Paste cell here'!O359</f>
        <v/>
      </c>
      <c r="K359" s="1">
        <f>'Paste cell here'!Q359</f>
        <v/>
      </c>
      <c r="L359" s="1">
        <f>'Paste cell here'!S359</f>
        <v/>
      </c>
      <c r="M359" s="1">
        <f>'Paste cell here'!T359</f>
        <v/>
      </c>
      <c r="N359" s="1">
        <f>'Paste cell here'!W359</f>
        <v/>
      </c>
      <c r="O359" s="1">
        <f>'Paste cell here'!U359</f>
        <v/>
      </c>
      <c r="P359" s="1">
        <f>O358</f>
        <v/>
      </c>
      <c r="Q359" s="1">
        <f>'Paste cell here'!V359</f>
        <v/>
      </c>
      <c r="R359" s="1">
        <f>ABS(O358+C359+D359+N359+Q358-H359-I359-K359-L359-M359-O359-Q359)</f>
        <v/>
      </c>
      <c r="S359" s="7">
        <f>Sintesi!$C$30</f>
        <v/>
      </c>
      <c r="T359" s="7">
        <f>Sintesi!$C$29</f>
        <v/>
      </c>
      <c r="U359" s="5">
        <f>O359/(Sintesi!$C$5*1000)</f>
        <v/>
      </c>
      <c r="V359" s="1">
        <f>T359-S359</f>
        <v/>
      </c>
      <c r="W359" s="1" t="n">
        <v>0.661357132592604</v>
      </c>
      <c r="X359" s="1">
        <f>W359*V359</f>
        <v/>
      </c>
      <c r="Y359" s="1">
        <f>T359-X359</f>
        <v/>
      </c>
      <c r="Z359" s="1">
        <f>'Paste cellinfo here'!$B$11</f>
        <v/>
      </c>
    </row>
    <row r="360">
      <c r="A360" s="1" t="n">
        <v>359</v>
      </c>
      <c r="B360" s="2">
        <f>DATE(Sintesi!$C$4-1,12,31)+A360</f>
        <v/>
      </c>
      <c r="C360" s="1">
        <f>'Paste cell here'!B360</f>
        <v/>
      </c>
      <c r="D360" s="1">
        <f>'Paste cell here'!I360</f>
        <v/>
      </c>
      <c r="E360" s="1">
        <f>'Paste cell here'!J360</f>
        <v/>
      </c>
      <c r="F360" s="1">
        <f>'Paste cell here'!K360</f>
        <v/>
      </c>
      <c r="G360" s="1">
        <f>'Paste cell here'!L360</f>
        <v/>
      </c>
      <c r="H360" s="1">
        <f>'Paste cell here'!M360</f>
        <v/>
      </c>
      <c r="I360" s="1">
        <f>'Paste cell here'!N360</f>
        <v/>
      </c>
      <c r="J360" s="1">
        <f>'Paste cell here'!O360</f>
        <v/>
      </c>
      <c r="K360" s="1">
        <f>'Paste cell here'!Q360</f>
        <v/>
      </c>
      <c r="L360" s="1">
        <f>'Paste cell here'!S360</f>
        <v/>
      </c>
      <c r="M360" s="1">
        <f>'Paste cell here'!T360</f>
        <v/>
      </c>
      <c r="N360" s="1">
        <f>'Paste cell here'!W360</f>
        <v/>
      </c>
      <c r="O360" s="1">
        <f>'Paste cell here'!U360</f>
        <v/>
      </c>
      <c r="P360" s="1">
        <f>O359</f>
        <v/>
      </c>
      <c r="Q360" s="1">
        <f>'Paste cell here'!V360</f>
        <v/>
      </c>
      <c r="R360" s="1">
        <f>ABS(O359+C360+D360+N360+Q359-H360-I360-K360-L360-M360-O360-Q360)</f>
        <v/>
      </c>
      <c r="S360" s="7">
        <f>Sintesi!$C$30</f>
        <v/>
      </c>
      <c r="T360" s="7">
        <f>Sintesi!$C$29</f>
        <v/>
      </c>
      <c r="U360" s="5">
        <f>O360/(Sintesi!$C$5*1000)</f>
        <v/>
      </c>
      <c r="V360" s="1">
        <f>T360-S360</f>
        <v/>
      </c>
      <c r="W360" s="1" t="n">
        <v>0.672779495240924</v>
      </c>
      <c r="X360" s="1">
        <f>W360*V360</f>
        <v/>
      </c>
      <c r="Y360" s="1">
        <f>T360-X360</f>
        <v/>
      </c>
      <c r="Z360" s="1">
        <f>'Paste cellinfo here'!$B$11</f>
        <v/>
      </c>
    </row>
    <row r="361">
      <c r="A361" s="1" t="n">
        <v>360</v>
      </c>
      <c r="B361" s="2">
        <f>DATE(Sintesi!$C$4-1,12,31)+A361</f>
        <v/>
      </c>
      <c r="C361" s="1">
        <f>'Paste cell here'!B361</f>
        <v/>
      </c>
      <c r="D361" s="1">
        <f>'Paste cell here'!I361</f>
        <v/>
      </c>
      <c r="E361" s="1">
        <f>'Paste cell here'!J361</f>
        <v/>
      </c>
      <c r="F361" s="1">
        <f>'Paste cell here'!K361</f>
        <v/>
      </c>
      <c r="G361" s="1">
        <f>'Paste cell here'!L361</f>
        <v/>
      </c>
      <c r="H361" s="1">
        <f>'Paste cell here'!M361</f>
        <v/>
      </c>
      <c r="I361" s="1">
        <f>'Paste cell here'!N361</f>
        <v/>
      </c>
      <c r="J361" s="1">
        <f>'Paste cell here'!O361</f>
        <v/>
      </c>
      <c r="K361" s="1">
        <f>'Paste cell here'!Q361</f>
        <v/>
      </c>
      <c r="L361" s="1">
        <f>'Paste cell here'!S361</f>
        <v/>
      </c>
      <c r="M361" s="1">
        <f>'Paste cell here'!T361</f>
        <v/>
      </c>
      <c r="N361" s="1">
        <f>'Paste cell here'!W361</f>
        <v/>
      </c>
      <c r="O361" s="1">
        <f>'Paste cell here'!U361</f>
        <v/>
      </c>
      <c r="P361" s="1">
        <f>O360</f>
        <v/>
      </c>
      <c r="Q361" s="1">
        <f>'Paste cell here'!V361</f>
        <v/>
      </c>
      <c r="R361" s="1">
        <f>ABS(O360+C361+D361+N361+Q360-H361-I361-K361-L361-M361-O361-Q361)</f>
        <v/>
      </c>
      <c r="S361" s="7">
        <f>Sintesi!$C$30</f>
        <v/>
      </c>
      <c r="T361" s="7">
        <f>Sintesi!$C$29</f>
        <v/>
      </c>
      <c r="U361" s="5">
        <f>O361/(Sintesi!$C$5*1000)</f>
        <v/>
      </c>
      <c r="V361" s="1">
        <f>T361-S361</f>
        <v/>
      </c>
      <c r="W361" s="1" t="n">
        <v>0.678000972916412</v>
      </c>
      <c r="X361" s="1">
        <f>W361*V361</f>
        <v/>
      </c>
      <c r="Y361" s="1">
        <f>T361-X361</f>
        <v/>
      </c>
      <c r="Z361" s="1">
        <f>'Paste cellinfo here'!$B$11</f>
        <v/>
      </c>
    </row>
    <row r="362">
      <c r="A362" s="1" t="n">
        <v>361</v>
      </c>
      <c r="B362" s="2">
        <f>DATE(Sintesi!$C$4-1,12,31)+A362</f>
        <v/>
      </c>
      <c r="C362" s="1">
        <f>'Paste cell here'!B362</f>
        <v/>
      </c>
      <c r="D362" s="1">
        <f>'Paste cell here'!I362</f>
        <v/>
      </c>
      <c r="E362" s="1">
        <f>'Paste cell here'!J362</f>
        <v/>
      </c>
      <c r="F362" s="1">
        <f>'Paste cell here'!K362</f>
        <v/>
      </c>
      <c r="G362" s="1">
        <f>'Paste cell here'!L362</f>
        <v/>
      </c>
      <c r="H362" s="1">
        <f>'Paste cell here'!M362</f>
        <v/>
      </c>
      <c r="I362" s="1">
        <f>'Paste cell here'!N362</f>
        <v/>
      </c>
      <c r="J362" s="1">
        <f>'Paste cell here'!O362</f>
        <v/>
      </c>
      <c r="K362" s="1">
        <f>'Paste cell here'!Q362</f>
        <v/>
      </c>
      <c r="L362" s="1">
        <f>'Paste cell here'!S362</f>
        <v/>
      </c>
      <c r="M362" s="1">
        <f>'Paste cell here'!T362</f>
        <v/>
      </c>
      <c r="N362" s="1">
        <f>'Paste cell here'!W362</f>
        <v/>
      </c>
      <c r="O362" s="1">
        <f>'Paste cell here'!U362</f>
        <v/>
      </c>
      <c r="P362" s="1">
        <f>O361</f>
        <v/>
      </c>
      <c r="Q362" s="1">
        <f>'Paste cell here'!V362</f>
        <v/>
      </c>
      <c r="R362" s="1">
        <f>ABS(O361+C362+D362+N362+Q361-H362-I362-K362-L362-M362-O362-Q362)</f>
        <v/>
      </c>
      <c r="S362" s="7">
        <f>Sintesi!$C$30</f>
        <v/>
      </c>
      <c r="T362" s="7">
        <f>Sintesi!$C$29</f>
        <v/>
      </c>
      <c r="U362" s="5">
        <f>O362/(Sintesi!$C$5*1000)</f>
        <v/>
      </c>
      <c r="V362" s="1">
        <f>T362-S362</f>
        <v/>
      </c>
      <c r="W362" s="1" t="n">
        <v>0.6759699419692921</v>
      </c>
      <c r="X362" s="1">
        <f>W362*V362</f>
        <v/>
      </c>
      <c r="Y362" s="1">
        <f>T362-X362</f>
        <v/>
      </c>
      <c r="Z362" s="1">
        <f>'Paste cellinfo here'!$B$11</f>
        <v/>
      </c>
    </row>
    <row r="363">
      <c r="A363" s="1" t="n">
        <v>362</v>
      </c>
      <c r="B363" s="2">
        <f>DATE(Sintesi!$C$4-1,12,31)+A363</f>
        <v/>
      </c>
      <c r="C363" s="1">
        <f>'Paste cell here'!B363</f>
        <v/>
      </c>
      <c r="D363" s="1">
        <f>'Paste cell here'!I363</f>
        <v/>
      </c>
      <c r="E363" s="1">
        <f>'Paste cell here'!J363</f>
        <v/>
      </c>
      <c r="F363" s="1">
        <f>'Paste cell here'!K363</f>
        <v/>
      </c>
      <c r="G363" s="1">
        <f>'Paste cell here'!L363</f>
        <v/>
      </c>
      <c r="H363" s="1">
        <f>'Paste cell here'!M363</f>
        <v/>
      </c>
      <c r="I363" s="1">
        <f>'Paste cell here'!N363</f>
        <v/>
      </c>
      <c r="J363" s="1">
        <f>'Paste cell here'!O363</f>
        <v/>
      </c>
      <c r="K363" s="1">
        <f>'Paste cell here'!Q363</f>
        <v/>
      </c>
      <c r="L363" s="1">
        <f>'Paste cell here'!S363</f>
        <v/>
      </c>
      <c r="M363" s="1">
        <f>'Paste cell here'!T363</f>
        <v/>
      </c>
      <c r="N363" s="1">
        <f>'Paste cell here'!W363</f>
        <v/>
      </c>
      <c r="O363" s="1">
        <f>'Paste cell here'!U363</f>
        <v/>
      </c>
      <c r="P363" s="1">
        <f>O362</f>
        <v/>
      </c>
      <c r="Q363" s="1">
        <f>'Paste cell here'!V363</f>
        <v/>
      </c>
      <c r="R363" s="1">
        <f>ABS(O362+C363+D363+N363+Q362-H363-I363-K363-L363-M363-O363-Q363)</f>
        <v/>
      </c>
      <c r="S363" s="7">
        <f>Sintesi!$C$30</f>
        <v/>
      </c>
      <c r="T363" s="7">
        <f>Sintesi!$C$29</f>
        <v/>
      </c>
      <c r="U363" s="5">
        <f>O363/(Sintesi!$C$5*1000)</f>
        <v/>
      </c>
      <c r="V363" s="1">
        <f>T363-S363</f>
        <v/>
      </c>
      <c r="W363" s="1" t="n">
        <v>0.683146701052967</v>
      </c>
      <c r="X363" s="1">
        <f>W363*V363</f>
        <v/>
      </c>
      <c r="Y363" s="1">
        <f>T363-X363</f>
        <v/>
      </c>
      <c r="Z363" s="1">
        <f>'Paste cellinfo here'!$B$11</f>
        <v/>
      </c>
    </row>
    <row r="364">
      <c r="A364" s="1" t="n">
        <v>363</v>
      </c>
      <c r="B364" s="2">
        <f>DATE(Sintesi!$C$4-1,12,31)+A364</f>
        <v/>
      </c>
      <c r="C364" s="1">
        <f>'Paste cell here'!B364</f>
        <v/>
      </c>
      <c r="D364" s="1">
        <f>'Paste cell here'!I364</f>
        <v/>
      </c>
      <c r="E364" s="1">
        <f>'Paste cell here'!J364</f>
        <v/>
      </c>
      <c r="F364" s="1">
        <f>'Paste cell here'!K364</f>
        <v/>
      </c>
      <c r="G364" s="1">
        <f>'Paste cell here'!L364</f>
        <v/>
      </c>
      <c r="H364" s="1">
        <f>'Paste cell here'!M364</f>
        <v/>
      </c>
      <c r="I364" s="1">
        <f>'Paste cell here'!N364</f>
        <v/>
      </c>
      <c r="J364" s="1">
        <f>'Paste cell here'!O364</f>
        <v/>
      </c>
      <c r="K364" s="1">
        <f>'Paste cell here'!Q364</f>
        <v/>
      </c>
      <c r="L364" s="1">
        <f>'Paste cell here'!S364</f>
        <v/>
      </c>
      <c r="M364" s="1">
        <f>'Paste cell here'!T364</f>
        <v/>
      </c>
      <c r="N364" s="1">
        <f>'Paste cell here'!W364</f>
        <v/>
      </c>
      <c r="O364" s="1">
        <f>'Paste cell here'!U364</f>
        <v/>
      </c>
      <c r="P364" s="1">
        <f>O363</f>
        <v/>
      </c>
      <c r="Q364" s="1">
        <f>'Paste cell here'!V364</f>
        <v/>
      </c>
      <c r="R364" s="1">
        <f>ABS(O363+C364+D364+N364+Q363-H364-I364-K364-L364-M364-O364-Q364)</f>
        <v/>
      </c>
      <c r="S364" s="7">
        <f>Sintesi!$C$30</f>
        <v/>
      </c>
      <c r="T364" s="7">
        <f>Sintesi!$C$29</f>
        <v/>
      </c>
      <c r="U364" s="5">
        <f>O364/(Sintesi!$C$5*1000)</f>
        <v/>
      </c>
      <c r="V364" s="1">
        <f>T364-S364</f>
        <v/>
      </c>
      <c r="W364" s="1" t="n">
        <v>0.675470417967906</v>
      </c>
      <c r="X364" s="1">
        <f>W364*V364</f>
        <v/>
      </c>
      <c r="Y364" s="1">
        <f>T364-X364</f>
        <v/>
      </c>
      <c r="Z364" s="1">
        <f>'Paste cellinfo here'!$B$11</f>
        <v/>
      </c>
    </row>
    <row r="365">
      <c r="A365" s="1" t="n">
        <v>364</v>
      </c>
      <c r="B365" s="2">
        <f>DATE(Sintesi!$C$4-1,12,31)+A365</f>
        <v/>
      </c>
      <c r="C365" s="1">
        <f>'Paste cell here'!B365</f>
        <v/>
      </c>
      <c r="D365" s="1">
        <f>'Paste cell here'!I365</f>
        <v/>
      </c>
      <c r="E365" s="1">
        <f>'Paste cell here'!J365</f>
        <v/>
      </c>
      <c r="F365" s="1">
        <f>'Paste cell here'!K365</f>
        <v/>
      </c>
      <c r="G365" s="1">
        <f>'Paste cell here'!L365</f>
        <v/>
      </c>
      <c r="H365" s="1">
        <f>'Paste cell here'!M365</f>
        <v/>
      </c>
      <c r="I365" s="1">
        <f>'Paste cell here'!N365</f>
        <v/>
      </c>
      <c r="J365" s="1">
        <f>'Paste cell here'!O365</f>
        <v/>
      </c>
      <c r="K365" s="1">
        <f>'Paste cell here'!Q365</f>
        <v/>
      </c>
      <c r="L365" s="1">
        <f>'Paste cell here'!S365</f>
        <v/>
      </c>
      <c r="M365" s="1">
        <f>'Paste cell here'!T365</f>
        <v/>
      </c>
      <c r="N365" s="1">
        <f>'Paste cell here'!W365</f>
        <v/>
      </c>
      <c r="O365" s="1">
        <f>'Paste cell here'!U365</f>
        <v/>
      </c>
      <c r="P365" s="1">
        <f>O364</f>
        <v/>
      </c>
      <c r="Q365" s="1">
        <f>'Paste cell here'!V365</f>
        <v/>
      </c>
      <c r="R365" s="1">
        <f>ABS(O364+C365+D365+N365+Q364-H365-I365-K365-L365-M365-O365-Q365)</f>
        <v/>
      </c>
      <c r="S365" s="7">
        <f>Sintesi!$C$30</f>
        <v/>
      </c>
      <c r="T365" s="7">
        <f>Sintesi!$C$29</f>
        <v/>
      </c>
      <c r="U365" s="5">
        <f>O365/(Sintesi!$C$5*1000)</f>
        <v/>
      </c>
      <c r="V365" s="1">
        <f>T365-S365</f>
        <v/>
      </c>
      <c r="W365" s="1" t="n">
        <v>0.683461882635785</v>
      </c>
      <c r="X365" s="1">
        <f>W365*V365</f>
        <v/>
      </c>
      <c r="Y365" s="1">
        <f>T365-X365</f>
        <v/>
      </c>
      <c r="Z365" s="1">
        <f>'Paste cellinfo here'!$B$11</f>
        <v/>
      </c>
    </row>
    <row r="366">
      <c r="A366" s="1" t="n">
        <v>365</v>
      </c>
      <c r="B366" s="2">
        <f>DATE(Sintesi!$C$4-1,12,31)+A366</f>
        <v/>
      </c>
      <c r="C366" s="1">
        <f>'Paste cell here'!B366</f>
        <v/>
      </c>
      <c r="D366" s="1">
        <f>'Paste cell here'!I366</f>
        <v/>
      </c>
      <c r="E366" s="1">
        <f>'Paste cell here'!J366</f>
        <v/>
      </c>
      <c r="F366" s="1">
        <f>'Paste cell here'!K366</f>
        <v/>
      </c>
      <c r="G366" s="1">
        <f>'Paste cell here'!L366</f>
        <v/>
      </c>
      <c r="H366" s="1">
        <f>'Paste cell here'!M366</f>
        <v/>
      </c>
      <c r="I366" s="1">
        <f>'Paste cell here'!N366</f>
        <v/>
      </c>
      <c r="J366" s="1">
        <f>'Paste cell here'!O366</f>
        <v/>
      </c>
      <c r="K366" s="1">
        <f>'Paste cell here'!Q366</f>
        <v/>
      </c>
      <c r="L366" s="1">
        <f>'Paste cell here'!S366</f>
        <v/>
      </c>
      <c r="M366" s="1">
        <f>'Paste cell here'!T366</f>
        <v/>
      </c>
      <c r="N366" s="1">
        <f>'Paste cell here'!W366</f>
        <v/>
      </c>
      <c r="O366" s="1">
        <f>'Paste cell here'!U366</f>
        <v/>
      </c>
      <c r="P366" s="1">
        <f>O365</f>
        <v/>
      </c>
      <c r="Q366" s="1">
        <f>'Paste cell here'!V366</f>
        <v/>
      </c>
      <c r="R366" s="1">
        <f>ABS(O365+C366+D366+N366+Q365-H366-I366-K366-L366-M366-O366-Q366)</f>
        <v/>
      </c>
      <c r="S366" s="7">
        <f>Sintesi!$C$30</f>
        <v/>
      </c>
      <c r="T366" s="7">
        <f>Sintesi!$C$29</f>
        <v/>
      </c>
      <c r="U366" s="5">
        <f>O366/(Sintesi!$C$5*1000)</f>
        <v/>
      </c>
      <c r="V366" s="1">
        <f>T366-S366</f>
        <v/>
      </c>
      <c r="W366" s="1" t="n">
        <v>0.69069380757985</v>
      </c>
      <c r="X366" s="1">
        <f>W366*V366</f>
        <v/>
      </c>
      <c r="Y366" s="1">
        <f>T366-X366</f>
        <v/>
      </c>
      <c r="Z366" s="1">
        <f>'Paste cellinfo here'!$B$11</f>
        <v/>
      </c>
    </row>
    <row r="368">
      <c r="D368" s="1">
        <f>D108+D124+D156+D172+D180+D188+D196+D204+D212+D220+D228+D236+D252+D260</f>
        <v/>
      </c>
    </row>
    <row r="369">
      <c r="D369" s="1">
        <f>D368/14</f>
        <v/>
      </c>
    </row>
    <row r="370">
      <c r="D370" s="4" t="n"/>
    </row>
  </sheetData>
  <conditionalFormatting sqref="R1:R366">
    <cfRule type="cellIs" priority="2" operator="lessThan" dxfId="5" stopIfTrue="1">
      <formula>0.00001</formula>
    </cfRule>
  </conditionalFormatting>
  <conditionalFormatting sqref="R3:R366">
    <cfRule type="cellIs" priority="3" operator="lessThan" dxfId="2" stopIfTrue="1">
      <formula>0.01</formula>
    </cfRule>
    <cfRule type="cellIs" priority="4" operator="greaterThanOrEqual" dxfId="1">
      <formula>0.01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Foglio8">
    <outlinePr summaryBelow="1" summaryRight="1"/>
    <pageSetUpPr/>
  </sheetPr>
  <dimension ref="A1:T372"/>
  <sheetViews>
    <sheetView zoomScale="113" zoomScaleNormal="100" workbookViewId="0">
      <pane xSplit="2" ySplit="1" topLeftCell="C332" activePane="bottomRight" state="frozen"/>
      <selection pane="topRight" activeCell="C1" sqref="C1"/>
      <selection pane="bottomLeft" activeCell="A2" sqref="A2"/>
      <selection pane="bottomRight" activeCell="E352" sqref="E352"/>
    </sheetView>
  </sheetViews>
  <sheetFormatPr baseColWidth="8" defaultColWidth="14.140625" defaultRowHeight="11.25"/>
  <cols>
    <col width="14.140625" customWidth="1" style="1" min="1" max="2"/>
    <col width="17.140625" customWidth="1" style="1" min="3" max="8"/>
    <col width="15" customWidth="1" style="1" min="9" max="9"/>
    <col width="12" customWidth="1" style="1" min="10" max="10"/>
    <col width="9.42578125" bestFit="1" customWidth="1" style="1" min="11" max="11"/>
    <col width="9.5703125" customWidth="1" style="1" min="12" max="13"/>
    <col width="10.7109375" bestFit="1" customWidth="1" style="8" min="14" max="14"/>
    <col width="9.5703125" customWidth="1" style="1" min="15" max="15"/>
    <col width="10.5703125" bestFit="1" customWidth="1" style="1" min="16" max="16"/>
    <col width="10.7109375" bestFit="1" customWidth="1" style="1" min="17" max="17"/>
    <col width="12.5703125" bestFit="1" customWidth="1" style="1" min="18" max="18"/>
    <col width="16.85546875" bestFit="1" customWidth="1" style="1" min="19" max="19"/>
    <col width="11.140625" bestFit="1" customWidth="1" style="1" min="20" max="20"/>
    <col width="14.140625" customWidth="1" style="1" min="21" max="16384"/>
  </cols>
  <sheetData>
    <row r="1" ht="22.5" customHeight="1">
      <c r="A1" s="3" t="inlineStr">
        <is>
          <t>Giorno giuliano</t>
        </is>
      </c>
      <c r="B1" s="3" t="inlineStr">
        <is>
          <t>Giorno</t>
        </is>
      </c>
      <c r="C1" s="3" t="inlineStr">
        <is>
          <t>Percolazione 1 [mm]</t>
        </is>
      </c>
      <c r="D1" s="3" t="inlineStr">
        <is>
          <t>Risalita capillare [mm]</t>
        </is>
      </c>
      <c r="E1" s="3" t="inlineStr">
        <is>
          <t>Traspirazione [mm]</t>
        </is>
      </c>
      <c r="F1" s="3" t="inlineStr">
        <is>
          <t>Percolazione 2 [mm]</t>
        </is>
      </c>
      <c r="G1" s="3" t="inlineStr">
        <is>
          <t>Risalita al 1° strato [mm]</t>
        </is>
      </c>
      <c r="H1" s="3" t="inlineStr">
        <is>
          <t>Contenuto idrico [mm]</t>
        </is>
      </c>
      <c r="I1" s="9" t="inlineStr">
        <is>
          <t>Contenuto idrico  iniziale [mm]</t>
        </is>
      </c>
      <c r="J1" s="4" t="inlineStr">
        <is>
          <t>Bilancio [mm]</t>
        </is>
      </c>
      <c r="K1" s="4" t="inlineStr">
        <is>
          <t>Eventi irrigui</t>
        </is>
      </c>
      <c r="L1" s="6" t="inlineStr">
        <is>
          <t>Theta wp [%]</t>
        </is>
      </c>
      <c r="M1" s="6" t="inlineStr">
        <is>
          <t>Theta fc [%]</t>
        </is>
      </c>
      <c r="N1" s="3" t="inlineStr">
        <is>
          <t>Spessore 2 [m]</t>
        </is>
      </c>
      <c r="O1" s="4" t="inlineStr">
        <is>
          <t>p [-]</t>
        </is>
      </c>
      <c r="P1" s="4" t="inlineStr">
        <is>
          <t>TAW [mm]</t>
        </is>
      </c>
      <c r="Q1" s="4" t="inlineStr">
        <is>
          <t>RAW [mm]</t>
        </is>
      </c>
      <c r="R1" s="4" t="inlineStr">
        <is>
          <t>FC-RAW [mm]</t>
        </is>
      </c>
      <c r="S1" s="3" t="inlineStr">
        <is>
          <t>Contenuto idrico [%]</t>
        </is>
      </c>
      <c r="T1" s="4" t="inlineStr">
        <is>
          <t>FC-RAW [%]</t>
        </is>
      </c>
    </row>
    <row r="2">
      <c r="A2" s="1" t="n">
        <v>1</v>
      </c>
      <c r="B2" s="2">
        <f>DATE(Sintesi!$C$4-1,12,31)+A2</f>
        <v/>
      </c>
      <c r="C2" s="1">
        <f>'Paste cell here'!T2</f>
        <v/>
      </c>
      <c r="D2" s="1">
        <f>'Paste cell here'!AC2</f>
        <v/>
      </c>
      <c r="E2" s="1">
        <f>'Paste cell here'!Y2</f>
        <v/>
      </c>
      <c r="F2" s="1">
        <f>'Paste cell here'!AD2</f>
        <v/>
      </c>
      <c r="G2" s="1">
        <f>'Paste cell here'!W2</f>
        <v/>
      </c>
      <c r="H2" s="1">
        <f>'Paste cell here'!AE2</f>
        <v/>
      </c>
      <c r="I2" s="1">
        <f>'Paste cell here'!AF2</f>
        <v/>
      </c>
      <c r="J2" s="1">
        <f>ABS(I2+C2+D2-E2-F2-G2-H2)</f>
        <v/>
      </c>
      <c r="K2" s="1">
        <f>IF('Bilancio primo strato'!D2&gt;0,1,"")</f>
        <v/>
      </c>
      <c r="L2" s="7">
        <f>Sintesi!$C$34</f>
        <v/>
      </c>
      <c r="M2" s="7">
        <f>Sintesi!$C$33</f>
        <v/>
      </c>
      <c r="N2" s="1">
        <f>'Paste cell here'!AA2</f>
        <v/>
      </c>
      <c r="O2" s="1">
        <f>'Paste cell here'!H2</f>
        <v/>
      </c>
      <c r="P2" s="1">
        <f>(M2-L2)*N2*1000</f>
        <v/>
      </c>
      <c r="Q2" s="1">
        <f>P2*O2</f>
        <v/>
      </c>
      <c r="R2" s="1">
        <f>M2*N2*1000-Q2</f>
        <v/>
      </c>
      <c r="S2" s="5">
        <f>H2/($N2*1000)</f>
        <v/>
      </c>
      <c r="T2" s="5">
        <f>R2/($N2*1000)</f>
        <v/>
      </c>
    </row>
    <row r="3">
      <c r="A3" s="1" t="n">
        <v>2</v>
      </c>
      <c r="B3" s="2">
        <f>DATE(Sintesi!$C$4-1,12,31)+A3</f>
        <v/>
      </c>
      <c r="C3" s="1">
        <f>'Paste cell here'!T3</f>
        <v/>
      </c>
      <c r="D3" s="1">
        <f>'Paste cell here'!AC3</f>
        <v/>
      </c>
      <c r="E3" s="1">
        <f>'Paste cell here'!Y3</f>
        <v/>
      </c>
      <c r="F3" s="1">
        <f>'Paste cell here'!AD3</f>
        <v/>
      </c>
      <c r="G3" s="1">
        <f>'Paste cell here'!W3</f>
        <v/>
      </c>
      <c r="H3" s="1">
        <f>'Paste cell here'!AE3</f>
        <v/>
      </c>
      <c r="I3" s="1">
        <f>'Paste cell here'!AF3</f>
        <v/>
      </c>
      <c r="J3" s="1">
        <f>ABS(I3+C3+D3-E3-F3-G3-H3)</f>
        <v/>
      </c>
      <c r="K3" s="1">
        <f>IF('Bilancio primo strato'!D3&gt;0,1,"")</f>
        <v/>
      </c>
      <c r="L3" s="7">
        <f>Sintesi!$C$34</f>
        <v/>
      </c>
      <c r="M3" s="7">
        <f>Sintesi!$C$33</f>
        <v/>
      </c>
      <c r="N3" s="1">
        <f>'Paste cell here'!AA3</f>
        <v/>
      </c>
      <c r="O3" s="1">
        <f>'Paste cell here'!H3</f>
        <v/>
      </c>
      <c r="P3" s="1">
        <f>(M3-L3)*N3*1000</f>
        <v/>
      </c>
      <c r="Q3" s="1">
        <f>P3*O3</f>
        <v/>
      </c>
      <c r="R3" s="1">
        <f>M3*N3*1000-Q3</f>
        <v/>
      </c>
      <c r="S3" s="5">
        <f>H3/($N3*1000)</f>
        <v/>
      </c>
      <c r="T3" s="5">
        <f>R3/($N3*1000)</f>
        <v/>
      </c>
    </row>
    <row r="4">
      <c r="A4" s="1" t="n">
        <v>3</v>
      </c>
      <c r="B4" s="2">
        <f>DATE(Sintesi!$C$4-1,12,31)+A4</f>
        <v/>
      </c>
      <c r="C4" s="1">
        <f>'Paste cell here'!T4</f>
        <v/>
      </c>
      <c r="D4" s="1">
        <f>'Paste cell here'!AC4</f>
        <v/>
      </c>
      <c r="E4" s="1">
        <f>'Paste cell here'!Y4</f>
        <v/>
      </c>
      <c r="F4" s="1">
        <f>'Paste cell here'!AD4</f>
        <v/>
      </c>
      <c r="G4" s="1">
        <f>'Paste cell here'!W4</f>
        <v/>
      </c>
      <c r="H4" s="1">
        <f>'Paste cell here'!AE4</f>
        <v/>
      </c>
      <c r="I4" s="1">
        <f>'Paste cell here'!AF4</f>
        <v/>
      </c>
      <c r="J4" s="1">
        <f>ABS(I4+C4+D4-E4-F4-G4-H4)</f>
        <v/>
      </c>
      <c r="K4" s="1">
        <f>IF('Bilancio primo strato'!D4&gt;0,1,"")</f>
        <v/>
      </c>
      <c r="L4" s="7">
        <f>Sintesi!$C$34</f>
        <v/>
      </c>
      <c r="M4" s="7">
        <f>Sintesi!$C$33</f>
        <v/>
      </c>
      <c r="N4" s="1">
        <f>'Paste cell here'!AA4</f>
        <v/>
      </c>
      <c r="O4" s="1">
        <f>'Paste cell here'!H4</f>
        <v/>
      </c>
      <c r="P4" s="1">
        <f>(M4-L4)*N4*1000</f>
        <v/>
      </c>
      <c r="Q4" s="1">
        <f>P4*O4</f>
        <v/>
      </c>
      <c r="R4" s="1">
        <f>M4*N4*1000-Q4</f>
        <v/>
      </c>
      <c r="S4" s="5">
        <f>H4/($N4*1000)</f>
        <v/>
      </c>
      <c r="T4" s="5">
        <f>R4/($N4*1000)</f>
        <v/>
      </c>
    </row>
    <row r="5">
      <c r="A5" s="1" t="n">
        <v>4</v>
      </c>
      <c r="B5" s="2">
        <f>DATE(Sintesi!$C$4-1,12,31)+A5</f>
        <v/>
      </c>
      <c r="C5" s="1">
        <f>'Paste cell here'!T5</f>
        <v/>
      </c>
      <c r="D5" s="1">
        <f>'Paste cell here'!AC5</f>
        <v/>
      </c>
      <c r="E5" s="1">
        <f>'Paste cell here'!Y5</f>
        <v/>
      </c>
      <c r="F5" s="1">
        <f>'Paste cell here'!AD5</f>
        <v/>
      </c>
      <c r="G5" s="1">
        <f>'Paste cell here'!W5</f>
        <v/>
      </c>
      <c r="H5" s="1">
        <f>'Paste cell here'!AE5</f>
        <v/>
      </c>
      <c r="I5" s="1">
        <f>'Paste cell here'!AF5</f>
        <v/>
      </c>
      <c r="J5" s="1">
        <f>ABS(I5+C5+D5-E5-F5-G5-H5)</f>
        <v/>
      </c>
      <c r="K5" s="1">
        <f>IF('Bilancio primo strato'!D5&gt;0,1,"")</f>
        <v/>
      </c>
      <c r="L5" s="7">
        <f>Sintesi!$C$34</f>
        <v/>
      </c>
      <c r="M5" s="7">
        <f>Sintesi!$C$33</f>
        <v/>
      </c>
      <c r="N5" s="1">
        <f>'Paste cell here'!AA5</f>
        <v/>
      </c>
      <c r="O5" s="1">
        <f>'Paste cell here'!H5</f>
        <v/>
      </c>
      <c r="P5" s="1">
        <f>(M5-L5)*N5*1000</f>
        <v/>
      </c>
      <c r="Q5" s="1">
        <f>P5*O5</f>
        <v/>
      </c>
      <c r="R5" s="1">
        <f>M5*N5*1000-Q5</f>
        <v/>
      </c>
      <c r="S5" s="5">
        <f>H5/($N5*1000)</f>
        <v/>
      </c>
      <c r="T5" s="5">
        <f>R5/($N5*1000)</f>
        <v/>
      </c>
    </row>
    <row r="6">
      <c r="A6" s="1" t="n">
        <v>5</v>
      </c>
      <c r="B6" s="2">
        <f>DATE(Sintesi!$C$4-1,12,31)+A6</f>
        <v/>
      </c>
      <c r="C6" s="1">
        <f>'Paste cell here'!T6</f>
        <v/>
      </c>
      <c r="D6" s="1">
        <f>'Paste cell here'!AC6</f>
        <v/>
      </c>
      <c r="E6" s="1">
        <f>'Paste cell here'!Y6</f>
        <v/>
      </c>
      <c r="F6" s="1">
        <f>'Paste cell here'!AD6</f>
        <v/>
      </c>
      <c r="G6" s="1">
        <f>'Paste cell here'!W6</f>
        <v/>
      </c>
      <c r="H6" s="1">
        <f>'Paste cell here'!AE6</f>
        <v/>
      </c>
      <c r="I6" s="1">
        <f>'Paste cell here'!AF6</f>
        <v/>
      </c>
      <c r="J6" s="1">
        <f>ABS(I6+C6+D6-E6-F6-G6-H6)</f>
        <v/>
      </c>
      <c r="K6" s="1">
        <f>IF('Bilancio primo strato'!D6&gt;0,1,"")</f>
        <v/>
      </c>
      <c r="L6" s="7">
        <f>Sintesi!$C$34</f>
        <v/>
      </c>
      <c r="M6" s="7">
        <f>Sintesi!$C$33</f>
        <v/>
      </c>
      <c r="N6" s="1">
        <f>'Paste cell here'!AA6</f>
        <v/>
      </c>
      <c r="O6" s="1">
        <f>'Paste cell here'!H6</f>
        <v/>
      </c>
      <c r="P6" s="1">
        <f>(M6-L6)*N6*1000</f>
        <v/>
      </c>
      <c r="Q6" s="1">
        <f>P6*O6</f>
        <v/>
      </c>
      <c r="R6" s="1">
        <f>M6*N6*1000-Q6</f>
        <v/>
      </c>
      <c r="S6" s="5">
        <f>H6/($N6*1000)</f>
        <v/>
      </c>
      <c r="T6" s="5">
        <f>R6/($N6*1000)</f>
        <v/>
      </c>
    </row>
    <row r="7">
      <c r="A7" s="1" t="n">
        <v>6</v>
      </c>
      <c r="B7" s="2">
        <f>DATE(Sintesi!$C$4-1,12,31)+A7</f>
        <v/>
      </c>
      <c r="C7" s="1">
        <f>'Paste cell here'!T7</f>
        <v/>
      </c>
      <c r="D7" s="1">
        <f>'Paste cell here'!AC7</f>
        <v/>
      </c>
      <c r="E7" s="1">
        <f>'Paste cell here'!Y7</f>
        <v/>
      </c>
      <c r="F7" s="1">
        <f>'Paste cell here'!AD7</f>
        <v/>
      </c>
      <c r="G7" s="1">
        <f>'Paste cell here'!W7</f>
        <v/>
      </c>
      <c r="H7" s="1">
        <f>'Paste cell here'!AE7</f>
        <v/>
      </c>
      <c r="I7" s="1">
        <f>'Paste cell here'!AF7</f>
        <v/>
      </c>
      <c r="J7" s="1">
        <f>ABS(I7+C7+D7-E7-F7-G7-H7)</f>
        <v/>
      </c>
      <c r="K7" s="1">
        <f>IF('Bilancio primo strato'!D7&gt;0,1,"")</f>
        <v/>
      </c>
      <c r="L7" s="7">
        <f>Sintesi!$C$34</f>
        <v/>
      </c>
      <c r="M7" s="7">
        <f>Sintesi!$C$33</f>
        <v/>
      </c>
      <c r="N7" s="1">
        <f>'Paste cell here'!AA7</f>
        <v/>
      </c>
      <c r="O7" s="1">
        <f>'Paste cell here'!H7</f>
        <v/>
      </c>
      <c r="P7" s="1">
        <f>(M7-L7)*N7*1000</f>
        <v/>
      </c>
      <c r="Q7" s="1">
        <f>P7*O7</f>
        <v/>
      </c>
      <c r="R7" s="1">
        <f>M7*N7*1000-Q7</f>
        <v/>
      </c>
      <c r="S7" s="5">
        <f>H7/($N7*1000)</f>
        <v/>
      </c>
      <c r="T7" s="5">
        <f>R7/($N7*1000)</f>
        <v/>
      </c>
    </row>
    <row r="8">
      <c r="A8" s="1" t="n">
        <v>7</v>
      </c>
      <c r="B8" s="2">
        <f>DATE(Sintesi!$C$4-1,12,31)+A8</f>
        <v/>
      </c>
      <c r="C8" s="1">
        <f>'Paste cell here'!T8</f>
        <v/>
      </c>
      <c r="D8" s="1">
        <f>'Paste cell here'!AC8</f>
        <v/>
      </c>
      <c r="E8" s="1">
        <f>'Paste cell here'!Y8</f>
        <v/>
      </c>
      <c r="F8" s="1">
        <f>'Paste cell here'!AD8</f>
        <v/>
      </c>
      <c r="G8" s="1">
        <f>'Paste cell here'!W8</f>
        <v/>
      </c>
      <c r="H8" s="1">
        <f>'Paste cell here'!AE8</f>
        <v/>
      </c>
      <c r="I8" s="1">
        <f>'Paste cell here'!AF8</f>
        <v/>
      </c>
      <c r="J8" s="1">
        <f>ABS(I8+C8+D8-E8-F8-G8-H8)</f>
        <v/>
      </c>
      <c r="K8" s="1">
        <f>IF('Bilancio primo strato'!D8&gt;0,1,"")</f>
        <v/>
      </c>
      <c r="L8" s="7">
        <f>Sintesi!$C$34</f>
        <v/>
      </c>
      <c r="M8" s="7">
        <f>Sintesi!$C$33</f>
        <v/>
      </c>
      <c r="N8" s="1">
        <f>'Paste cell here'!AA8</f>
        <v/>
      </c>
      <c r="O8" s="1">
        <f>'Paste cell here'!H8</f>
        <v/>
      </c>
      <c r="P8" s="1">
        <f>(M8-L8)*N8*1000</f>
        <v/>
      </c>
      <c r="Q8" s="1">
        <f>P8*O8</f>
        <v/>
      </c>
      <c r="R8" s="1">
        <f>M8*N8*1000-Q8</f>
        <v/>
      </c>
      <c r="S8" s="5">
        <f>H8/($N8*1000)</f>
        <v/>
      </c>
      <c r="T8" s="5">
        <f>R8/($N8*1000)</f>
        <v/>
      </c>
    </row>
    <row r="9">
      <c r="A9" s="1" t="n">
        <v>8</v>
      </c>
      <c r="B9" s="2">
        <f>DATE(Sintesi!$C$4-1,12,31)+A9</f>
        <v/>
      </c>
      <c r="C9" s="1">
        <f>'Paste cell here'!T9</f>
        <v/>
      </c>
      <c r="D9" s="1">
        <f>'Paste cell here'!AC9</f>
        <v/>
      </c>
      <c r="E9" s="1">
        <f>'Paste cell here'!Y9</f>
        <v/>
      </c>
      <c r="F9" s="1">
        <f>'Paste cell here'!AD9</f>
        <v/>
      </c>
      <c r="G9" s="1">
        <f>'Paste cell here'!W9</f>
        <v/>
      </c>
      <c r="H9" s="1">
        <f>'Paste cell here'!AE9</f>
        <v/>
      </c>
      <c r="I9" s="1">
        <f>'Paste cell here'!AF9</f>
        <v/>
      </c>
      <c r="J9" s="1">
        <f>ABS(I9+C9+D9-E9-F9-G9-H9)</f>
        <v/>
      </c>
      <c r="K9" s="1">
        <f>IF('Bilancio primo strato'!D9&gt;0,1,"")</f>
        <v/>
      </c>
      <c r="L9" s="7">
        <f>Sintesi!$C$34</f>
        <v/>
      </c>
      <c r="M9" s="7">
        <f>Sintesi!$C$33</f>
        <v/>
      </c>
      <c r="N9" s="1">
        <f>'Paste cell here'!AA9</f>
        <v/>
      </c>
      <c r="O9" s="1">
        <f>'Paste cell here'!H9</f>
        <v/>
      </c>
      <c r="P9" s="1">
        <f>(M9-L9)*N9*1000</f>
        <v/>
      </c>
      <c r="Q9" s="1">
        <f>P9*O9</f>
        <v/>
      </c>
      <c r="R9" s="1">
        <f>M9*N9*1000-Q9</f>
        <v/>
      </c>
      <c r="S9" s="5">
        <f>H9/($N9*1000)</f>
        <v/>
      </c>
      <c r="T9" s="5">
        <f>R9/($N9*1000)</f>
        <v/>
      </c>
    </row>
    <row r="10">
      <c r="A10" s="1" t="n">
        <v>9</v>
      </c>
      <c r="B10" s="2">
        <f>DATE(Sintesi!$C$4-1,12,31)+A10</f>
        <v/>
      </c>
      <c r="C10" s="1">
        <f>'Paste cell here'!T10</f>
        <v/>
      </c>
      <c r="D10" s="1">
        <f>'Paste cell here'!AC10</f>
        <v/>
      </c>
      <c r="E10" s="1">
        <f>'Paste cell here'!Y10</f>
        <v/>
      </c>
      <c r="F10" s="1">
        <f>'Paste cell here'!AD10</f>
        <v/>
      </c>
      <c r="G10" s="1">
        <f>'Paste cell here'!W10</f>
        <v/>
      </c>
      <c r="H10" s="1">
        <f>'Paste cell here'!AE10</f>
        <v/>
      </c>
      <c r="I10" s="1">
        <f>'Paste cell here'!AF10</f>
        <v/>
      </c>
      <c r="J10" s="1">
        <f>ABS(I10+C10+D10-E10-F10-G10-H10)</f>
        <v/>
      </c>
      <c r="K10" s="1">
        <f>IF('Bilancio primo strato'!D10&gt;0,1,"")</f>
        <v/>
      </c>
      <c r="L10" s="7">
        <f>Sintesi!$C$34</f>
        <v/>
      </c>
      <c r="M10" s="7">
        <f>Sintesi!$C$33</f>
        <v/>
      </c>
      <c r="N10" s="1">
        <f>'Paste cell here'!AA10</f>
        <v/>
      </c>
      <c r="O10" s="1">
        <f>'Paste cell here'!H10</f>
        <v/>
      </c>
      <c r="P10" s="1">
        <f>(M10-L10)*N10*1000</f>
        <v/>
      </c>
      <c r="Q10" s="1">
        <f>P10*O10</f>
        <v/>
      </c>
      <c r="R10" s="1">
        <f>M10*N10*1000-Q10</f>
        <v/>
      </c>
      <c r="S10" s="5">
        <f>H10/($N10*1000)</f>
        <v/>
      </c>
      <c r="T10" s="5">
        <f>R10/($N10*1000)</f>
        <v/>
      </c>
    </row>
    <row r="11">
      <c r="A11" s="1" t="n">
        <v>10</v>
      </c>
      <c r="B11" s="2">
        <f>DATE(Sintesi!$C$4-1,12,31)+A11</f>
        <v/>
      </c>
      <c r="C11" s="1">
        <f>'Paste cell here'!T11</f>
        <v/>
      </c>
      <c r="D11" s="1">
        <f>'Paste cell here'!AC11</f>
        <v/>
      </c>
      <c r="E11" s="1">
        <f>'Paste cell here'!Y11</f>
        <v/>
      </c>
      <c r="F11" s="1">
        <f>'Paste cell here'!AD11</f>
        <v/>
      </c>
      <c r="G11" s="1">
        <f>'Paste cell here'!W11</f>
        <v/>
      </c>
      <c r="H11" s="1">
        <f>'Paste cell here'!AE11</f>
        <v/>
      </c>
      <c r="I11" s="1">
        <f>'Paste cell here'!AF11</f>
        <v/>
      </c>
      <c r="J11" s="1">
        <f>ABS(I11+C11+D11-E11-F11-G11-H11)</f>
        <v/>
      </c>
      <c r="K11" s="1">
        <f>IF('Bilancio primo strato'!D11&gt;0,1,"")</f>
        <v/>
      </c>
      <c r="L11" s="7">
        <f>Sintesi!$C$34</f>
        <v/>
      </c>
      <c r="M11" s="7">
        <f>Sintesi!$C$33</f>
        <v/>
      </c>
      <c r="N11" s="1">
        <f>'Paste cell here'!AA11</f>
        <v/>
      </c>
      <c r="O11" s="1">
        <f>'Paste cell here'!H11</f>
        <v/>
      </c>
      <c r="P11" s="1">
        <f>(M11-L11)*N11*1000</f>
        <v/>
      </c>
      <c r="Q11" s="1">
        <f>P11*O11</f>
        <v/>
      </c>
      <c r="R11" s="1">
        <f>M11*N11*1000-Q11</f>
        <v/>
      </c>
      <c r="S11" s="5">
        <f>H11/($N11*1000)</f>
        <v/>
      </c>
      <c r="T11" s="5">
        <f>R11/($N11*1000)</f>
        <v/>
      </c>
    </row>
    <row r="12">
      <c r="A12" s="1" t="n">
        <v>11</v>
      </c>
      <c r="B12" s="2">
        <f>DATE(Sintesi!$C$4-1,12,31)+A12</f>
        <v/>
      </c>
      <c r="C12" s="1">
        <f>'Paste cell here'!T12</f>
        <v/>
      </c>
      <c r="D12" s="1">
        <f>'Paste cell here'!AC12</f>
        <v/>
      </c>
      <c r="E12" s="1">
        <f>'Paste cell here'!Y12</f>
        <v/>
      </c>
      <c r="F12" s="1">
        <f>'Paste cell here'!AD12</f>
        <v/>
      </c>
      <c r="G12" s="1">
        <f>'Paste cell here'!W12</f>
        <v/>
      </c>
      <c r="H12" s="1">
        <f>'Paste cell here'!AE12</f>
        <v/>
      </c>
      <c r="I12" s="1">
        <f>'Paste cell here'!AF12</f>
        <v/>
      </c>
      <c r="J12" s="1">
        <f>ABS(I12+C12+D12-E12-F12-G12-H12)</f>
        <v/>
      </c>
      <c r="K12" s="1">
        <f>IF('Bilancio primo strato'!D12&gt;0,1,"")</f>
        <v/>
      </c>
      <c r="L12" s="7">
        <f>Sintesi!$C$34</f>
        <v/>
      </c>
      <c r="M12" s="7">
        <f>Sintesi!$C$33</f>
        <v/>
      </c>
      <c r="N12" s="1">
        <f>'Paste cell here'!AA12</f>
        <v/>
      </c>
      <c r="O12" s="1">
        <f>'Paste cell here'!H12</f>
        <v/>
      </c>
      <c r="P12" s="1">
        <f>(M12-L12)*N12*1000</f>
        <v/>
      </c>
      <c r="Q12" s="1">
        <f>P12*O12</f>
        <v/>
      </c>
      <c r="R12" s="1">
        <f>M12*N12*1000-Q12</f>
        <v/>
      </c>
      <c r="S12" s="5">
        <f>H12/($N12*1000)</f>
        <v/>
      </c>
      <c r="T12" s="5">
        <f>R12/($N12*1000)</f>
        <v/>
      </c>
    </row>
    <row r="13">
      <c r="A13" s="1" t="n">
        <v>12</v>
      </c>
      <c r="B13" s="2">
        <f>DATE(Sintesi!$C$4-1,12,31)+A13</f>
        <v/>
      </c>
      <c r="C13" s="1">
        <f>'Paste cell here'!T13</f>
        <v/>
      </c>
      <c r="D13" s="1">
        <f>'Paste cell here'!AC13</f>
        <v/>
      </c>
      <c r="E13" s="1">
        <f>'Paste cell here'!Y13</f>
        <v/>
      </c>
      <c r="F13" s="1">
        <f>'Paste cell here'!AD13</f>
        <v/>
      </c>
      <c r="G13" s="1">
        <f>'Paste cell here'!W13</f>
        <v/>
      </c>
      <c r="H13" s="1">
        <f>'Paste cell here'!AE13</f>
        <v/>
      </c>
      <c r="I13" s="1">
        <f>'Paste cell here'!AF13</f>
        <v/>
      </c>
      <c r="J13" s="1">
        <f>ABS(I13+C13+D13-E13-F13-G13-H13)</f>
        <v/>
      </c>
      <c r="K13" s="1">
        <f>IF('Bilancio primo strato'!D13&gt;0,1,"")</f>
        <v/>
      </c>
      <c r="L13" s="7">
        <f>Sintesi!$C$34</f>
        <v/>
      </c>
      <c r="M13" s="7">
        <f>Sintesi!$C$33</f>
        <v/>
      </c>
      <c r="N13" s="1">
        <f>'Paste cell here'!AA13</f>
        <v/>
      </c>
      <c r="O13" s="1">
        <f>'Paste cell here'!H13</f>
        <v/>
      </c>
      <c r="P13" s="1">
        <f>(M13-L13)*N13*1000</f>
        <v/>
      </c>
      <c r="Q13" s="1">
        <f>P13*O13</f>
        <v/>
      </c>
      <c r="R13" s="1">
        <f>M13*N13*1000-Q13</f>
        <v/>
      </c>
      <c r="S13" s="5">
        <f>H13/($N13*1000)</f>
        <v/>
      </c>
      <c r="T13" s="5">
        <f>R13/($N13*1000)</f>
        <v/>
      </c>
    </row>
    <row r="14">
      <c r="A14" s="1" t="n">
        <v>13</v>
      </c>
      <c r="B14" s="2">
        <f>DATE(Sintesi!$C$4-1,12,31)+A14</f>
        <v/>
      </c>
      <c r="C14" s="1">
        <f>'Paste cell here'!T14</f>
        <v/>
      </c>
      <c r="D14" s="1">
        <f>'Paste cell here'!AC14</f>
        <v/>
      </c>
      <c r="E14" s="1">
        <f>'Paste cell here'!Y14</f>
        <v/>
      </c>
      <c r="F14" s="1">
        <f>'Paste cell here'!AD14</f>
        <v/>
      </c>
      <c r="G14" s="1">
        <f>'Paste cell here'!W14</f>
        <v/>
      </c>
      <c r="H14" s="1">
        <f>'Paste cell here'!AE14</f>
        <v/>
      </c>
      <c r="I14" s="1">
        <f>'Paste cell here'!AF14</f>
        <v/>
      </c>
      <c r="J14" s="1">
        <f>ABS(I14+C14+D14-E14-F14-G14-H14)</f>
        <v/>
      </c>
      <c r="K14" s="1">
        <f>IF('Bilancio primo strato'!D14&gt;0,1,"")</f>
        <v/>
      </c>
      <c r="L14" s="7">
        <f>Sintesi!$C$34</f>
        <v/>
      </c>
      <c r="M14" s="7">
        <f>Sintesi!$C$33</f>
        <v/>
      </c>
      <c r="N14" s="1">
        <f>'Paste cell here'!AA14</f>
        <v/>
      </c>
      <c r="O14" s="1">
        <f>'Paste cell here'!H14</f>
        <v/>
      </c>
      <c r="P14" s="1">
        <f>(M14-L14)*N14*1000</f>
        <v/>
      </c>
      <c r="Q14" s="1">
        <f>P14*O14</f>
        <v/>
      </c>
      <c r="R14" s="1">
        <f>M14*N14*1000-Q14</f>
        <v/>
      </c>
      <c r="S14" s="5">
        <f>H14/($N14*1000)</f>
        <v/>
      </c>
      <c r="T14" s="5">
        <f>R14/($N14*1000)</f>
        <v/>
      </c>
    </row>
    <row r="15">
      <c r="A15" s="1" t="n">
        <v>14</v>
      </c>
      <c r="B15" s="2">
        <f>DATE(Sintesi!$C$4-1,12,31)+A15</f>
        <v/>
      </c>
      <c r="C15" s="1">
        <f>'Paste cell here'!T15</f>
        <v/>
      </c>
      <c r="D15" s="1">
        <f>'Paste cell here'!AC15</f>
        <v/>
      </c>
      <c r="E15" s="1">
        <f>'Paste cell here'!Y15</f>
        <v/>
      </c>
      <c r="F15" s="1">
        <f>'Paste cell here'!AD15</f>
        <v/>
      </c>
      <c r="G15" s="1">
        <f>'Paste cell here'!W15</f>
        <v/>
      </c>
      <c r="H15" s="1">
        <f>'Paste cell here'!AE15</f>
        <v/>
      </c>
      <c r="I15" s="1">
        <f>'Paste cell here'!AF15</f>
        <v/>
      </c>
      <c r="J15" s="1">
        <f>ABS(I15+C15+D15-E15-F15-G15-H15)</f>
        <v/>
      </c>
      <c r="K15" s="1">
        <f>IF('Bilancio primo strato'!D15&gt;0,1,"")</f>
        <v/>
      </c>
      <c r="L15" s="7">
        <f>Sintesi!$C$34</f>
        <v/>
      </c>
      <c r="M15" s="7">
        <f>Sintesi!$C$33</f>
        <v/>
      </c>
      <c r="N15" s="1">
        <f>'Paste cell here'!AA15</f>
        <v/>
      </c>
      <c r="O15" s="1">
        <f>'Paste cell here'!H15</f>
        <v/>
      </c>
      <c r="P15" s="1">
        <f>(M15-L15)*N15*1000</f>
        <v/>
      </c>
      <c r="Q15" s="1">
        <f>P15*O15</f>
        <v/>
      </c>
      <c r="R15" s="1">
        <f>M15*N15*1000-Q15</f>
        <v/>
      </c>
      <c r="S15" s="5">
        <f>H15/($N15*1000)</f>
        <v/>
      </c>
      <c r="T15" s="5">
        <f>R15/($N15*1000)</f>
        <v/>
      </c>
    </row>
    <row r="16">
      <c r="A16" s="1" t="n">
        <v>15</v>
      </c>
      <c r="B16" s="2">
        <f>DATE(Sintesi!$C$4-1,12,31)+A16</f>
        <v/>
      </c>
      <c r="C16" s="1">
        <f>'Paste cell here'!T16</f>
        <v/>
      </c>
      <c r="D16" s="1">
        <f>'Paste cell here'!AC16</f>
        <v/>
      </c>
      <c r="E16" s="1">
        <f>'Paste cell here'!Y16</f>
        <v/>
      </c>
      <c r="F16" s="1">
        <f>'Paste cell here'!AD16</f>
        <v/>
      </c>
      <c r="G16" s="1">
        <f>'Paste cell here'!W16</f>
        <v/>
      </c>
      <c r="H16" s="1">
        <f>'Paste cell here'!AE16</f>
        <v/>
      </c>
      <c r="I16" s="1">
        <f>'Paste cell here'!AF16</f>
        <v/>
      </c>
      <c r="J16" s="1">
        <f>ABS(I16+C16+D16-E16-F16-G16-H16)</f>
        <v/>
      </c>
      <c r="K16" s="1">
        <f>IF('Bilancio primo strato'!D16&gt;0,1,"")</f>
        <v/>
      </c>
      <c r="L16" s="7">
        <f>Sintesi!$C$34</f>
        <v/>
      </c>
      <c r="M16" s="7">
        <f>Sintesi!$C$33</f>
        <v/>
      </c>
      <c r="N16" s="1">
        <f>'Paste cell here'!AA16</f>
        <v/>
      </c>
      <c r="O16" s="1">
        <f>'Paste cell here'!H16</f>
        <v/>
      </c>
      <c r="P16" s="1">
        <f>(M16-L16)*N16*1000</f>
        <v/>
      </c>
      <c r="Q16" s="1">
        <f>P16*O16</f>
        <v/>
      </c>
      <c r="R16" s="1">
        <f>M16*N16*1000-Q16</f>
        <v/>
      </c>
      <c r="S16" s="5">
        <f>H16/($N16*1000)</f>
        <v/>
      </c>
      <c r="T16" s="5">
        <f>R16/($N16*1000)</f>
        <v/>
      </c>
    </row>
    <row r="17">
      <c r="A17" s="1" t="n">
        <v>16</v>
      </c>
      <c r="B17" s="2">
        <f>DATE(Sintesi!$C$4-1,12,31)+A17</f>
        <v/>
      </c>
      <c r="C17" s="1">
        <f>'Paste cell here'!T17</f>
        <v/>
      </c>
      <c r="D17" s="1">
        <f>'Paste cell here'!AC17</f>
        <v/>
      </c>
      <c r="E17" s="1">
        <f>'Paste cell here'!Y17</f>
        <v/>
      </c>
      <c r="F17" s="1">
        <f>'Paste cell here'!AD17</f>
        <v/>
      </c>
      <c r="G17" s="1">
        <f>'Paste cell here'!W17</f>
        <v/>
      </c>
      <c r="H17" s="1">
        <f>'Paste cell here'!AE17</f>
        <v/>
      </c>
      <c r="I17" s="1">
        <f>'Paste cell here'!AF17</f>
        <v/>
      </c>
      <c r="J17" s="1">
        <f>ABS(I17+C17+D17-E17-F17-G17-H17)</f>
        <v/>
      </c>
      <c r="K17" s="1">
        <f>IF('Bilancio primo strato'!D17&gt;0,1,"")</f>
        <v/>
      </c>
      <c r="L17" s="7">
        <f>Sintesi!$C$34</f>
        <v/>
      </c>
      <c r="M17" s="7">
        <f>Sintesi!$C$33</f>
        <v/>
      </c>
      <c r="N17" s="1">
        <f>'Paste cell here'!AA17</f>
        <v/>
      </c>
      <c r="O17" s="1">
        <f>'Paste cell here'!H17</f>
        <v/>
      </c>
      <c r="P17" s="1">
        <f>(M17-L17)*N17*1000</f>
        <v/>
      </c>
      <c r="Q17" s="1">
        <f>P17*O17</f>
        <v/>
      </c>
      <c r="R17" s="1">
        <f>M17*N17*1000-Q17</f>
        <v/>
      </c>
      <c r="S17" s="5">
        <f>H17/($N17*1000)</f>
        <v/>
      </c>
      <c r="T17" s="5">
        <f>R17/($N17*1000)</f>
        <v/>
      </c>
    </row>
    <row r="18">
      <c r="A18" s="1" t="n">
        <v>17</v>
      </c>
      <c r="B18" s="2">
        <f>DATE(Sintesi!$C$4-1,12,31)+A18</f>
        <v/>
      </c>
      <c r="C18" s="1">
        <f>'Paste cell here'!T18</f>
        <v/>
      </c>
      <c r="D18" s="1">
        <f>'Paste cell here'!AC18</f>
        <v/>
      </c>
      <c r="E18" s="1">
        <f>'Paste cell here'!Y18</f>
        <v/>
      </c>
      <c r="F18" s="1">
        <f>'Paste cell here'!AD18</f>
        <v/>
      </c>
      <c r="G18" s="1">
        <f>'Paste cell here'!W18</f>
        <v/>
      </c>
      <c r="H18" s="1">
        <f>'Paste cell here'!AE18</f>
        <v/>
      </c>
      <c r="I18" s="1">
        <f>'Paste cell here'!AF18</f>
        <v/>
      </c>
      <c r="J18" s="1">
        <f>ABS(I18+C18+D18-E18-F18-G18-H18)</f>
        <v/>
      </c>
      <c r="K18" s="1">
        <f>IF('Bilancio primo strato'!D18&gt;0,1,"")</f>
        <v/>
      </c>
      <c r="L18" s="7">
        <f>Sintesi!$C$34</f>
        <v/>
      </c>
      <c r="M18" s="7">
        <f>Sintesi!$C$33</f>
        <v/>
      </c>
      <c r="N18" s="1">
        <f>'Paste cell here'!AA18</f>
        <v/>
      </c>
      <c r="O18" s="1">
        <f>'Paste cell here'!H18</f>
        <v/>
      </c>
      <c r="P18" s="1">
        <f>(M18-L18)*N18*1000</f>
        <v/>
      </c>
      <c r="Q18" s="1">
        <f>P18*O18</f>
        <v/>
      </c>
      <c r="R18" s="1">
        <f>M18*N18*1000-Q18</f>
        <v/>
      </c>
      <c r="S18" s="5">
        <f>H18/($N18*1000)</f>
        <v/>
      </c>
      <c r="T18" s="5">
        <f>R18/($N18*1000)</f>
        <v/>
      </c>
    </row>
    <row r="19">
      <c r="A19" s="1" t="n">
        <v>18</v>
      </c>
      <c r="B19" s="2">
        <f>DATE(Sintesi!$C$4-1,12,31)+A19</f>
        <v/>
      </c>
      <c r="C19" s="1">
        <f>'Paste cell here'!T19</f>
        <v/>
      </c>
      <c r="D19" s="1">
        <f>'Paste cell here'!AC19</f>
        <v/>
      </c>
      <c r="E19" s="1">
        <f>'Paste cell here'!Y19</f>
        <v/>
      </c>
      <c r="F19" s="1">
        <f>'Paste cell here'!AD19</f>
        <v/>
      </c>
      <c r="G19" s="1">
        <f>'Paste cell here'!W19</f>
        <v/>
      </c>
      <c r="H19" s="1">
        <f>'Paste cell here'!AE19</f>
        <v/>
      </c>
      <c r="I19" s="1">
        <f>'Paste cell here'!AF19</f>
        <v/>
      </c>
      <c r="J19" s="1">
        <f>ABS(I19+C19+D19-E19-F19-G19-H19)</f>
        <v/>
      </c>
      <c r="K19" s="1">
        <f>IF('Bilancio primo strato'!D19&gt;0,1,"")</f>
        <v/>
      </c>
      <c r="L19" s="7">
        <f>Sintesi!$C$34</f>
        <v/>
      </c>
      <c r="M19" s="7">
        <f>Sintesi!$C$33</f>
        <v/>
      </c>
      <c r="N19" s="1">
        <f>'Paste cell here'!AA19</f>
        <v/>
      </c>
      <c r="O19" s="1">
        <f>'Paste cell here'!H19</f>
        <v/>
      </c>
      <c r="P19" s="1">
        <f>(M19-L19)*N19*1000</f>
        <v/>
      </c>
      <c r="Q19" s="1">
        <f>P19*O19</f>
        <v/>
      </c>
      <c r="R19" s="1">
        <f>M19*N19*1000-Q19</f>
        <v/>
      </c>
      <c r="S19" s="5">
        <f>H19/($N19*1000)</f>
        <v/>
      </c>
      <c r="T19" s="5">
        <f>R19/($N19*1000)</f>
        <v/>
      </c>
    </row>
    <row r="20">
      <c r="A20" s="1" t="n">
        <v>19</v>
      </c>
      <c r="B20" s="2">
        <f>DATE(Sintesi!$C$4-1,12,31)+A20</f>
        <v/>
      </c>
      <c r="C20" s="1">
        <f>'Paste cell here'!T20</f>
        <v/>
      </c>
      <c r="D20" s="1">
        <f>'Paste cell here'!AC20</f>
        <v/>
      </c>
      <c r="E20" s="1">
        <f>'Paste cell here'!Y20</f>
        <v/>
      </c>
      <c r="F20" s="1">
        <f>'Paste cell here'!AD20</f>
        <v/>
      </c>
      <c r="G20" s="1">
        <f>'Paste cell here'!W20</f>
        <v/>
      </c>
      <c r="H20" s="1">
        <f>'Paste cell here'!AE20</f>
        <v/>
      </c>
      <c r="I20" s="1">
        <f>'Paste cell here'!AF20</f>
        <v/>
      </c>
      <c r="J20" s="1">
        <f>ABS(I20+C20+D20-E20-F20-G20-H20)</f>
        <v/>
      </c>
      <c r="K20" s="1">
        <f>IF('Bilancio primo strato'!D20&gt;0,1,"")</f>
        <v/>
      </c>
      <c r="L20" s="7">
        <f>Sintesi!$C$34</f>
        <v/>
      </c>
      <c r="M20" s="7">
        <f>Sintesi!$C$33</f>
        <v/>
      </c>
      <c r="N20" s="1">
        <f>'Paste cell here'!AA20</f>
        <v/>
      </c>
      <c r="O20" s="1">
        <f>'Paste cell here'!H20</f>
        <v/>
      </c>
      <c r="P20" s="1">
        <f>(M20-L20)*N20*1000</f>
        <v/>
      </c>
      <c r="Q20" s="1">
        <f>P20*O20</f>
        <v/>
      </c>
      <c r="R20" s="1">
        <f>M20*N20*1000-Q20</f>
        <v/>
      </c>
      <c r="S20" s="5">
        <f>H20/($N20*1000)</f>
        <v/>
      </c>
      <c r="T20" s="5">
        <f>R20/($N20*1000)</f>
        <v/>
      </c>
    </row>
    <row r="21">
      <c r="A21" s="1" t="n">
        <v>20</v>
      </c>
      <c r="B21" s="2">
        <f>DATE(Sintesi!$C$4-1,12,31)+A21</f>
        <v/>
      </c>
      <c r="C21" s="1">
        <f>'Paste cell here'!T21</f>
        <v/>
      </c>
      <c r="D21" s="1">
        <f>'Paste cell here'!AC21</f>
        <v/>
      </c>
      <c r="E21" s="1">
        <f>'Paste cell here'!Y21</f>
        <v/>
      </c>
      <c r="F21" s="1">
        <f>'Paste cell here'!AD21</f>
        <v/>
      </c>
      <c r="G21" s="1">
        <f>'Paste cell here'!W21</f>
        <v/>
      </c>
      <c r="H21" s="1">
        <f>'Paste cell here'!AE21</f>
        <v/>
      </c>
      <c r="I21" s="1">
        <f>'Paste cell here'!AF21</f>
        <v/>
      </c>
      <c r="J21" s="1">
        <f>ABS(I21+C21+D21-E21-F21-G21-H21)</f>
        <v/>
      </c>
      <c r="K21" s="1">
        <f>IF('Bilancio primo strato'!D21&gt;0,1,"")</f>
        <v/>
      </c>
      <c r="L21" s="7">
        <f>Sintesi!$C$34</f>
        <v/>
      </c>
      <c r="M21" s="7">
        <f>Sintesi!$C$33</f>
        <v/>
      </c>
      <c r="N21" s="1">
        <f>'Paste cell here'!AA21</f>
        <v/>
      </c>
      <c r="O21" s="1">
        <f>'Paste cell here'!H21</f>
        <v/>
      </c>
      <c r="P21" s="1">
        <f>(M21-L21)*N21*1000</f>
        <v/>
      </c>
      <c r="Q21" s="1">
        <f>P21*O21</f>
        <v/>
      </c>
      <c r="R21" s="1">
        <f>M21*N21*1000-Q21</f>
        <v/>
      </c>
      <c r="S21" s="5">
        <f>H21/($N21*1000)</f>
        <v/>
      </c>
      <c r="T21" s="5">
        <f>R21/($N21*1000)</f>
        <v/>
      </c>
    </row>
    <row r="22">
      <c r="A22" s="1" t="n">
        <v>21</v>
      </c>
      <c r="B22" s="2">
        <f>DATE(Sintesi!$C$4-1,12,31)+A22</f>
        <v/>
      </c>
      <c r="C22" s="1">
        <f>'Paste cell here'!T22</f>
        <v/>
      </c>
      <c r="D22" s="1">
        <f>'Paste cell here'!AC22</f>
        <v/>
      </c>
      <c r="E22" s="1">
        <f>'Paste cell here'!Y22</f>
        <v/>
      </c>
      <c r="F22" s="1">
        <f>'Paste cell here'!AD22</f>
        <v/>
      </c>
      <c r="G22" s="1">
        <f>'Paste cell here'!W22</f>
        <v/>
      </c>
      <c r="H22" s="1">
        <f>'Paste cell here'!AE22</f>
        <v/>
      </c>
      <c r="I22" s="1">
        <f>'Paste cell here'!AF22</f>
        <v/>
      </c>
      <c r="J22" s="1">
        <f>ABS(I22+C22+D22-E22-F22-G22-H22)</f>
        <v/>
      </c>
      <c r="K22" s="1">
        <f>IF('Bilancio primo strato'!D22&gt;0,1,"")</f>
        <v/>
      </c>
      <c r="L22" s="7">
        <f>Sintesi!$C$34</f>
        <v/>
      </c>
      <c r="M22" s="7">
        <f>Sintesi!$C$33</f>
        <v/>
      </c>
      <c r="N22" s="1">
        <f>'Paste cell here'!AA22</f>
        <v/>
      </c>
      <c r="O22" s="1">
        <f>'Paste cell here'!H22</f>
        <v/>
      </c>
      <c r="P22" s="1">
        <f>(M22-L22)*N22*1000</f>
        <v/>
      </c>
      <c r="Q22" s="1">
        <f>P22*O22</f>
        <v/>
      </c>
      <c r="R22" s="1">
        <f>M22*N22*1000-Q22</f>
        <v/>
      </c>
      <c r="S22" s="5">
        <f>H22/($N22*1000)</f>
        <v/>
      </c>
      <c r="T22" s="5">
        <f>R22/($N22*1000)</f>
        <v/>
      </c>
    </row>
    <row r="23">
      <c r="A23" s="1" t="n">
        <v>22</v>
      </c>
      <c r="B23" s="2">
        <f>DATE(Sintesi!$C$4-1,12,31)+A23</f>
        <v/>
      </c>
      <c r="C23" s="1">
        <f>'Paste cell here'!T23</f>
        <v/>
      </c>
      <c r="D23" s="1">
        <f>'Paste cell here'!AC23</f>
        <v/>
      </c>
      <c r="E23" s="1">
        <f>'Paste cell here'!Y23</f>
        <v/>
      </c>
      <c r="F23" s="1">
        <f>'Paste cell here'!AD23</f>
        <v/>
      </c>
      <c r="G23" s="1">
        <f>'Paste cell here'!W23</f>
        <v/>
      </c>
      <c r="H23" s="1">
        <f>'Paste cell here'!AE23</f>
        <v/>
      </c>
      <c r="I23" s="1">
        <f>'Paste cell here'!AF23</f>
        <v/>
      </c>
      <c r="J23" s="1">
        <f>ABS(I23+C23+D23-E23-F23-G23-H23)</f>
        <v/>
      </c>
      <c r="K23" s="1">
        <f>IF('Bilancio primo strato'!D23&gt;0,1,"")</f>
        <v/>
      </c>
      <c r="L23" s="7">
        <f>Sintesi!$C$34</f>
        <v/>
      </c>
      <c r="M23" s="7">
        <f>Sintesi!$C$33</f>
        <v/>
      </c>
      <c r="N23" s="1">
        <f>'Paste cell here'!AA23</f>
        <v/>
      </c>
      <c r="O23" s="1">
        <f>'Paste cell here'!H23</f>
        <v/>
      </c>
      <c r="P23" s="1">
        <f>(M23-L23)*N23*1000</f>
        <v/>
      </c>
      <c r="Q23" s="1">
        <f>P23*O23</f>
        <v/>
      </c>
      <c r="R23" s="1">
        <f>M23*N23*1000-Q23</f>
        <v/>
      </c>
      <c r="S23" s="5">
        <f>H23/($N23*1000)</f>
        <v/>
      </c>
      <c r="T23" s="5">
        <f>R23/($N23*1000)</f>
        <v/>
      </c>
    </row>
    <row r="24">
      <c r="A24" s="1" t="n">
        <v>23</v>
      </c>
      <c r="B24" s="2">
        <f>DATE(Sintesi!$C$4-1,12,31)+A24</f>
        <v/>
      </c>
      <c r="C24" s="1">
        <f>'Paste cell here'!T24</f>
        <v/>
      </c>
      <c r="D24" s="1">
        <f>'Paste cell here'!AC24</f>
        <v/>
      </c>
      <c r="E24" s="1">
        <f>'Paste cell here'!Y24</f>
        <v/>
      </c>
      <c r="F24" s="1">
        <f>'Paste cell here'!AD24</f>
        <v/>
      </c>
      <c r="G24" s="1">
        <f>'Paste cell here'!W24</f>
        <v/>
      </c>
      <c r="H24" s="1">
        <f>'Paste cell here'!AE24</f>
        <v/>
      </c>
      <c r="I24" s="1">
        <f>'Paste cell here'!AF24</f>
        <v/>
      </c>
      <c r="J24" s="1">
        <f>ABS(I24+C24+D24-E24-F24-G24-H24)</f>
        <v/>
      </c>
      <c r="K24" s="1">
        <f>IF('Bilancio primo strato'!D24&gt;0,1,"")</f>
        <v/>
      </c>
      <c r="L24" s="7">
        <f>Sintesi!$C$34</f>
        <v/>
      </c>
      <c r="M24" s="7">
        <f>Sintesi!$C$33</f>
        <v/>
      </c>
      <c r="N24" s="1">
        <f>'Paste cell here'!AA24</f>
        <v/>
      </c>
      <c r="O24" s="1">
        <f>'Paste cell here'!H24</f>
        <v/>
      </c>
      <c r="P24" s="1">
        <f>(M24-L24)*N24*1000</f>
        <v/>
      </c>
      <c r="Q24" s="1">
        <f>P24*O24</f>
        <v/>
      </c>
      <c r="R24" s="1">
        <f>M24*N24*1000-Q24</f>
        <v/>
      </c>
      <c r="S24" s="5">
        <f>H24/($N24*1000)</f>
        <v/>
      </c>
      <c r="T24" s="5">
        <f>R24/($N24*1000)</f>
        <v/>
      </c>
    </row>
    <row r="25">
      <c r="A25" s="1" t="n">
        <v>24</v>
      </c>
      <c r="B25" s="2">
        <f>DATE(Sintesi!$C$4-1,12,31)+A25</f>
        <v/>
      </c>
      <c r="C25" s="1">
        <f>'Paste cell here'!T25</f>
        <v/>
      </c>
      <c r="D25" s="1">
        <f>'Paste cell here'!AC25</f>
        <v/>
      </c>
      <c r="E25" s="1">
        <f>'Paste cell here'!Y25</f>
        <v/>
      </c>
      <c r="F25" s="1">
        <f>'Paste cell here'!AD25</f>
        <v/>
      </c>
      <c r="G25" s="1">
        <f>'Paste cell here'!W25</f>
        <v/>
      </c>
      <c r="H25" s="1">
        <f>'Paste cell here'!AE25</f>
        <v/>
      </c>
      <c r="I25" s="1">
        <f>'Paste cell here'!AF25</f>
        <v/>
      </c>
      <c r="J25" s="1">
        <f>ABS(I25+C25+D25-E25-F25-G25-H25)</f>
        <v/>
      </c>
      <c r="K25" s="1">
        <f>IF('Bilancio primo strato'!D25&gt;0,1,"")</f>
        <v/>
      </c>
      <c r="L25" s="7">
        <f>Sintesi!$C$34</f>
        <v/>
      </c>
      <c r="M25" s="7">
        <f>Sintesi!$C$33</f>
        <v/>
      </c>
      <c r="N25" s="1">
        <f>'Paste cell here'!AA25</f>
        <v/>
      </c>
      <c r="O25" s="1">
        <f>'Paste cell here'!H25</f>
        <v/>
      </c>
      <c r="P25" s="1">
        <f>(M25-L25)*N25*1000</f>
        <v/>
      </c>
      <c r="Q25" s="1">
        <f>P25*O25</f>
        <v/>
      </c>
      <c r="R25" s="1">
        <f>M25*N25*1000-Q25</f>
        <v/>
      </c>
      <c r="S25" s="5">
        <f>H25/($N25*1000)</f>
        <v/>
      </c>
      <c r="T25" s="5">
        <f>R25/($N25*1000)</f>
        <v/>
      </c>
    </row>
    <row r="26">
      <c r="A26" s="1" t="n">
        <v>25</v>
      </c>
      <c r="B26" s="2">
        <f>DATE(Sintesi!$C$4-1,12,31)+A26</f>
        <v/>
      </c>
      <c r="C26" s="1">
        <f>'Paste cell here'!T26</f>
        <v/>
      </c>
      <c r="D26" s="1">
        <f>'Paste cell here'!AC26</f>
        <v/>
      </c>
      <c r="E26" s="1">
        <f>'Paste cell here'!Y26</f>
        <v/>
      </c>
      <c r="F26" s="1">
        <f>'Paste cell here'!AD26</f>
        <v/>
      </c>
      <c r="G26" s="1">
        <f>'Paste cell here'!W26</f>
        <v/>
      </c>
      <c r="H26" s="1">
        <f>'Paste cell here'!AE26</f>
        <v/>
      </c>
      <c r="I26" s="1">
        <f>'Paste cell here'!AF26</f>
        <v/>
      </c>
      <c r="J26" s="1">
        <f>ABS(I26+C26+D26-E26-F26-G26-H26)</f>
        <v/>
      </c>
      <c r="K26" s="1">
        <f>IF('Bilancio primo strato'!D26&gt;0,1,"")</f>
        <v/>
      </c>
      <c r="L26" s="7">
        <f>Sintesi!$C$34</f>
        <v/>
      </c>
      <c r="M26" s="7">
        <f>Sintesi!$C$33</f>
        <v/>
      </c>
      <c r="N26" s="1">
        <f>'Paste cell here'!AA26</f>
        <v/>
      </c>
      <c r="O26" s="1">
        <f>'Paste cell here'!H26</f>
        <v/>
      </c>
      <c r="P26" s="1">
        <f>(M26-L26)*N26*1000</f>
        <v/>
      </c>
      <c r="Q26" s="1">
        <f>P26*O26</f>
        <v/>
      </c>
      <c r="R26" s="1">
        <f>M26*N26*1000-Q26</f>
        <v/>
      </c>
      <c r="S26" s="5">
        <f>H26/($N26*1000)</f>
        <v/>
      </c>
      <c r="T26" s="5">
        <f>R26/($N26*1000)</f>
        <v/>
      </c>
    </row>
    <row r="27">
      <c r="A27" s="1" t="n">
        <v>26</v>
      </c>
      <c r="B27" s="2">
        <f>DATE(Sintesi!$C$4-1,12,31)+A27</f>
        <v/>
      </c>
      <c r="C27" s="1">
        <f>'Paste cell here'!T27</f>
        <v/>
      </c>
      <c r="D27" s="1">
        <f>'Paste cell here'!AC27</f>
        <v/>
      </c>
      <c r="E27" s="1">
        <f>'Paste cell here'!Y27</f>
        <v/>
      </c>
      <c r="F27" s="1">
        <f>'Paste cell here'!AD27</f>
        <v/>
      </c>
      <c r="G27" s="1">
        <f>'Paste cell here'!W27</f>
        <v/>
      </c>
      <c r="H27" s="1">
        <f>'Paste cell here'!AE27</f>
        <v/>
      </c>
      <c r="I27" s="1">
        <f>'Paste cell here'!AF27</f>
        <v/>
      </c>
      <c r="J27" s="1">
        <f>ABS(I27+C27+D27-E27-F27-G27-H27)</f>
        <v/>
      </c>
      <c r="K27" s="1">
        <f>IF('Bilancio primo strato'!D27&gt;0,1,"")</f>
        <v/>
      </c>
      <c r="L27" s="7">
        <f>Sintesi!$C$34</f>
        <v/>
      </c>
      <c r="M27" s="7">
        <f>Sintesi!$C$33</f>
        <v/>
      </c>
      <c r="N27" s="1">
        <f>'Paste cell here'!AA27</f>
        <v/>
      </c>
      <c r="O27" s="1">
        <f>'Paste cell here'!H27</f>
        <v/>
      </c>
      <c r="P27" s="1">
        <f>(M27-L27)*N27*1000</f>
        <v/>
      </c>
      <c r="Q27" s="1">
        <f>P27*O27</f>
        <v/>
      </c>
      <c r="R27" s="1">
        <f>M27*N27*1000-Q27</f>
        <v/>
      </c>
      <c r="S27" s="5">
        <f>H27/($N27*1000)</f>
        <v/>
      </c>
      <c r="T27" s="5">
        <f>R27/($N27*1000)</f>
        <v/>
      </c>
    </row>
    <row r="28">
      <c r="A28" s="1" t="n">
        <v>27</v>
      </c>
      <c r="B28" s="2">
        <f>DATE(Sintesi!$C$4-1,12,31)+A28</f>
        <v/>
      </c>
      <c r="C28" s="1">
        <f>'Paste cell here'!T28</f>
        <v/>
      </c>
      <c r="D28" s="1">
        <f>'Paste cell here'!AC28</f>
        <v/>
      </c>
      <c r="E28" s="1">
        <f>'Paste cell here'!Y28</f>
        <v/>
      </c>
      <c r="F28" s="1">
        <f>'Paste cell here'!AD28</f>
        <v/>
      </c>
      <c r="G28" s="1">
        <f>'Paste cell here'!W28</f>
        <v/>
      </c>
      <c r="H28" s="1">
        <f>'Paste cell here'!AE28</f>
        <v/>
      </c>
      <c r="I28" s="1">
        <f>'Paste cell here'!AF28</f>
        <v/>
      </c>
      <c r="J28" s="1">
        <f>ABS(I28+C28+D28-E28-F28-G28-H28)</f>
        <v/>
      </c>
      <c r="K28" s="1">
        <f>IF('Bilancio primo strato'!D28&gt;0,1,"")</f>
        <v/>
      </c>
      <c r="L28" s="7">
        <f>Sintesi!$C$34</f>
        <v/>
      </c>
      <c r="M28" s="7">
        <f>Sintesi!$C$33</f>
        <v/>
      </c>
      <c r="N28" s="1">
        <f>'Paste cell here'!AA28</f>
        <v/>
      </c>
      <c r="O28" s="1">
        <f>'Paste cell here'!H28</f>
        <v/>
      </c>
      <c r="P28" s="1">
        <f>(M28-L28)*N28*1000</f>
        <v/>
      </c>
      <c r="Q28" s="1">
        <f>P28*O28</f>
        <v/>
      </c>
      <c r="R28" s="1">
        <f>M28*N28*1000-Q28</f>
        <v/>
      </c>
      <c r="S28" s="5">
        <f>H28/($N28*1000)</f>
        <v/>
      </c>
      <c r="T28" s="5">
        <f>R28/($N28*1000)</f>
        <v/>
      </c>
    </row>
    <row r="29">
      <c r="A29" s="1" t="n">
        <v>28</v>
      </c>
      <c r="B29" s="2">
        <f>DATE(Sintesi!$C$4-1,12,31)+A29</f>
        <v/>
      </c>
      <c r="C29" s="1">
        <f>'Paste cell here'!T29</f>
        <v/>
      </c>
      <c r="D29" s="1">
        <f>'Paste cell here'!AC29</f>
        <v/>
      </c>
      <c r="E29" s="1">
        <f>'Paste cell here'!Y29</f>
        <v/>
      </c>
      <c r="F29" s="1">
        <f>'Paste cell here'!AD29</f>
        <v/>
      </c>
      <c r="G29" s="1">
        <f>'Paste cell here'!W29</f>
        <v/>
      </c>
      <c r="H29" s="1">
        <f>'Paste cell here'!AE29</f>
        <v/>
      </c>
      <c r="I29" s="1">
        <f>'Paste cell here'!AF29</f>
        <v/>
      </c>
      <c r="J29" s="1">
        <f>ABS(I29+C29+D29-E29-F29-G29-H29)</f>
        <v/>
      </c>
      <c r="K29" s="1">
        <f>IF('Bilancio primo strato'!D29&gt;0,1,"")</f>
        <v/>
      </c>
      <c r="L29" s="7">
        <f>Sintesi!$C$34</f>
        <v/>
      </c>
      <c r="M29" s="7">
        <f>Sintesi!$C$33</f>
        <v/>
      </c>
      <c r="N29" s="1">
        <f>'Paste cell here'!AA29</f>
        <v/>
      </c>
      <c r="O29" s="1">
        <f>'Paste cell here'!H29</f>
        <v/>
      </c>
      <c r="P29" s="1">
        <f>(M29-L29)*N29*1000</f>
        <v/>
      </c>
      <c r="Q29" s="1">
        <f>P29*O29</f>
        <v/>
      </c>
      <c r="R29" s="1">
        <f>M29*N29*1000-Q29</f>
        <v/>
      </c>
      <c r="S29" s="5">
        <f>H29/($N29*1000)</f>
        <v/>
      </c>
      <c r="T29" s="5">
        <f>R29/($N29*1000)</f>
        <v/>
      </c>
    </row>
    <row r="30">
      <c r="A30" s="1" t="n">
        <v>29</v>
      </c>
      <c r="B30" s="2">
        <f>DATE(Sintesi!$C$4-1,12,31)+A30</f>
        <v/>
      </c>
      <c r="C30" s="1">
        <f>'Paste cell here'!T30</f>
        <v/>
      </c>
      <c r="D30" s="1">
        <f>'Paste cell here'!AC30</f>
        <v/>
      </c>
      <c r="E30" s="1">
        <f>'Paste cell here'!Y30</f>
        <v/>
      </c>
      <c r="F30" s="1">
        <f>'Paste cell here'!AD30</f>
        <v/>
      </c>
      <c r="G30" s="1">
        <f>'Paste cell here'!W30</f>
        <v/>
      </c>
      <c r="H30" s="1">
        <f>'Paste cell here'!AE30</f>
        <v/>
      </c>
      <c r="I30" s="1">
        <f>'Paste cell here'!AF30</f>
        <v/>
      </c>
      <c r="J30" s="1">
        <f>ABS(I30+C30+D30-E30-F30-G30-H30)</f>
        <v/>
      </c>
      <c r="K30" s="1">
        <f>IF('Bilancio primo strato'!D30&gt;0,1,"")</f>
        <v/>
      </c>
      <c r="L30" s="7">
        <f>Sintesi!$C$34</f>
        <v/>
      </c>
      <c r="M30" s="7">
        <f>Sintesi!$C$33</f>
        <v/>
      </c>
      <c r="N30" s="1">
        <f>'Paste cell here'!AA30</f>
        <v/>
      </c>
      <c r="O30" s="1">
        <f>'Paste cell here'!H30</f>
        <v/>
      </c>
      <c r="P30" s="1">
        <f>(M30-L30)*N30*1000</f>
        <v/>
      </c>
      <c r="Q30" s="1">
        <f>P30*O30</f>
        <v/>
      </c>
      <c r="R30" s="1">
        <f>M30*N30*1000-Q30</f>
        <v/>
      </c>
      <c r="S30" s="5">
        <f>H30/($N30*1000)</f>
        <v/>
      </c>
      <c r="T30" s="5">
        <f>R30/($N30*1000)</f>
        <v/>
      </c>
    </row>
    <row r="31">
      <c r="A31" s="1" t="n">
        <v>30</v>
      </c>
      <c r="B31" s="2">
        <f>DATE(Sintesi!$C$4-1,12,31)+A31</f>
        <v/>
      </c>
      <c r="C31" s="1">
        <f>'Paste cell here'!T31</f>
        <v/>
      </c>
      <c r="D31" s="1">
        <f>'Paste cell here'!AC31</f>
        <v/>
      </c>
      <c r="E31" s="1">
        <f>'Paste cell here'!Y31</f>
        <v/>
      </c>
      <c r="F31" s="1">
        <f>'Paste cell here'!AD31</f>
        <v/>
      </c>
      <c r="G31" s="1">
        <f>'Paste cell here'!W31</f>
        <v/>
      </c>
      <c r="H31" s="1">
        <f>'Paste cell here'!AE31</f>
        <v/>
      </c>
      <c r="I31" s="1">
        <f>'Paste cell here'!AF31</f>
        <v/>
      </c>
      <c r="J31" s="1">
        <f>ABS(I31+C31+D31-E31-F31-G31-H31)</f>
        <v/>
      </c>
      <c r="K31" s="1">
        <f>IF('Bilancio primo strato'!D31&gt;0,1,"")</f>
        <v/>
      </c>
      <c r="L31" s="7">
        <f>Sintesi!$C$34</f>
        <v/>
      </c>
      <c r="M31" s="7">
        <f>Sintesi!$C$33</f>
        <v/>
      </c>
      <c r="N31" s="1">
        <f>'Paste cell here'!AA31</f>
        <v/>
      </c>
      <c r="O31" s="1">
        <f>'Paste cell here'!H31</f>
        <v/>
      </c>
      <c r="P31" s="1">
        <f>(M31-L31)*N31*1000</f>
        <v/>
      </c>
      <c r="Q31" s="1">
        <f>P31*O31</f>
        <v/>
      </c>
      <c r="R31" s="1">
        <f>M31*N31*1000-Q31</f>
        <v/>
      </c>
      <c r="S31" s="5">
        <f>H31/($N31*1000)</f>
        <v/>
      </c>
      <c r="T31" s="5">
        <f>R31/($N31*1000)</f>
        <v/>
      </c>
    </row>
    <row r="32">
      <c r="A32" s="1" t="n">
        <v>31</v>
      </c>
      <c r="B32" s="2">
        <f>DATE(Sintesi!$C$4-1,12,31)+A32</f>
        <v/>
      </c>
      <c r="C32" s="1">
        <f>'Paste cell here'!T32</f>
        <v/>
      </c>
      <c r="D32" s="1">
        <f>'Paste cell here'!AC32</f>
        <v/>
      </c>
      <c r="E32" s="1">
        <f>'Paste cell here'!Y32</f>
        <v/>
      </c>
      <c r="F32" s="1">
        <f>'Paste cell here'!AD32</f>
        <v/>
      </c>
      <c r="G32" s="1">
        <f>'Paste cell here'!W32</f>
        <v/>
      </c>
      <c r="H32" s="1">
        <f>'Paste cell here'!AE32</f>
        <v/>
      </c>
      <c r="I32" s="1">
        <f>'Paste cell here'!AF32</f>
        <v/>
      </c>
      <c r="J32" s="1">
        <f>ABS(I32+C32+D32-E32-F32-G32-H32)</f>
        <v/>
      </c>
      <c r="K32" s="1">
        <f>IF('Bilancio primo strato'!D32&gt;0,1,"")</f>
        <v/>
      </c>
      <c r="L32" s="7">
        <f>Sintesi!$C$34</f>
        <v/>
      </c>
      <c r="M32" s="7">
        <f>Sintesi!$C$33</f>
        <v/>
      </c>
      <c r="N32" s="1">
        <f>'Paste cell here'!AA32</f>
        <v/>
      </c>
      <c r="O32" s="1">
        <f>'Paste cell here'!H32</f>
        <v/>
      </c>
      <c r="P32" s="1">
        <f>(M32-L32)*N32*1000</f>
        <v/>
      </c>
      <c r="Q32" s="1">
        <f>P32*O32</f>
        <v/>
      </c>
      <c r="R32" s="1">
        <f>M32*N32*1000-Q32</f>
        <v/>
      </c>
      <c r="S32" s="5">
        <f>H32/($N32*1000)</f>
        <v/>
      </c>
      <c r="T32" s="5">
        <f>R32/($N32*1000)</f>
        <v/>
      </c>
    </row>
    <row r="33">
      <c r="A33" s="1" t="n">
        <v>32</v>
      </c>
      <c r="B33" s="2">
        <f>DATE(Sintesi!$C$4-1,12,31)+A33</f>
        <v/>
      </c>
      <c r="C33" s="1">
        <f>'Paste cell here'!T33</f>
        <v/>
      </c>
      <c r="D33" s="1">
        <f>'Paste cell here'!AC33</f>
        <v/>
      </c>
      <c r="E33" s="1">
        <f>'Paste cell here'!Y33</f>
        <v/>
      </c>
      <c r="F33" s="1">
        <f>'Paste cell here'!AD33</f>
        <v/>
      </c>
      <c r="G33" s="1">
        <f>'Paste cell here'!W33</f>
        <v/>
      </c>
      <c r="H33" s="1">
        <f>'Paste cell here'!AE33</f>
        <v/>
      </c>
      <c r="I33" s="1">
        <f>'Paste cell here'!AF33</f>
        <v/>
      </c>
      <c r="J33" s="1">
        <f>ABS(I33+C33+D33-E33-F33-G33-H33)</f>
        <v/>
      </c>
      <c r="K33" s="1">
        <f>IF('Bilancio primo strato'!D33&gt;0,1,"")</f>
        <v/>
      </c>
      <c r="L33" s="7">
        <f>Sintesi!$C$34</f>
        <v/>
      </c>
      <c r="M33" s="7">
        <f>Sintesi!$C$33</f>
        <v/>
      </c>
      <c r="N33" s="1">
        <f>'Paste cell here'!AA33</f>
        <v/>
      </c>
      <c r="O33" s="1">
        <f>'Paste cell here'!H33</f>
        <v/>
      </c>
      <c r="P33" s="1">
        <f>(M33-L33)*N33*1000</f>
        <v/>
      </c>
      <c r="Q33" s="1">
        <f>P33*O33</f>
        <v/>
      </c>
      <c r="R33" s="1">
        <f>M33*N33*1000-Q33</f>
        <v/>
      </c>
      <c r="S33" s="5">
        <f>H33/($N33*1000)</f>
        <v/>
      </c>
      <c r="T33" s="5">
        <f>R33/($N33*1000)</f>
        <v/>
      </c>
    </row>
    <row r="34">
      <c r="A34" s="1" t="n">
        <v>33</v>
      </c>
      <c r="B34" s="2">
        <f>DATE(Sintesi!$C$4-1,12,31)+A34</f>
        <v/>
      </c>
      <c r="C34" s="1">
        <f>'Paste cell here'!T34</f>
        <v/>
      </c>
      <c r="D34" s="1">
        <f>'Paste cell here'!AC34</f>
        <v/>
      </c>
      <c r="E34" s="1">
        <f>'Paste cell here'!Y34</f>
        <v/>
      </c>
      <c r="F34" s="1">
        <f>'Paste cell here'!AD34</f>
        <v/>
      </c>
      <c r="G34" s="1">
        <f>'Paste cell here'!W34</f>
        <v/>
      </c>
      <c r="H34" s="1">
        <f>'Paste cell here'!AE34</f>
        <v/>
      </c>
      <c r="I34" s="1">
        <f>'Paste cell here'!AF34</f>
        <v/>
      </c>
      <c r="J34" s="1">
        <f>ABS(I34+C34+D34-E34-F34-G34-H34)</f>
        <v/>
      </c>
      <c r="K34" s="1">
        <f>IF('Bilancio primo strato'!D34&gt;0,1,"")</f>
        <v/>
      </c>
      <c r="L34" s="7">
        <f>Sintesi!$C$34</f>
        <v/>
      </c>
      <c r="M34" s="7">
        <f>Sintesi!$C$33</f>
        <v/>
      </c>
      <c r="N34" s="1">
        <f>'Paste cell here'!AA34</f>
        <v/>
      </c>
      <c r="O34" s="1">
        <f>'Paste cell here'!H34</f>
        <v/>
      </c>
      <c r="P34" s="1">
        <f>(M34-L34)*N34*1000</f>
        <v/>
      </c>
      <c r="Q34" s="1">
        <f>P34*O34</f>
        <v/>
      </c>
      <c r="R34" s="1">
        <f>M34*N34*1000-Q34</f>
        <v/>
      </c>
      <c r="S34" s="5">
        <f>H34/($N34*1000)</f>
        <v/>
      </c>
      <c r="T34" s="5">
        <f>R34/($N34*1000)</f>
        <v/>
      </c>
    </row>
    <row r="35">
      <c r="A35" s="1" t="n">
        <v>34</v>
      </c>
      <c r="B35" s="2">
        <f>DATE(Sintesi!$C$4-1,12,31)+A35</f>
        <v/>
      </c>
      <c r="C35" s="1">
        <f>'Paste cell here'!T35</f>
        <v/>
      </c>
      <c r="D35" s="1">
        <f>'Paste cell here'!AC35</f>
        <v/>
      </c>
      <c r="E35" s="1">
        <f>'Paste cell here'!Y35</f>
        <v/>
      </c>
      <c r="F35" s="1">
        <f>'Paste cell here'!AD35</f>
        <v/>
      </c>
      <c r="G35" s="1">
        <f>'Paste cell here'!W35</f>
        <v/>
      </c>
      <c r="H35" s="1">
        <f>'Paste cell here'!AE35</f>
        <v/>
      </c>
      <c r="I35" s="1">
        <f>'Paste cell here'!AF35</f>
        <v/>
      </c>
      <c r="J35" s="1">
        <f>ABS(I35+C35+D35-E35-F35-G35-H35)</f>
        <v/>
      </c>
      <c r="K35" s="1">
        <f>IF('Bilancio primo strato'!D35&gt;0,1,"")</f>
        <v/>
      </c>
      <c r="L35" s="7">
        <f>Sintesi!$C$34</f>
        <v/>
      </c>
      <c r="M35" s="7">
        <f>Sintesi!$C$33</f>
        <v/>
      </c>
      <c r="N35" s="1">
        <f>'Paste cell here'!AA35</f>
        <v/>
      </c>
      <c r="O35" s="1">
        <f>'Paste cell here'!H35</f>
        <v/>
      </c>
      <c r="P35" s="1">
        <f>(M35-L35)*N35*1000</f>
        <v/>
      </c>
      <c r="Q35" s="1">
        <f>P35*O35</f>
        <v/>
      </c>
      <c r="R35" s="1">
        <f>M35*N35*1000-Q35</f>
        <v/>
      </c>
      <c r="S35" s="5">
        <f>H35/($N35*1000)</f>
        <v/>
      </c>
      <c r="T35" s="5">
        <f>R35/($N35*1000)</f>
        <v/>
      </c>
    </row>
    <row r="36">
      <c r="A36" s="1" t="n">
        <v>35</v>
      </c>
      <c r="B36" s="2">
        <f>DATE(Sintesi!$C$4-1,12,31)+A36</f>
        <v/>
      </c>
      <c r="C36" s="1">
        <f>'Paste cell here'!T36</f>
        <v/>
      </c>
      <c r="D36" s="1">
        <f>'Paste cell here'!AC36</f>
        <v/>
      </c>
      <c r="E36" s="1">
        <f>'Paste cell here'!Y36</f>
        <v/>
      </c>
      <c r="F36" s="1">
        <f>'Paste cell here'!AD36</f>
        <v/>
      </c>
      <c r="G36" s="1">
        <f>'Paste cell here'!W36</f>
        <v/>
      </c>
      <c r="H36" s="1">
        <f>'Paste cell here'!AE36</f>
        <v/>
      </c>
      <c r="I36" s="1">
        <f>'Paste cell here'!AF36</f>
        <v/>
      </c>
      <c r="J36" s="1">
        <f>ABS(I36+C36+D36-E36-F36-G36-H36)</f>
        <v/>
      </c>
      <c r="K36" s="1">
        <f>IF('Bilancio primo strato'!D36&gt;0,1,"")</f>
        <v/>
      </c>
      <c r="L36" s="7">
        <f>Sintesi!$C$34</f>
        <v/>
      </c>
      <c r="M36" s="7">
        <f>Sintesi!$C$33</f>
        <v/>
      </c>
      <c r="N36" s="1">
        <f>'Paste cell here'!AA36</f>
        <v/>
      </c>
      <c r="O36" s="1">
        <f>'Paste cell here'!H36</f>
        <v/>
      </c>
      <c r="P36" s="1">
        <f>(M36-L36)*N36*1000</f>
        <v/>
      </c>
      <c r="Q36" s="1">
        <f>P36*O36</f>
        <v/>
      </c>
      <c r="R36" s="1">
        <f>M36*N36*1000-Q36</f>
        <v/>
      </c>
      <c r="S36" s="5">
        <f>H36/($N36*1000)</f>
        <v/>
      </c>
      <c r="T36" s="5">
        <f>R36/($N36*1000)</f>
        <v/>
      </c>
    </row>
    <row r="37">
      <c r="A37" s="1" t="n">
        <v>36</v>
      </c>
      <c r="B37" s="2">
        <f>DATE(Sintesi!$C$4-1,12,31)+A37</f>
        <v/>
      </c>
      <c r="C37" s="1">
        <f>'Paste cell here'!T37</f>
        <v/>
      </c>
      <c r="D37" s="1">
        <f>'Paste cell here'!AC37</f>
        <v/>
      </c>
      <c r="E37" s="1">
        <f>'Paste cell here'!Y37</f>
        <v/>
      </c>
      <c r="F37" s="1">
        <f>'Paste cell here'!AD37</f>
        <v/>
      </c>
      <c r="G37" s="1">
        <f>'Paste cell here'!W37</f>
        <v/>
      </c>
      <c r="H37" s="1">
        <f>'Paste cell here'!AE37</f>
        <v/>
      </c>
      <c r="I37" s="1">
        <f>'Paste cell here'!AF37</f>
        <v/>
      </c>
      <c r="J37" s="1">
        <f>ABS(I37+C37+D37-E37-F37-G37-H37)</f>
        <v/>
      </c>
      <c r="K37" s="1">
        <f>IF('Bilancio primo strato'!D37&gt;0,1,"")</f>
        <v/>
      </c>
      <c r="L37" s="7">
        <f>Sintesi!$C$34</f>
        <v/>
      </c>
      <c r="M37" s="7">
        <f>Sintesi!$C$33</f>
        <v/>
      </c>
      <c r="N37" s="1">
        <f>'Paste cell here'!AA37</f>
        <v/>
      </c>
      <c r="O37" s="1">
        <f>'Paste cell here'!H37</f>
        <v/>
      </c>
      <c r="P37" s="1">
        <f>(M37-L37)*N37*1000</f>
        <v/>
      </c>
      <c r="Q37" s="1">
        <f>P37*O37</f>
        <v/>
      </c>
      <c r="R37" s="1">
        <f>M37*N37*1000-Q37</f>
        <v/>
      </c>
      <c r="S37" s="5">
        <f>H37/($N37*1000)</f>
        <v/>
      </c>
      <c r="T37" s="5">
        <f>R37/($N37*1000)</f>
        <v/>
      </c>
    </row>
    <row r="38">
      <c r="A38" s="1" t="n">
        <v>37</v>
      </c>
      <c r="B38" s="2">
        <f>DATE(Sintesi!$C$4-1,12,31)+A38</f>
        <v/>
      </c>
      <c r="C38" s="1">
        <f>'Paste cell here'!T38</f>
        <v/>
      </c>
      <c r="D38" s="1">
        <f>'Paste cell here'!AC38</f>
        <v/>
      </c>
      <c r="E38" s="1">
        <f>'Paste cell here'!Y38</f>
        <v/>
      </c>
      <c r="F38" s="1">
        <f>'Paste cell here'!AD38</f>
        <v/>
      </c>
      <c r="G38" s="1">
        <f>'Paste cell here'!W38</f>
        <v/>
      </c>
      <c r="H38" s="1">
        <f>'Paste cell here'!AE38</f>
        <v/>
      </c>
      <c r="I38" s="1">
        <f>'Paste cell here'!AF38</f>
        <v/>
      </c>
      <c r="J38" s="1">
        <f>ABS(I38+C38+D38-E38-F38-G38-H38)</f>
        <v/>
      </c>
      <c r="K38" s="1">
        <f>IF('Bilancio primo strato'!D38&gt;0,1,"")</f>
        <v/>
      </c>
      <c r="L38" s="7">
        <f>Sintesi!$C$34</f>
        <v/>
      </c>
      <c r="M38" s="7">
        <f>Sintesi!$C$33</f>
        <v/>
      </c>
      <c r="N38" s="1">
        <f>'Paste cell here'!AA38</f>
        <v/>
      </c>
      <c r="O38" s="1">
        <f>'Paste cell here'!H38</f>
        <v/>
      </c>
      <c r="P38" s="1">
        <f>(M38-L38)*N38*1000</f>
        <v/>
      </c>
      <c r="Q38" s="1">
        <f>P38*O38</f>
        <v/>
      </c>
      <c r="R38" s="1">
        <f>M38*N38*1000-Q38</f>
        <v/>
      </c>
      <c r="S38" s="5">
        <f>H38/($N38*1000)</f>
        <v/>
      </c>
      <c r="T38" s="5">
        <f>R38/($N38*1000)</f>
        <v/>
      </c>
    </row>
    <row r="39">
      <c r="A39" s="1" t="n">
        <v>38</v>
      </c>
      <c r="B39" s="2">
        <f>DATE(Sintesi!$C$4-1,12,31)+A39</f>
        <v/>
      </c>
      <c r="C39" s="1">
        <f>'Paste cell here'!T39</f>
        <v/>
      </c>
      <c r="D39" s="1">
        <f>'Paste cell here'!AC39</f>
        <v/>
      </c>
      <c r="E39" s="1">
        <f>'Paste cell here'!Y39</f>
        <v/>
      </c>
      <c r="F39" s="1">
        <f>'Paste cell here'!AD39</f>
        <v/>
      </c>
      <c r="G39" s="1">
        <f>'Paste cell here'!W39</f>
        <v/>
      </c>
      <c r="H39" s="1">
        <f>'Paste cell here'!AE39</f>
        <v/>
      </c>
      <c r="I39" s="1">
        <f>'Paste cell here'!AF39</f>
        <v/>
      </c>
      <c r="J39" s="1">
        <f>ABS(I39+C39+D39-E39-F39-G39-H39)</f>
        <v/>
      </c>
      <c r="K39" s="1">
        <f>IF('Bilancio primo strato'!D39&gt;0,1,"")</f>
        <v/>
      </c>
      <c r="L39" s="7">
        <f>Sintesi!$C$34</f>
        <v/>
      </c>
      <c r="M39" s="7">
        <f>Sintesi!$C$33</f>
        <v/>
      </c>
      <c r="N39" s="1">
        <f>'Paste cell here'!AA39</f>
        <v/>
      </c>
      <c r="O39" s="1">
        <f>'Paste cell here'!H39</f>
        <v/>
      </c>
      <c r="P39" s="1">
        <f>(M39-L39)*N39*1000</f>
        <v/>
      </c>
      <c r="Q39" s="1">
        <f>P39*O39</f>
        <v/>
      </c>
      <c r="R39" s="1">
        <f>M39*N39*1000-Q39</f>
        <v/>
      </c>
      <c r="S39" s="5">
        <f>H39/($N39*1000)</f>
        <v/>
      </c>
      <c r="T39" s="5">
        <f>R39/($N39*1000)</f>
        <v/>
      </c>
    </row>
    <row r="40">
      <c r="A40" s="1" t="n">
        <v>39</v>
      </c>
      <c r="B40" s="2">
        <f>DATE(Sintesi!$C$4-1,12,31)+A40</f>
        <v/>
      </c>
      <c r="C40" s="1">
        <f>'Paste cell here'!T40</f>
        <v/>
      </c>
      <c r="D40" s="1">
        <f>'Paste cell here'!AC40</f>
        <v/>
      </c>
      <c r="E40" s="1">
        <f>'Paste cell here'!Y40</f>
        <v/>
      </c>
      <c r="F40" s="1">
        <f>'Paste cell here'!AD40</f>
        <v/>
      </c>
      <c r="G40" s="1">
        <f>'Paste cell here'!W40</f>
        <v/>
      </c>
      <c r="H40" s="1">
        <f>'Paste cell here'!AE40</f>
        <v/>
      </c>
      <c r="I40" s="1">
        <f>'Paste cell here'!AF40</f>
        <v/>
      </c>
      <c r="J40" s="1">
        <f>ABS(I40+C40+D40-E40-F40-G40-H40)</f>
        <v/>
      </c>
      <c r="K40" s="1">
        <f>IF('Bilancio primo strato'!D40&gt;0,1,"")</f>
        <v/>
      </c>
      <c r="L40" s="7">
        <f>Sintesi!$C$34</f>
        <v/>
      </c>
      <c r="M40" s="7">
        <f>Sintesi!$C$33</f>
        <v/>
      </c>
      <c r="N40" s="1">
        <f>'Paste cell here'!AA40</f>
        <v/>
      </c>
      <c r="O40" s="1">
        <f>'Paste cell here'!H40</f>
        <v/>
      </c>
      <c r="P40" s="1">
        <f>(M40-L40)*N40*1000</f>
        <v/>
      </c>
      <c r="Q40" s="1">
        <f>P40*O40</f>
        <v/>
      </c>
      <c r="R40" s="1">
        <f>M40*N40*1000-Q40</f>
        <v/>
      </c>
      <c r="S40" s="5">
        <f>H40/($N40*1000)</f>
        <v/>
      </c>
      <c r="T40" s="5">
        <f>R40/($N40*1000)</f>
        <v/>
      </c>
    </row>
    <row r="41">
      <c r="A41" s="1" t="n">
        <v>40</v>
      </c>
      <c r="B41" s="2">
        <f>DATE(Sintesi!$C$4-1,12,31)+A41</f>
        <v/>
      </c>
      <c r="C41" s="1">
        <f>'Paste cell here'!T41</f>
        <v/>
      </c>
      <c r="D41" s="1">
        <f>'Paste cell here'!AC41</f>
        <v/>
      </c>
      <c r="E41" s="1">
        <f>'Paste cell here'!Y41</f>
        <v/>
      </c>
      <c r="F41" s="1">
        <f>'Paste cell here'!AD41</f>
        <v/>
      </c>
      <c r="G41" s="1">
        <f>'Paste cell here'!W41</f>
        <v/>
      </c>
      <c r="H41" s="1">
        <f>'Paste cell here'!AE41</f>
        <v/>
      </c>
      <c r="I41" s="1">
        <f>'Paste cell here'!AF41</f>
        <v/>
      </c>
      <c r="J41" s="1">
        <f>ABS(I41+C41+D41-E41-F41-G41-H41)</f>
        <v/>
      </c>
      <c r="K41" s="1">
        <f>IF('Bilancio primo strato'!D41&gt;0,1,"")</f>
        <v/>
      </c>
      <c r="L41" s="7">
        <f>Sintesi!$C$34</f>
        <v/>
      </c>
      <c r="M41" s="7">
        <f>Sintesi!$C$33</f>
        <v/>
      </c>
      <c r="N41" s="1">
        <f>'Paste cell here'!AA41</f>
        <v/>
      </c>
      <c r="O41" s="1">
        <f>'Paste cell here'!H41</f>
        <v/>
      </c>
      <c r="P41" s="1">
        <f>(M41-L41)*N41*1000</f>
        <v/>
      </c>
      <c r="Q41" s="1">
        <f>P41*O41</f>
        <v/>
      </c>
      <c r="R41" s="1">
        <f>M41*N41*1000-Q41</f>
        <v/>
      </c>
      <c r="S41" s="5">
        <f>H41/($N41*1000)</f>
        <v/>
      </c>
      <c r="T41" s="5">
        <f>R41/($N41*1000)</f>
        <v/>
      </c>
    </row>
    <row r="42">
      <c r="A42" s="1" t="n">
        <v>41</v>
      </c>
      <c r="B42" s="2">
        <f>DATE(Sintesi!$C$4-1,12,31)+A42</f>
        <v/>
      </c>
      <c r="C42" s="1">
        <f>'Paste cell here'!T42</f>
        <v/>
      </c>
      <c r="D42" s="1">
        <f>'Paste cell here'!AC42</f>
        <v/>
      </c>
      <c r="E42" s="1">
        <f>'Paste cell here'!Y42</f>
        <v/>
      </c>
      <c r="F42" s="1">
        <f>'Paste cell here'!AD42</f>
        <v/>
      </c>
      <c r="G42" s="1">
        <f>'Paste cell here'!W42</f>
        <v/>
      </c>
      <c r="H42" s="1">
        <f>'Paste cell here'!AE42</f>
        <v/>
      </c>
      <c r="I42" s="1">
        <f>'Paste cell here'!AF42</f>
        <v/>
      </c>
      <c r="J42" s="1">
        <f>ABS(I42+C42+D42-E42-F42-G42-H42)</f>
        <v/>
      </c>
      <c r="K42" s="1">
        <f>IF('Bilancio primo strato'!D42&gt;0,1,"")</f>
        <v/>
      </c>
      <c r="L42" s="7">
        <f>Sintesi!$C$34</f>
        <v/>
      </c>
      <c r="M42" s="7">
        <f>Sintesi!$C$33</f>
        <v/>
      </c>
      <c r="N42" s="1">
        <f>'Paste cell here'!AA42</f>
        <v/>
      </c>
      <c r="O42" s="1">
        <f>'Paste cell here'!H42</f>
        <v/>
      </c>
      <c r="P42" s="1">
        <f>(M42-L42)*N42*1000</f>
        <v/>
      </c>
      <c r="Q42" s="1">
        <f>P42*O42</f>
        <v/>
      </c>
      <c r="R42" s="1">
        <f>M42*N42*1000-Q42</f>
        <v/>
      </c>
      <c r="S42" s="5">
        <f>H42/($N42*1000)</f>
        <v/>
      </c>
      <c r="T42" s="5">
        <f>R42/($N42*1000)</f>
        <v/>
      </c>
    </row>
    <row r="43">
      <c r="A43" s="1" t="n">
        <v>42</v>
      </c>
      <c r="B43" s="2">
        <f>DATE(Sintesi!$C$4-1,12,31)+A43</f>
        <v/>
      </c>
      <c r="C43" s="1">
        <f>'Paste cell here'!T43</f>
        <v/>
      </c>
      <c r="D43" s="1">
        <f>'Paste cell here'!AC43</f>
        <v/>
      </c>
      <c r="E43" s="1">
        <f>'Paste cell here'!Y43</f>
        <v/>
      </c>
      <c r="F43" s="1">
        <f>'Paste cell here'!AD43</f>
        <v/>
      </c>
      <c r="G43" s="1">
        <f>'Paste cell here'!W43</f>
        <v/>
      </c>
      <c r="H43" s="1">
        <f>'Paste cell here'!AE43</f>
        <v/>
      </c>
      <c r="I43" s="1">
        <f>'Paste cell here'!AF43</f>
        <v/>
      </c>
      <c r="J43" s="1">
        <f>ABS(I43+C43+D43-E43-F43-G43-H43)</f>
        <v/>
      </c>
      <c r="K43" s="1">
        <f>IF('Bilancio primo strato'!D43&gt;0,1,"")</f>
        <v/>
      </c>
      <c r="L43" s="7">
        <f>Sintesi!$C$34</f>
        <v/>
      </c>
      <c r="M43" s="7">
        <f>Sintesi!$C$33</f>
        <v/>
      </c>
      <c r="N43" s="1">
        <f>'Paste cell here'!AA43</f>
        <v/>
      </c>
      <c r="O43" s="1">
        <f>'Paste cell here'!H43</f>
        <v/>
      </c>
      <c r="P43" s="1">
        <f>(M43-L43)*N43*1000</f>
        <v/>
      </c>
      <c r="Q43" s="1">
        <f>P43*O43</f>
        <v/>
      </c>
      <c r="R43" s="1">
        <f>M43*N43*1000-Q43</f>
        <v/>
      </c>
      <c r="S43" s="5">
        <f>H43/($N43*1000)</f>
        <v/>
      </c>
      <c r="T43" s="5">
        <f>R43/($N43*1000)</f>
        <v/>
      </c>
    </row>
    <row r="44">
      <c r="A44" s="1" t="n">
        <v>43</v>
      </c>
      <c r="B44" s="2">
        <f>DATE(Sintesi!$C$4-1,12,31)+A44</f>
        <v/>
      </c>
      <c r="C44" s="1">
        <f>'Paste cell here'!T44</f>
        <v/>
      </c>
      <c r="D44" s="1">
        <f>'Paste cell here'!AC44</f>
        <v/>
      </c>
      <c r="E44" s="1">
        <f>'Paste cell here'!Y44</f>
        <v/>
      </c>
      <c r="F44" s="1">
        <f>'Paste cell here'!AD44</f>
        <v/>
      </c>
      <c r="G44" s="1">
        <f>'Paste cell here'!W44</f>
        <v/>
      </c>
      <c r="H44" s="1">
        <f>'Paste cell here'!AE44</f>
        <v/>
      </c>
      <c r="I44" s="1">
        <f>'Paste cell here'!AF44</f>
        <v/>
      </c>
      <c r="J44" s="1">
        <f>ABS(I44+C44+D44-E44-F44-G44-H44)</f>
        <v/>
      </c>
      <c r="K44" s="1">
        <f>IF('Bilancio primo strato'!D44&gt;0,1,"")</f>
        <v/>
      </c>
      <c r="L44" s="7">
        <f>Sintesi!$C$34</f>
        <v/>
      </c>
      <c r="M44" s="7">
        <f>Sintesi!$C$33</f>
        <v/>
      </c>
      <c r="N44" s="1">
        <f>'Paste cell here'!AA44</f>
        <v/>
      </c>
      <c r="O44" s="1">
        <f>'Paste cell here'!H44</f>
        <v/>
      </c>
      <c r="P44" s="1">
        <f>(M44-L44)*N44*1000</f>
        <v/>
      </c>
      <c r="Q44" s="1">
        <f>P44*O44</f>
        <v/>
      </c>
      <c r="R44" s="1">
        <f>M44*N44*1000-Q44</f>
        <v/>
      </c>
      <c r="S44" s="5">
        <f>H44/($N44*1000)</f>
        <v/>
      </c>
      <c r="T44" s="5">
        <f>R44/($N44*1000)</f>
        <v/>
      </c>
    </row>
    <row r="45">
      <c r="A45" s="1" t="n">
        <v>44</v>
      </c>
      <c r="B45" s="2">
        <f>DATE(Sintesi!$C$4-1,12,31)+A45</f>
        <v/>
      </c>
      <c r="C45" s="1">
        <f>'Paste cell here'!T45</f>
        <v/>
      </c>
      <c r="D45" s="1">
        <f>'Paste cell here'!AC45</f>
        <v/>
      </c>
      <c r="E45" s="1">
        <f>'Paste cell here'!Y45</f>
        <v/>
      </c>
      <c r="F45" s="1">
        <f>'Paste cell here'!AD45</f>
        <v/>
      </c>
      <c r="G45" s="1">
        <f>'Paste cell here'!W45</f>
        <v/>
      </c>
      <c r="H45" s="1">
        <f>'Paste cell here'!AE45</f>
        <v/>
      </c>
      <c r="I45" s="1">
        <f>'Paste cell here'!AF45</f>
        <v/>
      </c>
      <c r="J45" s="1">
        <f>ABS(I45+C45+D45-E45-F45-G45-H45)</f>
        <v/>
      </c>
      <c r="K45" s="1">
        <f>IF('Bilancio primo strato'!D45&gt;0,1,"")</f>
        <v/>
      </c>
      <c r="L45" s="7">
        <f>Sintesi!$C$34</f>
        <v/>
      </c>
      <c r="M45" s="7">
        <f>Sintesi!$C$33</f>
        <v/>
      </c>
      <c r="N45" s="1">
        <f>'Paste cell here'!AA45</f>
        <v/>
      </c>
      <c r="O45" s="1">
        <f>'Paste cell here'!H45</f>
        <v/>
      </c>
      <c r="P45" s="1">
        <f>(M45-L45)*N45*1000</f>
        <v/>
      </c>
      <c r="Q45" s="1">
        <f>P45*O45</f>
        <v/>
      </c>
      <c r="R45" s="1">
        <f>M45*N45*1000-Q45</f>
        <v/>
      </c>
      <c r="S45" s="5">
        <f>H45/($N45*1000)</f>
        <v/>
      </c>
      <c r="T45" s="5">
        <f>R45/($N45*1000)</f>
        <v/>
      </c>
    </row>
    <row r="46">
      <c r="A46" s="1" t="n">
        <v>45</v>
      </c>
      <c r="B46" s="2">
        <f>DATE(Sintesi!$C$4-1,12,31)+A46</f>
        <v/>
      </c>
      <c r="C46" s="1">
        <f>'Paste cell here'!T46</f>
        <v/>
      </c>
      <c r="D46" s="1">
        <f>'Paste cell here'!AC46</f>
        <v/>
      </c>
      <c r="E46" s="1">
        <f>'Paste cell here'!Y46</f>
        <v/>
      </c>
      <c r="F46" s="1">
        <f>'Paste cell here'!AD46</f>
        <v/>
      </c>
      <c r="G46" s="1">
        <f>'Paste cell here'!W46</f>
        <v/>
      </c>
      <c r="H46" s="1">
        <f>'Paste cell here'!AE46</f>
        <v/>
      </c>
      <c r="I46" s="1">
        <f>'Paste cell here'!AF46</f>
        <v/>
      </c>
      <c r="J46" s="1">
        <f>ABS(I46+C46+D46-E46-F46-G46-H46)</f>
        <v/>
      </c>
      <c r="K46" s="1">
        <f>IF('Bilancio primo strato'!D46&gt;0,1,"")</f>
        <v/>
      </c>
      <c r="L46" s="7">
        <f>Sintesi!$C$34</f>
        <v/>
      </c>
      <c r="M46" s="7">
        <f>Sintesi!$C$33</f>
        <v/>
      </c>
      <c r="N46" s="1">
        <f>'Paste cell here'!AA46</f>
        <v/>
      </c>
      <c r="O46" s="1">
        <f>'Paste cell here'!H46</f>
        <v/>
      </c>
      <c r="P46" s="1">
        <f>(M46-L46)*N46*1000</f>
        <v/>
      </c>
      <c r="Q46" s="1">
        <f>P46*O46</f>
        <v/>
      </c>
      <c r="R46" s="1">
        <f>M46*N46*1000-Q46</f>
        <v/>
      </c>
      <c r="S46" s="5">
        <f>H46/($N46*1000)</f>
        <v/>
      </c>
      <c r="T46" s="5">
        <f>R46/($N46*1000)</f>
        <v/>
      </c>
    </row>
    <row r="47">
      <c r="A47" s="1" t="n">
        <v>46</v>
      </c>
      <c r="B47" s="2">
        <f>DATE(Sintesi!$C$4-1,12,31)+A47</f>
        <v/>
      </c>
      <c r="C47" s="1">
        <f>'Paste cell here'!T47</f>
        <v/>
      </c>
      <c r="D47" s="1">
        <f>'Paste cell here'!AC47</f>
        <v/>
      </c>
      <c r="E47" s="1">
        <f>'Paste cell here'!Y47</f>
        <v/>
      </c>
      <c r="F47" s="1">
        <f>'Paste cell here'!AD47</f>
        <v/>
      </c>
      <c r="G47" s="1">
        <f>'Paste cell here'!W47</f>
        <v/>
      </c>
      <c r="H47" s="1">
        <f>'Paste cell here'!AE47</f>
        <v/>
      </c>
      <c r="I47" s="1">
        <f>'Paste cell here'!AF47</f>
        <v/>
      </c>
      <c r="J47" s="1">
        <f>ABS(I47+C47+D47-E47-F47-G47-H47)</f>
        <v/>
      </c>
      <c r="K47" s="1">
        <f>IF('Bilancio primo strato'!D47&gt;0,1,"")</f>
        <v/>
      </c>
      <c r="L47" s="7">
        <f>Sintesi!$C$34</f>
        <v/>
      </c>
      <c r="M47" s="7">
        <f>Sintesi!$C$33</f>
        <v/>
      </c>
      <c r="N47" s="1">
        <f>'Paste cell here'!AA47</f>
        <v/>
      </c>
      <c r="O47" s="1">
        <f>'Paste cell here'!H47</f>
        <v/>
      </c>
      <c r="P47" s="1">
        <f>(M47-L47)*N47*1000</f>
        <v/>
      </c>
      <c r="Q47" s="1">
        <f>P47*O47</f>
        <v/>
      </c>
      <c r="R47" s="1">
        <f>M47*N47*1000-Q47</f>
        <v/>
      </c>
      <c r="S47" s="5">
        <f>H47/($N47*1000)</f>
        <v/>
      </c>
      <c r="T47" s="5">
        <f>R47/($N47*1000)</f>
        <v/>
      </c>
    </row>
    <row r="48">
      <c r="A48" s="1" t="n">
        <v>47</v>
      </c>
      <c r="B48" s="2">
        <f>DATE(Sintesi!$C$4-1,12,31)+A48</f>
        <v/>
      </c>
      <c r="C48" s="1">
        <f>'Paste cell here'!T48</f>
        <v/>
      </c>
      <c r="D48" s="1">
        <f>'Paste cell here'!AC48</f>
        <v/>
      </c>
      <c r="E48" s="1">
        <f>'Paste cell here'!Y48</f>
        <v/>
      </c>
      <c r="F48" s="1">
        <f>'Paste cell here'!AD48</f>
        <v/>
      </c>
      <c r="G48" s="1">
        <f>'Paste cell here'!W48</f>
        <v/>
      </c>
      <c r="H48" s="1">
        <f>'Paste cell here'!AE48</f>
        <v/>
      </c>
      <c r="I48" s="1">
        <f>'Paste cell here'!AF48</f>
        <v/>
      </c>
      <c r="J48" s="1">
        <f>ABS(I48+C48+D48-E48-F48-G48-H48)</f>
        <v/>
      </c>
      <c r="K48" s="1">
        <f>IF('Bilancio primo strato'!D48&gt;0,1,"")</f>
        <v/>
      </c>
      <c r="L48" s="7">
        <f>Sintesi!$C$34</f>
        <v/>
      </c>
      <c r="M48" s="7">
        <f>Sintesi!$C$33</f>
        <v/>
      </c>
      <c r="N48" s="1">
        <f>'Paste cell here'!AA48</f>
        <v/>
      </c>
      <c r="O48" s="1">
        <f>'Paste cell here'!H48</f>
        <v/>
      </c>
      <c r="P48" s="1">
        <f>(M48-L48)*N48*1000</f>
        <v/>
      </c>
      <c r="Q48" s="1">
        <f>P48*O48</f>
        <v/>
      </c>
      <c r="R48" s="1">
        <f>M48*N48*1000-Q48</f>
        <v/>
      </c>
      <c r="S48" s="5">
        <f>H48/($N48*1000)</f>
        <v/>
      </c>
      <c r="T48" s="5">
        <f>R48/($N48*1000)</f>
        <v/>
      </c>
    </row>
    <row r="49">
      <c r="A49" s="1" t="n">
        <v>48</v>
      </c>
      <c r="B49" s="2">
        <f>DATE(Sintesi!$C$4-1,12,31)+A49</f>
        <v/>
      </c>
      <c r="C49" s="1">
        <f>'Paste cell here'!T49</f>
        <v/>
      </c>
      <c r="D49" s="1">
        <f>'Paste cell here'!AC49</f>
        <v/>
      </c>
      <c r="E49" s="1">
        <f>'Paste cell here'!Y49</f>
        <v/>
      </c>
      <c r="F49" s="1">
        <f>'Paste cell here'!AD49</f>
        <v/>
      </c>
      <c r="G49" s="1">
        <f>'Paste cell here'!W49</f>
        <v/>
      </c>
      <c r="H49" s="1">
        <f>'Paste cell here'!AE49</f>
        <v/>
      </c>
      <c r="I49" s="1">
        <f>'Paste cell here'!AF49</f>
        <v/>
      </c>
      <c r="J49" s="1">
        <f>ABS(I49+C49+D49-E49-F49-G49-H49)</f>
        <v/>
      </c>
      <c r="K49" s="1">
        <f>IF('Bilancio primo strato'!D49&gt;0,1,"")</f>
        <v/>
      </c>
      <c r="L49" s="7">
        <f>Sintesi!$C$34</f>
        <v/>
      </c>
      <c r="M49" s="7">
        <f>Sintesi!$C$33</f>
        <v/>
      </c>
      <c r="N49" s="1">
        <f>'Paste cell here'!AA49</f>
        <v/>
      </c>
      <c r="O49" s="1">
        <f>'Paste cell here'!H49</f>
        <v/>
      </c>
      <c r="P49" s="1">
        <f>(M49-L49)*N49*1000</f>
        <v/>
      </c>
      <c r="Q49" s="1">
        <f>P49*O49</f>
        <v/>
      </c>
      <c r="R49" s="1">
        <f>M49*N49*1000-Q49</f>
        <v/>
      </c>
      <c r="S49" s="5">
        <f>H49/($N49*1000)</f>
        <v/>
      </c>
      <c r="T49" s="5">
        <f>R49/($N49*1000)</f>
        <v/>
      </c>
    </row>
    <row r="50">
      <c r="A50" s="1" t="n">
        <v>49</v>
      </c>
      <c r="B50" s="2">
        <f>DATE(Sintesi!$C$4-1,12,31)+A50</f>
        <v/>
      </c>
      <c r="C50" s="1">
        <f>'Paste cell here'!T50</f>
        <v/>
      </c>
      <c r="D50" s="1">
        <f>'Paste cell here'!AC50</f>
        <v/>
      </c>
      <c r="E50" s="1">
        <f>'Paste cell here'!Y50</f>
        <v/>
      </c>
      <c r="F50" s="1">
        <f>'Paste cell here'!AD50</f>
        <v/>
      </c>
      <c r="G50" s="1">
        <f>'Paste cell here'!W50</f>
        <v/>
      </c>
      <c r="H50" s="1">
        <f>'Paste cell here'!AE50</f>
        <v/>
      </c>
      <c r="I50" s="1">
        <f>'Paste cell here'!AF50</f>
        <v/>
      </c>
      <c r="J50" s="1">
        <f>ABS(I50+C50+D50-E50-F50-G50-H50)</f>
        <v/>
      </c>
      <c r="K50" s="1">
        <f>IF('Bilancio primo strato'!D50&gt;0,1,"")</f>
        <v/>
      </c>
      <c r="L50" s="7">
        <f>Sintesi!$C$34</f>
        <v/>
      </c>
      <c r="M50" s="7">
        <f>Sintesi!$C$33</f>
        <v/>
      </c>
      <c r="N50" s="1">
        <f>'Paste cell here'!AA50</f>
        <v/>
      </c>
      <c r="O50" s="1">
        <f>'Paste cell here'!H50</f>
        <v/>
      </c>
      <c r="P50" s="1">
        <f>(M50-L50)*N50*1000</f>
        <v/>
      </c>
      <c r="Q50" s="1">
        <f>P50*O50</f>
        <v/>
      </c>
      <c r="R50" s="1">
        <f>M50*N50*1000-Q50</f>
        <v/>
      </c>
      <c r="S50" s="5">
        <f>H50/($N50*1000)</f>
        <v/>
      </c>
      <c r="T50" s="5">
        <f>R50/($N50*1000)</f>
        <v/>
      </c>
    </row>
    <row r="51">
      <c r="A51" s="1" t="n">
        <v>50</v>
      </c>
      <c r="B51" s="2">
        <f>DATE(Sintesi!$C$4-1,12,31)+A51</f>
        <v/>
      </c>
      <c r="C51" s="1">
        <f>'Paste cell here'!T51</f>
        <v/>
      </c>
      <c r="D51" s="1">
        <f>'Paste cell here'!AC51</f>
        <v/>
      </c>
      <c r="E51" s="1">
        <f>'Paste cell here'!Y51</f>
        <v/>
      </c>
      <c r="F51" s="1">
        <f>'Paste cell here'!AD51</f>
        <v/>
      </c>
      <c r="G51" s="1">
        <f>'Paste cell here'!W51</f>
        <v/>
      </c>
      <c r="H51" s="1">
        <f>'Paste cell here'!AE51</f>
        <v/>
      </c>
      <c r="I51" s="1">
        <f>'Paste cell here'!AF51</f>
        <v/>
      </c>
      <c r="J51" s="1">
        <f>ABS(I51+C51+D51-E51-F51-G51-H51)</f>
        <v/>
      </c>
      <c r="K51" s="1">
        <f>IF('Bilancio primo strato'!D51&gt;0,1,"")</f>
        <v/>
      </c>
      <c r="L51" s="7">
        <f>Sintesi!$C$34</f>
        <v/>
      </c>
      <c r="M51" s="7">
        <f>Sintesi!$C$33</f>
        <v/>
      </c>
      <c r="N51" s="1">
        <f>'Paste cell here'!AA51</f>
        <v/>
      </c>
      <c r="O51" s="1">
        <f>'Paste cell here'!H51</f>
        <v/>
      </c>
      <c r="P51" s="1">
        <f>(M51-L51)*N51*1000</f>
        <v/>
      </c>
      <c r="Q51" s="1">
        <f>P51*O51</f>
        <v/>
      </c>
      <c r="R51" s="1">
        <f>M51*N51*1000-Q51</f>
        <v/>
      </c>
      <c r="S51" s="5">
        <f>H51/($N51*1000)</f>
        <v/>
      </c>
      <c r="T51" s="5">
        <f>R51/($N51*1000)</f>
        <v/>
      </c>
    </row>
    <row r="52">
      <c r="A52" s="1" t="n">
        <v>51</v>
      </c>
      <c r="B52" s="2">
        <f>DATE(Sintesi!$C$4-1,12,31)+A52</f>
        <v/>
      </c>
      <c r="C52" s="1">
        <f>'Paste cell here'!T52</f>
        <v/>
      </c>
      <c r="D52" s="1">
        <f>'Paste cell here'!AC52</f>
        <v/>
      </c>
      <c r="E52" s="1">
        <f>'Paste cell here'!Y52</f>
        <v/>
      </c>
      <c r="F52" s="1">
        <f>'Paste cell here'!AD52</f>
        <v/>
      </c>
      <c r="G52" s="1">
        <f>'Paste cell here'!W52</f>
        <v/>
      </c>
      <c r="H52" s="1">
        <f>'Paste cell here'!AE52</f>
        <v/>
      </c>
      <c r="I52" s="1">
        <f>'Paste cell here'!AF52</f>
        <v/>
      </c>
      <c r="J52" s="1">
        <f>ABS(I52+C52+D52-E52-F52-G52-H52)</f>
        <v/>
      </c>
      <c r="K52" s="1">
        <f>IF('Bilancio primo strato'!D52&gt;0,1,"")</f>
        <v/>
      </c>
      <c r="L52" s="7">
        <f>Sintesi!$C$34</f>
        <v/>
      </c>
      <c r="M52" s="7">
        <f>Sintesi!$C$33</f>
        <v/>
      </c>
      <c r="N52" s="1">
        <f>'Paste cell here'!AA52</f>
        <v/>
      </c>
      <c r="O52" s="1">
        <f>'Paste cell here'!H52</f>
        <v/>
      </c>
      <c r="P52" s="1">
        <f>(M52-L52)*N52*1000</f>
        <v/>
      </c>
      <c r="Q52" s="1">
        <f>P52*O52</f>
        <v/>
      </c>
      <c r="R52" s="1">
        <f>M52*N52*1000-Q52</f>
        <v/>
      </c>
      <c r="S52" s="5">
        <f>H52/($N52*1000)</f>
        <v/>
      </c>
      <c r="T52" s="5">
        <f>R52/($N52*1000)</f>
        <v/>
      </c>
    </row>
    <row r="53">
      <c r="A53" s="1" t="n">
        <v>52</v>
      </c>
      <c r="B53" s="2">
        <f>DATE(Sintesi!$C$4-1,12,31)+A53</f>
        <v/>
      </c>
      <c r="C53" s="1">
        <f>'Paste cell here'!T53</f>
        <v/>
      </c>
      <c r="D53" s="1">
        <f>'Paste cell here'!AC53</f>
        <v/>
      </c>
      <c r="E53" s="1">
        <f>'Paste cell here'!Y53</f>
        <v/>
      </c>
      <c r="F53" s="1">
        <f>'Paste cell here'!AD53</f>
        <v/>
      </c>
      <c r="G53" s="1">
        <f>'Paste cell here'!W53</f>
        <v/>
      </c>
      <c r="H53" s="1">
        <f>'Paste cell here'!AE53</f>
        <v/>
      </c>
      <c r="I53" s="1">
        <f>'Paste cell here'!AF53</f>
        <v/>
      </c>
      <c r="J53" s="1">
        <f>ABS(I53+C53+D53-E53-F53-G53-H53)</f>
        <v/>
      </c>
      <c r="K53" s="1">
        <f>IF('Bilancio primo strato'!D53&gt;0,1,"")</f>
        <v/>
      </c>
      <c r="L53" s="7">
        <f>Sintesi!$C$34</f>
        <v/>
      </c>
      <c r="M53" s="7">
        <f>Sintesi!$C$33</f>
        <v/>
      </c>
      <c r="N53" s="1">
        <f>'Paste cell here'!AA53</f>
        <v/>
      </c>
      <c r="O53" s="1">
        <f>'Paste cell here'!H53</f>
        <v/>
      </c>
      <c r="P53" s="1">
        <f>(M53-L53)*N53*1000</f>
        <v/>
      </c>
      <c r="Q53" s="1">
        <f>P53*O53</f>
        <v/>
      </c>
      <c r="R53" s="1">
        <f>M53*N53*1000-Q53</f>
        <v/>
      </c>
      <c r="S53" s="5">
        <f>H53/($N53*1000)</f>
        <v/>
      </c>
      <c r="T53" s="5">
        <f>R53/($N53*1000)</f>
        <v/>
      </c>
    </row>
    <row r="54">
      <c r="A54" s="1" t="n">
        <v>53</v>
      </c>
      <c r="B54" s="2">
        <f>DATE(Sintesi!$C$4-1,12,31)+A54</f>
        <v/>
      </c>
      <c r="C54" s="1">
        <f>'Paste cell here'!T54</f>
        <v/>
      </c>
      <c r="D54" s="1">
        <f>'Paste cell here'!AC54</f>
        <v/>
      </c>
      <c r="E54" s="1">
        <f>'Paste cell here'!Y54</f>
        <v/>
      </c>
      <c r="F54" s="1">
        <f>'Paste cell here'!AD54</f>
        <v/>
      </c>
      <c r="G54" s="1">
        <f>'Paste cell here'!W54</f>
        <v/>
      </c>
      <c r="H54" s="1">
        <f>'Paste cell here'!AE54</f>
        <v/>
      </c>
      <c r="I54" s="1">
        <f>'Paste cell here'!AF54</f>
        <v/>
      </c>
      <c r="J54" s="1">
        <f>ABS(I54+C54+D54-E54-F54-G54-H54)</f>
        <v/>
      </c>
      <c r="K54" s="1">
        <f>IF('Bilancio primo strato'!D54&gt;0,1,"")</f>
        <v/>
      </c>
      <c r="L54" s="7">
        <f>Sintesi!$C$34</f>
        <v/>
      </c>
      <c r="M54" s="7">
        <f>Sintesi!$C$33</f>
        <v/>
      </c>
      <c r="N54" s="1">
        <f>'Paste cell here'!AA54</f>
        <v/>
      </c>
      <c r="O54" s="1">
        <f>'Paste cell here'!H54</f>
        <v/>
      </c>
      <c r="P54" s="1">
        <f>(M54-L54)*N54*1000</f>
        <v/>
      </c>
      <c r="Q54" s="1">
        <f>P54*O54</f>
        <v/>
      </c>
      <c r="R54" s="1">
        <f>M54*N54*1000-Q54</f>
        <v/>
      </c>
      <c r="S54" s="5">
        <f>H54/($N54*1000)</f>
        <v/>
      </c>
      <c r="T54" s="5">
        <f>R54/($N54*1000)</f>
        <v/>
      </c>
    </row>
    <row r="55">
      <c r="A55" s="1" t="n">
        <v>54</v>
      </c>
      <c r="B55" s="2">
        <f>DATE(Sintesi!$C$4-1,12,31)+A55</f>
        <v/>
      </c>
      <c r="C55" s="1">
        <f>'Paste cell here'!T55</f>
        <v/>
      </c>
      <c r="D55" s="1">
        <f>'Paste cell here'!AC55</f>
        <v/>
      </c>
      <c r="E55" s="1">
        <f>'Paste cell here'!Y55</f>
        <v/>
      </c>
      <c r="F55" s="1">
        <f>'Paste cell here'!AD55</f>
        <v/>
      </c>
      <c r="G55" s="1">
        <f>'Paste cell here'!W55</f>
        <v/>
      </c>
      <c r="H55" s="1">
        <f>'Paste cell here'!AE55</f>
        <v/>
      </c>
      <c r="I55" s="1">
        <f>'Paste cell here'!AF55</f>
        <v/>
      </c>
      <c r="J55" s="1">
        <f>ABS(I55+C55+D55-E55-F55-G55-H55)</f>
        <v/>
      </c>
      <c r="K55" s="1">
        <f>IF('Bilancio primo strato'!D55&gt;0,1,"")</f>
        <v/>
      </c>
      <c r="L55" s="7">
        <f>Sintesi!$C$34</f>
        <v/>
      </c>
      <c r="M55" s="7">
        <f>Sintesi!$C$33</f>
        <v/>
      </c>
      <c r="N55" s="1">
        <f>'Paste cell here'!AA55</f>
        <v/>
      </c>
      <c r="O55" s="1">
        <f>'Paste cell here'!H55</f>
        <v/>
      </c>
      <c r="P55" s="1">
        <f>(M55-L55)*N55*1000</f>
        <v/>
      </c>
      <c r="Q55" s="1">
        <f>P55*O55</f>
        <v/>
      </c>
      <c r="R55" s="1">
        <f>M55*N55*1000-Q55</f>
        <v/>
      </c>
      <c r="S55" s="5">
        <f>H55/($N55*1000)</f>
        <v/>
      </c>
      <c r="T55" s="5">
        <f>R55/($N55*1000)</f>
        <v/>
      </c>
    </row>
    <row r="56">
      <c r="A56" s="1" t="n">
        <v>55</v>
      </c>
      <c r="B56" s="2">
        <f>DATE(Sintesi!$C$4-1,12,31)+A56</f>
        <v/>
      </c>
      <c r="C56" s="1">
        <f>'Paste cell here'!T56</f>
        <v/>
      </c>
      <c r="D56" s="1">
        <f>'Paste cell here'!AC56</f>
        <v/>
      </c>
      <c r="E56" s="1">
        <f>'Paste cell here'!Y56</f>
        <v/>
      </c>
      <c r="F56" s="1">
        <f>'Paste cell here'!AD56</f>
        <v/>
      </c>
      <c r="G56" s="1">
        <f>'Paste cell here'!W56</f>
        <v/>
      </c>
      <c r="H56" s="1">
        <f>'Paste cell here'!AE56</f>
        <v/>
      </c>
      <c r="I56" s="1">
        <f>'Paste cell here'!AF56</f>
        <v/>
      </c>
      <c r="J56" s="1">
        <f>ABS(I56+C56+D56-E56-F56-G56-H56)</f>
        <v/>
      </c>
      <c r="K56" s="1">
        <f>IF('Bilancio primo strato'!D56&gt;0,1,"")</f>
        <v/>
      </c>
      <c r="L56" s="7">
        <f>Sintesi!$C$34</f>
        <v/>
      </c>
      <c r="M56" s="7">
        <f>Sintesi!$C$33</f>
        <v/>
      </c>
      <c r="N56" s="1">
        <f>'Paste cell here'!AA56</f>
        <v/>
      </c>
      <c r="O56" s="1">
        <f>'Paste cell here'!H56</f>
        <v/>
      </c>
      <c r="P56" s="1">
        <f>(M56-L56)*N56*1000</f>
        <v/>
      </c>
      <c r="Q56" s="1">
        <f>P56*O56</f>
        <v/>
      </c>
      <c r="R56" s="1">
        <f>M56*N56*1000-Q56</f>
        <v/>
      </c>
      <c r="S56" s="5">
        <f>H56/($N56*1000)</f>
        <v/>
      </c>
      <c r="T56" s="5">
        <f>R56/($N56*1000)</f>
        <v/>
      </c>
    </row>
    <row r="57">
      <c r="A57" s="1" t="n">
        <v>56</v>
      </c>
      <c r="B57" s="2">
        <f>DATE(Sintesi!$C$4-1,12,31)+A57</f>
        <v/>
      </c>
      <c r="C57" s="1">
        <f>'Paste cell here'!T57</f>
        <v/>
      </c>
      <c r="D57" s="1">
        <f>'Paste cell here'!AC57</f>
        <v/>
      </c>
      <c r="E57" s="1">
        <f>'Paste cell here'!Y57</f>
        <v/>
      </c>
      <c r="F57" s="1">
        <f>'Paste cell here'!AD57</f>
        <v/>
      </c>
      <c r="G57" s="1">
        <f>'Paste cell here'!W57</f>
        <v/>
      </c>
      <c r="H57" s="1">
        <f>'Paste cell here'!AE57</f>
        <v/>
      </c>
      <c r="I57" s="1">
        <f>'Paste cell here'!AF57</f>
        <v/>
      </c>
      <c r="J57" s="1">
        <f>ABS(I57+C57+D57-E57-F57-G57-H57)</f>
        <v/>
      </c>
      <c r="K57" s="1">
        <f>IF('Bilancio primo strato'!D57&gt;0,1,"")</f>
        <v/>
      </c>
      <c r="L57" s="7">
        <f>Sintesi!$C$34</f>
        <v/>
      </c>
      <c r="M57" s="7">
        <f>Sintesi!$C$33</f>
        <v/>
      </c>
      <c r="N57" s="1">
        <f>'Paste cell here'!AA57</f>
        <v/>
      </c>
      <c r="O57" s="1">
        <f>'Paste cell here'!H57</f>
        <v/>
      </c>
      <c r="P57" s="1">
        <f>(M57-L57)*N57*1000</f>
        <v/>
      </c>
      <c r="Q57" s="1">
        <f>P57*O57</f>
        <v/>
      </c>
      <c r="R57" s="1">
        <f>M57*N57*1000-Q57</f>
        <v/>
      </c>
      <c r="S57" s="5">
        <f>H57/($N57*1000)</f>
        <v/>
      </c>
      <c r="T57" s="5">
        <f>R57/($N57*1000)</f>
        <v/>
      </c>
    </row>
    <row r="58">
      <c r="A58" s="1" t="n">
        <v>57</v>
      </c>
      <c r="B58" s="2">
        <f>DATE(Sintesi!$C$4-1,12,31)+A58</f>
        <v/>
      </c>
      <c r="C58" s="1">
        <f>'Paste cell here'!T58</f>
        <v/>
      </c>
      <c r="D58" s="1">
        <f>'Paste cell here'!AC58</f>
        <v/>
      </c>
      <c r="E58" s="1">
        <f>'Paste cell here'!Y58</f>
        <v/>
      </c>
      <c r="F58" s="1">
        <f>'Paste cell here'!AD58</f>
        <v/>
      </c>
      <c r="G58" s="1">
        <f>'Paste cell here'!W58</f>
        <v/>
      </c>
      <c r="H58" s="1">
        <f>'Paste cell here'!AE58</f>
        <v/>
      </c>
      <c r="I58" s="1">
        <f>'Paste cell here'!AF58</f>
        <v/>
      </c>
      <c r="J58" s="1">
        <f>ABS(I58+C58+D58-E58-F58-G58-H58)</f>
        <v/>
      </c>
      <c r="K58" s="1">
        <f>IF('Bilancio primo strato'!D58&gt;0,1,"")</f>
        <v/>
      </c>
      <c r="L58" s="7">
        <f>Sintesi!$C$34</f>
        <v/>
      </c>
      <c r="M58" s="7">
        <f>Sintesi!$C$33</f>
        <v/>
      </c>
      <c r="N58" s="1">
        <f>'Paste cell here'!AA58</f>
        <v/>
      </c>
      <c r="O58" s="1">
        <f>'Paste cell here'!H58</f>
        <v/>
      </c>
      <c r="P58" s="1">
        <f>(M58-L58)*N58*1000</f>
        <v/>
      </c>
      <c r="Q58" s="1">
        <f>P58*O58</f>
        <v/>
      </c>
      <c r="R58" s="1">
        <f>M58*N58*1000-Q58</f>
        <v/>
      </c>
      <c r="S58" s="5">
        <f>H58/($N58*1000)</f>
        <v/>
      </c>
      <c r="T58" s="5">
        <f>R58/($N58*1000)</f>
        <v/>
      </c>
    </row>
    <row r="59">
      <c r="A59" s="1" t="n">
        <v>58</v>
      </c>
      <c r="B59" s="2">
        <f>DATE(Sintesi!$C$4-1,12,31)+A59</f>
        <v/>
      </c>
      <c r="C59" s="1">
        <f>'Paste cell here'!T59</f>
        <v/>
      </c>
      <c r="D59" s="1">
        <f>'Paste cell here'!AC59</f>
        <v/>
      </c>
      <c r="E59" s="1">
        <f>'Paste cell here'!Y59</f>
        <v/>
      </c>
      <c r="F59" s="1">
        <f>'Paste cell here'!AD59</f>
        <v/>
      </c>
      <c r="G59" s="1">
        <f>'Paste cell here'!W59</f>
        <v/>
      </c>
      <c r="H59" s="1">
        <f>'Paste cell here'!AE59</f>
        <v/>
      </c>
      <c r="I59" s="1">
        <f>'Paste cell here'!AF59</f>
        <v/>
      </c>
      <c r="J59" s="1">
        <f>ABS(I59+C59+D59-E59-F59-G59-H59)</f>
        <v/>
      </c>
      <c r="K59" s="1">
        <f>IF('Bilancio primo strato'!D59&gt;0,1,"")</f>
        <v/>
      </c>
      <c r="L59" s="7">
        <f>Sintesi!$C$34</f>
        <v/>
      </c>
      <c r="M59" s="7">
        <f>Sintesi!$C$33</f>
        <v/>
      </c>
      <c r="N59" s="1">
        <f>'Paste cell here'!AA59</f>
        <v/>
      </c>
      <c r="O59" s="1">
        <f>'Paste cell here'!H59</f>
        <v/>
      </c>
      <c r="P59" s="1">
        <f>(M59-L59)*N59*1000</f>
        <v/>
      </c>
      <c r="Q59" s="1">
        <f>P59*O59</f>
        <v/>
      </c>
      <c r="R59" s="1">
        <f>M59*N59*1000-Q59</f>
        <v/>
      </c>
      <c r="S59" s="5">
        <f>H59/($N59*1000)</f>
        <v/>
      </c>
      <c r="T59" s="5">
        <f>R59/($N59*1000)</f>
        <v/>
      </c>
    </row>
    <row r="60">
      <c r="A60" s="1" t="n">
        <v>59</v>
      </c>
      <c r="B60" s="2">
        <f>DATE(Sintesi!$C$4-1,12,31)+A60</f>
        <v/>
      </c>
      <c r="C60" s="1">
        <f>'Paste cell here'!T60</f>
        <v/>
      </c>
      <c r="D60" s="1">
        <f>'Paste cell here'!AC60</f>
        <v/>
      </c>
      <c r="E60" s="1">
        <f>'Paste cell here'!Y60</f>
        <v/>
      </c>
      <c r="F60" s="1">
        <f>'Paste cell here'!AD60</f>
        <v/>
      </c>
      <c r="G60" s="1">
        <f>'Paste cell here'!W60</f>
        <v/>
      </c>
      <c r="H60" s="1">
        <f>'Paste cell here'!AE60</f>
        <v/>
      </c>
      <c r="I60" s="1">
        <f>'Paste cell here'!AF60</f>
        <v/>
      </c>
      <c r="J60" s="1">
        <f>ABS(I60+C60+D60-E60-F60-G60-H60)</f>
        <v/>
      </c>
      <c r="K60" s="1">
        <f>IF('Bilancio primo strato'!D60&gt;0,1,"")</f>
        <v/>
      </c>
      <c r="L60" s="7">
        <f>Sintesi!$C$34</f>
        <v/>
      </c>
      <c r="M60" s="7">
        <f>Sintesi!$C$33</f>
        <v/>
      </c>
      <c r="N60" s="1">
        <f>'Paste cell here'!AA60</f>
        <v/>
      </c>
      <c r="O60" s="1">
        <f>'Paste cell here'!H60</f>
        <v/>
      </c>
      <c r="P60" s="1">
        <f>(M60-L60)*N60*1000</f>
        <v/>
      </c>
      <c r="Q60" s="1">
        <f>P60*O60</f>
        <v/>
      </c>
      <c r="R60" s="1">
        <f>M60*N60*1000-Q60</f>
        <v/>
      </c>
      <c r="S60" s="5">
        <f>H60/($N60*1000)</f>
        <v/>
      </c>
      <c r="T60" s="5">
        <f>R60/($N60*1000)</f>
        <v/>
      </c>
    </row>
    <row r="61">
      <c r="A61" s="1" t="n">
        <v>60</v>
      </c>
      <c r="B61" s="2">
        <f>DATE(Sintesi!$C$4-1,12,31)+A61</f>
        <v/>
      </c>
      <c r="C61" s="1">
        <f>'Paste cell here'!T61</f>
        <v/>
      </c>
      <c r="D61" s="1">
        <f>'Paste cell here'!AC61</f>
        <v/>
      </c>
      <c r="E61" s="1">
        <f>'Paste cell here'!Y61</f>
        <v/>
      </c>
      <c r="F61" s="1">
        <f>'Paste cell here'!AD61</f>
        <v/>
      </c>
      <c r="G61" s="1">
        <f>'Paste cell here'!W61</f>
        <v/>
      </c>
      <c r="H61" s="1">
        <f>'Paste cell here'!AE61</f>
        <v/>
      </c>
      <c r="I61" s="1">
        <f>'Paste cell here'!AF61</f>
        <v/>
      </c>
      <c r="J61" s="1">
        <f>ABS(I61+C61+D61-E61-F61-G61-H61)</f>
        <v/>
      </c>
      <c r="K61" s="1">
        <f>IF('Bilancio primo strato'!D61&gt;0,1,"")</f>
        <v/>
      </c>
      <c r="L61" s="7">
        <f>Sintesi!$C$34</f>
        <v/>
      </c>
      <c r="M61" s="7">
        <f>Sintesi!$C$33</f>
        <v/>
      </c>
      <c r="N61" s="1">
        <f>'Paste cell here'!AA61</f>
        <v/>
      </c>
      <c r="O61" s="1">
        <f>'Paste cell here'!H61</f>
        <v/>
      </c>
      <c r="P61" s="1">
        <f>(M61-L61)*N61*1000</f>
        <v/>
      </c>
      <c r="Q61" s="1">
        <f>P61*O61</f>
        <v/>
      </c>
      <c r="R61" s="1">
        <f>M61*N61*1000-Q61</f>
        <v/>
      </c>
      <c r="S61" s="5">
        <f>H61/($N61*1000)</f>
        <v/>
      </c>
      <c r="T61" s="5">
        <f>R61/($N61*1000)</f>
        <v/>
      </c>
    </row>
    <row r="62">
      <c r="A62" s="1" t="n">
        <v>61</v>
      </c>
      <c r="B62" s="2">
        <f>DATE(Sintesi!$C$4-1,12,31)+A62</f>
        <v/>
      </c>
      <c r="C62" s="1">
        <f>'Paste cell here'!T62</f>
        <v/>
      </c>
      <c r="D62" s="1">
        <f>'Paste cell here'!AC62</f>
        <v/>
      </c>
      <c r="E62" s="1">
        <f>'Paste cell here'!Y62</f>
        <v/>
      </c>
      <c r="F62" s="1">
        <f>'Paste cell here'!AD62</f>
        <v/>
      </c>
      <c r="G62" s="1">
        <f>'Paste cell here'!W62</f>
        <v/>
      </c>
      <c r="H62" s="1">
        <f>'Paste cell here'!AE62</f>
        <v/>
      </c>
      <c r="I62" s="1">
        <f>'Paste cell here'!AF62</f>
        <v/>
      </c>
      <c r="J62" s="1">
        <f>ABS(I62+C62+D62-E62-F62-G62-H62)</f>
        <v/>
      </c>
      <c r="K62" s="1">
        <f>IF('Bilancio primo strato'!D62&gt;0,1,"")</f>
        <v/>
      </c>
      <c r="L62" s="7">
        <f>Sintesi!$C$34</f>
        <v/>
      </c>
      <c r="M62" s="7">
        <f>Sintesi!$C$33</f>
        <v/>
      </c>
      <c r="N62" s="1">
        <f>'Paste cell here'!AA62</f>
        <v/>
      </c>
      <c r="O62" s="1">
        <f>'Paste cell here'!H62</f>
        <v/>
      </c>
      <c r="P62" s="1">
        <f>(M62-L62)*N62*1000</f>
        <v/>
      </c>
      <c r="Q62" s="1">
        <f>P62*O62</f>
        <v/>
      </c>
      <c r="R62" s="1">
        <f>M62*N62*1000-Q62</f>
        <v/>
      </c>
      <c r="S62" s="5">
        <f>H62/($N62*1000)</f>
        <v/>
      </c>
      <c r="T62" s="5">
        <f>R62/($N62*1000)</f>
        <v/>
      </c>
    </row>
    <row r="63">
      <c r="A63" s="1" t="n">
        <v>62</v>
      </c>
      <c r="B63" s="2">
        <f>DATE(Sintesi!$C$4-1,12,31)+A63</f>
        <v/>
      </c>
      <c r="C63" s="1">
        <f>'Paste cell here'!T63</f>
        <v/>
      </c>
      <c r="D63" s="1">
        <f>'Paste cell here'!AC63</f>
        <v/>
      </c>
      <c r="E63" s="1">
        <f>'Paste cell here'!Y63</f>
        <v/>
      </c>
      <c r="F63" s="1">
        <f>'Paste cell here'!AD63</f>
        <v/>
      </c>
      <c r="G63" s="1">
        <f>'Paste cell here'!W63</f>
        <v/>
      </c>
      <c r="H63" s="1">
        <f>'Paste cell here'!AE63</f>
        <v/>
      </c>
      <c r="I63" s="1">
        <f>'Paste cell here'!AF63</f>
        <v/>
      </c>
      <c r="J63" s="1">
        <f>ABS(I63+C63+D63-E63-F63-G63-H63)</f>
        <v/>
      </c>
      <c r="K63" s="1">
        <f>IF('Bilancio primo strato'!D63&gt;0,1,"")</f>
        <v/>
      </c>
      <c r="L63" s="7">
        <f>Sintesi!$C$34</f>
        <v/>
      </c>
      <c r="M63" s="7">
        <f>Sintesi!$C$33</f>
        <v/>
      </c>
      <c r="N63" s="1">
        <f>'Paste cell here'!AA63</f>
        <v/>
      </c>
      <c r="O63" s="1">
        <f>'Paste cell here'!H63</f>
        <v/>
      </c>
      <c r="P63" s="1">
        <f>(M63-L63)*N63*1000</f>
        <v/>
      </c>
      <c r="Q63" s="1">
        <f>P63*O63</f>
        <v/>
      </c>
      <c r="R63" s="1">
        <f>M63*N63*1000-Q63</f>
        <v/>
      </c>
      <c r="S63" s="5">
        <f>H63/($N63*1000)</f>
        <v/>
      </c>
      <c r="T63" s="5">
        <f>R63/($N63*1000)</f>
        <v/>
      </c>
    </row>
    <row r="64">
      <c r="A64" s="1" t="n">
        <v>63</v>
      </c>
      <c r="B64" s="2">
        <f>DATE(Sintesi!$C$4-1,12,31)+A64</f>
        <v/>
      </c>
      <c r="C64" s="1">
        <f>'Paste cell here'!T64</f>
        <v/>
      </c>
      <c r="D64" s="1">
        <f>'Paste cell here'!AC64</f>
        <v/>
      </c>
      <c r="E64" s="1">
        <f>'Paste cell here'!Y64</f>
        <v/>
      </c>
      <c r="F64" s="1">
        <f>'Paste cell here'!AD64</f>
        <v/>
      </c>
      <c r="G64" s="1">
        <f>'Paste cell here'!W64</f>
        <v/>
      </c>
      <c r="H64" s="1">
        <f>'Paste cell here'!AE64</f>
        <v/>
      </c>
      <c r="I64" s="1">
        <f>'Paste cell here'!AF64</f>
        <v/>
      </c>
      <c r="J64" s="1">
        <f>ABS(I64+C64+D64-E64-F64-G64-H64)</f>
        <v/>
      </c>
      <c r="K64" s="1">
        <f>IF('Bilancio primo strato'!D64&gt;0,1,"")</f>
        <v/>
      </c>
      <c r="L64" s="7">
        <f>Sintesi!$C$34</f>
        <v/>
      </c>
      <c r="M64" s="7">
        <f>Sintesi!$C$33</f>
        <v/>
      </c>
      <c r="N64" s="1">
        <f>'Paste cell here'!AA64</f>
        <v/>
      </c>
      <c r="O64" s="1">
        <f>'Paste cell here'!H64</f>
        <v/>
      </c>
      <c r="P64" s="1">
        <f>(M64-L64)*N64*1000</f>
        <v/>
      </c>
      <c r="Q64" s="1">
        <f>P64*O64</f>
        <v/>
      </c>
      <c r="R64" s="1">
        <f>M64*N64*1000-Q64</f>
        <v/>
      </c>
      <c r="S64" s="5">
        <f>H64/($N64*1000)</f>
        <v/>
      </c>
      <c r="T64" s="5">
        <f>R64/($N64*1000)</f>
        <v/>
      </c>
    </row>
    <row r="65">
      <c r="A65" s="1" t="n">
        <v>64</v>
      </c>
      <c r="B65" s="2">
        <f>DATE(Sintesi!$C$4-1,12,31)+A65</f>
        <v/>
      </c>
      <c r="C65" s="1">
        <f>'Paste cell here'!T65</f>
        <v/>
      </c>
      <c r="D65" s="1">
        <f>'Paste cell here'!AC65</f>
        <v/>
      </c>
      <c r="E65" s="1">
        <f>'Paste cell here'!Y65</f>
        <v/>
      </c>
      <c r="F65" s="1">
        <f>'Paste cell here'!AD65</f>
        <v/>
      </c>
      <c r="G65" s="1">
        <f>'Paste cell here'!W65</f>
        <v/>
      </c>
      <c r="H65" s="1">
        <f>'Paste cell here'!AE65</f>
        <v/>
      </c>
      <c r="I65" s="1">
        <f>'Paste cell here'!AF65</f>
        <v/>
      </c>
      <c r="J65" s="1">
        <f>ABS(I65+C65+D65-E65-F65-G65-H65)</f>
        <v/>
      </c>
      <c r="K65" s="1">
        <f>IF('Bilancio primo strato'!D65&gt;0,1,"")</f>
        <v/>
      </c>
      <c r="L65" s="7">
        <f>Sintesi!$C$34</f>
        <v/>
      </c>
      <c r="M65" s="7">
        <f>Sintesi!$C$33</f>
        <v/>
      </c>
      <c r="N65" s="1">
        <f>'Paste cell here'!AA65</f>
        <v/>
      </c>
      <c r="O65" s="1">
        <f>'Paste cell here'!H65</f>
        <v/>
      </c>
      <c r="P65" s="1">
        <f>(M65-L65)*N65*1000</f>
        <v/>
      </c>
      <c r="Q65" s="1">
        <f>P65*O65</f>
        <v/>
      </c>
      <c r="R65" s="1">
        <f>M65*N65*1000-Q65</f>
        <v/>
      </c>
      <c r="S65" s="5">
        <f>H65/($N65*1000)</f>
        <v/>
      </c>
      <c r="T65" s="5">
        <f>R65/($N65*1000)</f>
        <v/>
      </c>
    </row>
    <row r="66">
      <c r="A66" s="1" t="n">
        <v>65</v>
      </c>
      <c r="B66" s="2">
        <f>DATE(Sintesi!$C$4-1,12,31)+A66</f>
        <v/>
      </c>
      <c r="C66" s="1">
        <f>'Paste cell here'!T66</f>
        <v/>
      </c>
      <c r="D66" s="1">
        <f>'Paste cell here'!AC66</f>
        <v/>
      </c>
      <c r="E66" s="1">
        <f>'Paste cell here'!Y66</f>
        <v/>
      </c>
      <c r="F66" s="1">
        <f>'Paste cell here'!AD66</f>
        <v/>
      </c>
      <c r="G66" s="1">
        <f>'Paste cell here'!W66</f>
        <v/>
      </c>
      <c r="H66" s="1">
        <f>'Paste cell here'!AE66</f>
        <v/>
      </c>
      <c r="I66" s="1">
        <f>'Paste cell here'!AF66</f>
        <v/>
      </c>
      <c r="J66" s="1">
        <f>ABS(I66+C66+D66-E66-F66-G66-H66)</f>
        <v/>
      </c>
      <c r="K66" s="1">
        <f>IF('Bilancio primo strato'!D66&gt;0,1,"")</f>
        <v/>
      </c>
      <c r="L66" s="7">
        <f>Sintesi!$C$34</f>
        <v/>
      </c>
      <c r="M66" s="7">
        <f>Sintesi!$C$33</f>
        <v/>
      </c>
      <c r="N66" s="1">
        <f>'Paste cell here'!AA66</f>
        <v/>
      </c>
      <c r="O66" s="1">
        <f>'Paste cell here'!H66</f>
        <v/>
      </c>
      <c r="P66" s="1">
        <f>(M66-L66)*N66*1000</f>
        <v/>
      </c>
      <c r="Q66" s="1">
        <f>P66*O66</f>
        <v/>
      </c>
      <c r="R66" s="1">
        <f>M66*N66*1000-Q66</f>
        <v/>
      </c>
      <c r="S66" s="5">
        <f>H66/($N66*1000)</f>
        <v/>
      </c>
      <c r="T66" s="5">
        <f>R66/($N66*1000)</f>
        <v/>
      </c>
    </row>
    <row r="67">
      <c r="A67" s="1" t="n">
        <v>66</v>
      </c>
      <c r="B67" s="2">
        <f>DATE(Sintesi!$C$4-1,12,31)+A67</f>
        <v/>
      </c>
      <c r="C67" s="1">
        <f>'Paste cell here'!T67</f>
        <v/>
      </c>
      <c r="D67" s="1">
        <f>'Paste cell here'!AC67</f>
        <v/>
      </c>
      <c r="E67" s="1">
        <f>'Paste cell here'!Y67</f>
        <v/>
      </c>
      <c r="F67" s="1">
        <f>'Paste cell here'!AD67</f>
        <v/>
      </c>
      <c r="G67" s="1">
        <f>'Paste cell here'!W67</f>
        <v/>
      </c>
      <c r="H67" s="1">
        <f>'Paste cell here'!AE67</f>
        <v/>
      </c>
      <c r="I67" s="1">
        <f>'Paste cell here'!AF67</f>
        <v/>
      </c>
      <c r="J67" s="1">
        <f>ABS(I67+C67+D67-E67-F67-G67-H67)</f>
        <v/>
      </c>
      <c r="K67" s="1">
        <f>IF('Bilancio primo strato'!D67&gt;0,1,"")</f>
        <v/>
      </c>
      <c r="L67" s="7">
        <f>Sintesi!$C$34</f>
        <v/>
      </c>
      <c r="M67" s="7">
        <f>Sintesi!$C$33</f>
        <v/>
      </c>
      <c r="N67" s="1">
        <f>'Paste cell here'!AA67</f>
        <v/>
      </c>
      <c r="O67" s="1">
        <f>'Paste cell here'!H67</f>
        <v/>
      </c>
      <c r="P67" s="1">
        <f>(M67-L67)*N67*1000</f>
        <v/>
      </c>
      <c r="Q67" s="1">
        <f>P67*O67</f>
        <v/>
      </c>
      <c r="R67" s="1">
        <f>M67*N67*1000-Q67</f>
        <v/>
      </c>
      <c r="S67" s="5">
        <f>H67/($N67*1000)</f>
        <v/>
      </c>
      <c r="T67" s="5">
        <f>R67/($N67*1000)</f>
        <v/>
      </c>
    </row>
    <row r="68">
      <c r="A68" s="1" t="n">
        <v>67</v>
      </c>
      <c r="B68" s="2">
        <f>DATE(Sintesi!$C$4-1,12,31)+A68</f>
        <v/>
      </c>
      <c r="C68" s="1">
        <f>'Paste cell here'!T68</f>
        <v/>
      </c>
      <c r="D68" s="1">
        <f>'Paste cell here'!AC68</f>
        <v/>
      </c>
      <c r="E68" s="1">
        <f>'Paste cell here'!Y68</f>
        <v/>
      </c>
      <c r="F68" s="1">
        <f>'Paste cell here'!AD68</f>
        <v/>
      </c>
      <c r="G68" s="1">
        <f>'Paste cell here'!W68</f>
        <v/>
      </c>
      <c r="H68" s="1">
        <f>'Paste cell here'!AE68</f>
        <v/>
      </c>
      <c r="I68" s="1">
        <f>'Paste cell here'!AF68</f>
        <v/>
      </c>
      <c r="J68" s="1">
        <f>ABS(I68+C68+D68-E68-F68-G68-H68)</f>
        <v/>
      </c>
      <c r="K68" s="1">
        <f>IF('Bilancio primo strato'!D68&gt;0,1,"")</f>
        <v/>
      </c>
      <c r="L68" s="7">
        <f>Sintesi!$C$34</f>
        <v/>
      </c>
      <c r="M68" s="7">
        <f>Sintesi!$C$33</f>
        <v/>
      </c>
      <c r="N68" s="1">
        <f>'Paste cell here'!AA68</f>
        <v/>
      </c>
      <c r="O68" s="1">
        <f>'Paste cell here'!H68</f>
        <v/>
      </c>
      <c r="P68" s="1">
        <f>(M68-L68)*N68*1000</f>
        <v/>
      </c>
      <c r="Q68" s="1">
        <f>P68*O68</f>
        <v/>
      </c>
      <c r="R68" s="1">
        <f>M68*N68*1000-Q68</f>
        <v/>
      </c>
      <c r="S68" s="5">
        <f>H68/($N68*1000)</f>
        <v/>
      </c>
      <c r="T68" s="5">
        <f>R68/($N68*1000)</f>
        <v/>
      </c>
    </row>
    <row r="69">
      <c r="A69" s="1" t="n">
        <v>68</v>
      </c>
      <c r="B69" s="2">
        <f>DATE(Sintesi!$C$4-1,12,31)+A69</f>
        <v/>
      </c>
      <c r="C69" s="1">
        <f>'Paste cell here'!T69</f>
        <v/>
      </c>
      <c r="D69" s="1">
        <f>'Paste cell here'!AC69</f>
        <v/>
      </c>
      <c r="E69" s="1">
        <f>'Paste cell here'!Y69</f>
        <v/>
      </c>
      <c r="F69" s="1">
        <f>'Paste cell here'!AD69</f>
        <v/>
      </c>
      <c r="G69" s="1">
        <f>'Paste cell here'!W69</f>
        <v/>
      </c>
      <c r="H69" s="1">
        <f>'Paste cell here'!AE69</f>
        <v/>
      </c>
      <c r="I69" s="1">
        <f>'Paste cell here'!AF69</f>
        <v/>
      </c>
      <c r="J69" s="1">
        <f>ABS(I69+C69+D69-E69-F69-G69-H69)</f>
        <v/>
      </c>
      <c r="K69" s="1">
        <f>IF('Bilancio primo strato'!D69&gt;0,1,"")</f>
        <v/>
      </c>
      <c r="L69" s="7">
        <f>Sintesi!$C$34</f>
        <v/>
      </c>
      <c r="M69" s="7">
        <f>Sintesi!$C$33</f>
        <v/>
      </c>
      <c r="N69" s="1">
        <f>'Paste cell here'!AA69</f>
        <v/>
      </c>
      <c r="O69" s="1">
        <f>'Paste cell here'!H69</f>
        <v/>
      </c>
      <c r="P69" s="1">
        <f>(M69-L69)*N69*1000</f>
        <v/>
      </c>
      <c r="Q69" s="1">
        <f>P69*O69</f>
        <v/>
      </c>
      <c r="R69" s="1">
        <f>M69*N69*1000-Q69</f>
        <v/>
      </c>
      <c r="S69" s="5">
        <f>H69/($N69*1000)</f>
        <v/>
      </c>
      <c r="T69" s="5">
        <f>R69/($N69*1000)</f>
        <v/>
      </c>
    </row>
    <row r="70">
      <c r="A70" s="1" t="n">
        <v>69</v>
      </c>
      <c r="B70" s="2">
        <f>DATE(Sintesi!$C$4-1,12,31)+A70</f>
        <v/>
      </c>
      <c r="C70" s="1">
        <f>'Paste cell here'!T70</f>
        <v/>
      </c>
      <c r="D70" s="1">
        <f>'Paste cell here'!AC70</f>
        <v/>
      </c>
      <c r="E70" s="1">
        <f>'Paste cell here'!Y70</f>
        <v/>
      </c>
      <c r="F70" s="1">
        <f>'Paste cell here'!AD70</f>
        <v/>
      </c>
      <c r="G70" s="1">
        <f>'Paste cell here'!W70</f>
        <v/>
      </c>
      <c r="H70" s="1">
        <f>'Paste cell here'!AE70</f>
        <v/>
      </c>
      <c r="I70" s="1">
        <f>'Paste cell here'!AF70</f>
        <v/>
      </c>
      <c r="J70" s="1">
        <f>ABS(I70+C70+D70-E70-F70-G70-H70)</f>
        <v/>
      </c>
      <c r="K70" s="1">
        <f>IF('Bilancio primo strato'!D70&gt;0,1,"")</f>
        <v/>
      </c>
      <c r="L70" s="7">
        <f>Sintesi!$C$34</f>
        <v/>
      </c>
      <c r="M70" s="7">
        <f>Sintesi!$C$33</f>
        <v/>
      </c>
      <c r="N70" s="1">
        <f>'Paste cell here'!AA70</f>
        <v/>
      </c>
      <c r="O70" s="1">
        <f>'Paste cell here'!H70</f>
        <v/>
      </c>
      <c r="P70" s="1">
        <f>(M70-L70)*N70*1000</f>
        <v/>
      </c>
      <c r="Q70" s="1">
        <f>P70*O70</f>
        <v/>
      </c>
      <c r="R70" s="1">
        <f>M70*N70*1000-Q70</f>
        <v/>
      </c>
      <c r="S70" s="5">
        <f>H70/($N70*1000)</f>
        <v/>
      </c>
      <c r="T70" s="5">
        <f>R70/($N70*1000)</f>
        <v/>
      </c>
    </row>
    <row r="71">
      <c r="A71" s="1" t="n">
        <v>70</v>
      </c>
      <c r="B71" s="2">
        <f>DATE(Sintesi!$C$4-1,12,31)+A71</f>
        <v/>
      </c>
      <c r="C71" s="1">
        <f>'Paste cell here'!T71</f>
        <v/>
      </c>
      <c r="D71" s="1">
        <f>'Paste cell here'!AC71</f>
        <v/>
      </c>
      <c r="E71" s="1">
        <f>'Paste cell here'!Y71</f>
        <v/>
      </c>
      <c r="F71" s="1">
        <f>'Paste cell here'!AD71</f>
        <v/>
      </c>
      <c r="G71" s="1">
        <f>'Paste cell here'!W71</f>
        <v/>
      </c>
      <c r="H71" s="1">
        <f>'Paste cell here'!AE71</f>
        <v/>
      </c>
      <c r="I71" s="1">
        <f>'Paste cell here'!AF71</f>
        <v/>
      </c>
      <c r="J71" s="1">
        <f>ABS(I71+C71+D71-E71-F71-G71-H71)</f>
        <v/>
      </c>
      <c r="K71" s="1">
        <f>IF('Bilancio primo strato'!D71&gt;0,1,"")</f>
        <v/>
      </c>
      <c r="L71" s="7">
        <f>Sintesi!$C$34</f>
        <v/>
      </c>
      <c r="M71" s="7">
        <f>Sintesi!$C$33</f>
        <v/>
      </c>
      <c r="N71" s="1">
        <f>'Paste cell here'!AA71</f>
        <v/>
      </c>
      <c r="O71" s="1">
        <f>'Paste cell here'!H71</f>
        <v/>
      </c>
      <c r="P71" s="1">
        <f>(M71-L71)*N71*1000</f>
        <v/>
      </c>
      <c r="Q71" s="1">
        <f>P71*O71</f>
        <v/>
      </c>
      <c r="R71" s="1">
        <f>M71*N71*1000-Q71</f>
        <v/>
      </c>
      <c r="S71" s="5">
        <f>H71/($N71*1000)</f>
        <v/>
      </c>
      <c r="T71" s="5">
        <f>R71/($N71*1000)</f>
        <v/>
      </c>
    </row>
    <row r="72">
      <c r="A72" s="1" t="n">
        <v>71</v>
      </c>
      <c r="B72" s="2">
        <f>DATE(Sintesi!$C$4-1,12,31)+A72</f>
        <v/>
      </c>
      <c r="C72" s="1">
        <f>'Paste cell here'!T72</f>
        <v/>
      </c>
      <c r="D72" s="1">
        <f>'Paste cell here'!AC72</f>
        <v/>
      </c>
      <c r="E72" s="1">
        <f>'Paste cell here'!Y72</f>
        <v/>
      </c>
      <c r="F72" s="1">
        <f>'Paste cell here'!AD72</f>
        <v/>
      </c>
      <c r="G72" s="1">
        <f>'Paste cell here'!W72</f>
        <v/>
      </c>
      <c r="H72" s="1">
        <f>'Paste cell here'!AE72</f>
        <v/>
      </c>
      <c r="I72" s="1">
        <f>'Paste cell here'!AF72</f>
        <v/>
      </c>
      <c r="J72" s="1">
        <f>ABS(I72+C72+D72-E72-F72-G72-H72)</f>
        <v/>
      </c>
      <c r="K72" s="1">
        <f>IF('Bilancio primo strato'!D72&gt;0,1,"")</f>
        <v/>
      </c>
      <c r="L72" s="7">
        <f>Sintesi!$C$34</f>
        <v/>
      </c>
      <c r="M72" s="7">
        <f>Sintesi!$C$33</f>
        <v/>
      </c>
      <c r="N72" s="1">
        <f>'Paste cell here'!AA72</f>
        <v/>
      </c>
      <c r="O72" s="1">
        <f>'Paste cell here'!H72</f>
        <v/>
      </c>
      <c r="P72" s="1">
        <f>(M72-L72)*N72*1000</f>
        <v/>
      </c>
      <c r="Q72" s="1">
        <f>P72*O72</f>
        <v/>
      </c>
      <c r="R72" s="1">
        <f>M72*N72*1000-Q72</f>
        <v/>
      </c>
      <c r="S72" s="5">
        <f>H72/($N72*1000)</f>
        <v/>
      </c>
      <c r="T72" s="5">
        <f>R72/($N72*1000)</f>
        <v/>
      </c>
    </row>
    <row r="73">
      <c r="A73" s="1" t="n">
        <v>72</v>
      </c>
      <c r="B73" s="2">
        <f>DATE(Sintesi!$C$4-1,12,31)+A73</f>
        <v/>
      </c>
      <c r="C73" s="1">
        <f>'Paste cell here'!T73</f>
        <v/>
      </c>
      <c r="D73" s="1">
        <f>'Paste cell here'!AC73</f>
        <v/>
      </c>
      <c r="E73" s="1">
        <f>'Paste cell here'!Y73</f>
        <v/>
      </c>
      <c r="F73" s="1">
        <f>'Paste cell here'!AD73</f>
        <v/>
      </c>
      <c r="G73" s="1">
        <f>'Paste cell here'!W73</f>
        <v/>
      </c>
      <c r="H73" s="1">
        <f>'Paste cell here'!AE73</f>
        <v/>
      </c>
      <c r="I73" s="1">
        <f>'Paste cell here'!AF73</f>
        <v/>
      </c>
      <c r="J73" s="1">
        <f>ABS(I73+C73+D73-E73-F73-G73-H73)</f>
        <v/>
      </c>
      <c r="K73" s="1">
        <f>IF('Bilancio primo strato'!D73&gt;0,1,"")</f>
        <v/>
      </c>
      <c r="L73" s="7">
        <f>Sintesi!$C$34</f>
        <v/>
      </c>
      <c r="M73" s="7">
        <f>Sintesi!$C$33</f>
        <v/>
      </c>
      <c r="N73" s="1">
        <f>'Paste cell here'!AA73</f>
        <v/>
      </c>
      <c r="O73" s="1">
        <f>'Paste cell here'!H73</f>
        <v/>
      </c>
      <c r="P73" s="1">
        <f>(M73-L73)*N73*1000</f>
        <v/>
      </c>
      <c r="Q73" s="1">
        <f>P73*O73</f>
        <v/>
      </c>
      <c r="R73" s="1">
        <f>M73*N73*1000-Q73</f>
        <v/>
      </c>
      <c r="S73" s="5">
        <f>H73/($N73*1000)</f>
        <v/>
      </c>
      <c r="T73" s="5">
        <f>R73/($N73*1000)</f>
        <v/>
      </c>
    </row>
    <row r="74">
      <c r="A74" s="1" t="n">
        <v>73</v>
      </c>
      <c r="B74" s="2">
        <f>DATE(Sintesi!$C$4-1,12,31)+A74</f>
        <v/>
      </c>
      <c r="C74" s="1">
        <f>'Paste cell here'!T74</f>
        <v/>
      </c>
      <c r="D74" s="1">
        <f>'Paste cell here'!AC74</f>
        <v/>
      </c>
      <c r="E74" s="1">
        <f>'Paste cell here'!Y74</f>
        <v/>
      </c>
      <c r="F74" s="1">
        <f>'Paste cell here'!AD74</f>
        <v/>
      </c>
      <c r="G74" s="1">
        <f>'Paste cell here'!W74</f>
        <v/>
      </c>
      <c r="H74" s="1">
        <f>'Paste cell here'!AE74</f>
        <v/>
      </c>
      <c r="I74" s="1">
        <f>'Paste cell here'!AF74</f>
        <v/>
      </c>
      <c r="J74" s="1">
        <f>ABS(I74+C74+D74-E74-F74-G74-H74)</f>
        <v/>
      </c>
      <c r="K74" s="1">
        <f>IF('Bilancio primo strato'!D74&gt;0,1,"")</f>
        <v/>
      </c>
      <c r="L74" s="7">
        <f>Sintesi!$C$34</f>
        <v/>
      </c>
      <c r="M74" s="7">
        <f>Sintesi!$C$33</f>
        <v/>
      </c>
      <c r="N74" s="1">
        <f>'Paste cell here'!AA74</f>
        <v/>
      </c>
      <c r="O74" s="1">
        <f>'Paste cell here'!H74</f>
        <v/>
      </c>
      <c r="P74" s="1">
        <f>(M74-L74)*N74*1000</f>
        <v/>
      </c>
      <c r="Q74" s="1">
        <f>P74*O74</f>
        <v/>
      </c>
      <c r="R74" s="1">
        <f>M74*N74*1000-Q74</f>
        <v/>
      </c>
      <c r="S74" s="5">
        <f>H74/($N74*1000)</f>
        <v/>
      </c>
      <c r="T74" s="5">
        <f>R74/($N74*1000)</f>
        <v/>
      </c>
    </row>
    <row r="75">
      <c r="A75" s="1" t="n">
        <v>74</v>
      </c>
      <c r="B75" s="2">
        <f>DATE(Sintesi!$C$4-1,12,31)+A75</f>
        <v/>
      </c>
      <c r="C75" s="1">
        <f>'Paste cell here'!T75</f>
        <v/>
      </c>
      <c r="D75" s="1">
        <f>'Paste cell here'!AC75</f>
        <v/>
      </c>
      <c r="E75" s="1">
        <f>'Paste cell here'!Y75</f>
        <v/>
      </c>
      <c r="F75" s="1">
        <f>'Paste cell here'!AD75</f>
        <v/>
      </c>
      <c r="G75" s="1">
        <f>'Paste cell here'!W75</f>
        <v/>
      </c>
      <c r="H75" s="1">
        <f>'Paste cell here'!AE75</f>
        <v/>
      </c>
      <c r="I75" s="1">
        <f>'Paste cell here'!AF75</f>
        <v/>
      </c>
      <c r="J75" s="1">
        <f>ABS(I75+C75+D75-E75-F75-G75-H75)</f>
        <v/>
      </c>
      <c r="K75" s="1">
        <f>IF('Bilancio primo strato'!D75&gt;0,1,"")</f>
        <v/>
      </c>
      <c r="L75" s="7">
        <f>Sintesi!$C$34</f>
        <v/>
      </c>
      <c r="M75" s="7">
        <f>Sintesi!$C$33</f>
        <v/>
      </c>
      <c r="N75" s="1">
        <f>'Paste cell here'!AA75</f>
        <v/>
      </c>
      <c r="O75" s="1">
        <f>'Paste cell here'!H75</f>
        <v/>
      </c>
      <c r="P75" s="1">
        <f>(M75-L75)*N75*1000</f>
        <v/>
      </c>
      <c r="Q75" s="1">
        <f>P75*O75</f>
        <v/>
      </c>
      <c r="R75" s="1">
        <f>M75*N75*1000-Q75</f>
        <v/>
      </c>
      <c r="S75" s="5">
        <f>H75/($N75*1000)</f>
        <v/>
      </c>
      <c r="T75" s="5">
        <f>R75/($N75*1000)</f>
        <v/>
      </c>
    </row>
    <row r="76">
      <c r="A76" s="1" t="n">
        <v>75</v>
      </c>
      <c r="B76" s="2">
        <f>DATE(Sintesi!$C$4-1,12,31)+A76</f>
        <v/>
      </c>
      <c r="C76" s="1">
        <f>'Paste cell here'!T76</f>
        <v/>
      </c>
      <c r="D76" s="1">
        <f>'Paste cell here'!AC76</f>
        <v/>
      </c>
      <c r="E76" s="1">
        <f>'Paste cell here'!Y76</f>
        <v/>
      </c>
      <c r="F76" s="1">
        <f>'Paste cell here'!AD76</f>
        <v/>
      </c>
      <c r="G76" s="1">
        <f>'Paste cell here'!W76</f>
        <v/>
      </c>
      <c r="H76" s="1">
        <f>'Paste cell here'!AE76</f>
        <v/>
      </c>
      <c r="I76" s="1">
        <f>'Paste cell here'!AF76</f>
        <v/>
      </c>
      <c r="J76" s="1">
        <f>ABS(I76+C76+D76-E76-F76-G76-H76)</f>
        <v/>
      </c>
      <c r="K76" s="1">
        <f>IF('Bilancio primo strato'!D76&gt;0,1,"")</f>
        <v/>
      </c>
      <c r="L76" s="7">
        <f>Sintesi!$C$34</f>
        <v/>
      </c>
      <c r="M76" s="7">
        <f>Sintesi!$C$33</f>
        <v/>
      </c>
      <c r="N76" s="1">
        <f>'Paste cell here'!AA76</f>
        <v/>
      </c>
      <c r="O76" s="1">
        <f>'Paste cell here'!H76</f>
        <v/>
      </c>
      <c r="P76" s="1">
        <f>(M76-L76)*N76*1000</f>
        <v/>
      </c>
      <c r="Q76" s="1">
        <f>P76*O76</f>
        <v/>
      </c>
      <c r="R76" s="1">
        <f>M76*N76*1000-Q76</f>
        <v/>
      </c>
      <c r="S76" s="5">
        <f>H76/($N76*1000)</f>
        <v/>
      </c>
      <c r="T76" s="5">
        <f>R76/($N76*1000)</f>
        <v/>
      </c>
    </row>
    <row r="77">
      <c r="A77" s="1" t="n">
        <v>76</v>
      </c>
      <c r="B77" s="2">
        <f>DATE(Sintesi!$C$4-1,12,31)+A77</f>
        <v/>
      </c>
      <c r="C77" s="1">
        <f>'Paste cell here'!T77</f>
        <v/>
      </c>
      <c r="D77" s="1">
        <f>'Paste cell here'!AC77</f>
        <v/>
      </c>
      <c r="E77" s="1">
        <f>'Paste cell here'!Y77</f>
        <v/>
      </c>
      <c r="F77" s="1">
        <f>'Paste cell here'!AD77</f>
        <v/>
      </c>
      <c r="G77" s="1">
        <f>'Paste cell here'!W77</f>
        <v/>
      </c>
      <c r="H77" s="1">
        <f>'Paste cell here'!AE77</f>
        <v/>
      </c>
      <c r="I77" s="1">
        <f>'Paste cell here'!AF77</f>
        <v/>
      </c>
      <c r="J77" s="1">
        <f>ABS(I77+C77+D77-E77-F77-G77-H77)</f>
        <v/>
      </c>
      <c r="K77" s="1">
        <f>IF('Bilancio primo strato'!D77&gt;0,1,"")</f>
        <v/>
      </c>
      <c r="L77" s="7">
        <f>Sintesi!$C$34</f>
        <v/>
      </c>
      <c r="M77" s="7">
        <f>Sintesi!$C$33</f>
        <v/>
      </c>
      <c r="N77" s="1">
        <f>'Paste cell here'!AA77</f>
        <v/>
      </c>
      <c r="O77" s="1">
        <f>'Paste cell here'!H77</f>
        <v/>
      </c>
      <c r="P77" s="1">
        <f>(M77-L77)*N77*1000</f>
        <v/>
      </c>
      <c r="Q77" s="1">
        <f>P77*O77</f>
        <v/>
      </c>
      <c r="R77" s="1">
        <f>M77*N77*1000-Q77</f>
        <v/>
      </c>
      <c r="S77" s="5">
        <f>H77/($N77*1000)</f>
        <v/>
      </c>
      <c r="T77" s="5">
        <f>R77/($N77*1000)</f>
        <v/>
      </c>
    </row>
    <row r="78">
      <c r="A78" s="1" t="n">
        <v>77</v>
      </c>
      <c r="B78" s="2">
        <f>DATE(Sintesi!$C$4-1,12,31)+A78</f>
        <v/>
      </c>
      <c r="C78" s="1">
        <f>'Paste cell here'!T78</f>
        <v/>
      </c>
      <c r="D78" s="1">
        <f>'Paste cell here'!AC78</f>
        <v/>
      </c>
      <c r="E78" s="1">
        <f>'Paste cell here'!Y78</f>
        <v/>
      </c>
      <c r="F78" s="1">
        <f>'Paste cell here'!AD78</f>
        <v/>
      </c>
      <c r="G78" s="1">
        <f>'Paste cell here'!W78</f>
        <v/>
      </c>
      <c r="H78" s="1">
        <f>'Paste cell here'!AE78</f>
        <v/>
      </c>
      <c r="I78" s="1">
        <f>'Paste cell here'!AF78</f>
        <v/>
      </c>
      <c r="J78" s="1">
        <f>ABS(I78+C78+D78-E78-F78-G78-H78)</f>
        <v/>
      </c>
      <c r="K78" s="1">
        <f>IF('Bilancio primo strato'!D78&gt;0,1,"")</f>
        <v/>
      </c>
      <c r="L78" s="7">
        <f>Sintesi!$C$34</f>
        <v/>
      </c>
      <c r="M78" s="7">
        <f>Sintesi!$C$33</f>
        <v/>
      </c>
      <c r="N78" s="1">
        <f>'Paste cell here'!AA78</f>
        <v/>
      </c>
      <c r="O78" s="1">
        <f>'Paste cell here'!H78</f>
        <v/>
      </c>
      <c r="P78" s="1">
        <f>(M78-L78)*N78*1000</f>
        <v/>
      </c>
      <c r="Q78" s="1">
        <f>P78*O78</f>
        <v/>
      </c>
      <c r="R78" s="1">
        <f>M78*N78*1000-Q78</f>
        <v/>
      </c>
      <c r="S78" s="5">
        <f>H78/($N78*1000)</f>
        <v/>
      </c>
      <c r="T78" s="5">
        <f>R78/($N78*1000)</f>
        <v/>
      </c>
    </row>
    <row r="79">
      <c r="A79" s="1" t="n">
        <v>78</v>
      </c>
      <c r="B79" s="2">
        <f>DATE(Sintesi!$C$4-1,12,31)+A79</f>
        <v/>
      </c>
      <c r="C79" s="1">
        <f>'Paste cell here'!T79</f>
        <v/>
      </c>
      <c r="D79" s="1">
        <f>'Paste cell here'!AC79</f>
        <v/>
      </c>
      <c r="E79" s="1">
        <f>'Paste cell here'!Y79</f>
        <v/>
      </c>
      <c r="F79" s="1">
        <f>'Paste cell here'!AD79</f>
        <v/>
      </c>
      <c r="G79" s="1">
        <f>'Paste cell here'!W79</f>
        <v/>
      </c>
      <c r="H79" s="1">
        <f>'Paste cell here'!AE79</f>
        <v/>
      </c>
      <c r="I79" s="1">
        <f>'Paste cell here'!AF79</f>
        <v/>
      </c>
      <c r="J79" s="1">
        <f>ABS(I79+C79+D79-E79-F79-G79-H79)</f>
        <v/>
      </c>
      <c r="K79" s="1">
        <f>IF('Bilancio primo strato'!D79&gt;0,1,"")</f>
        <v/>
      </c>
      <c r="L79" s="7">
        <f>Sintesi!$C$34</f>
        <v/>
      </c>
      <c r="M79" s="7">
        <f>Sintesi!$C$33</f>
        <v/>
      </c>
      <c r="N79" s="1">
        <f>'Paste cell here'!AA79</f>
        <v/>
      </c>
      <c r="O79" s="1">
        <f>'Paste cell here'!H79</f>
        <v/>
      </c>
      <c r="P79" s="1">
        <f>(M79-L79)*N79*1000</f>
        <v/>
      </c>
      <c r="Q79" s="1">
        <f>P79*O79</f>
        <v/>
      </c>
      <c r="R79" s="1">
        <f>M79*N79*1000-Q79</f>
        <v/>
      </c>
      <c r="S79" s="5">
        <f>H79/($N79*1000)</f>
        <v/>
      </c>
      <c r="T79" s="5">
        <f>R79/($N79*1000)</f>
        <v/>
      </c>
    </row>
    <row r="80">
      <c r="A80" s="1" t="n">
        <v>79</v>
      </c>
      <c r="B80" s="2">
        <f>DATE(Sintesi!$C$4-1,12,31)+A80</f>
        <v/>
      </c>
      <c r="C80" s="1">
        <f>'Paste cell here'!T80</f>
        <v/>
      </c>
      <c r="D80" s="1">
        <f>'Paste cell here'!AC80</f>
        <v/>
      </c>
      <c r="E80" s="1">
        <f>'Paste cell here'!Y80</f>
        <v/>
      </c>
      <c r="F80" s="1">
        <f>'Paste cell here'!AD80</f>
        <v/>
      </c>
      <c r="G80" s="1">
        <f>'Paste cell here'!W80</f>
        <v/>
      </c>
      <c r="H80" s="1">
        <f>'Paste cell here'!AE80</f>
        <v/>
      </c>
      <c r="I80" s="1">
        <f>'Paste cell here'!AF80</f>
        <v/>
      </c>
      <c r="J80" s="1">
        <f>ABS(I80+C80+D80-E80-F80-G80-H80)</f>
        <v/>
      </c>
      <c r="K80" s="1">
        <f>IF('Bilancio primo strato'!D80&gt;0,1,"")</f>
        <v/>
      </c>
      <c r="L80" s="7">
        <f>Sintesi!$C$34</f>
        <v/>
      </c>
      <c r="M80" s="7">
        <f>Sintesi!$C$33</f>
        <v/>
      </c>
      <c r="N80" s="1">
        <f>'Paste cell here'!AA80</f>
        <v/>
      </c>
      <c r="O80" s="1">
        <f>'Paste cell here'!H80</f>
        <v/>
      </c>
      <c r="P80" s="1">
        <f>(M80-L80)*N80*1000</f>
        <v/>
      </c>
      <c r="Q80" s="1">
        <f>P80*O80</f>
        <v/>
      </c>
      <c r="R80" s="1">
        <f>M80*N80*1000-Q80</f>
        <v/>
      </c>
      <c r="S80" s="5">
        <f>H80/($N80*1000)</f>
        <v/>
      </c>
      <c r="T80" s="5">
        <f>R80/($N80*1000)</f>
        <v/>
      </c>
    </row>
    <row r="81">
      <c r="A81" s="1" t="n">
        <v>80</v>
      </c>
      <c r="B81" s="2">
        <f>DATE(Sintesi!$C$4-1,12,31)+A81</f>
        <v/>
      </c>
      <c r="C81" s="1">
        <f>'Paste cell here'!T81</f>
        <v/>
      </c>
      <c r="D81" s="1">
        <f>'Paste cell here'!AC81</f>
        <v/>
      </c>
      <c r="E81" s="1">
        <f>'Paste cell here'!Y81</f>
        <v/>
      </c>
      <c r="F81" s="1">
        <f>'Paste cell here'!AD81</f>
        <v/>
      </c>
      <c r="G81" s="1">
        <f>'Paste cell here'!W81</f>
        <v/>
      </c>
      <c r="H81" s="1">
        <f>'Paste cell here'!AE81</f>
        <v/>
      </c>
      <c r="I81" s="1">
        <f>'Paste cell here'!AF81</f>
        <v/>
      </c>
      <c r="J81" s="1">
        <f>ABS(I81+C81+D81-E81-F81-G81-H81)</f>
        <v/>
      </c>
      <c r="K81" s="1">
        <f>IF('Bilancio primo strato'!D81&gt;0,1,"")</f>
        <v/>
      </c>
      <c r="L81" s="7">
        <f>Sintesi!$C$34</f>
        <v/>
      </c>
      <c r="M81" s="7">
        <f>Sintesi!$C$33</f>
        <v/>
      </c>
      <c r="N81" s="1">
        <f>'Paste cell here'!AA81</f>
        <v/>
      </c>
      <c r="O81" s="1">
        <f>'Paste cell here'!H81</f>
        <v/>
      </c>
      <c r="P81" s="1">
        <f>(M81-L81)*N81*1000</f>
        <v/>
      </c>
      <c r="Q81" s="1">
        <f>P81*O81</f>
        <v/>
      </c>
      <c r="R81" s="1">
        <f>M81*N81*1000-Q81</f>
        <v/>
      </c>
      <c r="S81" s="5">
        <f>H81/($N81*1000)</f>
        <v/>
      </c>
      <c r="T81" s="5">
        <f>R81/($N81*1000)</f>
        <v/>
      </c>
    </row>
    <row r="82">
      <c r="A82" s="1" t="n">
        <v>81</v>
      </c>
      <c r="B82" s="2">
        <f>DATE(Sintesi!$C$4-1,12,31)+A82</f>
        <v/>
      </c>
      <c r="C82" s="1">
        <f>'Paste cell here'!T82</f>
        <v/>
      </c>
      <c r="D82" s="1">
        <f>'Paste cell here'!AC82</f>
        <v/>
      </c>
      <c r="E82" s="1">
        <f>'Paste cell here'!Y82</f>
        <v/>
      </c>
      <c r="F82" s="1">
        <f>'Paste cell here'!AD82</f>
        <v/>
      </c>
      <c r="G82" s="1">
        <f>'Paste cell here'!W82</f>
        <v/>
      </c>
      <c r="H82" s="1">
        <f>'Paste cell here'!AE82</f>
        <v/>
      </c>
      <c r="I82" s="1">
        <f>'Paste cell here'!AF82</f>
        <v/>
      </c>
      <c r="J82" s="1">
        <f>ABS(I82+C82+D82-E82-F82-G82-H82)</f>
        <v/>
      </c>
      <c r="K82" s="1">
        <f>IF('Bilancio primo strato'!D82&gt;0,1,"")</f>
        <v/>
      </c>
      <c r="L82" s="7">
        <f>Sintesi!$C$34</f>
        <v/>
      </c>
      <c r="M82" s="7">
        <f>Sintesi!$C$33</f>
        <v/>
      </c>
      <c r="N82" s="1">
        <f>'Paste cell here'!AA82</f>
        <v/>
      </c>
      <c r="O82" s="1">
        <f>'Paste cell here'!H82</f>
        <v/>
      </c>
      <c r="P82" s="1">
        <f>(M82-L82)*N82*1000</f>
        <v/>
      </c>
      <c r="Q82" s="1">
        <f>P82*O82</f>
        <v/>
      </c>
      <c r="R82" s="1">
        <f>M82*N82*1000-Q82</f>
        <v/>
      </c>
      <c r="S82" s="5">
        <f>H82/($N82*1000)</f>
        <v/>
      </c>
      <c r="T82" s="5">
        <f>R82/($N82*1000)</f>
        <v/>
      </c>
    </row>
    <row r="83">
      <c r="A83" s="1" t="n">
        <v>82</v>
      </c>
      <c r="B83" s="2">
        <f>DATE(Sintesi!$C$4-1,12,31)+A83</f>
        <v/>
      </c>
      <c r="C83" s="1">
        <f>'Paste cell here'!T83</f>
        <v/>
      </c>
      <c r="D83" s="1">
        <f>'Paste cell here'!AC83</f>
        <v/>
      </c>
      <c r="E83" s="1">
        <f>'Paste cell here'!Y83</f>
        <v/>
      </c>
      <c r="F83" s="1">
        <f>'Paste cell here'!AD83</f>
        <v/>
      </c>
      <c r="G83" s="1">
        <f>'Paste cell here'!W83</f>
        <v/>
      </c>
      <c r="H83" s="1">
        <f>'Paste cell here'!AE83</f>
        <v/>
      </c>
      <c r="I83" s="1">
        <f>'Paste cell here'!AF83</f>
        <v/>
      </c>
      <c r="J83" s="1">
        <f>ABS(I83+C83+D83-E83-F83-G83-H83)</f>
        <v/>
      </c>
      <c r="K83" s="1">
        <f>IF('Bilancio primo strato'!D83&gt;0,1,"")</f>
        <v/>
      </c>
      <c r="L83" s="7">
        <f>Sintesi!$C$34</f>
        <v/>
      </c>
      <c r="M83" s="7">
        <f>Sintesi!$C$33</f>
        <v/>
      </c>
      <c r="N83" s="1">
        <f>'Paste cell here'!AA83</f>
        <v/>
      </c>
      <c r="O83" s="1">
        <f>'Paste cell here'!H83</f>
        <v/>
      </c>
      <c r="P83" s="1">
        <f>(M83-L83)*N83*1000</f>
        <v/>
      </c>
      <c r="Q83" s="1">
        <f>P83*O83</f>
        <v/>
      </c>
      <c r="R83" s="1">
        <f>M83*N83*1000-Q83</f>
        <v/>
      </c>
      <c r="S83" s="5">
        <f>H83/($N83*1000)</f>
        <v/>
      </c>
      <c r="T83" s="5">
        <f>R83/($N83*1000)</f>
        <v/>
      </c>
    </row>
    <row r="84">
      <c r="A84" s="1" t="n">
        <v>83</v>
      </c>
      <c r="B84" s="2">
        <f>DATE(Sintesi!$C$4-1,12,31)+A84</f>
        <v/>
      </c>
      <c r="C84" s="1">
        <f>'Paste cell here'!T84</f>
        <v/>
      </c>
      <c r="D84" s="1">
        <f>'Paste cell here'!AC84</f>
        <v/>
      </c>
      <c r="E84" s="1">
        <f>'Paste cell here'!Y84</f>
        <v/>
      </c>
      <c r="F84" s="1">
        <f>'Paste cell here'!AD84</f>
        <v/>
      </c>
      <c r="G84" s="1">
        <f>'Paste cell here'!W84</f>
        <v/>
      </c>
      <c r="H84" s="1">
        <f>'Paste cell here'!AE84</f>
        <v/>
      </c>
      <c r="I84" s="1">
        <f>'Paste cell here'!AF84</f>
        <v/>
      </c>
      <c r="J84" s="1">
        <f>ABS(I84+C84+D84-E84-F84-G84-H84)</f>
        <v/>
      </c>
      <c r="K84" s="1">
        <f>IF('Bilancio primo strato'!D84&gt;0,1,"")</f>
        <v/>
      </c>
      <c r="L84" s="7">
        <f>Sintesi!$C$34</f>
        <v/>
      </c>
      <c r="M84" s="7">
        <f>Sintesi!$C$33</f>
        <v/>
      </c>
      <c r="N84" s="1">
        <f>'Paste cell here'!AA84</f>
        <v/>
      </c>
      <c r="O84" s="1">
        <f>'Paste cell here'!H84</f>
        <v/>
      </c>
      <c r="P84" s="1">
        <f>(M84-L84)*N84*1000</f>
        <v/>
      </c>
      <c r="Q84" s="1">
        <f>P84*O84</f>
        <v/>
      </c>
      <c r="R84" s="1">
        <f>M84*N84*1000-Q84</f>
        <v/>
      </c>
      <c r="S84" s="5">
        <f>H84/($N84*1000)</f>
        <v/>
      </c>
      <c r="T84" s="5">
        <f>R84/($N84*1000)</f>
        <v/>
      </c>
    </row>
    <row r="85">
      <c r="A85" s="1" t="n">
        <v>84</v>
      </c>
      <c r="B85" s="2">
        <f>DATE(Sintesi!$C$4-1,12,31)+A85</f>
        <v/>
      </c>
      <c r="C85" s="1">
        <f>'Paste cell here'!T85</f>
        <v/>
      </c>
      <c r="D85" s="1">
        <f>'Paste cell here'!AC85</f>
        <v/>
      </c>
      <c r="E85" s="1">
        <f>'Paste cell here'!Y85</f>
        <v/>
      </c>
      <c r="F85" s="1">
        <f>'Paste cell here'!AD85</f>
        <v/>
      </c>
      <c r="G85" s="1">
        <f>'Paste cell here'!W85</f>
        <v/>
      </c>
      <c r="H85" s="1">
        <f>'Paste cell here'!AE85</f>
        <v/>
      </c>
      <c r="I85" s="1">
        <f>'Paste cell here'!AF85</f>
        <v/>
      </c>
      <c r="J85" s="1">
        <f>ABS(I85+C85+D85-E85-F85-G85-H85)</f>
        <v/>
      </c>
      <c r="K85" s="1">
        <f>IF('Bilancio primo strato'!D85&gt;0,1,"")</f>
        <v/>
      </c>
      <c r="L85" s="7">
        <f>Sintesi!$C$34</f>
        <v/>
      </c>
      <c r="M85" s="7">
        <f>Sintesi!$C$33</f>
        <v/>
      </c>
      <c r="N85" s="1">
        <f>'Paste cell here'!AA85</f>
        <v/>
      </c>
      <c r="O85" s="1">
        <f>'Paste cell here'!H85</f>
        <v/>
      </c>
      <c r="P85" s="1">
        <f>(M85-L85)*N85*1000</f>
        <v/>
      </c>
      <c r="Q85" s="1">
        <f>P85*O85</f>
        <v/>
      </c>
      <c r="R85" s="1">
        <f>M85*N85*1000-Q85</f>
        <v/>
      </c>
      <c r="S85" s="5">
        <f>H85/($N85*1000)</f>
        <v/>
      </c>
      <c r="T85" s="5">
        <f>R85/($N85*1000)</f>
        <v/>
      </c>
    </row>
    <row r="86">
      <c r="A86" s="1" t="n">
        <v>85</v>
      </c>
      <c r="B86" s="2">
        <f>DATE(Sintesi!$C$4-1,12,31)+A86</f>
        <v/>
      </c>
      <c r="C86" s="1">
        <f>'Paste cell here'!T86</f>
        <v/>
      </c>
      <c r="D86" s="1">
        <f>'Paste cell here'!AC86</f>
        <v/>
      </c>
      <c r="E86" s="1">
        <f>'Paste cell here'!Y86</f>
        <v/>
      </c>
      <c r="F86" s="1">
        <f>'Paste cell here'!AD86</f>
        <v/>
      </c>
      <c r="G86" s="1">
        <f>'Paste cell here'!W86</f>
        <v/>
      </c>
      <c r="H86" s="1">
        <f>'Paste cell here'!AE86</f>
        <v/>
      </c>
      <c r="I86" s="1">
        <f>'Paste cell here'!AF86</f>
        <v/>
      </c>
      <c r="J86" s="1">
        <f>ABS(I86+C86+D86-E86-F86-G86-H86)</f>
        <v/>
      </c>
      <c r="K86" s="1">
        <f>IF('Bilancio primo strato'!D86&gt;0,1,"")</f>
        <v/>
      </c>
      <c r="L86" s="7">
        <f>Sintesi!$C$34</f>
        <v/>
      </c>
      <c r="M86" s="7">
        <f>Sintesi!$C$33</f>
        <v/>
      </c>
      <c r="N86" s="1">
        <f>'Paste cell here'!AA86</f>
        <v/>
      </c>
      <c r="O86" s="1">
        <f>'Paste cell here'!H86</f>
        <v/>
      </c>
      <c r="P86" s="1">
        <f>(M86-L86)*N86*1000</f>
        <v/>
      </c>
      <c r="Q86" s="1">
        <f>P86*O86</f>
        <v/>
      </c>
      <c r="R86" s="1">
        <f>M86*N86*1000-Q86</f>
        <v/>
      </c>
      <c r="S86" s="5">
        <f>H86/($N86*1000)</f>
        <v/>
      </c>
      <c r="T86" s="5">
        <f>R86/($N86*1000)</f>
        <v/>
      </c>
    </row>
    <row r="87">
      <c r="A87" s="1" t="n">
        <v>86</v>
      </c>
      <c r="B87" s="2">
        <f>DATE(Sintesi!$C$4-1,12,31)+A87</f>
        <v/>
      </c>
      <c r="C87" s="1">
        <f>'Paste cell here'!T87</f>
        <v/>
      </c>
      <c r="D87" s="1">
        <f>'Paste cell here'!AC87</f>
        <v/>
      </c>
      <c r="E87" s="1">
        <f>'Paste cell here'!Y87</f>
        <v/>
      </c>
      <c r="F87" s="1">
        <f>'Paste cell here'!AD87</f>
        <v/>
      </c>
      <c r="G87" s="1">
        <f>'Paste cell here'!W87</f>
        <v/>
      </c>
      <c r="H87" s="1">
        <f>'Paste cell here'!AE87</f>
        <v/>
      </c>
      <c r="I87" s="1">
        <f>'Paste cell here'!AF87</f>
        <v/>
      </c>
      <c r="J87" s="1">
        <f>ABS(I87+C87+D87-E87-F87-G87-H87)</f>
        <v/>
      </c>
      <c r="K87" s="1">
        <f>IF('Bilancio primo strato'!D87&gt;0,1,"")</f>
        <v/>
      </c>
      <c r="L87" s="7">
        <f>Sintesi!$C$34</f>
        <v/>
      </c>
      <c r="M87" s="7">
        <f>Sintesi!$C$33</f>
        <v/>
      </c>
      <c r="N87" s="1">
        <f>'Paste cell here'!AA87</f>
        <v/>
      </c>
      <c r="O87" s="1">
        <f>'Paste cell here'!H87</f>
        <v/>
      </c>
      <c r="P87" s="1">
        <f>(M87-L87)*N87*1000</f>
        <v/>
      </c>
      <c r="Q87" s="1">
        <f>P87*O87</f>
        <v/>
      </c>
      <c r="R87" s="1">
        <f>M87*N87*1000-Q87</f>
        <v/>
      </c>
      <c r="S87" s="5">
        <f>H87/($N87*1000)</f>
        <v/>
      </c>
      <c r="T87" s="5">
        <f>R87/($N87*1000)</f>
        <v/>
      </c>
    </row>
    <row r="88">
      <c r="A88" s="1" t="n">
        <v>87</v>
      </c>
      <c r="B88" s="2">
        <f>DATE(Sintesi!$C$4-1,12,31)+A88</f>
        <v/>
      </c>
      <c r="C88" s="1">
        <f>'Paste cell here'!T88</f>
        <v/>
      </c>
      <c r="D88" s="1">
        <f>'Paste cell here'!AC88</f>
        <v/>
      </c>
      <c r="E88" s="1">
        <f>'Paste cell here'!Y88</f>
        <v/>
      </c>
      <c r="F88" s="1">
        <f>'Paste cell here'!AD88</f>
        <v/>
      </c>
      <c r="G88" s="1">
        <f>'Paste cell here'!W88</f>
        <v/>
      </c>
      <c r="H88" s="1">
        <f>'Paste cell here'!AE88</f>
        <v/>
      </c>
      <c r="I88" s="1">
        <f>'Paste cell here'!AF88</f>
        <v/>
      </c>
      <c r="J88" s="1">
        <f>ABS(I88+C88+D88-E88-F88-G88-H88)</f>
        <v/>
      </c>
      <c r="K88" s="1">
        <f>IF('Bilancio primo strato'!D88&gt;0,1,"")</f>
        <v/>
      </c>
      <c r="L88" s="7">
        <f>Sintesi!$C$34</f>
        <v/>
      </c>
      <c r="M88" s="7">
        <f>Sintesi!$C$33</f>
        <v/>
      </c>
      <c r="N88" s="1">
        <f>'Paste cell here'!AA88</f>
        <v/>
      </c>
      <c r="O88" s="1">
        <f>'Paste cell here'!H88</f>
        <v/>
      </c>
      <c r="P88" s="1">
        <f>(M88-L88)*N88*1000</f>
        <v/>
      </c>
      <c r="Q88" s="1">
        <f>P88*O88</f>
        <v/>
      </c>
      <c r="R88" s="1">
        <f>M88*N88*1000-Q88</f>
        <v/>
      </c>
      <c r="S88" s="5">
        <f>H88/($N88*1000)</f>
        <v/>
      </c>
      <c r="T88" s="5">
        <f>R88/($N88*1000)</f>
        <v/>
      </c>
    </row>
    <row r="89">
      <c r="A89" s="1" t="n">
        <v>88</v>
      </c>
      <c r="B89" s="2">
        <f>DATE(Sintesi!$C$4-1,12,31)+A89</f>
        <v/>
      </c>
      <c r="C89" s="1">
        <f>'Paste cell here'!T89</f>
        <v/>
      </c>
      <c r="D89" s="1">
        <f>'Paste cell here'!AC89</f>
        <v/>
      </c>
      <c r="E89" s="1">
        <f>'Paste cell here'!Y89</f>
        <v/>
      </c>
      <c r="F89" s="1">
        <f>'Paste cell here'!AD89</f>
        <v/>
      </c>
      <c r="G89" s="1">
        <f>'Paste cell here'!W89</f>
        <v/>
      </c>
      <c r="H89" s="1">
        <f>'Paste cell here'!AE89</f>
        <v/>
      </c>
      <c r="I89" s="1">
        <f>'Paste cell here'!AF89</f>
        <v/>
      </c>
      <c r="J89" s="1">
        <f>ABS(I89+C89+D89-E89-F89-G89-H89)</f>
        <v/>
      </c>
      <c r="K89" s="1">
        <f>IF('Bilancio primo strato'!D89&gt;0,1,"")</f>
        <v/>
      </c>
      <c r="L89" s="7">
        <f>Sintesi!$C$34</f>
        <v/>
      </c>
      <c r="M89" s="7">
        <f>Sintesi!$C$33</f>
        <v/>
      </c>
      <c r="N89" s="1">
        <f>'Paste cell here'!AA89</f>
        <v/>
      </c>
      <c r="O89" s="1">
        <f>'Paste cell here'!H89</f>
        <v/>
      </c>
      <c r="P89" s="1">
        <f>(M89-L89)*N89*1000</f>
        <v/>
      </c>
      <c r="Q89" s="1">
        <f>P89*O89</f>
        <v/>
      </c>
      <c r="R89" s="1">
        <f>M89*N89*1000-Q89</f>
        <v/>
      </c>
      <c r="S89" s="5">
        <f>H89/($N89*1000)</f>
        <v/>
      </c>
      <c r="T89" s="5">
        <f>R89/($N89*1000)</f>
        <v/>
      </c>
    </row>
    <row r="90">
      <c r="A90" s="1" t="n">
        <v>89</v>
      </c>
      <c r="B90" s="2">
        <f>DATE(Sintesi!$C$4-1,12,31)+A90</f>
        <v/>
      </c>
      <c r="C90" s="1">
        <f>'Paste cell here'!T90</f>
        <v/>
      </c>
      <c r="D90" s="1">
        <f>'Paste cell here'!AC90</f>
        <v/>
      </c>
      <c r="E90" s="1">
        <f>'Paste cell here'!Y90</f>
        <v/>
      </c>
      <c r="F90" s="1">
        <f>'Paste cell here'!AD90</f>
        <v/>
      </c>
      <c r="G90" s="1">
        <f>'Paste cell here'!W90</f>
        <v/>
      </c>
      <c r="H90" s="1">
        <f>'Paste cell here'!AE90</f>
        <v/>
      </c>
      <c r="I90" s="1">
        <f>'Paste cell here'!AF90</f>
        <v/>
      </c>
      <c r="J90" s="1">
        <f>ABS(I90+C90+D90-E90-F90-G90-H90)</f>
        <v/>
      </c>
      <c r="K90" s="1">
        <f>IF('Bilancio primo strato'!D90&gt;0,1,"")</f>
        <v/>
      </c>
      <c r="L90" s="7">
        <f>Sintesi!$C$34</f>
        <v/>
      </c>
      <c r="M90" s="7">
        <f>Sintesi!$C$33</f>
        <v/>
      </c>
      <c r="N90" s="1">
        <f>'Paste cell here'!AA90</f>
        <v/>
      </c>
      <c r="O90" s="1">
        <f>'Paste cell here'!H90</f>
        <v/>
      </c>
      <c r="P90" s="1">
        <f>(M90-L90)*N90*1000</f>
        <v/>
      </c>
      <c r="Q90" s="1">
        <f>P90*O90</f>
        <v/>
      </c>
      <c r="R90" s="1">
        <f>M90*N90*1000-Q90</f>
        <v/>
      </c>
      <c r="S90" s="5">
        <f>H90/($N90*1000)</f>
        <v/>
      </c>
      <c r="T90" s="5">
        <f>R90/($N90*1000)</f>
        <v/>
      </c>
    </row>
    <row r="91">
      <c r="A91" s="1" t="n">
        <v>90</v>
      </c>
      <c r="B91" s="2">
        <f>DATE(Sintesi!$C$4-1,12,31)+A91</f>
        <v/>
      </c>
      <c r="C91" s="1">
        <f>'Paste cell here'!T91</f>
        <v/>
      </c>
      <c r="D91" s="1">
        <f>'Paste cell here'!AC91</f>
        <v/>
      </c>
      <c r="E91" s="1">
        <f>'Paste cell here'!Y91</f>
        <v/>
      </c>
      <c r="F91" s="1">
        <f>'Paste cell here'!AD91</f>
        <v/>
      </c>
      <c r="G91" s="1">
        <f>'Paste cell here'!W91</f>
        <v/>
      </c>
      <c r="H91" s="1">
        <f>'Paste cell here'!AE91</f>
        <v/>
      </c>
      <c r="I91" s="1">
        <f>'Paste cell here'!AF91</f>
        <v/>
      </c>
      <c r="J91" s="1">
        <f>ABS(I91+C91+D91-E91-F91-G91-H91)</f>
        <v/>
      </c>
      <c r="K91" s="1">
        <f>IF('Bilancio primo strato'!D91&gt;0,1,"")</f>
        <v/>
      </c>
      <c r="L91" s="7">
        <f>Sintesi!$C$34</f>
        <v/>
      </c>
      <c r="M91" s="7">
        <f>Sintesi!$C$33</f>
        <v/>
      </c>
      <c r="N91" s="1">
        <f>'Paste cell here'!AA91</f>
        <v/>
      </c>
      <c r="O91" s="1">
        <f>'Paste cell here'!H91</f>
        <v/>
      </c>
      <c r="P91" s="1">
        <f>(M91-L91)*N91*1000</f>
        <v/>
      </c>
      <c r="Q91" s="1">
        <f>P91*O91</f>
        <v/>
      </c>
      <c r="R91" s="1">
        <f>M91*N91*1000-Q91</f>
        <v/>
      </c>
      <c r="S91" s="5">
        <f>H91/($N91*1000)</f>
        <v/>
      </c>
      <c r="T91" s="5">
        <f>R91/($N91*1000)</f>
        <v/>
      </c>
    </row>
    <row r="92">
      <c r="A92" s="1" t="n">
        <v>91</v>
      </c>
      <c r="B92" s="2">
        <f>DATE(Sintesi!$C$4-1,12,31)+A92</f>
        <v/>
      </c>
      <c r="C92" s="1">
        <f>'Paste cell here'!T92</f>
        <v/>
      </c>
      <c r="D92" s="1">
        <f>'Paste cell here'!AC92</f>
        <v/>
      </c>
      <c r="E92" s="1">
        <f>'Paste cell here'!Y92</f>
        <v/>
      </c>
      <c r="F92" s="1">
        <f>'Paste cell here'!AD92</f>
        <v/>
      </c>
      <c r="G92" s="1">
        <f>'Paste cell here'!W92</f>
        <v/>
      </c>
      <c r="H92" s="1">
        <f>'Paste cell here'!AE92</f>
        <v/>
      </c>
      <c r="I92" s="1">
        <f>'Paste cell here'!AF92</f>
        <v/>
      </c>
      <c r="J92" s="1">
        <f>ABS(I92+C92+D92-E92-F92-G92-H92)</f>
        <v/>
      </c>
      <c r="K92" s="1">
        <f>IF('Bilancio primo strato'!D92&gt;0,1,"")</f>
        <v/>
      </c>
      <c r="L92" s="7">
        <f>Sintesi!$C$34</f>
        <v/>
      </c>
      <c r="M92" s="7">
        <f>Sintesi!$C$33</f>
        <v/>
      </c>
      <c r="N92" s="1">
        <f>'Paste cell here'!AA92</f>
        <v/>
      </c>
      <c r="O92" s="1">
        <f>'Paste cell here'!H92</f>
        <v/>
      </c>
      <c r="P92" s="1">
        <f>(M92-L92)*N92*1000</f>
        <v/>
      </c>
      <c r="Q92" s="1">
        <f>P92*O92</f>
        <v/>
      </c>
      <c r="R92" s="1">
        <f>M92*N92*1000-Q92</f>
        <v/>
      </c>
      <c r="S92" s="5">
        <f>H92/($N92*1000)</f>
        <v/>
      </c>
      <c r="T92" s="5">
        <f>R92/($N92*1000)</f>
        <v/>
      </c>
    </row>
    <row r="93">
      <c r="A93" s="1" t="n">
        <v>92</v>
      </c>
      <c r="B93" s="2">
        <f>DATE(Sintesi!$C$4-1,12,31)+A93</f>
        <v/>
      </c>
      <c r="C93" s="1">
        <f>'Paste cell here'!T93</f>
        <v/>
      </c>
      <c r="D93" s="1">
        <f>'Paste cell here'!AC93</f>
        <v/>
      </c>
      <c r="E93" s="1">
        <f>'Paste cell here'!Y93</f>
        <v/>
      </c>
      <c r="F93" s="1">
        <f>'Paste cell here'!AD93</f>
        <v/>
      </c>
      <c r="G93" s="1">
        <f>'Paste cell here'!W93</f>
        <v/>
      </c>
      <c r="H93" s="1">
        <f>'Paste cell here'!AE93</f>
        <v/>
      </c>
      <c r="I93" s="1">
        <f>'Paste cell here'!AF93</f>
        <v/>
      </c>
      <c r="J93" s="1">
        <f>ABS(I93+C93+D93-E93-F93-G93-H93)</f>
        <v/>
      </c>
      <c r="K93" s="1">
        <f>IF('Bilancio primo strato'!D93&gt;0,1,"")</f>
        <v/>
      </c>
      <c r="L93" s="7">
        <f>Sintesi!$C$34</f>
        <v/>
      </c>
      <c r="M93" s="7">
        <f>Sintesi!$C$33</f>
        <v/>
      </c>
      <c r="N93" s="1">
        <f>'Paste cell here'!AA93</f>
        <v/>
      </c>
      <c r="O93" s="1">
        <f>'Paste cell here'!H93</f>
        <v/>
      </c>
      <c r="P93" s="1">
        <f>(M93-L93)*N93*1000</f>
        <v/>
      </c>
      <c r="Q93" s="1">
        <f>P93*O93</f>
        <v/>
      </c>
      <c r="R93" s="1">
        <f>M93*N93*1000-Q93</f>
        <v/>
      </c>
      <c r="S93" s="5">
        <f>H93/($N93*1000)</f>
        <v/>
      </c>
      <c r="T93" s="5">
        <f>R93/($N93*1000)</f>
        <v/>
      </c>
    </row>
    <row r="94">
      <c r="A94" s="1" t="n">
        <v>93</v>
      </c>
      <c r="B94" s="2">
        <f>DATE(Sintesi!$C$4-1,12,31)+A94</f>
        <v/>
      </c>
      <c r="C94" s="1">
        <f>'Paste cell here'!T94</f>
        <v/>
      </c>
      <c r="D94" s="1">
        <f>'Paste cell here'!AC94</f>
        <v/>
      </c>
      <c r="E94" s="1">
        <f>'Paste cell here'!Y94</f>
        <v/>
      </c>
      <c r="F94" s="1">
        <f>'Paste cell here'!AD94</f>
        <v/>
      </c>
      <c r="G94" s="1">
        <f>'Paste cell here'!W94</f>
        <v/>
      </c>
      <c r="H94" s="1">
        <f>'Paste cell here'!AE94</f>
        <v/>
      </c>
      <c r="I94" s="1">
        <f>'Paste cell here'!AF94</f>
        <v/>
      </c>
      <c r="J94" s="1">
        <f>ABS(I94+C94+D94-E94-F94-G94-H94)</f>
        <v/>
      </c>
      <c r="K94" s="1">
        <f>IF('Bilancio primo strato'!D94&gt;0,1,"")</f>
        <v/>
      </c>
      <c r="L94" s="7">
        <f>Sintesi!$C$34</f>
        <v/>
      </c>
      <c r="M94" s="7">
        <f>Sintesi!$C$33</f>
        <v/>
      </c>
      <c r="N94" s="1">
        <f>'Paste cell here'!AA94</f>
        <v/>
      </c>
      <c r="O94" s="1">
        <f>'Paste cell here'!H94</f>
        <v/>
      </c>
      <c r="P94" s="1">
        <f>(M94-L94)*N94*1000</f>
        <v/>
      </c>
      <c r="Q94" s="1">
        <f>P94*O94</f>
        <v/>
      </c>
      <c r="R94" s="1">
        <f>M94*N94*1000-Q94</f>
        <v/>
      </c>
      <c r="S94" s="5">
        <f>H94/($N94*1000)</f>
        <v/>
      </c>
      <c r="T94" s="5">
        <f>R94/($N94*1000)</f>
        <v/>
      </c>
    </row>
    <row r="95">
      <c r="A95" s="1" t="n">
        <v>94</v>
      </c>
      <c r="B95" s="2">
        <f>DATE(Sintesi!$C$4-1,12,31)+A95</f>
        <v/>
      </c>
      <c r="C95" s="1">
        <f>'Paste cell here'!T95</f>
        <v/>
      </c>
      <c r="D95" s="1">
        <f>'Paste cell here'!AC95</f>
        <v/>
      </c>
      <c r="E95" s="1">
        <f>'Paste cell here'!Y95</f>
        <v/>
      </c>
      <c r="F95" s="1">
        <f>'Paste cell here'!AD95</f>
        <v/>
      </c>
      <c r="G95" s="1">
        <f>'Paste cell here'!W95</f>
        <v/>
      </c>
      <c r="H95" s="1">
        <f>'Paste cell here'!AE95</f>
        <v/>
      </c>
      <c r="I95" s="1">
        <f>'Paste cell here'!AF95</f>
        <v/>
      </c>
      <c r="J95" s="1">
        <f>ABS(I95+C95+D95-E95-F95-G95-H95)</f>
        <v/>
      </c>
      <c r="K95" s="1">
        <f>IF('Bilancio primo strato'!D95&gt;0,1,"")</f>
        <v/>
      </c>
      <c r="L95" s="7">
        <f>Sintesi!$C$34</f>
        <v/>
      </c>
      <c r="M95" s="7">
        <f>Sintesi!$C$33</f>
        <v/>
      </c>
      <c r="N95" s="1">
        <f>'Paste cell here'!AA95</f>
        <v/>
      </c>
      <c r="O95" s="1">
        <f>'Paste cell here'!H95</f>
        <v/>
      </c>
      <c r="P95" s="1">
        <f>(M95-L95)*N95*1000</f>
        <v/>
      </c>
      <c r="Q95" s="1">
        <f>P95*O95</f>
        <v/>
      </c>
      <c r="R95" s="1">
        <f>M95*N95*1000-Q95</f>
        <v/>
      </c>
      <c r="S95" s="5">
        <f>H95/($N95*1000)</f>
        <v/>
      </c>
      <c r="T95" s="5">
        <f>R95/($N95*1000)</f>
        <v/>
      </c>
    </row>
    <row r="96">
      <c r="A96" s="1" t="n">
        <v>95</v>
      </c>
      <c r="B96" s="2">
        <f>DATE(Sintesi!$C$4-1,12,31)+A96</f>
        <v/>
      </c>
      <c r="C96" s="1">
        <f>'Paste cell here'!T96</f>
        <v/>
      </c>
      <c r="D96" s="1">
        <f>'Paste cell here'!AC96</f>
        <v/>
      </c>
      <c r="E96" s="1">
        <f>'Paste cell here'!Y96</f>
        <v/>
      </c>
      <c r="F96" s="1">
        <f>'Paste cell here'!AD96</f>
        <v/>
      </c>
      <c r="G96" s="1">
        <f>'Paste cell here'!W96</f>
        <v/>
      </c>
      <c r="H96" s="1">
        <f>'Paste cell here'!AE96</f>
        <v/>
      </c>
      <c r="I96" s="1">
        <f>'Paste cell here'!AF96</f>
        <v/>
      </c>
      <c r="J96" s="1">
        <f>ABS(I96+C96+D96-E96-F96-G96-H96)</f>
        <v/>
      </c>
      <c r="K96" s="1">
        <f>IF('Bilancio primo strato'!D96&gt;0,1,"")</f>
        <v/>
      </c>
      <c r="L96" s="7">
        <f>Sintesi!$C$34</f>
        <v/>
      </c>
      <c r="M96" s="7">
        <f>Sintesi!$C$33</f>
        <v/>
      </c>
      <c r="N96" s="1">
        <f>'Paste cell here'!AA96</f>
        <v/>
      </c>
      <c r="O96" s="1">
        <f>'Paste cell here'!H96</f>
        <v/>
      </c>
      <c r="P96" s="1">
        <f>(M96-L96)*N96*1000</f>
        <v/>
      </c>
      <c r="Q96" s="1">
        <f>P96*O96</f>
        <v/>
      </c>
      <c r="R96" s="1">
        <f>M96*N96*1000-Q96</f>
        <v/>
      </c>
      <c r="S96" s="5">
        <f>H96/($N96*1000)</f>
        <v/>
      </c>
      <c r="T96" s="5">
        <f>R96/($N96*1000)</f>
        <v/>
      </c>
    </row>
    <row r="97">
      <c r="A97" s="1" t="n">
        <v>96</v>
      </c>
      <c r="B97" s="2">
        <f>DATE(Sintesi!$C$4-1,12,31)+A97</f>
        <v/>
      </c>
      <c r="C97" s="1">
        <f>'Paste cell here'!T97</f>
        <v/>
      </c>
      <c r="D97" s="1">
        <f>'Paste cell here'!AC97</f>
        <v/>
      </c>
      <c r="E97" s="1">
        <f>'Paste cell here'!Y97</f>
        <v/>
      </c>
      <c r="F97" s="1">
        <f>'Paste cell here'!AD97</f>
        <v/>
      </c>
      <c r="G97" s="1">
        <f>'Paste cell here'!W97</f>
        <v/>
      </c>
      <c r="H97" s="1">
        <f>'Paste cell here'!AE97</f>
        <v/>
      </c>
      <c r="I97" s="1">
        <f>'Paste cell here'!AF97</f>
        <v/>
      </c>
      <c r="J97" s="1">
        <f>ABS(I97+C97+D97-E97-F97-G97-H97)</f>
        <v/>
      </c>
      <c r="K97" s="1">
        <f>IF('Bilancio primo strato'!D97&gt;0,1,"")</f>
        <v/>
      </c>
      <c r="L97" s="7">
        <f>Sintesi!$C$34</f>
        <v/>
      </c>
      <c r="M97" s="7">
        <f>Sintesi!$C$33</f>
        <v/>
      </c>
      <c r="N97" s="1">
        <f>'Paste cell here'!AA97</f>
        <v/>
      </c>
      <c r="O97" s="1">
        <f>'Paste cell here'!H97</f>
        <v/>
      </c>
      <c r="P97" s="1">
        <f>(M97-L97)*N97*1000</f>
        <v/>
      </c>
      <c r="Q97" s="1">
        <f>P97*O97</f>
        <v/>
      </c>
      <c r="R97" s="1">
        <f>M97*N97*1000-Q97</f>
        <v/>
      </c>
      <c r="S97" s="5">
        <f>H97/($N97*1000)</f>
        <v/>
      </c>
      <c r="T97" s="5">
        <f>R97/($N97*1000)</f>
        <v/>
      </c>
    </row>
    <row r="98">
      <c r="A98" s="1" t="n">
        <v>97</v>
      </c>
      <c r="B98" s="2">
        <f>DATE(Sintesi!$C$4-1,12,31)+A98</f>
        <v/>
      </c>
      <c r="C98" s="1">
        <f>'Paste cell here'!T98</f>
        <v/>
      </c>
      <c r="D98" s="1">
        <f>'Paste cell here'!AC98</f>
        <v/>
      </c>
      <c r="E98" s="1">
        <f>'Paste cell here'!Y98</f>
        <v/>
      </c>
      <c r="F98" s="1">
        <f>'Paste cell here'!AD98</f>
        <v/>
      </c>
      <c r="G98" s="1">
        <f>'Paste cell here'!W98</f>
        <v/>
      </c>
      <c r="H98" s="1">
        <f>'Paste cell here'!AE98</f>
        <v/>
      </c>
      <c r="I98" s="1">
        <f>'Paste cell here'!AF98</f>
        <v/>
      </c>
      <c r="J98" s="1">
        <f>ABS(I98+C98+D98-E98-F98-G98-H98)</f>
        <v/>
      </c>
      <c r="K98" s="1">
        <f>IF('Bilancio primo strato'!D98&gt;0,1,"")</f>
        <v/>
      </c>
      <c r="L98" s="7">
        <f>Sintesi!$C$34</f>
        <v/>
      </c>
      <c r="M98" s="7">
        <f>Sintesi!$C$33</f>
        <v/>
      </c>
      <c r="N98" s="1">
        <f>'Paste cell here'!AA98</f>
        <v/>
      </c>
      <c r="O98" s="1">
        <f>'Paste cell here'!H98</f>
        <v/>
      </c>
      <c r="P98" s="1">
        <f>(M98-L98)*N98*1000</f>
        <v/>
      </c>
      <c r="Q98" s="1">
        <f>P98*O98</f>
        <v/>
      </c>
      <c r="R98" s="1">
        <f>M98*N98*1000-Q98</f>
        <v/>
      </c>
      <c r="S98" s="5">
        <f>H98/($N98*1000)</f>
        <v/>
      </c>
      <c r="T98" s="5">
        <f>R98/($N98*1000)</f>
        <v/>
      </c>
    </row>
    <row r="99">
      <c r="A99" s="1" t="n">
        <v>98</v>
      </c>
      <c r="B99" s="2">
        <f>DATE(Sintesi!$C$4-1,12,31)+A99</f>
        <v/>
      </c>
      <c r="C99" s="1">
        <f>'Paste cell here'!T99</f>
        <v/>
      </c>
      <c r="D99" s="1">
        <f>'Paste cell here'!AC99</f>
        <v/>
      </c>
      <c r="E99" s="1">
        <f>'Paste cell here'!Y99</f>
        <v/>
      </c>
      <c r="F99" s="1">
        <f>'Paste cell here'!AD99</f>
        <v/>
      </c>
      <c r="G99" s="1">
        <f>'Paste cell here'!W99</f>
        <v/>
      </c>
      <c r="H99" s="1">
        <f>'Paste cell here'!AE99</f>
        <v/>
      </c>
      <c r="I99" s="1">
        <f>'Paste cell here'!AF99</f>
        <v/>
      </c>
      <c r="J99" s="1">
        <f>ABS(I99+C99+D99-E99-F99-G99-H99)</f>
        <v/>
      </c>
      <c r="K99" s="1">
        <f>IF('Bilancio primo strato'!D99&gt;0,1,"")</f>
        <v/>
      </c>
      <c r="L99" s="7">
        <f>Sintesi!$C$34</f>
        <v/>
      </c>
      <c r="M99" s="7">
        <f>Sintesi!$C$33</f>
        <v/>
      </c>
      <c r="N99" s="1">
        <f>'Paste cell here'!AA99</f>
        <v/>
      </c>
      <c r="O99" s="1">
        <f>'Paste cell here'!H99</f>
        <v/>
      </c>
      <c r="P99" s="1">
        <f>(M99-L99)*N99*1000</f>
        <v/>
      </c>
      <c r="Q99" s="1">
        <f>P99*O99</f>
        <v/>
      </c>
      <c r="R99" s="1">
        <f>M99*N99*1000-Q99</f>
        <v/>
      </c>
      <c r="S99" s="5">
        <f>H99/($N99*1000)</f>
        <v/>
      </c>
      <c r="T99" s="5">
        <f>R99/($N99*1000)</f>
        <v/>
      </c>
    </row>
    <row r="100">
      <c r="A100" s="1" t="n">
        <v>99</v>
      </c>
      <c r="B100" s="2">
        <f>DATE(Sintesi!$C$4-1,12,31)+A100</f>
        <v/>
      </c>
      <c r="C100" s="1">
        <f>'Paste cell here'!T100</f>
        <v/>
      </c>
      <c r="D100" s="1">
        <f>'Paste cell here'!AC100</f>
        <v/>
      </c>
      <c r="E100" s="1">
        <f>'Paste cell here'!Y100</f>
        <v/>
      </c>
      <c r="F100" s="1">
        <f>'Paste cell here'!AD100</f>
        <v/>
      </c>
      <c r="G100" s="1">
        <f>'Paste cell here'!W100</f>
        <v/>
      </c>
      <c r="H100" s="1">
        <f>'Paste cell here'!AE100</f>
        <v/>
      </c>
      <c r="I100" s="1">
        <f>'Paste cell here'!AF100</f>
        <v/>
      </c>
      <c r="J100" s="1">
        <f>ABS(I100+C100+D100-E100-F100-G100-H100)</f>
        <v/>
      </c>
      <c r="K100" s="1">
        <f>IF('Bilancio primo strato'!D100&gt;0,1,"")</f>
        <v/>
      </c>
      <c r="L100" s="7">
        <f>Sintesi!$C$34</f>
        <v/>
      </c>
      <c r="M100" s="7">
        <f>Sintesi!$C$33</f>
        <v/>
      </c>
      <c r="N100" s="1">
        <f>'Paste cell here'!AA100</f>
        <v/>
      </c>
      <c r="O100" s="1">
        <f>'Paste cell here'!H100</f>
        <v/>
      </c>
      <c r="P100" s="1">
        <f>(M100-L100)*N100*1000</f>
        <v/>
      </c>
      <c r="Q100" s="1">
        <f>P100*O100</f>
        <v/>
      </c>
      <c r="R100" s="1">
        <f>M100*N100*1000-Q100</f>
        <v/>
      </c>
      <c r="S100" s="5">
        <f>H100/($N100*1000)</f>
        <v/>
      </c>
      <c r="T100" s="5">
        <f>R100/($N100*1000)</f>
        <v/>
      </c>
    </row>
    <row r="101">
      <c r="A101" s="1" t="n">
        <v>100</v>
      </c>
      <c r="B101" s="2">
        <f>DATE(Sintesi!$C$4-1,12,31)+A101</f>
        <v/>
      </c>
      <c r="C101" s="1">
        <f>'Paste cell here'!T101</f>
        <v/>
      </c>
      <c r="D101" s="1">
        <f>'Paste cell here'!AC101</f>
        <v/>
      </c>
      <c r="E101" s="1">
        <f>'Paste cell here'!Y101</f>
        <v/>
      </c>
      <c r="F101" s="1">
        <f>'Paste cell here'!AD101</f>
        <v/>
      </c>
      <c r="G101" s="1">
        <f>'Paste cell here'!W101</f>
        <v/>
      </c>
      <c r="H101" s="1">
        <f>'Paste cell here'!AE101</f>
        <v/>
      </c>
      <c r="I101" s="1">
        <f>'Paste cell here'!AF101</f>
        <v/>
      </c>
      <c r="J101" s="1">
        <f>ABS(I101+C101+D101-E101-F101-G101-H101)</f>
        <v/>
      </c>
      <c r="K101" s="1">
        <f>IF('Bilancio primo strato'!D101&gt;0,1,"")</f>
        <v/>
      </c>
      <c r="L101" s="7">
        <f>Sintesi!$C$34</f>
        <v/>
      </c>
      <c r="M101" s="7">
        <f>Sintesi!$C$33</f>
        <v/>
      </c>
      <c r="N101" s="1">
        <f>'Paste cell here'!AA101</f>
        <v/>
      </c>
      <c r="O101" s="1">
        <f>'Paste cell here'!H101</f>
        <v/>
      </c>
      <c r="P101" s="1">
        <f>(M101-L101)*N101*1000</f>
        <v/>
      </c>
      <c r="Q101" s="1">
        <f>P101*O101</f>
        <v/>
      </c>
      <c r="R101" s="1">
        <f>M101*N101*1000-Q101</f>
        <v/>
      </c>
      <c r="S101" s="5">
        <f>H101/($N101*1000)</f>
        <v/>
      </c>
      <c r="T101" s="5">
        <f>R101/($N101*1000)</f>
        <v/>
      </c>
    </row>
    <row r="102">
      <c r="A102" s="1" t="n">
        <v>101</v>
      </c>
      <c r="B102" s="2">
        <f>DATE(Sintesi!$C$4-1,12,31)+A102</f>
        <v/>
      </c>
      <c r="C102" s="1">
        <f>'Paste cell here'!T102</f>
        <v/>
      </c>
      <c r="D102" s="1">
        <f>'Paste cell here'!AC102</f>
        <v/>
      </c>
      <c r="E102" s="1">
        <f>'Paste cell here'!Y102</f>
        <v/>
      </c>
      <c r="F102" s="1">
        <f>'Paste cell here'!AD102</f>
        <v/>
      </c>
      <c r="G102" s="1">
        <f>'Paste cell here'!W102</f>
        <v/>
      </c>
      <c r="H102" s="1">
        <f>'Paste cell here'!AE102</f>
        <v/>
      </c>
      <c r="I102" s="1">
        <f>'Paste cell here'!AF102</f>
        <v/>
      </c>
      <c r="J102" s="1">
        <f>ABS(I102+C102+D102-E102-F102-G102-H102)</f>
        <v/>
      </c>
      <c r="K102" s="1">
        <f>IF('Bilancio primo strato'!D102&gt;0,1,"")</f>
        <v/>
      </c>
      <c r="L102" s="7">
        <f>Sintesi!$C$34</f>
        <v/>
      </c>
      <c r="M102" s="7">
        <f>Sintesi!$C$33</f>
        <v/>
      </c>
      <c r="N102" s="1">
        <f>'Paste cell here'!AA102</f>
        <v/>
      </c>
      <c r="O102" s="1">
        <f>'Paste cell here'!H102</f>
        <v/>
      </c>
      <c r="P102" s="1">
        <f>(M102-L102)*N102*1000</f>
        <v/>
      </c>
      <c r="Q102" s="1">
        <f>P102*O102</f>
        <v/>
      </c>
      <c r="R102" s="1">
        <f>M102*N102*1000-Q102</f>
        <v/>
      </c>
      <c r="S102" s="5">
        <f>H102/($N102*1000)</f>
        <v/>
      </c>
      <c r="T102" s="5">
        <f>R102/($N102*1000)</f>
        <v/>
      </c>
    </row>
    <row r="103">
      <c r="A103" s="1" t="n">
        <v>102</v>
      </c>
      <c r="B103" s="2">
        <f>DATE(Sintesi!$C$4-1,12,31)+A103</f>
        <v/>
      </c>
      <c r="C103" s="1">
        <f>'Paste cell here'!T103</f>
        <v/>
      </c>
      <c r="D103" s="1">
        <f>'Paste cell here'!AC103</f>
        <v/>
      </c>
      <c r="E103" s="1">
        <f>'Paste cell here'!Y103</f>
        <v/>
      </c>
      <c r="F103" s="1">
        <f>'Paste cell here'!AD103</f>
        <v/>
      </c>
      <c r="G103" s="1">
        <f>'Paste cell here'!W103</f>
        <v/>
      </c>
      <c r="H103" s="1">
        <f>'Paste cell here'!AE103</f>
        <v/>
      </c>
      <c r="I103" s="1">
        <f>'Paste cell here'!AF103</f>
        <v/>
      </c>
      <c r="J103" s="1">
        <f>ABS(I103+C103+D103-E103-F103-G103-H103)</f>
        <v/>
      </c>
      <c r="K103" s="1">
        <f>IF('Bilancio primo strato'!D103&gt;0,1,"")</f>
        <v/>
      </c>
      <c r="L103" s="7">
        <f>Sintesi!$C$34</f>
        <v/>
      </c>
      <c r="M103" s="7">
        <f>Sintesi!$C$33</f>
        <v/>
      </c>
      <c r="N103" s="1">
        <f>'Paste cell here'!AA103</f>
        <v/>
      </c>
      <c r="O103" s="1">
        <f>'Paste cell here'!H103</f>
        <v/>
      </c>
      <c r="P103" s="1">
        <f>(M103-L103)*N103*1000</f>
        <v/>
      </c>
      <c r="Q103" s="1">
        <f>P103*O103</f>
        <v/>
      </c>
      <c r="R103" s="1">
        <f>M103*N103*1000-Q103</f>
        <v/>
      </c>
      <c r="S103" s="5">
        <f>H103/($N103*1000)</f>
        <v/>
      </c>
      <c r="T103" s="5">
        <f>R103/($N103*1000)</f>
        <v/>
      </c>
    </row>
    <row r="104">
      <c r="A104" s="1" t="n">
        <v>103</v>
      </c>
      <c r="B104" s="2">
        <f>DATE(Sintesi!$C$4-1,12,31)+A104</f>
        <v/>
      </c>
      <c r="C104" s="1">
        <f>'Paste cell here'!T104</f>
        <v/>
      </c>
      <c r="D104" s="1">
        <f>'Paste cell here'!AC104</f>
        <v/>
      </c>
      <c r="E104" s="1">
        <f>'Paste cell here'!Y104</f>
        <v/>
      </c>
      <c r="F104" s="1">
        <f>'Paste cell here'!AD104</f>
        <v/>
      </c>
      <c r="G104" s="1">
        <f>'Paste cell here'!W104</f>
        <v/>
      </c>
      <c r="H104" s="1">
        <f>'Paste cell here'!AE104</f>
        <v/>
      </c>
      <c r="I104" s="1">
        <f>'Paste cell here'!AF104</f>
        <v/>
      </c>
      <c r="J104" s="1">
        <f>ABS(I104+C104+D104-E104-F104-G104-H104)</f>
        <v/>
      </c>
      <c r="K104" s="1">
        <f>IF('Bilancio primo strato'!D104&gt;0,1,"")</f>
        <v/>
      </c>
      <c r="L104" s="7">
        <f>Sintesi!$C$34</f>
        <v/>
      </c>
      <c r="M104" s="7">
        <f>Sintesi!$C$33</f>
        <v/>
      </c>
      <c r="N104" s="1">
        <f>'Paste cell here'!AA104</f>
        <v/>
      </c>
      <c r="O104" s="1">
        <f>'Paste cell here'!H104</f>
        <v/>
      </c>
      <c r="P104" s="1">
        <f>(M104-L104)*N104*1000</f>
        <v/>
      </c>
      <c r="Q104" s="1">
        <f>P104*O104</f>
        <v/>
      </c>
      <c r="R104" s="1">
        <f>M104*N104*1000-Q104</f>
        <v/>
      </c>
      <c r="S104" s="5">
        <f>H104/($N104*1000)</f>
        <v/>
      </c>
      <c r="T104" s="5">
        <f>R104/($N104*1000)</f>
        <v/>
      </c>
    </row>
    <row r="105">
      <c r="A105" s="1" t="n">
        <v>104</v>
      </c>
      <c r="B105" s="2">
        <f>DATE(Sintesi!$C$4-1,12,31)+A105</f>
        <v/>
      </c>
      <c r="C105" s="1">
        <f>'Paste cell here'!T105</f>
        <v/>
      </c>
      <c r="D105" s="1">
        <f>'Paste cell here'!AC105</f>
        <v/>
      </c>
      <c r="E105" s="1">
        <f>'Paste cell here'!Y105</f>
        <v/>
      </c>
      <c r="F105" s="1">
        <f>'Paste cell here'!AD105</f>
        <v/>
      </c>
      <c r="G105" s="1">
        <f>'Paste cell here'!W105</f>
        <v/>
      </c>
      <c r="H105" s="1">
        <f>'Paste cell here'!AE105</f>
        <v/>
      </c>
      <c r="I105" s="1">
        <f>'Paste cell here'!AF105</f>
        <v/>
      </c>
      <c r="J105" s="1">
        <f>ABS(I105+C105+D105-E105-F105-G105-H105)</f>
        <v/>
      </c>
      <c r="K105" s="1">
        <f>IF('Bilancio primo strato'!D105&gt;0,1,"")</f>
        <v/>
      </c>
      <c r="L105" s="7">
        <f>Sintesi!$C$34</f>
        <v/>
      </c>
      <c r="M105" s="7">
        <f>Sintesi!$C$33</f>
        <v/>
      </c>
      <c r="N105" s="1">
        <f>'Paste cell here'!AA105</f>
        <v/>
      </c>
      <c r="O105" s="1">
        <f>'Paste cell here'!H105</f>
        <v/>
      </c>
      <c r="P105" s="1">
        <f>(M105-L105)*N105*1000</f>
        <v/>
      </c>
      <c r="Q105" s="1">
        <f>P105*O105</f>
        <v/>
      </c>
      <c r="R105" s="1">
        <f>M105*N105*1000-Q105</f>
        <v/>
      </c>
      <c r="S105" s="5">
        <f>H105/($N105*1000)</f>
        <v/>
      </c>
      <c r="T105" s="5">
        <f>R105/($N105*1000)</f>
        <v/>
      </c>
    </row>
    <row r="106">
      <c r="A106" s="1" t="n">
        <v>105</v>
      </c>
      <c r="B106" s="2">
        <f>DATE(Sintesi!$C$4-1,12,31)+A106</f>
        <v/>
      </c>
      <c r="C106" s="1">
        <f>'Paste cell here'!T106</f>
        <v/>
      </c>
      <c r="D106" s="1">
        <f>'Paste cell here'!AC106</f>
        <v/>
      </c>
      <c r="E106" s="1">
        <f>'Paste cell here'!Y106</f>
        <v/>
      </c>
      <c r="F106" s="1">
        <f>'Paste cell here'!AD106</f>
        <v/>
      </c>
      <c r="G106" s="1">
        <f>'Paste cell here'!W106</f>
        <v/>
      </c>
      <c r="H106" s="1">
        <f>'Paste cell here'!AE106</f>
        <v/>
      </c>
      <c r="I106" s="1">
        <f>'Paste cell here'!AF106</f>
        <v/>
      </c>
      <c r="J106" s="1">
        <f>ABS(I106+C106+D106-E106-F106-G106-H106)</f>
        <v/>
      </c>
      <c r="K106" s="1">
        <f>IF('Bilancio primo strato'!D106&gt;0,1,"")</f>
        <v/>
      </c>
      <c r="L106" s="7">
        <f>Sintesi!$C$34</f>
        <v/>
      </c>
      <c r="M106" s="7">
        <f>Sintesi!$C$33</f>
        <v/>
      </c>
      <c r="N106" s="1">
        <f>'Paste cell here'!AA106</f>
        <v/>
      </c>
      <c r="O106" s="1">
        <f>'Paste cell here'!H106</f>
        <v/>
      </c>
      <c r="P106" s="1">
        <f>(M106-L106)*N106*1000</f>
        <v/>
      </c>
      <c r="Q106" s="1">
        <f>P106*O106</f>
        <v/>
      </c>
      <c r="R106" s="1">
        <f>M106*N106*1000-Q106</f>
        <v/>
      </c>
      <c r="S106" s="5">
        <f>H106/($N106*1000)</f>
        <v/>
      </c>
      <c r="T106" s="5">
        <f>R106/($N106*1000)</f>
        <v/>
      </c>
    </row>
    <row r="107">
      <c r="A107" s="1" t="n">
        <v>106</v>
      </c>
      <c r="B107" s="2">
        <f>DATE(Sintesi!$C$4-1,12,31)+A107</f>
        <v/>
      </c>
      <c r="C107" s="1">
        <f>'Paste cell here'!T107</f>
        <v/>
      </c>
      <c r="D107" s="1">
        <f>'Paste cell here'!AC107</f>
        <v/>
      </c>
      <c r="E107" s="1">
        <f>'Paste cell here'!Y107</f>
        <v/>
      </c>
      <c r="F107" s="1">
        <f>'Paste cell here'!AD107</f>
        <v/>
      </c>
      <c r="G107" s="1">
        <f>'Paste cell here'!W107</f>
        <v/>
      </c>
      <c r="H107" s="1">
        <f>'Paste cell here'!AE107</f>
        <v/>
      </c>
      <c r="I107" s="1">
        <f>'Paste cell here'!AF107</f>
        <v/>
      </c>
      <c r="J107" s="1">
        <f>ABS(I107+C107+D107-E107-F107-G107-H107)</f>
        <v/>
      </c>
      <c r="K107" s="1">
        <f>IF('Bilancio primo strato'!D107&gt;0,1,"")</f>
        <v/>
      </c>
      <c r="L107" s="7">
        <f>Sintesi!$C$34</f>
        <v/>
      </c>
      <c r="M107" s="7">
        <f>Sintesi!$C$33</f>
        <v/>
      </c>
      <c r="N107" s="1">
        <f>'Paste cell here'!AA107</f>
        <v/>
      </c>
      <c r="O107" s="1">
        <f>'Paste cell here'!H107</f>
        <v/>
      </c>
      <c r="P107" s="1">
        <f>(M107-L107)*N107*1000</f>
        <v/>
      </c>
      <c r="Q107" s="1">
        <f>P107*O107</f>
        <v/>
      </c>
      <c r="R107" s="1">
        <f>M107*N107*1000-Q107</f>
        <v/>
      </c>
      <c r="S107" s="5">
        <f>H107/($N107*1000)</f>
        <v/>
      </c>
      <c r="T107" s="5">
        <f>R107/($N107*1000)</f>
        <v/>
      </c>
    </row>
    <row r="108">
      <c r="A108" s="1" t="n">
        <v>107</v>
      </c>
      <c r="B108" s="2">
        <f>DATE(Sintesi!$C$4-1,12,31)+A108</f>
        <v/>
      </c>
      <c r="C108" s="1">
        <f>'Paste cell here'!T108</f>
        <v/>
      </c>
      <c r="D108" s="1">
        <f>'Paste cell here'!AC108</f>
        <v/>
      </c>
      <c r="E108" s="1">
        <f>'Paste cell here'!Y108</f>
        <v/>
      </c>
      <c r="F108" s="1">
        <f>'Paste cell here'!AD108</f>
        <v/>
      </c>
      <c r="G108" s="1">
        <f>'Paste cell here'!W108</f>
        <v/>
      </c>
      <c r="H108" s="1">
        <f>'Paste cell here'!AE108</f>
        <v/>
      </c>
      <c r="I108" s="1">
        <f>'Paste cell here'!AF108</f>
        <v/>
      </c>
      <c r="J108" s="1">
        <f>ABS(I108+C108+D108-E108-F108-G108-H108)</f>
        <v/>
      </c>
      <c r="K108" s="1">
        <f>IF('Bilancio primo strato'!D108&gt;0,1,"")</f>
        <v/>
      </c>
      <c r="L108" s="7">
        <f>Sintesi!$C$34</f>
        <v/>
      </c>
      <c r="M108" s="7">
        <f>Sintesi!$C$33</f>
        <v/>
      </c>
      <c r="N108" s="1">
        <f>'Paste cell here'!AA108</f>
        <v/>
      </c>
      <c r="O108" s="1">
        <f>'Paste cell here'!H108</f>
        <v/>
      </c>
      <c r="P108" s="1">
        <f>(M108-L108)*N108*1000</f>
        <v/>
      </c>
      <c r="Q108" s="1">
        <f>P108*O108</f>
        <v/>
      </c>
      <c r="R108" s="1">
        <f>M108*N108*1000-Q108</f>
        <v/>
      </c>
      <c r="S108" s="5">
        <f>H108/($N108*1000)</f>
        <v/>
      </c>
      <c r="T108" s="5">
        <f>R108/($N108*1000)</f>
        <v/>
      </c>
    </row>
    <row r="109">
      <c r="A109" s="1" t="n">
        <v>108</v>
      </c>
      <c r="B109" s="2">
        <f>DATE(Sintesi!$C$4-1,12,31)+A109</f>
        <v/>
      </c>
      <c r="C109" s="1">
        <f>'Paste cell here'!T109</f>
        <v/>
      </c>
      <c r="D109" s="1">
        <f>'Paste cell here'!AC109</f>
        <v/>
      </c>
      <c r="E109" s="1">
        <f>'Paste cell here'!Y109</f>
        <v/>
      </c>
      <c r="F109" s="1">
        <f>'Paste cell here'!AD109</f>
        <v/>
      </c>
      <c r="G109" s="1">
        <f>'Paste cell here'!W109</f>
        <v/>
      </c>
      <c r="H109" s="1">
        <f>'Paste cell here'!AE109</f>
        <v/>
      </c>
      <c r="I109" s="1">
        <f>'Paste cell here'!AF109</f>
        <v/>
      </c>
      <c r="J109" s="1">
        <f>ABS(I109+C109+D109-E109-F109-G109-H109)</f>
        <v/>
      </c>
      <c r="K109" s="1">
        <f>IF('Bilancio primo strato'!D109&gt;0,1,"")</f>
        <v/>
      </c>
      <c r="L109" s="7">
        <f>Sintesi!$C$34</f>
        <v/>
      </c>
      <c r="M109" s="7">
        <f>Sintesi!$C$33</f>
        <v/>
      </c>
      <c r="N109" s="1">
        <f>'Paste cell here'!AA109</f>
        <v/>
      </c>
      <c r="O109" s="1">
        <f>'Paste cell here'!H109</f>
        <v/>
      </c>
      <c r="P109" s="1">
        <f>(M109-L109)*N109*1000</f>
        <v/>
      </c>
      <c r="Q109" s="1">
        <f>P109*O109</f>
        <v/>
      </c>
      <c r="R109" s="1">
        <f>M109*N109*1000-Q109</f>
        <v/>
      </c>
      <c r="S109" s="5">
        <f>H109/($N109*1000)</f>
        <v/>
      </c>
      <c r="T109" s="5">
        <f>R109/($N109*1000)</f>
        <v/>
      </c>
    </row>
    <row r="110">
      <c r="A110" s="1" t="n">
        <v>109</v>
      </c>
      <c r="B110" s="2">
        <f>DATE(Sintesi!$C$4-1,12,31)+A110</f>
        <v/>
      </c>
      <c r="C110" s="1">
        <f>'Paste cell here'!T110</f>
        <v/>
      </c>
      <c r="D110" s="1">
        <f>'Paste cell here'!AC110</f>
        <v/>
      </c>
      <c r="E110" s="1">
        <f>'Paste cell here'!Y110</f>
        <v/>
      </c>
      <c r="F110" s="1">
        <f>'Paste cell here'!AD110</f>
        <v/>
      </c>
      <c r="G110" s="1">
        <f>'Paste cell here'!W110</f>
        <v/>
      </c>
      <c r="H110" s="1">
        <f>'Paste cell here'!AE110</f>
        <v/>
      </c>
      <c r="I110" s="1">
        <f>'Paste cell here'!AF110</f>
        <v/>
      </c>
      <c r="J110" s="1">
        <f>ABS(I110+C110+D110-E110-F110-G110-H110)</f>
        <v/>
      </c>
      <c r="K110" s="1">
        <f>IF('Bilancio primo strato'!D110&gt;0,1,"")</f>
        <v/>
      </c>
      <c r="L110" s="7">
        <f>Sintesi!$C$34</f>
        <v/>
      </c>
      <c r="M110" s="7">
        <f>Sintesi!$C$33</f>
        <v/>
      </c>
      <c r="N110" s="1">
        <f>'Paste cell here'!AA110</f>
        <v/>
      </c>
      <c r="O110" s="1">
        <f>'Paste cell here'!H110</f>
        <v/>
      </c>
      <c r="P110" s="1">
        <f>(M110-L110)*N110*1000</f>
        <v/>
      </c>
      <c r="Q110" s="1">
        <f>P110*O110</f>
        <v/>
      </c>
      <c r="R110" s="1">
        <f>M110*N110*1000-Q110</f>
        <v/>
      </c>
      <c r="S110" s="5">
        <f>H110/($N110*1000)</f>
        <v/>
      </c>
      <c r="T110" s="5">
        <f>R110/($N110*1000)</f>
        <v/>
      </c>
    </row>
    <row r="111">
      <c r="A111" s="1" t="n">
        <v>110</v>
      </c>
      <c r="B111" s="2">
        <f>DATE(Sintesi!$C$4-1,12,31)+A111</f>
        <v/>
      </c>
      <c r="C111" s="1">
        <f>'Paste cell here'!T111</f>
        <v/>
      </c>
      <c r="D111" s="1">
        <f>'Paste cell here'!AC111</f>
        <v/>
      </c>
      <c r="E111" s="1">
        <f>'Paste cell here'!Y111</f>
        <v/>
      </c>
      <c r="F111" s="1">
        <f>'Paste cell here'!AD111</f>
        <v/>
      </c>
      <c r="G111" s="1">
        <f>'Paste cell here'!W111</f>
        <v/>
      </c>
      <c r="H111" s="1">
        <f>'Paste cell here'!AE111</f>
        <v/>
      </c>
      <c r="I111" s="1">
        <f>'Paste cell here'!AF111</f>
        <v/>
      </c>
      <c r="J111" s="1">
        <f>ABS(I111+C111+D111-E111-F111-G111-H111)</f>
        <v/>
      </c>
      <c r="K111" s="1">
        <f>IF('Bilancio primo strato'!D111&gt;0,1,"")</f>
        <v/>
      </c>
      <c r="L111" s="7">
        <f>Sintesi!$C$34</f>
        <v/>
      </c>
      <c r="M111" s="7">
        <f>Sintesi!$C$33</f>
        <v/>
      </c>
      <c r="N111" s="1">
        <f>'Paste cell here'!AA111</f>
        <v/>
      </c>
      <c r="O111" s="1">
        <f>'Paste cell here'!H111</f>
        <v/>
      </c>
      <c r="P111" s="1">
        <f>(M111-L111)*N111*1000</f>
        <v/>
      </c>
      <c r="Q111" s="1">
        <f>P111*O111</f>
        <v/>
      </c>
      <c r="R111" s="1">
        <f>M111*N111*1000-Q111</f>
        <v/>
      </c>
      <c r="S111" s="5">
        <f>H111/($N111*1000)</f>
        <v/>
      </c>
      <c r="T111" s="5">
        <f>R111/($N111*1000)</f>
        <v/>
      </c>
    </row>
    <row r="112">
      <c r="A112" s="1" t="n">
        <v>111</v>
      </c>
      <c r="B112" s="2">
        <f>DATE(Sintesi!$C$4-1,12,31)+A112</f>
        <v/>
      </c>
      <c r="C112" s="1">
        <f>'Paste cell here'!T112</f>
        <v/>
      </c>
      <c r="D112" s="1">
        <f>'Paste cell here'!AC112</f>
        <v/>
      </c>
      <c r="E112" s="1">
        <f>'Paste cell here'!Y112</f>
        <v/>
      </c>
      <c r="F112" s="1">
        <f>'Paste cell here'!AD112</f>
        <v/>
      </c>
      <c r="G112" s="1">
        <f>'Paste cell here'!W112</f>
        <v/>
      </c>
      <c r="H112" s="1">
        <f>'Paste cell here'!AE112</f>
        <v/>
      </c>
      <c r="I112" s="1">
        <f>'Paste cell here'!AF112</f>
        <v/>
      </c>
      <c r="J112" s="1">
        <f>ABS(I112+C112+D112-E112-F112-G112-H112)</f>
        <v/>
      </c>
      <c r="K112" s="1">
        <f>IF('Bilancio primo strato'!D112&gt;0,1,"")</f>
        <v/>
      </c>
      <c r="L112" s="7">
        <f>Sintesi!$C$34</f>
        <v/>
      </c>
      <c r="M112" s="7">
        <f>Sintesi!$C$33</f>
        <v/>
      </c>
      <c r="N112" s="1">
        <f>'Paste cell here'!AA112</f>
        <v/>
      </c>
      <c r="O112" s="1">
        <f>'Paste cell here'!H112</f>
        <v/>
      </c>
      <c r="P112" s="1">
        <f>(M112-L112)*N112*1000</f>
        <v/>
      </c>
      <c r="Q112" s="1">
        <f>P112*O112</f>
        <v/>
      </c>
      <c r="R112" s="1">
        <f>M112*N112*1000-Q112</f>
        <v/>
      </c>
      <c r="S112" s="5">
        <f>H112/($N112*1000)</f>
        <v/>
      </c>
      <c r="T112" s="5">
        <f>R112/($N112*1000)</f>
        <v/>
      </c>
    </row>
    <row r="113">
      <c r="A113" s="1" t="n">
        <v>112</v>
      </c>
      <c r="B113" s="2">
        <f>DATE(Sintesi!$C$4-1,12,31)+A113</f>
        <v/>
      </c>
      <c r="C113" s="1">
        <f>'Paste cell here'!T113</f>
        <v/>
      </c>
      <c r="D113" s="1">
        <f>'Paste cell here'!AC113</f>
        <v/>
      </c>
      <c r="E113" s="1">
        <f>'Paste cell here'!Y113</f>
        <v/>
      </c>
      <c r="F113" s="1">
        <f>'Paste cell here'!AD113</f>
        <v/>
      </c>
      <c r="G113" s="1">
        <f>'Paste cell here'!W113</f>
        <v/>
      </c>
      <c r="H113" s="1">
        <f>'Paste cell here'!AE113</f>
        <v/>
      </c>
      <c r="I113" s="1">
        <f>'Paste cell here'!AF113</f>
        <v/>
      </c>
      <c r="J113" s="1">
        <f>ABS(I113+C113+D113-E113-F113-G113-H113)</f>
        <v/>
      </c>
      <c r="K113" s="1">
        <f>IF('Bilancio primo strato'!D113&gt;0,1,"")</f>
        <v/>
      </c>
      <c r="L113" s="7">
        <f>Sintesi!$C$34</f>
        <v/>
      </c>
      <c r="M113" s="7">
        <f>Sintesi!$C$33</f>
        <v/>
      </c>
      <c r="N113" s="1">
        <f>'Paste cell here'!AA113</f>
        <v/>
      </c>
      <c r="O113" s="1">
        <f>'Paste cell here'!H113</f>
        <v/>
      </c>
      <c r="P113" s="1">
        <f>(M113-L113)*N113*1000</f>
        <v/>
      </c>
      <c r="Q113" s="1">
        <f>P113*O113</f>
        <v/>
      </c>
      <c r="R113" s="1">
        <f>M113*N113*1000-Q113</f>
        <v/>
      </c>
      <c r="S113" s="5">
        <f>H113/($N113*1000)</f>
        <v/>
      </c>
      <c r="T113" s="5">
        <f>R113/($N113*1000)</f>
        <v/>
      </c>
    </row>
    <row r="114">
      <c r="A114" s="1" t="n">
        <v>113</v>
      </c>
      <c r="B114" s="2">
        <f>DATE(Sintesi!$C$4-1,12,31)+A114</f>
        <v/>
      </c>
      <c r="C114" s="1">
        <f>'Paste cell here'!T114</f>
        <v/>
      </c>
      <c r="D114" s="1">
        <f>'Paste cell here'!AC114</f>
        <v/>
      </c>
      <c r="E114" s="1">
        <f>'Paste cell here'!Y114</f>
        <v/>
      </c>
      <c r="F114" s="1">
        <f>'Paste cell here'!AD114</f>
        <v/>
      </c>
      <c r="G114" s="1">
        <f>'Paste cell here'!W114</f>
        <v/>
      </c>
      <c r="H114" s="1">
        <f>'Paste cell here'!AE114</f>
        <v/>
      </c>
      <c r="I114" s="1">
        <f>'Paste cell here'!AF114</f>
        <v/>
      </c>
      <c r="J114" s="1">
        <f>ABS(I114+C114+D114-E114-F114-G114-H114)</f>
        <v/>
      </c>
      <c r="K114" s="1">
        <f>IF('Bilancio primo strato'!D114&gt;0,1,"")</f>
        <v/>
      </c>
      <c r="L114" s="7">
        <f>Sintesi!$C$34</f>
        <v/>
      </c>
      <c r="M114" s="7">
        <f>Sintesi!$C$33</f>
        <v/>
      </c>
      <c r="N114" s="1">
        <f>'Paste cell here'!AA114</f>
        <v/>
      </c>
      <c r="O114" s="1">
        <f>'Paste cell here'!H114</f>
        <v/>
      </c>
      <c r="P114" s="1">
        <f>(M114-L114)*N114*1000</f>
        <v/>
      </c>
      <c r="Q114" s="1">
        <f>P114*O114</f>
        <v/>
      </c>
      <c r="R114" s="1">
        <f>M114*N114*1000-Q114</f>
        <v/>
      </c>
      <c r="S114" s="5">
        <f>H114/($N114*1000)</f>
        <v/>
      </c>
      <c r="T114" s="5">
        <f>R114/($N114*1000)</f>
        <v/>
      </c>
    </row>
    <row r="115">
      <c r="A115" s="1" t="n">
        <v>114</v>
      </c>
      <c r="B115" s="2">
        <f>DATE(Sintesi!$C$4-1,12,31)+A115</f>
        <v/>
      </c>
      <c r="C115" s="1">
        <f>'Paste cell here'!T115</f>
        <v/>
      </c>
      <c r="D115" s="1">
        <f>'Paste cell here'!AC115</f>
        <v/>
      </c>
      <c r="E115" s="1">
        <f>'Paste cell here'!Y115</f>
        <v/>
      </c>
      <c r="F115" s="1">
        <f>'Paste cell here'!AD115</f>
        <v/>
      </c>
      <c r="G115" s="1">
        <f>'Paste cell here'!W115</f>
        <v/>
      </c>
      <c r="H115" s="1">
        <f>'Paste cell here'!AE115</f>
        <v/>
      </c>
      <c r="I115" s="1">
        <f>'Paste cell here'!AF115</f>
        <v/>
      </c>
      <c r="J115" s="1">
        <f>ABS(I115+C115+D115-E115-F115-G115-H115)</f>
        <v/>
      </c>
      <c r="K115" s="1">
        <f>IF('Bilancio primo strato'!D115&gt;0,1,"")</f>
        <v/>
      </c>
      <c r="L115" s="7">
        <f>Sintesi!$C$34</f>
        <v/>
      </c>
      <c r="M115" s="7">
        <f>Sintesi!$C$33</f>
        <v/>
      </c>
      <c r="N115" s="1">
        <f>'Paste cell here'!AA115</f>
        <v/>
      </c>
      <c r="O115" s="1">
        <f>'Paste cell here'!H115</f>
        <v/>
      </c>
      <c r="P115" s="1">
        <f>(M115-L115)*N115*1000</f>
        <v/>
      </c>
      <c r="Q115" s="1">
        <f>P115*O115</f>
        <v/>
      </c>
      <c r="R115" s="1">
        <f>M115*N115*1000-Q115</f>
        <v/>
      </c>
      <c r="S115" s="5">
        <f>H115/($N115*1000)</f>
        <v/>
      </c>
      <c r="T115" s="5">
        <f>R115/($N115*1000)</f>
        <v/>
      </c>
    </row>
    <row r="116">
      <c r="A116" s="1" t="n">
        <v>115</v>
      </c>
      <c r="B116" s="2">
        <f>DATE(Sintesi!$C$4-1,12,31)+A116</f>
        <v/>
      </c>
      <c r="C116" s="1">
        <f>'Paste cell here'!T116</f>
        <v/>
      </c>
      <c r="D116" s="1">
        <f>'Paste cell here'!AC116</f>
        <v/>
      </c>
      <c r="E116" s="1">
        <f>'Paste cell here'!Y116</f>
        <v/>
      </c>
      <c r="F116" s="1">
        <f>'Paste cell here'!AD116</f>
        <v/>
      </c>
      <c r="G116" s="1">
        <f>'Paste cell here'!W116</f>
        <v/>
      </c>
      <c r="H116" s="1">
        <f>'Paste cell here'!AE116</f>
        <v/>
      </c>
      <c r="I116" s="1">
        <f>'Paste cell here'!AF116</f>
        <v/>
      </c>
      <c r="J116" s="1">
        <f>ABS(I116+C116+D116-E116-F116-G116-H116)</f>
        <v/>
      </c>
      <c r="K116" s="1">
        <f>IF('Bilancio primo strato'!D116&gt;0,1,"")</f>
        <v/>
      </c>
      <c r="L116" s="7">
        <f>Sintesi!$C$34</f>
        <v/>
      </c>
      <c r="M116" s="7">
        <f>Sintesi!$C$33</f>
        <v/>
      </c>
      <c r="N116" s="1">
        <f>'Paste cell here'!AA116</f>
        <v/>
      </c>
      <c r="O116" s="1">
        <f>'Paste cell here'!H116</f>
        <v/>
      </c>
      <c r="P116" s="1">
        <f>(M116-L116)*N116*1000</f>
        <v/>
      </c>
      <c r="Q116" s="1">
        <f>P116*O116</f>
        <v/>
      </c>
      <c r="R116" s="1">
        <f>M116*N116*1000-Q116</f>
        <v/>
      </c>
      <c r="S116" s="5">
        <f>H116/($N116*1000)</f>
        <v/>
      </c>
      <c r="T116" s="5">
        <f>R116/($N116*1000)</f>
        <v/>
      </c>
    </row>
    <row r="117">
      <c r="A117" s="1" t="n">
        <v>116</v>
      </c>
      <c r="B117" s="2">
        <f>DATE(Sintesi!$C$4-1,12,31)+A117</f>
        <v/>
      </c>
      <c r="C117" s="1">
        <f>'Paste cell here'!T117</f>
        <v/>
      </c>
      <c r="D117" s="1">
        <f>'Paste cell here'!AC117</f>
        <v/>
      </c>
      <c r="E117" s="1">
        <f>'Paste cell here'!Y117</f>
        <v/>
      </c>
      <c r="F117" s="1">
        <f>'Paste cell here'!AD117</f>
        <v/>
      </c>
      <c r="G117" s="1">
        <f>'Paste cell here'!W117</f>
        <v/>
      </c>
      <c r="H117" s="1">
        <f>'Paste cell here'!AE117</f>
        <v/>
      </c>
      <c r="I117" s="1">
        <f>'Paste cell here'!AF117</f>
        <v/>
      </c>
      <c r="J117" s="1">
        <f>ABS(I117+C117+D117-E117-F117-G117-H117)</f>
        <v/>
      </c>
      <c r="K117" s="1">
        <f>IF('Bilancio primo strato'!D117&gt;0,1,"")</f>
        <v/>
      </c>
      <c r="L117" s="7">
        <f>Sintesi!$C$34</f>
        <v/>
      </c>
      <c r="M117" s="7">
        <f>Sintesi!$C$33</f>
        <v/>
      </c>
      <c r="N117" s="1">
        <f>'Paste cell here'!AA117</f>
        <v/>
      </c>
      <c r="O117" s="1">
        <f>'Paste cell here'!H117</f>
        <v/>
      </c>
      <c r="P117" s="1">
        <f>(M117-L117)*N117*1000</f>
        <v/>
      </c>
      <c r="Q117" s="1">
        <f>P117*O117</f>
        <v/>
      </c>
      <c r="R117" s="1">
        <f>M117*N117*1000-Q117</f>
        <v/>
      </c>
      <c r="S117" s="5">
        <f>H117/($N117*1000)</f>
        <v/>
      </c>
      <c r="T117" s="5">
        <f>R117/($N117*1000)</f>
        <v/>
      </c>
    </row>
    <row r="118">
      <c r="A118" s="1" t="n">
        <v>117</v>
      </c>
      <c r="B118" s="2">
        <f>DATE(Sintesi!$C$4-1,12,31)+A118</f>
        <v/>
      </c>
      <c r="C118" s="1">
        <f>'Paste cell here'!T118</f>
        <v/>
      </c>
      <c r="D118" s="1">
        <f>'Paste cell here'!AC118</f>
        <v/>
      </c>
      <c r="E118" s="1">
        <f>'Paste cell here'!Y118</f>
        <v/>
      </c>
      <c r="F118" s="1">
        <f>'Paste cell here'!AD118</f>
        <v/>
      </c>
      <c r="G118" s="1">
        <f>'Paste cell here'!W118</f>
        <v/>
      </c>
      <c r="H118" s="1">
        <f>'Paste cell here'!AE118</f>
        <v/>
      </c>
      <c r="I118" s="1">
        <f>'Paste cell here'!AF118</f>
        <v/>
      </c>
      <c r="J118" s="1">
        <f>ABS(I118+C118+D118-E118-F118-G118-H118)</f>
        <v/>
      </c>
      <c r="K118" s="1">
        <f>IF('Bilancio primo strato'!D118&gt;0,1,"")</f>
        <v/>
      </c>
      <c r="L118" s="7">
        <f>Sintesi!$C$34</f>
        <v/>
      </c>
      <c r="M118" s="7">
        <f>Sintesi!$C$33</f>
        <v/>
      </c>
      <c r="N118" s="1">
        <f>'Paste cell here'!AA118</f>
        <v/>
      </c>
      <c r="O118" s="1">
        <f>'Paste cell here'!H118</f>
        <v/>
      </c>
      <c r="P118" s="1">
        <f>(M118-L118)*N118*1000</f>
        <v/>
      </c>
      <c r="Q118" s="1">
        <f>P118*O118</f>
        <v/>
      </c>
      <c r="R118" s="1">
        <f>M118*N118*1000-Q118</f>
        <v/>
      </c>
      <c r="S118" s="5">
        <f>H118/($N118*1000)</f>
        <v/>
      </c>
      <c r="T118" s="5">
        <f>R118/($N118*1000)</f>
        <v/>
      </c>
    </row>
    <row r="119">
      <c r="A119" s="1" t="n">
        <v>118</v>
      </c>
      <c r="B119" s="2">
        <f>DATE(Sintesi!$C$4-1,12,31)+A119</f>
        <v/>
      </c>
      <c r="C119" s="1">
        <f>'Paste cell here'!T119</f>
        <v/>
      </c>
      <c r="D119" s="1">
        <f>'Paste cell here'!AC119</f>
        <v/>
      </c>
      <c r="E119" s="1">
        <f>'Paste cell here'!Y119</f>
        <v/>
      </c>
      <c r="F119" s="1">
        <f>'Paste cell here'!AD119</f>
        <v/>
      </c>
      <c r="G119" s="1">
        <f>'Paste cell here'!W119</f>
        <v/>
      </c>
      <c r="H119" s="1">
        <f>'Paste cell here'!AE119</f>
        <v/>
      </c>
      <c r="I119" s="1">
        <f>'Paste cell here'!AF119</f>
        <v/>
      </c>
      <c r="J119" s="1">
        <f>ABS(I119+C119+D119-E119-F119-G119-H119)</f>
        <v/>
      </c>
      <c r="K119" s="1">
        <f>IF('Bilancio primo strato'!D119&gt;0,1,"")</f>
        <v/>
      </c>
      <c r="L119" s="7">
        <f>Sintesi!$C$34</f>
        <v/>
      </c>
      <c r="M119" s="7">
        <f>Sintesi!$C$33</f>
        <v/>
      </c>
      <c r="N119" s="1">
        <f>'Paste cell here'!AA119</f>
        <v/>
      </c>
      <c r="O119" s="1">
        <f>'Paste cell here'!H119</f>
        <v/>
      </c>
      <c r="P119" s="1">
        <f>(M119-L119)*N119*1000</f>
        <v/>
      </c>
      <c r="Q119" s="1">
        <f>P119*O119</f>
        <v/>
      </c>
      <c r="R119" s="1">
        <f>M119*N119*1000-Q119</f>
        <v/>
      </c>
      <c r="S119" s="5">
        <f>H119/($N119*1000)</f>
        <v/>
      </c>
      <c r="T119" s="5">
        <f>R119/($N119*1000)</f>
        <v/>
      </c>
    </row>
    <row r="120">
      <c r="A120" s="1" t="n">
        <v>119</v>
      </c>
      <c r="B120" s="2">
        <f>DATE(Sintesi!$C$4-1,12,31)+A120</f>
        <v/>
      </c>
      <c r="C120" s="1">
        <f>'Paste cell here'!T120</f>
        <v/>
      </c>
      <c r="D120" s="1">
        <f>'Paste cell here'!AC120</f>
        <v/>
      </c>
      <c r="E120" s="1">
        <f>'Paste cell here'!Y120</f>
        <v/>
      </c>
      <c r="F120" s="1">
        <f>'Paste cell here'!AD120</f>
        <v/>
      </c>
      <c r="G120" s="1">
        <f>'Paste cell here'!W120</f>
        <v/>
      </c>
      <c r="H120" s="1">
        <f>'Paste cell here'!AE120</f>
        <v/>
      </c>
      <c r="I120" s="1">
        <f>'Paste cell here'!AF120</f>
        <v/>
      </c>
      <c r="J120" s="1">
        <f>ABS(I120+C120+D120-E120-F120-G120-H120)</f>
        <v/>
      </c>
      <c r="K120" s="1">
        <f>IF('Bilancio primo strato'!D120&gt;0,1,"")</f>
        <v/>
      </c>
      <c r="L120" s="7">
        <f>Sintesi!$C$34</f>
        <v/>
      </c>
      <c r="M120" s="7">
        <f>Sintesi!$C$33</f>
        <v/>
      </c>
      <c r="N120" s="1">
        <f>'Paste cell here'!AA120</f>
        <v/>
      </c>
      <c r="O120" s="1">
        <f>'Paste cell here'!H120</f>
        <v/>
      </c>
      <c r="P120" s="1">
        <f>(M120-L120)*N120*1000</f>
        <v/>
      </c>
      <c r="Q120" s="1">
        <f>P120*O120</f>
        <v/>
      </c>
      <c r="R120" s="1">
        <f>M120*N120*1000-Q120</f>
        <v/>
      </c>
      <c r="S120" s="5">
        <f>H120/($N120*1000)</f>
        <v/>
      </c>
      <c r="T120" s="5">
        <f>R120/($N120*1000)</f>
        <v/>
      </c>
    </row>
    <row r="121">
      <c r="A121" s="1" t="n">
        <v>120</v>
      </c>
      <c r="B121" s="2">
        <f>DATE(Sintesi!$C$4-1,12,31)+A121</f>
        <v/>
      </c>
      <c r="C121" s="1">
        <f>'Paste cell here'!T121</f>
        <v/>
      </c>
      <c r="D121" s="1">
        <f>'Paste cell here'!AC121</f>
        <v/>
      </c>
      <c r="E121" s="1">
        <f>'Paste cell here'!Y121</f>
        <v/>
      </c>
      <c r="F121" s="1">
        <f>'Paste cell here'!AD121</f>
        <v/>
      </c>
      <c r="G121" s="1">
        <f>'Paste cell here'!W121</f>
        <v/>
      </c>
      <c r="H121" s="1">
        <f>'Paste cell here'!AE121</f>
        <v/>
      </c>
      <c r="I121" s="1">
        <f>'Paste cell here'!AF121</f>
        <v/>
      </c>
      <c r="J121" s="1">
        <f>ABS(I121+C121+D121-E121-F121-G121-H121)</f>
        <v/>
      </c>
      <c r="K121" s="1">
        <f>IF('Bilancio primo strato'!D121&gt;0,1,"")</f>
        <v/>
      </c>
      <c r="L121" s="7">
        <f>Sintesi!$C$34</f>
        <v/>
      </c>
      <c r="M121" s="7">
        <f>Sintesi!$C$33</f>
        <v/>
      </c>
      <c r="N121" s="1">
        <f>'Paste cell here'!AA121</f>
        <v/>
      </c>
      <c r="O121" s="1">
        <f>'Paste cell here'!H121</f>
        <v/>
      </c>
      <c r="P121" s="1">
        <f>(M121-L121)*N121*1000</f>
        <v/>
      </c>
      <c r="Q121" s="1">
        <f>P121*O121</f>
        <v/>
      </c>
      <c r="R121" s="1">
        <f>M121*N121*1000-Q121</f>
        <v/>
      </c>
      <c r="S121" s="5">
        <f>H121/($N121*1000)</f>
        <v/>
      </c>
      <c r="T121" s="5">
        <f>R121/($N121*1000)</f>
        <v/>
      </c>
    </row>
    <row r="122">
      <c r="A122" s="1" t="n">
        <v>121</v>
      </c>
      <c r="B122" s="2">
        <f>DATE(Sintesi!$C$4-1,12,31)+A122</f>
        <v/>
      </c>
      <c r="C122" s="1">
        <f>'Paste cell here'!T122</f>
        <v/>
      </c>
      <c r="D122" s="1">
        <f>'Paste cell here'!AC122</f>
        <v/>
      </c>
      <c r="E122" s="1">
        <f>'Paste cell here'!Y122</f>
        <v/>
      </c>
      <c r="F122" s="1">
        <f>'Paste cell here'!AD122</f>
        <v/>
      </c>
      <c r="G122" s="1">
        <f>'Paste cell here'!W122</f>
        <v/>
      </c>
      <c r="H122" s="1">
        <f>'Paste cell here'!AE122</f>
        <v/>
      </c>
      <c r="I122" s="1">
        <f>'Paste cell here'!AF122</f>
        <v/>
      </c>
      <c r="J122" s="1">
        <f>ABS(I122+C122+D122-E122-F122-G122-H122)</f>
        <v/>
      </c>
      <c r="K122" s="1">
        <f>IF('Bilancio primo strato'!D122&gt;0,1,"")</f>
        <v/>
      </c>
      <c r="L122" s="7">
        <f>Sintesi!$C$34</f>
        <v/>
      </c>
      <c r="M122" s="7">
        <f>Sintesi!$C$33</f>
        <v/>
      </c>
      <c r="N122" s="1">
        <f>'Paste cell here'!AA122</f>
        <v/>
      </c>
      <c r="O122" s="1">
        <f>'Paste cell here'!H122</f>
        <v/>
      </c>
      <c r="P122" s="1">
        <f>(M122-L122)*N122*1000</f>
        <v/>
      </c>
      <c r="Q122" s="1">
        <f>P122*O122</f>
        <v/>
      </c>
      <c r="R122" s="1">
        <f>M122*N122*1000-Q122</f>
        <v/>
      </c>
      <c r="S122" s="5">
        <f>H122/($N122*1000)</f>
        <v/>
      </c>
      <c r="T122" s="5">
        <f>R122/($N122*1000)</f>
        <v/>
      </c>
    </row>
    <row r="123">
      <c r="A123" s="1" t="n">
        <v>122</v>
      </c>
      <c r="B123" s="2">
        <f>DATE(Sintesi!$C$4-1,12,31)+A123</f>
        <v/>
      </c>
      <c r="C123" s="1">
        <f>'Paste cell here'!T123</f>
        <v/>
      </c>
      <c r="D123" s="1">
        <f>'Paste cell here'!AC123</f>
        <v/>
      </c>
      <c r="E123" s="1">
        <f>'Paste cell here'!Y123</f>
        <v/>
      </c>
      <c r="F123" s="1">
        <f>'Paste cell here'!AD123</f>
        <v/>
      </c>
      <c r="G123" s="1">
        <f>'Paste cell here'!W123</f>
        <v/>
      </c>
      <c r="H123" s="1">
        <f>'Paste cell here'!AE123</f>
        <v/>
      </c>
      <c r="I123" s="1">
        <f>'Paste cell here'!AF123</f>
        <v/>
      </c>
      <c r="J123" s="1">
        <f>ABS(I123+C123+D123-E123-F123-G123-H123)</f>
        <v/>
      </c>
      <c r="K123" s="1">
        <f>IF('Bilancio primo strato'!D123&gt;0,1,"")</f>
        <v/>
      </c>
      <c r="L123" s="7">
        <f>Sintesi!$C$34</f>
        <v/>
      </c>
      <c r="M123" s="7">
        <f>Sintesi!$C$33</f>
        <v/>
      </c>
      <c r="N123" s="1">
        <f>'Paste cell here'!AA123</f>
        <v/>
      </c>
      <c r="O123" s="1">
        <f>'Paste cell here'!H123</f>
        <v/>
      </c>
      <c r="P123" s="1">
        <f>(M123-L123)*N123*1000</f>
        <v/>
      </c>
      <c r="Q123" s="1">
        <f>P123*O123</f>
        <v/>
      </c>
      <c r="R123" s="1">
        <f>M123*N123*1000-Q123</f>
        <v/>
      </c>
      <c r="S123" s="5">
        <f>H123/($N123*1000)</f>
        <v/>
      </c>
      <c r="T123" s="5">
        <f>R123/($N123*1000)</f>
        <v/>
      </c>
    </row>
    <row r="124">
      <c r="A124" s="1" t="n">
        <v>123</v>
      </c>
      <c r="B124" s="2">
        <f>DATE(Sintesi!$C$4-1,12,31)+A124</f>
        <v/>
      </c>
      <c r="C124" s="1">
        <f>'Paste cell here'!T124</f>
        <v/>
      </c>
      <c r="D124" s="1">
        <f>'Paste cell here'!AC124</f>
        <v/>
      </c>
      <c r="E124" s="1">
        <f>'Paste cell here'!Y124</f>
        <v/>
      </c>
      <c r="F124" s="1">
        <f>'Paste cell here'!AD124</f>
        <v/>
      </c>
      <c r="G124" s="1">
        <f>'Paste cell here'!W124</f>
        <v/>
      </c>
      <c r="H124" s="1">
        <f>'Paste cell here'!AE124</f>
        <v/>
      </c>
      <c r="I124" s="1">
        <f>'Paste cell here'!AF124</f>
        <v/>
      </c>
      <c r="J124" s="1">
        <f>ABS(I124+C124+D124-E124-F124-G124-H124)</f>
        <v/>
      </c>
      <c r="K124" s="1">
        <f>IF('Bilancio primo strato'!D124&gt;0,1,"")</f>
        <v/>
      </c>
      <c r="L124" s="7">
        <f>Sintesi!$C$34</f>
        <v/>
      </c>
      <c r="M124" s="7">
        <f>Sintesi!$C$33</f>
        <v/>
      </c>
      <c r="N124" s="1">
        <f>'Paste cell here'!AA124</f>
        <v/>
      </c>
      <c r="O124" s="1">
        <f>'Paste cell here'!H124</f>
        <v/>
      </c>
      <c r="P124" s="1">
        <f>(M124-L124)*N124*1000</f>
        <v/>
      </c>
      <c r="Q124" s="1">
        <f>P124*O124</f>
        <v/>
      </c>
      <c r="R124" s="1">
        <f>M124*N124*1000-Q124</f>
        <v/>
      </c>
      <c r="S124" s="5">
        <f>H124/($N124*1000)</f>
        <v/>
      </c>
      <c r="T124" s="5">
        <f>R124/($N124*1000)</f>
        <v/>
      </c>
    </row>
    <row r="125">
      <c r="A125" s="1" t="n">
        <v>124</v>
      </c>
      <c r="B125" s="2">
        <f>DATE(Sintesi!$C$4-1,12,31)+A125</f>
        <v/>
      </c>
      <c r="C125" s="1">
        <f>'Paste cell here'!T125</f>
        <v/>
      </c>
      <c r="D125" s="1">
        <f>'Paste cell here'!AC125</f>
        <v/>
      </c>
      <c r="E125" s="1">
        <f>'Paste cell here'!Y125</f>
        <v/>
      </c>
      <c r="F125" s="1">
        <f>'Paste cell here'!AD125</f>
        <v/>
      </c>
      <c r="G125" s="1">
        <f>'Paste cell here'!W125</f>
        <v/>
      </c>
      <c r="H125" s="1">
        <f>'Paste cell here'!AE125</f>
        <v/>
      </c>
      <c r="I125" s="1">
        <f>'Paste cell here'!AF125</f>
        <v/>
      </c>
      <c r="J125" s="1">
        <f>ABS(I125+C125+D125-E125-F125-G125-H125)</f>
        <v/>
      </c>
      <c r="K125" s="1">
        <f>IF('Bilancio primo strato'!D125&gt;0,1,"")</f>
        <v/>
      </c>
      <c r="L125" s="7">
        <f>Sintesi!$C$34</f>
        <v/>
      </c>
      <c r="M125" s="7">
        <f>Sintesi!$C$33</f>
        <v/>
      </c>
      <c r="N125" s="1">
        <f>'Paste cell here'!AA125</f>
        <v/>
      </c>
      <c r="O125" s="1">
        <f>'Paste cell here'!H125</f>
        <v/>
      </c>
      <c r="P125" s="1">
        <f>(M125-L125)*N125*1000</f>
        <v/>
      </c>
      <c r="Q125" s="1">
        <f>P125*O125</f>
        <v/>
      </c>
      <c r="R125" s="1">
        <f>M125*N125*1000-Q125</f>
        <v/>
      </c>
      <c r="S125" s="5">
        <f>H125/($N125*1000)</f>
        <v/>
      </c>
      <c r="T125" s="5">
        <f>R125/($N125*1000)</f>
        <v/>
      </c>
    </row>
    <row r="126">
      <c r="A126" s="1" t="n">
        <v>125</v>
      </c>
      <c r="B126" s="2">
        <f>DATE(Sintesi!$C$4-1,12,31)+A126</f>
        <v/>
      </c>
      <c r="C126" s="1">
        <f>'Paste cell here'!T126</f>
        <v/>
      </c>
      <c r="D126" s="1">
        <f>'Paste cell here'!AC126</f>
        <v/>
      </c>
      <c r="E126" s="1">
        <f>'Paste cell here'!Y126</f>
        <v/>
      </c>
      <c r="F126" s="1">
        <f>'Paste cell here'!AD126</f>
        <v/>
      </c>
      <c r="G126" s="1">
        <f>'Paste cell here'!W126</f>
        <v/>
      </c>
      <c r="H126" s="1">
        <f>'Paste cell here'!AE126</f>
        <v/>
      </c>
      <c r="I126" s="1">
        <f>'Paste cell here'!AF126</f>
        <v/>
      </c>
      <c r="J126" s="1">
        <f>ABS(I126+C126+D126-E126-F126-G126-H126)</f>
        <v/>
      </c>
      <c r="K126" s="1">
        <f>IF('Bilancio primo strato'!D126&gt;0,1,"")</f>
        <v/>
      </c>
      <c r="L126" s="7">
        <f>Sintesi!$C$34</f>
        <v/>
      </c>
      <c r="M126" s="7">
        <f>Sintesi!$C$33</f>
        <v/>
      </c>
      <c r="N126" s="1">
        <f>'Paste cell here'!AA126</f>
        <v/>
      </c>
      <c r="O126" s="1">
        <f>'Paste cell here'!H126</f>
        <v/>
      </c>
      <c r="P126" s="1">
        <f>(M126-L126)*N126*1000</f>
        <v/>
      </c>
      <c r="Q126" s="1">
        <f>P126*O126</f>
        <v/>
      </c>
      <c r="R126" s="1">
        <f>M126*N126*1000-Q126</f>
        <v/>
      </c>
      <c r="S126" s="5">
        <f>H126/($N126*1000)</f>
        <v/>
      </c>
      <c r="T126" s="5">
        <f>R126/($N126*1000)</f>
        <v/>
      </c>
    </row>
    <row r="127">
      <c r="A127" s="1" t="n">
        <v>126</v>
      </c>
      <c r="B127" s="2">
        <f>DATE(Sintesi!$C$4-1,12,31)+A127</f>
        <v/>
      </c>
      <c r="C127" s="1">
        <f>'Paste cell here'!T127</f>
        <v/>
      </c>
      <c r="D127" s="1">
        <f>'Paste cell here'!AC127</f>
        <v/>
      </c>
      <c r="E127" s="1">
        <f>'Paste cell here'!Y127</f>
        <v/>
      </c>
      <c r="F127" s="1">
        <f>'Paste cell here'!AD127</f>
        <v/>
      </c>
      <c r="G127" s="1">
        <f>'Paste cell here'!W127</f>
        <v/>
      </c>
      <c r="H127" s="1">
        <f>'Paste cell here'!AE127</f>
        <v/>
      </c>
      <c r="I127" s="1">
        <f>'Paste cell here'!AF127</f>
        <v/>
      </c>
      <c r="J127" s="1">
        <f>ABS(I127+C127+D127-E127-F127-G127-H127)</f>
        <v/>
      </c>
      <c r="K127" s="1">
        <f>IF('Bilancio primo strato'!D127&gt;0,1,"")</f>
        <v/>
      </c>
      <c r="L127" s="7">
        <f>Sintesi!$C$34</f>
        <v/>
      </c>
      <c r="M127" s="7">
        <f>Sintesi!$C$33</f>
        <v/>
      </c>
      <c r="N127" s="1">
        <f>'Paste cell here'!AA127</f>
        <v/>
      </c>
      <c r="O127" s="1">
        <f>'Paste cell here'!H127</f>
        <v/>
      </c>
      <c r="P127" s="1">
        <f>(M127-L127)*N127*1000</f>
        <v/>
      </c>
      <c r="Q127" s="1">
        <f>P127*O127</f>
        <v/>
      </c>
      <c r="R127" s="1">
        <f>M127*N127*1000-Q127</f>
        <v/>
      </c>
      <c r="S127" s="5">
        <f>H127/($N127*1000)</f>
        <v/>
      </c>
      <c r="T127" s="5">
        <f>R127/($N127*1000)</f>
        <v/>
      </c>
    </row>
    <row r="128">
      <c r="A128" s="1" t="n">
        <v>127</v>
      </c>
      <c r="B128" s="2">
        <f>DATE(Sintesi!$C$4-1,12,31)+A128</f>
        <v/>
      </c>
      <c r="C128" s="1">
        <f>'Paste cell here'!T128</f>
        <v/>
      </c>
      <c r="D128" s="1">
        <f>'Paste cell here'!AC128</f>
        <v/>
      </c>
      <c r="E128" s="1">
        <f>'Paste cell here'!Y128</f>
        <v/>
      </c>
      <c r="F128" s="1">
        <f>'Paste cell here'!AD128</f>
        <v/>
      </c>
      <c r="G128" s="1">
        <f>'Paste cell here'!W128</f>
        <v/>
      </c>
      <c r="H128" s="1">
        <f>'Paste cell here'!AE128</f>
        <v/>
      </c>
      <c r="I128" s="1">
        <f>'Paste cell here'!AF128</f>
        <v/>
      </c>
      <c r="J128" s="1">
        <f>ABS(I128+C128+D128-E128-F128-G128-H128)</f>
        <v/>
      </c>
      <c r="K128" s="1">
        <f>IF('Bilancio primo strato'!D128&gt;0,1,"")</f>
        <v/>
      </c>
      <c r="L128" s="7">
        <f>Sintesi!$C$34</f>
        <v/>
      </c>
      <c r="M128" s="7">
        <f>Sintesi!$C$33</f>
        <v/>
      </c>
      <c r="N128" s="1">
        <f>'Paste cell here'!AA128</f>
        <v/>
      </c>
      <c r="O128" s="1">
        <f>'Paste cell here'!H128</f>
        <v/>
      </c>
      <c r="P128" s="1">
        <f>(M128-L128)*N128*1000</f>
        <v/>
      </c>
      <c r="Q128" s="1">
        <f>P128*O128</f>
        <v/>
      </c>
      <c r="R128" s="1">
        <f>M128*N128*1000-Q128</f>
        <v/>
      </c>
      <c r="S128" s="5">
        <f>H128/($N128*1000)</f>
        <v/>
      </c>
      <c r="T128" s="5">
        <f>R128/($N128*1000)</f>
        <v/>
      </c>
    </row>
    <row r="129">
      <c r="A129" s="1" t="n">
        <v>128</v>
      </c>
      <c r="B129" s="2">
        <f>DATE(Sintesi!$C$4-1,12,31)+A129</f>
        <v/>
      </c>
      <c r="C129" s="1">
        <f>'Paste cell here'!T129</f>
        <v/>
      </c>
      <c r="D129" s="1">
        <f>'Paste cell here'!AC129</f>
        <v/>
      </c>
      <c r="E129" s="1">
        <f>'Paste cell here'!Y129</f>
        <v/>
      </c>
      <c r="F129" s="1">
        <f>'Paste cell here'!AD129</f>
        <v/>
      </c>
      <c r="G129" s="1">
        <f>'Paste cell here'!W129</f>
        <v/>
      </c>
      <c r="H129" s="1">
        <f>'Paste cell here'!AE129</f>
        <v/>
      </c>
      <c r="I129" s="1">
        <f>'Paste cell here'!AF129</f>
        <v/>
      </c>
      <c r="J129" s="1">
        <f>ABS(I129+C129+D129-E129-F129-G129-H129)</f>
        <v/>
      </c>
      <c r="K129" s="1">
        <f>IF('Bilancio primo strato'!D129&gt;0,1,"")</f>
        <v/>
      </c>
      <c r="L129" s="7">
        <f>Sintesi!$C$34</f>
        <v/>
      </c>
      <c r="M129" s="7">
        <f>Sintesi!$C$33</f>
        <v/>
      </c>
      <c r="N129" s="1">
        <f>'Paste cell here'!AA129</f>
        <v/>
      </c>
      <c r="O129" s="1">
        <f>'Paste cell here'!H129</f>
        <v/>
      </c>
      <c r="P129" s="1">
        <f>(M129-L129)*N129*1000</f>
        <v/>
      </c>
      <c r="Q129" s="1">
        <f>P129*O129</f>
        <v/>
      </c>
      <c r="R129" s="1">
        <f>M129*N129*1000-Q129</f>
        <v/>
      </c>
      <c r="S129" s="5">
        <f>H129/($N129*1000)</f>
        <v/>
      </c>
      <c r="T129" s="5">
        <f>R129/($N129*1000)</f>
        <v/>
      </c>
    </row>
    <row r="130">
      <c r="A130" s="1" t="n">
        <v>129</v>
      </c>
      <c r="B130" s="2">
        <f>DATE(Sintesi!$C$4-1,12,31)+A130</f>
        <v/>
      </c>
      <c r="C130" s="1">
        <f>'Paste cell here'!T130</f>
        <v/>
      </c>
      <c r="D130" s="1">
        <f>'Paste cell here'!AC130</f>
        <v/>
      </c>
      <c r="E130" s="1">
        <f>'Paste cell here'!Y130</f>
        <v/>
      </c>
      <c r="F130" s="1">
        <f>'Paste cell here'!AD130</f>
        <v/>
      </c>
      <c r="G130" s="1">
        <f>'Paste cell here'!W130</f>
        <v/>
      </c>
      <c r="H130" s="1">
        <f>'Paste cell here'!AE130</f>
        <v/>
      </c>
      <c r="I130" s="1">
        <f>'Paste cell here'!AF130</f>
        <v/>
      </c>
      <c r="J130" s="1">
        <f>ABS(I130+C130+D130-E130-F130-G130-H130)</f>
        <v/>
      </c>
      <c r="K130" s="1">
        <f>IF('Bilancio primo strato'!D130&gt;0,1,"")</f>
        <v/>
      </c>
      <c r="L130" s="7">
        <f>Sintesi!$C$34</f>
        <v/>
      </c>
      <c r="M130" s="7">
        <f>Sintesi!$C$33</f>
        <v/>
      </c>
      <c r="N130" s="1">
        <f>'Paste cell here'!AA130</f>
        <v/>
      </c>
      <c r="O130" s="1">
        <f>'Paste cell here'!H130</f>
        <v/>
      </c>
      <c r="P130" s="1">
        <f>(M130-L130)*N130*1000</f>
        <v/>
      </c>
      <c r="Q130" s="1">
        <f>P130*O130</f>
        <v/>
      </c>
      <c r="R130" s="1">
        <f>M130*N130*1000-Q130</f>
        <v/>
      </c>
      <c r="S130" s="5">
        <f>H130/($N130*1000)</f>
        <v/>
      </c>
      <c r="T130" s="5">
        <f>R130/($N130*1000)</f>
        <v/>
      </c>
    </row>
    <row r="131">
      <c r="A131" s="1" t="n">
        <v>130</v>
      </c>
      <c r="B131" s="2">
        <f>DATE(Sintesi!$C$4-1,12,31)+A131</f>
        <v/>
      </c>
      <c r="C131" s="1">
        <f>'Paste cell here'!T131</f>
        <v/>
      </c>
      <c r="D131" s="1">
        <f>'Paste cell here'!AC131</f>
        <v/>
      </c>
      <c r="E131" s="1">
        <f>'Paste cell here'!Y131</f>
        <v/>
      </c>
      <c r="F131" s="1">
        <f>'Paste cell here'!AD131</f>
        <v/>
      </c>
      <c r="G131" s="1">
        <f>'Paste cell here'!W131</f>
        <v/>
      </c>
      <c r="H131" s="1">
        <f>'Paste cell here'!AE131</f>
        <v/>
      </c>
      <c r="I131" s="1">
        <f>'Paste cell here'!AF131</f>
        <v/>
      </c>
      <c r="J131" s="1">
        <f>ABS(I131+C131+D131-E131-F131-G131-H131)</f>
        <v/>
      </c>
      <c r="K131" s="1">
        <f>IF('Bilancio primo strato'!D131&gt;0,1,"")</f>
        <v/>
      </c>
      <c r="L131" s="7">
        <f>Sintesi!$C$34</f>
        <v/>
      </c>
      <c r="M131" s="7">
        <f>Sintesi!$C$33</f>
        <v/>
      </c>
      <c r="N131" s="1">
        <f>'Paste cell here'!AA131</f>
        <v/>
      </c>
      <c r="O131" s="1">
        <f>'Paste cell here'!H131</f>
        <v/>
      </c>
      <c r="P131" s="1">
        <f>(M131-L131)*N131*1000</f>
        <v/>
      </c>
      <c r="Q131" s="1">
        <f>P131*O131</f>
        <v/>
      </c>
      <c r="R131" s="1">
        <f>M131*N131*1000-Q131</f>
        <v/>
      </c>
      <c r="S131" s="5">
        <f>H131/($N131*1000)</f>
        <v/>
      </c>
      <c r="T131" s="5">
        <f>R131/($N131*1000)</f>
        <v/>
      </c>
    </row>
    <row r="132">
      <c r="A132" s="1" t="n">
        <v>131</v>
      </c>
      <c r="B132" s="2">
        <f>DATE(Sintesi!$C$4-1,12,31)+A132</f>
        <v/>
      </c>
      <c r="C132" s="1">
        <f>'Paste cell here'!T132</f>
        <v/>
      </c>
      <c r="D132" s="1">
        <f>'Paste cell here'!AC132</f>
        <v/>
      </c>
      <c r="E132" s="1">
        <f>'Paste cell here'!Y132</f>
        <v/>
      </c>
      <c r="F132" s="1">
        <f>'Paste cell here'!AD132</f>
        <v/>
      </c>
      <c r="G132" s="1">
        <f>'Paste cell here'!W132</f>
        <v/>
      </c>
      <c r="H132" s="1">
        <f>'Paste cell here'!AE132</f>
        <v/>
      </c>
      <c r="I132" s="1">
        <f>'Paste cell here'!AF132</f>
        <v/>
      </c>
      <c r="J132" s="1">
        <f>ABS(I132+C132+D132-E132-F132-G132-H132)</f>
        <v/>
      </c>
      <c r="K132" s="1">
        <f>IF('Bilancio primo strato'!D132&gt;0,1,"")</f>
        <v/>
      </c>
      <c r="L132" s="7">
        <f>Sintesi!$C$34</f>
        <v/>
      </c>
      <c r="M132" s="7">
        <f>Sintesi!$C$33</f>
        <v/>
      </c>
      <c r="N132" s="1">
        <f>'Paste cell here'!AA132</f>
        <v/>
      </c>
      <c r="O132" s="1">
        <f>'Paste cell here'!H132</f>
        <v/>
      </c>
      <c r="P132" s="1">
        <f>(M132-L132)*N132*1000</f>
        <v/>
      </c>
      <c r="Q132" s="1">
        <f>P132*O132</f>
        <v/>
      </c>
      <c r="R132" s="1">
        <f>M132*N132*1000-Q132</f>
        <v/>
      </c>
      <c r="S132" s="5">
        <f>H132/($N132*1000)</f>
        <v/>
      </c>
      <c r="T132" s="5">
        <f>R132/($N132*1000)</f>
        <v/>
      </c>
    </row>
    <row r="133">
      <c r="A133" s="1" t="n">
        <v>132</v>
      </c>
      <c r="B133" s="2">
        <f>DATE(Sintesi!$C$4-1,12,31)+A133</f>
        <v/>
      </c>
      <c r="C133" s="1">
        <f>'Paste cell here'!T133</f>
        <v/>
      </c>
      <c r="D133" s="1">
        <f>'Paste cell here'!AC133</f>
        <v/>
      </c>
      <c r="E133" s="1">
        <f>'Paste cell here'!Y133</f>
        <v/>
      </c>
      <c r="F133" s="1">
        <f>'Paste cell here'!AD133</f>
        <v/>
      </c>
      <c r="G133" s="1">
        <f>'Paste cell here'!W133</f>
        <v/>
      </c>
      <c r="H133" s="1">
        <f>'Paste cell here'!AE133</f>
        <v/>
      </c>
      <c r="I133" s="1">
        <f>'Paste cell here'!AF133</f>
        <v/>
      </c>
      <c r="J133" s="1">
        <f>ABS(I133+C133+D133-E133-F133-G133-H133)</f>
        <v/>
      </c>
      <c r="K133" s="1">
        <f>IF('Bilancio primo strato'!D133&gt;0,1,"")</f>
        <v/>
      </c>
      <c r="L133" s="7">
        <f>Sintesi!$C$34</f>
        <v/>
      </c>
      <c r="M133" s="7">
        <f>Sintesi!$C$33</f>
        <v/>
      </c>
      <c r="N133" s="1">
        <f>'Paste cell here'!AA133</f>
        <v/>
      </c>
      <c r="O133" s="1">
        <f>'Paste cell here'!H133</f>
        <v/>
      </c>
      <c r="P133" s="1">
        <f>(M133-L133)*N133*1000</f>
        <v/>
      </c>
      <c r="Q133" s="1">
        <f>P133*O133</f>
        <v/>
      </c>
      <c r="R133" s="1">
        <f>M133*N133*1000-Q133</f>
        <v/>
      </c>
      <c r="S133" s="5">
        <f>H133/($N133*1000)</f>
        <v/>
      </c>
      <c r="T133" s="5">
        <f>R133/($N133*1000)</f>
        <v/>
      </c>
    </row>
    <row r="134">
      <c r="A134" s="1" t="n">
        <v>133</v>
      </c>
      <c r="B134" s="2">
        <f>DATE(Sintesi!$C$4-1,12,31)+A134</f>
        <v/>
      </c>
      <c r="C134" s="1">
        <f>'Paste cell here'!T134</f>
        <v/>
      </c>
      <c r="D134" s="1">
        <f>'Paste cell here'!AC134</f>
        <v/>
      </c>
      <c r="E134" s="1">
        <f>'Paste cell here'!Y134</f>
        <v/>
      </c>
      <c r="F134" s="1">
        <f>'Paste cell here'!AD134</f>
        <v/>
      </c>
      <c r="G134" s="1">
        <f>'Paste cell here'!W134</f>
        <v/>
      </c>
      <c r="H134" s="1">
        <f>'Paste cell here'!AE134</f>
        <v/>
      </c>
      <c r="I134" s="1">
        <f>'Paste cell here'!AF134</f>
        <v/>
      </c>
      <c r="J134" s="1">
        <f>ABS(I134+C134+D134-E134-F134-G134-H134)</f>
        <v/>
      </c>
      <c r="K134" s="1">
        <f>IF('Bilancio primo strato'!D134&gt;0,1,"")</f>
        <v/>
      </c>
      <c r="L134" s="7">
        <f>Sintesi!$C$34</f>
        <v/>
      </c>
      <c r="M134" s="7">
        <f>Sintesi!$C$33</f>
        <v/>
      </c>
      <c r="N134" s="1">
        <f>'Paste cell here'!AA134</f>
        <v/>
      </c>
      <c r="O134" s="1">
        <f>'Paste cell here'!H134</f>
        <v/>
      </c>
      <c r="P134" s="1">
        <f>(M134-L134)*N134*1000</f>
        <v/>
      </c>
      <c r="Q134" s="1">
        <f>P134*O134</f>
        <v/>
      </c>
      <c r="R134" s="1">
        <f>M134*N134*1000-Q134</f>
        <v/>
      </c>
      <c r="S134" s="5">
        <f>H134/($N134*1000)</f>
        <v/>
      </c>
      <c r="T134" s="5">
        <f>R134/($N134*1000)</f>
        <v/>
      </c>
    </row>
    <row r="135">
      <c r="A135" s="1" t="n">
        <v>134</v>
      </c>
      <c r="B135" s="2">
        <f>DATE(Sintesi!$C$4-1,12,31)+A135</f>
        <v/>
      </c>
      <c r="C135" s="1">
        <f>'Paste cell here'!T135</f>
        <v/>
      </c>
      <c r="D135" s="1">
        <f>'Paste cell here'!AC135</f>
        <v/>
      </c>
      <c r="E135" s="1">
        <f>'Paste cell here'!Y135</f>
        <v/>
      </c>
      <c r="F135" s="1">
        <f>'Paste cell here'!AD135</f>
        <v/>
      </c>
      <c r="G135" s="1">
        <f>'Paste cell here'!W135</f>
        <v/>
      </c>
      <c r="H135" s="1">
        <f>'Paste cell here'!AE135</f>
        <v/>
      </c>
      <c r="I135" s="1">
        <f>'Paste cell here'!AF135</f>
        <v/>
      </c>
      <c r="J135" s="1">
        <f>ABS(I135+C135+D135-E135-F135-G135-H135)</f>
        <v/>
      </c>
      <c r="K135" s="1">
        <f>IF('Bilancio primo strato'!D135&gt;0,1,"")</f>
        <v/>
      </c>
      <c r="L135" s="7">
        <f>Sintesi!$C$34</f>
        <v/>
      </c>
      <c r="M135" s="7">
        <f>Sintesi!$C$33</f>
        <v/>
      </c>
      <c r="N135" s="1">
        <f>'Paste cell here'!AA135</f>
        <v/>
      </c>
      <c r="O135" s="1">
        <f>'Paste cell here'!H135</f>
        <v/>
      </c>
      <c r="P135" s="1">
        <f>(M135-L135)*N135*1000</f>
        <v/>
      </c>
      <c r="Q135" s="1">
        <f>P135*O135</f>
        <v/>
      </c>
      <c r="R135" s="1">
        <f>M135*N135*1000-Q135</f>
        <v/>
      </c>
      <c r="S135" s="5">
        <f>H135/($N135*1000)</f>
        <v/>
      </c>
      <c r="T135" s="5">
        <f>R135/($N135*1000)</f>
        <v/>
      </c>
    </row>
    <row r="136">
      <c r="A136" s="1" t="n">
        <v>135</v>
      </c>
      <c r="B136" s="2">
        <f>DATE(Sintesi!$C$4-1,12,31)+A136</f>
        <v/>
      </c>
      <c r="C136" s="1">
        <f>'Paste cell here'!T136</f>
        <v/>
      </c>
      <c r="D136" s="1">
        <f>'Paste cell here'!AC136</f>
        <v/>
      </c>
      <c r="E136" s="1">
        <f>'Paste cell here'!Y136</f>
        <v/>
      </c>
      <c r="F136" s="1">
        <f>'Paste cell here'!AD136</f>
        <v/>
      </c>
      <c r="G136" s="1">
        <f>'Paste cell here'!W136</f>
        <v/>
      </c>
      <c r="H136" s="1">
        <f>'Paste cell here'!AE136</f>
        <v/>
      </c>
      <c r="I136" s="1">
        <f>'Paste cell here'!AF136</f>
        <v/>
      </c>
      <c r="J136" s="1">
        <f>ABS(I136+C136+D136-E136-F136-G136-H136)</f>
        <v/>
      </c>
      <c r="K136" s="1">
        <f>IF('Bilancio primo strato'!D136&gt;0,1,"")</f>
        <v/>
      </c>
      <c r="L136" s="7">
        <f>Sintesi!$C$34</f>
        <v/>
      </c>
      <c r="M136" s="7">
        <f>Sintesi!$C$33</f>
        <v/>
      </c>
      <c r="N136" s="1">
        <f>'Paste cell here'!AA136</f>
        <v/>
      </c>
      <c r="O136" s="1">
        <f>'Paste cell here'!H136</f>
        <v/>
      </c>
      <c r="P136" s="1">
        <f>(M136-L136)*N136*1000</f>
        <v/>
      </c>
      <c r="Q136" s="1">
        <f>P136*O136</f>
        <v/>
      </c>
      <c r="R136" s="1">
        <f>M136*N136*1000-Q136</f>
        <v/>
      </c>
      <c r="S136" s="5">
        <f>H136/($N136*1000)</f>
        <v/>
      </c>
      <c r="T136" s="5">
        <f>R136/($N136*1000)</f>
        <v/>
      </c>
    </row>
    <row r="137">
      <c r="A137" s="1" t="n">
        <v>136</v>
      </c>
      <c r="B137" s="2">
        <f>DATE(Sintesi!$C$4-1,12,31)+A137</f>
        <v/>
      </c>
      <c r="C137" s="1">
        <f>'Paste cell here'!T137</f>
        <v/>
      </c>
      <c r="D137" s="1">
        <f>'Paste cell here'!AC137</f>
        <v/>
      </c>
      <c r="E137" s="1">
        <f>'Paste cell here'!Y137</f>
        <v/>
      </c>
      <c r="F137" s="1">
        <f>'Paste cell here'!AD137</f>
        <v/>
      </c>
      <c r="G137" s="1">
        <f>'Paste cell here'!W137</f>
        <v/>
      </c>
      <c r="H137" s="1">
        <f>'Paste cell here'!AE137</f>
        <v/>
      </c>
      <c r="I137" s="1">
        <f>'Paste cell here'!AF137</f>
        <v/>
      </c>
      <c r="J137" s="1">
        <f>ABS(I137+C137+D137-E137-F137-G137-H137)</f>
        <v/>
      </c>
      <c r="K137" s="1">
        <f>IF('Bilancio primo strato'!D137&gt;0,1,"")</f>
        <v/>
      </c>
      <c r="L137" s="7">
        <f>Sintesi!$C$34</f>
        <v/>
      </c>
      <c r="M137" s="7">
        <f>Sintesi!$C$33</f>
        <v/>
      </c>
      <c r="N137" s="1">
        <f>'Paste cell here'!AA137</f>
        <v/>
      </c>
      <c r="O137" s="1">
        <f>'Paste cell here'!H137</f>
        <v/>
      </c>
      <c r="P137" s="1">
        <f>(M137-L137)*N137*1000</f>
        <v/>
      </c>
      <c r="Q137" s="1">
        <f>P137*O137</f>
        <v/>
      </c>
      <c r="R137" s="1">
        <f>M137*N137*1000-Q137</f>
        <v/>
      </c>
      <c r="S137" s="5">
        <f>H137/($N137*1000)</f>
        <v/>
      </c>
      <c r="T137" s="5">
        <f>R137/($N137*1000)</f>
        <v/>
      </c>
    </row>
    <row r="138">
      <c r="A138" s="1" t="n">
        <v>137</v>
      </c>
      <c r="B138" s="2">
        <f>DATE(Sintesi!$C$4-1,12,31)+A138</f>
        <v/>
      </c>
      <c r="C138" s="1">
        <f>'Paste cell here'!T138</f>
        <v/>
      </c>
      <c r="D138" s="1">
        <f>'Paste cell here'!AC138</f>
        <v/>
      </c>
      <c r="E138" s="1">
        <f>'Paste cell here'!Y138</f>
        <v/>
      </c>
      <c r="F138" s="1">
        <f>'Paste cell here'!AD138</f>
        <v/>
      </c>
      <c r="G138" s="1">
        <f>'Paste cell here'!W138</f>
        <v/>
      </c>
      <c r="H138" s="1">
        <f>'Paste cell here'!AE138</f>
        <v/>
      </c>
      <c r="I138" s="1">
        <f>'Paste cell here'!AF138</f>
        <v/>
      </c>
      <c r="J138" s="1">
        <f>ABS(I138+C138+D138-E138-F138-G138-H138)</f>
        <v/>
      </c>
      <c r="K138" s="1">
        <f>IF('Bilancio primo strato'!D138&gt;0,1,"")</f>
        <v/>
      </c>
      <c r="L138" s="7">
        <f>Sintesi!$C$34</f>
        <v/>
      </c>
      <c r="M138" s="7">
        <f>Sintesi!$C$33</f>
        <v/>
      </c>
      <c r="N138" s="1">
        <f>'Paste cell here'!AA138</f>
        <v/>
      </c>
      <c r="O138" s="1">
        <f>'Paste cell here'!H138</f>
        <v/>
      </c>
      <c r="P138" s="1">
        <f>(M138-L138)*N138*1000</f>
        <v/>
      </c>
      <c r="Q138" s="1">
        <f>P138*O138</f>
        <v/>
      </c>
      <c r="R138" s="1">
        <f>M138*N138*1000-Q138</f>
        <v/>
      </c>
      <c r="S138" s="5">
        <f>H138/($N138*1000)</f>
        <v/>
      </c>
      <c r="T138" s="5">
        <f>R138/($N138*1000)</f>
        <v/>
      </c>
    </row>
    <row r="139">
      <c r="A139" s="1" t="n">
        <v>138</v>
      </c>
      <c r="B139" s="2">
        <f>DATE(Sintesi!$C$4-1,12,31)+A139</f>
        <v/>
      </c>
      <c r="C139" s="1">
        <f>'Paste cell here'!T139</f>
        <v/>
      </c>
      <c r="D139" s="1">
        <f>'Paste cell here'!AC139</f>
        <v/>
      </c>
      <c r="E139" s="1">
        <f>'Paste cell here'!Y139</f>
        <v/>
      </c>
      <c r="F139" s="1">
        <f>'Paste cell here'!AD139</f>
        <v/>
      </c>
      <c r="G139" s="1">
        <f>'Paste cell here'!W139</f>
        <v/>
      </c>
      <c r="H139" s="1">
        <f>'Paste cell here'!AE139</f>
        <v/>
      </c>
      <c r="I139" s="1">
        <f>'Paste cell here'!AF139</f>
        <v/>
      </c>
      <c r="J139" s="1">
        <f>ABS(I139+C139+D139-E139-F139-G139-H139)</f>
        <v/>
      </c>
      <c r="K139" s="1">
        <f>IF('Bilancio primo strato'!D139&gt;0,1,"")</f>
        <v/>
      </c>
      <c r="L139" s="7">
        <f>Sintesi!$C$34</f>
        <v/>
      </c>
      <c r="M139" s="7">
        <f>Sintesi!$C$33</f>
        <v/>
      </c>
      <c r="N139" s="1">
        <f>'Paste cell here'!AA139</f>
        <v/>
      </c>
      <c r="O139" s="1">
        <f>'Paste cell here'!H139</f>
        <v/>
      </c>
      <c r="P139" s="1">
        <f>(M139-L139)*N139*1000</f>
        <v/>
      </c>
      <c r="Q139" s="1">
        <f>P139*O139</f>
        <v/>
      </c>
      <c r="R139" s="1">
        <f>M139*N139*1000-Q139</f>
        <v/>
      </c>
      <c r="S139" s="5">
        <f>H139/($N139*1000)</f>
        <v/>
      </c>
      <c r="T139" s="5">
        <f>R139/($N139*1000)</f>
        <v/>
      </c>
    </row>
    <row r="140">
      <c r="A140" s="1" t="n">
        <v>139</v>
      </c>
      <c r="B140" s="2">
        <f>DATE(Sintesi!$C$4-1,12,31)+A140</f>
        <v/>
      </c>
      <c r="C140" s="1">
        <f>'Paste cell here'!T140</f>
        <v/>
      </c>
      <c r="D140" s="1">
        <f>'Paste cell here'!AC140</f>
        <v/>
      </c>
      <c r="E140" s="1">
        <f>'Paste cell here'!Y140</f>
        <v/>
      </c>
      <c r="F140" s="1">
        <f>'Paste cell here'!AD140</f>
        <v/>
      </c>
      <c r="G140" s="1">
        <f>'Paste cell here'!W140</f>
        <v/>
      </c>
      <c r="H140" s="1">
        <f>'Paste cell here'!AE140</f>
        <v/>
      </c>
      <c r="I140" s="1">
        <f>'Paste cell here'!AF140</f>
        <v/>
      </c>
      <c r="J140" s="1">
        <f>ABS(I140+C140+D140-E140-F140-G140-H140)</f>
        <v/>
      </c>
      <c r="K140" s="1">
        <f>IF('Bilancio primo strato'!D140&gt;0,1,"")</f>
        <v/>
      </c>
      <c r="L140" s="7">
        <f>Sintesi!$C$34</f>
        <v/>
      </c>
      <c r="M140" s="7">
        <f>Sintesi!$C$33</f>
        <v/>
      </c>
      <c r="N140" s="1">
        <f>'Paste cell here'!AA140</f>
        <v/>
      </c>
      <c r="O140" s="1">
        <f>'Paste cell here'!H140</f>
        <v/>
      </c>
      <c r="P140" s="1">
        <f>(M140-L140)*N140*1000</f>
        <v/>
      </c>
      <c r="Q140" s="1">
        <f>P140*O140</f>
        <v/>
      </c>
      <c r="R140" s="1">
        <f>M140*N140*1000-Q140</f>
        <v/>
      </c>
      <c r="S140" s="5">
        <f>H140/($N140*1000)</f>
        <v/>
      </c>
      <c r="T140" s="5">
        <f>R140/($N140*1000)</f>
        <v/>
      </c>
    </row>
    <row r="141">
      <c r="A141" s="1" t="n">
        <v>140</v>
      </c>
      <c r="B141" s="2">
        <f>DATE(Sintesi!$C$4-1,12,31)+A141</f>
        <v/>
      </c>
      <c r="C141" s="1">
        <f>'Paste cell here'!T141</f>
        <v/>
      </c>
      <c r="D141" s="1">
        <f>'Paste cell here'!AC141</f>
        <v/>
      </c>
      <c r="E141" s="1">
        <f>'Paste cell here'!Y141</f>
        <v/>
      </c>
      <c r="F141" s="1">
        <f>'Paste cell here'!AD141</f>
        <v/>
      </c>
      <c r="G141" s="1">
        <f>'Paste cell here'!W141</f>
        <v/>
      </c>
      <c r="H141" s="1">
        <f>'Paste cell here'!AE141</f>
        <v/>
      </c>
      <c r="I141" s="1">
        <f>'Paste cell here'!AF141</f>
        <v/>
      </c>
      <c r="J141" s="1">
        <f>ABS(I141+C141+D141-E141-F141-G141-H141)</f>
        <v/>
      </c>
      <c r="K141" s="1">
        <f>IF('Bilancio primo strato'!D141&gt;0,1,"")</f>
        <v/>
      </c>
      <c r="L141" s="7">
        <f>Sintesi!$C$34</f>
        <v/>
      </c>
      <c r="M141" s="7">
        <f>Sintesi!$C$33</f>
        <v/>
      </c>
      <c r="N141" s="1">
        <f>'Paste cell here'!AA141</f>
        <v/>
      </c>
      <c r="O141" s="1">
        <f>'Paste cell here'!H141</f>
        <v/>
      </c>
      <c r="P141" s="1">
        <f>(M141-L141)*N141*1000</f>
        <v/>
      </c>
      <c r="Q141" s="1">
        <f>P141*O141</f>
        <v/>
      </c>
      <c r="R141" s="1">
        <f>M141*N141*1000-Q141</f>
        <v/>
      </c>
      <c r="S141" s="5">
        <f>H141/($N141*1000)</f>
        <v/>
      </c>
      <c r="T141" s="5">
        <f>R141/($N141*1000)</f>
        <v/>
      </c>
    </row>
    <row r="142">
      <c r="A142" s="1" t="n">
        <v>141</v>
      </c>
      <c r="B142" s="2">
        <f>DATE(Sintesi!$C$4-1,12,31)+A142</f>
        <v/>
      </c>
      <c r="C142" s="1">
        <f>'Paste cell here'!T142</f>
        <v/>
      </c>
      <c r="D142" s="1">
        <f>'Paste cell here'!AC142</f>
        <v/>
      </c>
      <c r="E142" s="1">
        <f>'Paste cell here'!Y142</f>
        <v/>
      </c>
      <c r="F142" s="1">
        <f>'Paste cell here'!AD142</f>
        <v/>
      </c>
      <c r="G142" s="1">
        <f>'Paste cell here'!W142</f>
        <v/>
      </c>
      <c r="H142" s="1">
        <f>'Paste cell here'!AE142</f>
        <v/>
      </c>
      <c r="I142" s="1">
        <f>'Paste cell here'!AF142</f>
        <v/>
      </c>
      <c r="J142" s="1">
        <f>ABS(I142+C142+D142-E142-F142-G142-H142)</f>
        <v/>
      </c>
      <c r="K142" s="1">
        <f>IF('Bilancio primo strato'!D142&gt;0,1,"")</f>
        <v/>
      </c>
      <c r="L142" s="7">
        <f>Sintesi!$C$34</f>
        <v/>
      </c>
      <c r="M142" s="7">
        <f>Sintesi!$C$33</f>
        <v/>
      </c>
      <c r="N142" s="1">
        <f>'Paste cell here'!AA142</f>
        <v/>
      </c>
      <c r="O142" s="1">
        <f>'Paste cell here'!H142</f>
        <v/>
      </c>
      <c r="P142" s="1">
        <f>(M142-L142)*N142*1000</f>
        <v/>
      </c>
      <c r="Q142" s="1">
        <f>P142*O142</f>
        <v/>
      </c>
      <c r="R142" s="1">
        <f>M142*N142*1000-Q142</f>
        <v/>
      </c>
      <c r="S142" s="5">
        <f>H142/($N142*1000)</f>
        <v/>
      </c>
      <c r="T142" s="5">
        <f>R142/($N142*1000)</f>
        <v/>
      </c>
    </row>
    <row r="143">
      <c r="A143" s="1" t="n">
        <v>142</v>
      </c>
      <c r="B143" s="2">
        <f>DATE(Sintesi!$C$4-1,12,31)+A143</f>
        <v/>
      </c>
      <c r="C143" s="1">
        <f>'Paste cell here'!T143</f>
        <v/>
      </c>
      <c r="D143" s="1">
        <f>'Paste cell here'!AC143</f>
        <v/>
      </c>
      <c r="E143" s="1">
        <f>'Paste cell here'!Y143</f>
        <v/>
      </c>
      <c r="F143" s="1">
        <f>'Paste cell here'!AD143</f>
        <v/>
      </c>
      <c r="G143" s="1">
        <f>'Paste cell here'!W143</f>
        <v/>
      </c>
      <c r="H143" s="1">
        <f>'Paste cell here'!AE143</f>
        <v/>
      </c>
      <c r="I143" s="1">
        <f>'Paste cell here'!AF143</f>
        <v/>
      </c>
      <c r="J143" s="1">
        <f>ABS(I143+C143+D143-E143-F143-G143-H143)</f>
        <v/>
      </c>
      <c r="K143" s="1">
        <f>IF('Bilancio primo strato'!D143&gt;0,1,"")</f>
        <v/>
      </c>
      <c r="L143" s="7">
        <f>Sintesi!$C$34</f>
        <v/>
      </c>
      <c r="M143" s="7">
        <f>Sintesi!$C$33</f>
        <v/>
      </c>
      <c r="N143" s="1">
        <f>'Paste cell here'!AA143</f>
        <v/>
      </c>
      <c r="O143" s="1">
        <f>'Paste cell here'!H143</f>
        <v/>
      </c>
      <c r="P143" s="1">
        <f>(M143-L143)*N143*1000</f>
        <v/>
      </c>
      <c r="Q143" s="1">
        <f>P143*O143</f>
        <v/>
      </c>
      <c r="R143" s="1">
        <f>M143*N143*1000-Q143</f>
        <v/>
      </c>
      <c r="S143" s="5">
        <f>H143/($N143*1000)</f>
        <v/>
      </c>
      <c r="T143" s="5">
        <f>R143/($N143*1000)</f>
        <v/>
      </c>
    </row>
    <row r="144">
      <c r="A144" s="1" t="n">
        <v>143</v>
      </c>
      <c r="B144" s="2">
        <f>DATE(Sintesi!$C$4-1,12,31)+A144</f>
        <v/>
      </c>
      <c r="C144" s="1">
        <f>'Paste cell here'!T144</f>
        <v/>
      </c>
      <c r="D144" s="1">
        <f>'Paste cell here'!AC144</f>
        <v/>
      </c>
      <c r="E144" s="1">
        <f>'Paste cell here'!Y144</f>
        <v/>
      </c>
      <c r="F144" s="1">
        <f>'Paste cell here'!AD144</f>
        <v/>
      </c>
      <c r="G144" s="1">
        <f>'Paste cell here'!W144</f>
        <v/>
      </c>
      <c r="H144" s="1">
        <f>'Paste cell here'!AE144</f>
        <v/>
      </c>
      <c r="I144" s="1">
        <f>'Paste cell here'!AF144</f>
        <v/>
      </c>
      <c r="J144" s="1">
        <f>ABS(I144+C144+D144-E144-F144-G144-H144)</f>
        <v/>
      </c>
      <c r="K144" s="1">
        <f>IF('Bilancio primo strato'!D144&gt;0,1,"")</f>
        <v/>
      </c>
      <c r="L144" s="7">
        <f>Sintesi!$C$34</f>
        <v/>
      </c>
      <c r="M144" s="7">
        <f>Sintesi!$C$33</f>
        <v/>
      </c>
      <c r="N144" s="1">
        <f>'Paste cell here'!AA144</f>
        <v/>
      </c>
      <c r="O144" s="1">
        <f>'Paste cell here'!H144</f>
        <v/>
      </c>
      <c r="P144" s="1">
        <f>(M144-L144)*N144*1000</f>
        <v/>
      </c>
      <c r="Q144" s="1">
        <f>P144*O144</f>
        <v/>
      </c>
      <c r="R144" s="1">
        <f>M144*N144*1000-Q144</f>
        <v/>
      </c>
      <c r="S144" s="5">
        <f>H144/($N144*1000)</f>
        <v/>
      </c>
      <c r="T144" s="5">
        <f>R144/($N144*1000)</f>
        <v/>
      </c>
    </row>
    <row r="145">
      <c r="A145" s="1" t="n">
        <v>144</v>
      </c>
      <c r="B145" s="2">
        <f>DATE(Sintesi!$C$4-1,12,31)+A145</f>
        <v/>
      </c>
      <c r="C145" s="1">
        <f>'Paste cell here'!T145</f>
        <v/>
      </c>
      <c r="D145" s="1">
        <f>'Paste cell here'!AC145</f>
        <v/>
      </c>
      <c r="E145" s="1">
        <f>'Paste cell here'!Y145</f>
        <v/>
      </c>
      <c r="F145" s="1">
        <f>'Paste cell here'!AD145</f>
        <v/>
      </c>
      <c r="G145" s="1">
        <f>'Paste cell here'!W145</f>
        <v/>
      </c>
      <c r="H145" s="1">
        <f>'Paste cell here'!AE145</f>
        <v/>
      </c>
      <c r="I145" s="1">
        <f>'Paste cell here'!AF145</f>
        <v/>
      </c>
      <c r="J145" s="1">
        <f>ABS(I145+C145+D145-E145-F145-G145-H145)</f>
        <v/>
      </c>
      <c r="K145" s="1">
        <f>IF('Bilancio primo strato'!D145&gt;0,1,"")</f>
        <v/>
      </c>
      <c r="L145" s="7">
        <f>Sintesi!$C$34</f>
        <v/>
      </c>
      <c r="M145" s="7">
        <f>Sintesi!$C$33</f>
        <v/>
      </c>
      <c r="N145" s="1">
        <f>'Paste cell here'!AA145</f>
        <v/>
      </c>
      <c r="O145" s="1">
        <f>'Paste cell here'!H145</f>
        <v/>
      </c>
      <c r="P145" s="1">
        <f>(M145-L145)*N145*1000</f>
        <v/>
      </c>
      <c r="Q145" s="1">
        <f>P145*O145</f>
        <v/>
      </c>
      <c r="R145" s="1">
        <f>M145*N145*1000-Q145</f>
        <v/>
      </c>
      <c r="S145" s="5">
        <f>H145/($N145*1000)</f>
        <v/>
      </c>
      <c r="T145" s="5">
        <f>R145/($N145*1000)</f>
        <v/>
      </c>
    </row>
    <row r="146">
      <c r="A146" s="1" t="n">
        <v>145</v>
      </c>
      <c r="B146" s="2">
        <f>DATE(Sintesi!$C$4-1,12,31)+A146</f>
        <v/>
      </c>
      <c r="C146" s="1">
        <f>'Paste cell here'!T146</f>
        <v/>
      </c>
      <c r="D146" s="1">
        <f>'Paste cell here'!AC146</f>
        <v/>
      </c>
      <c r="E146" s="1">
        <f>'Paste cell here'!Y146</f>
        <v/>
      </c>
      <c r="F146" s="1">
        <f>'Paste cell here'!AD146</f>
        <v/>
      </c>
      <c r="G146" s="1">
        <f>'Paste cell here'!W146</f>
        <v/>
      </c>
      <c r="H146" s="1">
        <f>'Paste cell here'!AE146</f>
        <v/>
      </c>
      <c r="I146" s="1">
        <f>'Paste cell here'!AF146</f>
        <v/>
      </c>
      <c r="J146" s="1">
        <f>ABS(I146+C146+D146-E146-F146-G146-H146)</f>
        <v/>
      </c>
      <c r="K146" s="1">
        <f>IF('Bilancio primo strato'!D146&gt;0,1,"")</f>
        <v/>
      </c>
      <c r="L146" s="7">
        <f>Sintesi!$C$34</f>
        <v/>
      </c>
      <c r="M146" s="7">
        <f>Sintesi!$C$33</f>
        <v/>
      </c>
      <c r="N146" s="1">
        <f>'Paste cell here'!AA146</f>
        <v/>
      </c>
      <c r="O146" s="1">
        <f>'Paste cell here'!H146</f>
        <v/>
      </c>
      <c r="P146" s="1">
        <f>(M146-L146)*N146*1000</f>
        <v/>
      </c>
      <c r="Q146" s="1">
        <f>P146*O146</f>
        <v/>
      </c>
      <c r="R146" s="1">
        <f>M146*N146*1000-Q146</f>
        <v/>
      </c>
      <c r="S146" s="5">
        <f>H146/($N146*1000)</f>
        <v/>
      </c>
      <c r="T146" s="5">
        <f>R146/($N146*1000)</f>
        <v/>
      </c>
    </row>
    <row r="147">
      <c r="A147" s="1" t="n">
        <v>146</v>
      </c>
      <c r="B147" s="2">
        <f>DATE(Sintesi!$C$4-1,12,31)+A147</f>
        <v/>
      </c>
      <c r="C147" s="1">
        <f>'Paste cell here'!T147</f>
        <v/>
      </c>
      <c r="D147" s="1">
        <f>'Paste cell here'!AC147</f>
        <v/>
      </c>
      <c r="E147" s="1">
        <f>'Paste cell here'!Y147</f>
        <v/>
      </c>
      <c r="F147" s="1">
        <f>'Paste cell here'!AD147</f>
        <v/>
      </c>
      <c r="G147" s="1">
        <f>'Paste cell here'!W147</f>
        <v/>
      </c>
      <c r="H147" s="1">
        <f>'Paste cell here'!AE147</f>
        <v/>
      </c>
      <c r="I147" s="1">
        <f>'Paste cell here'!AF147</f>
        <v/>
      </c>
      <c r="J147" s="1">
        <f>ABS(I147+C147+D147-E147-F147-G147-H147)</f>
        <v/>
      </c>
      <c r="K147" s="1">
        <f>IF('Bilancio primo strato'!D147&gt;0,1,"")</f>
        <v/>
      </c>
      <c r="L147" s="7">
        <f>Sintesi!$C$34</f>
        <v/>
      </c>
      <c r="M147" s="7">
        <f>Sintesi!$C$33</f>
        <v/>
      </c>
      <c r="N147" s="1">
        <f>'Paste cell here'!AA147</f>
        <v/>
      </c>
      <c r="O147" s="1">
        <f>'Paste cell here'!H147</f>
        <v/>
      </c>
      <c r="P147" s="1">
        <f>(M147-L147)*N147*1000</f>
        <v/>
      </c>
      <c r="Q147" s="1">
        <f>P147*O147</f>
        <v/>
      </c>
      <c r="R147" s="1">
        <f>M147*N147*1000-Q147</f>
        <v/>
      </c>
      <c r="S147" s="5">
        <f>H147/($N147*1000)</f>
        <v/>
      </c>
      <c r="T147" s="5">
        <f>R147/($N147*1000)</f>
        <v/>
      </c>
    </row>
    <row r="148">
      <c r="A148" s="1" t="n">
        <v>147</v>
      </c>
      <c r="B148" s="2">
        <f>DATE(Sintesi!$C$4-1,12,31)+A148</f>
        <v/>
      </c>
      <c r="C148" s="1">
        <f>'Paste cell here'!T148</f>
        <v/>
      </c>
      <c r="D148" s="1">
        <f>'Paste cell here'!AC148</f>
        <v/>
      </c>
      <c r="E148" s="1">
        <f>'Paste cell here'!Y148</f>
        <v/>
      </c>
      <c r="F148" s="1">
        <f>'Paste cell here'!AD148</f>
        <v/>
      </c>
      <c r="G148" s="1">
        <f>'Paste cell here'!W148</f>
        <v/>
      </c>
      <c r="H148" s="1">
        <f>'Paste cell here'!AE148</f>
        <v/>
      </c>
      <c r="I148" s="1">
        <f>'Paste cell here'!AF148</f>
        <v/>
      </c>
      <c r="J148" s="1">
        <f>ABS(I148+C148+D148-E148-F148-G148-H148)</f>
        <v/>
      </c>
      <c r="K148" s="1">
        <f>IF('Bilancio primo strato'!D148&gt;0,1,"")</f>
        <v/>
      </c>
      <c r="L148" s="7">
        <f>Sintesi!$C$34</f>
        <v/>
      </c>
      <c r="M148" s="7">
        <f>Sintesi!$C$33</f>
        <v/>
      </c>
      <c r="N148" s="1">
        <f>'Paste cell here'!AA148</f>
        <v/>
      </c>
      <c r="O148" s="1">
        <f>'Paste cell here'!H148</f>
        <v/>
      </c>
      <c r="P148" s="1">
        <f>(M148-L148)*N148*1000</f>
        <v/>
      </c>
      <c r="Q148" s="1">
        <f>P148*O148</f>
        <v/>
      </c>
      <c r="R148" s="1">
        <f>M148*N148*1000-Q148</f>
        <v/>
      </c>
      <c r="S148" s="5">
        <f>H148/($N148*1000)</f>
        <v/>
      </c>
      <c r="T148" s="5">
        <f>R148/($N148*1000)</f>
        <v/>
      </c>
    </row>
    <row r="149">
      <c r="A149" s="1" t="n">
        <v>148</v>
      </c>
      <c r="B149" s="2">
        <f>DATE(Sintesi!$C$4-1,12,31)+A149</f>
        <v/>
      </c>
      <c r="C149" s="1">
        <f>'Paste cell here'!T149</f>
        <v/>
      </c>
      <c r="D149" s="1">
        <f>'Paste cell here'!AC149</f>
        <v/>
      </c>
      <c r="E149" s="1">
        <f>'Paste cell here'!Y149</f>
        <v/>
      </c>
      <c r="F149" s="1">
        <f>'Paste cell here'!AD149</f>
        <v/>
      </c>
      <c r="G149" s="1">
        <f>'Paste cell here'!W149</f>
        <v/>
      </c>
      <c r="H149" s="1">
        <f>'Paste cell here'!AE149</f>
        <v/>
      </c>
      <c r="I149" s="1">
        <f>'Paste cell here'!AF149</f>
        <v/>
      </c>
      <c r="J149" s="1">
        <f>ABS(I149+C149+D149-E149-F149-G149-H149)</f>
        <v/>
      </c>
      <c r="K149" s="1">
        <f>IF('Bilancio primo strato'!D149&gt;0,1,"")</f>
        <v/>
      </c>
      <c r="L149" s="7">
        <f>Sintesi!$C$34</f>
        <v/>
      </c>
      <c r="M149" s="7">
        <f>Sintesi!$C$33</f>
        <v/>
      </c>
      <c r="N149" s="1">
        <f>'Paste cell here'!AA149</f>
        <v/>
      </c>
      <c r="O149" s="1">
        <f>'Paste cell here'!H149</f>
        <v/>
      </c>
      <c r="P149" s="1">
        <f>(M149-L149)*N149*1000</f>
        <v/>
      </c>
      <c r="Q149" s="1">
        <f>P149*O149</f>
        <v/>
      </c>
      <c r="R149" s="1">
        <f>M149*N149*1000-Q149</f>
        <v/>
      </c>
      <c r="S149" s="5">
        <f>H149/($N149*1000)</f>
        <v/>
      </c>
      <c r="T149" s="5">
        <f>R149/($N149*1000)</f>
        <v/>
      </c>
    </row>
    <row r="150">
      <c r="A150" s="1" t="n">
        <v>149</v>
      </c>
      <c r="B150" s="2">
        <f>DATE(Sintesi!$C$4-1,12,31)+A150</f>
        <v/>
      </c>
      <c r="C150" s="1">
        <f>'Paste cell here'!T150</f>
        <v/>
      </c>
      <c r="D150" s="1">
        <f>'Paste cell here'!AC150</f>
        <v/>
      </c>
      <c r="E150" s="1">
        <f>'Paste cell here'!Y150</f>
        <v/>
      </c>
      <c r="F150" s="1">
        <f>'Paste cell here'!AD150</f>
        <v/>
      </c>
      <c r="G150" s="1">
        <f>'Paste cell here'!W150</f>
        <v/>
      </c>
      <c r="H150" s="1">
        <f>'Paste cell here'!AE150</f>
        <v/>
      </c>
      <c r="I150" s="1">
        <f>'Paste cell here'!AF150</f>
        <v/>
      </c>
      <c r="J150" s="1">
        <f>ABS(I150+C150+D150-E150-F150-G150-H150)</f>
        <v/>
      </c>
      <c r="K150" s="1">
        <f>IF('Bilancio primo strato'!D150&gt;0,1,"")</f>
        <v/>
      </c>
      <c r="L150" s="7">
        <f>Sintesi!$C$34</f>
        <v/>
      </c>
      <c r="M150" s="7">
        <f>Sintesi!$C$33</f>
        <v/>
      </c>
      <c r="N150" s="1">
        <f>'Paste cell here'!AA150</f>
        <v/>
      </c>
      <c r="O150" s="1">
        <f>'Paste cell here'!H150</f>
        <v/>
      </c>
      <c r="P150" s="1">
        <f>(M150-L150)*N150*1000</f>
        <v/>
      </c>
      <c r="Q150" s="1">
        <f>P150*O150</f>
        <v/>
      </c>
      <c r="R150" s="1">
        <f>M150*N150*1000-Q150</f>
        <v/>
      </c>
      <c r="S150" s="5">
        <f>H150/($N150*1000)</f>
        <v/>
      </c>
      <c r="T150" s="5">
        <f>R150/($N150*1000)</f>
        <v/>
      </c>
    </row>
    <row r="151">
      <c r="A151" s="1" t="n">
        <v>150</v>
      </c>
      <c r="B151" s="2">
        <f>DATE(Sintesi!$C$4-1,12,31)+A151</f>
        <v/>
      </c>
      <c r="C151" s="1">
        <f>'Paste cell here'!T151</f>
        <v/>
      </c>
      <c r="D151" s="1">
        <f>'Paste cell here'!AC151</f>
        <v/>
      </c>
      <c r="E151" s="1">
        <f>'Paste cell here'!Y151</f>
        <v/>
      </c>
      <c r="F151" s="1">
        <f>'Paste cell here'!AD151</f>
        <v/>
      </c>
      <c r="G151" s="1">
        <f>'Paste cell here'!W151</f>
        <v/>
      </c>
      <c r="H151" s="1">
        <f>'Paste cell here'!AE151</f>
        <v/>
      </c>
      <c r="I151" s="1">
        <f>'Paste cell here'!AF151</f>
        <v/>
      </c>
      <c r="J151" s="1">
        <f>ABS(I151+C151+D151-E151-F151-G151-H151)</f>
        <v/>
      </c>
      <c r="K151" s="1">
        <f>IF('Bilancio primo strato'!D151&gt;0,1,"")</f>
        <v/>
      </c>
      <c r="L151" s="7">
        <f>Sintesi!$C$34</f>
        <v/>
      </c>
      <c r="M151" s="7">
        <f>Sintesi!$C$33</f>
        <v/>
      </c>
      <c r="N151" s="1">
        <f>'Paste cell here'!AA151</f>
        <v/>
      </c>
      <c r="O151" s="1">
        <f>'Paste cell here'!H151</f>
        <v/>
      </c>
      <c r="P151" s="1">
        <f>(M151-L151)*N151*1000</f>
        <v/>
      </c>
      <c r="Q151" s="1">
        <f>P151*O151</f>
        <v/>
      </c>
      <c r="R151" s="1">
        <f>M151*N151*1000-Q151</f>
        <v/>
      </c>
      <c r="S151" s="5">
        <f>H151/($N151*1000)</f>
        <v/>
      </c>
      <c r="T151" s="5">
        <f>R151/($N151*1000)</f>
        <v/>
      </c>
    </row>
    <row r="152">
      <c r="A152" s="1" t="n">
        <v>151</v>
      </c>
      <c r="B152" s="2">
        <f>DATE(Sintesi!$C$4-1,12,31)+A152</f>
        <v/>
      </c>
      <c r="C152" s="1">
        <f>'Paste cell here'!T152</f>
        <v/>
      </c>
      <c r="D152" s="1">
        <f>'Paste cell here'!AC152</f>
        <v/>
      </c>
      <c r="E152" s="1">
        <f>'Paste cell here'!Y152</f>
        <v/>
      </c>
      <c r="F152" s="1">
        <f>'Paste cell here'!AD152</f>
        <v/>
      </c>
      <c r="G152" s="1">
        <f>'Paste cell here'!W152</f>
        <v/>
      </c>
      <c r="H152" s="1">
        <f>'Paste cell here'!AE152</f>
        <v/>
      </c>
      <c r="I152" s="1">
        <f>'Paste cell here'!AF152</f>
        <v/>
      </c>
      <c r="J152" s="1">
        <f>ABS(I152+C152+D152-E152-F152-G152-H152)</f>
        <v/>
      </c>
      <c r="K152" s="1">
        <f>IF('Bilancio primo strato'!D152&gt;0,1,"")</f>
        <v/>
      </c>
      <c r="L152" s="7">
        <f>Sintesi!$C$34</f>
        <v/>
      </c>
      <c r="M152" s="7">
        <f>Sintesi!$C$33</f>
        <v/>
      </c>
      <c r="N152" s="1">
        <f>'Paste cell here'!AA152</f>
        <v/>
      </c>
      <c r="O152" s="1">
        <f>'Paste cell here'!H152</f>
        <v/>
      </c>
      <c r="P152" s="1">
        <f>(M152-L152)*N152*1000</f>
        <v/>
      </c>
      <c r="Q152" s="1">
        <f>P152*O152</f>
        <v/>
      </c>
      <c r="R152" s="1">
        <f>M152*N152*1000-Q152</f>
        <v/>
      </c>
      <c r="S152" s="5">
        <f>H152/($N152*1000)</f>
        <v/>
      </c>
      <c r="T152" s="5">
        <f>R152/($N152*1000)</f>
        <v/>
      </c>
    </row>
    <row r="153">
      <c r="A153" s="1" t="n">
        <v>152</v>
      </c>
      <c r="B153" s="2">
        <f>DATE(Sintesi!$C$4-1,12,31)+A153</f>
        <v/>
      </c>
      <c r="C153" s="1">
        <f>'Paste cell here'!T153</f>
        <v/>
      </c>
      <c r="D153" s="1">
        <f>'Paste cell here'!AC153</f>
        <v/>
      </c>
      <c r="E153" s="1">
        <f>'Paste cell here'!Y153</f>
        <v/>
      </c>
      <c r="F153" s="1">
        <f>'Paste cell here'!AD153</f>
        <v/>
      </c>
      <c r="G153" s="1">
        <f>'Paste cell here'!W153</f>
        <v/>
      </c>
      <c r="H153" s="1">
        <f>'Paste cell here'!AE153</f>
        <v/>
      </c>
      <c r="I153" s="1">
        <f>'Paste cell here'!AF153</f>
        <v/>
      </c>
      <c r="J153" s="1">
        <f>ABS(I153+C153+D153-E153-F153-G153-H153)</f>
        <v/>
      </c>
      <c r="K153" s="1">
        <f>IF('Bilancio primo strato'!D153&gt;0,1,"")</f>
        <v/>
      </c>
      <c r="L153" s="7">
        <f>Sintesi!$C$34</f>
        <v/>
      </c>
      <c r="M153" s="7">
        <f>Sintesi!$C$33</f>
        <v/>
      </c>
      <c r="N153" s="1">
        <f>'Paste cell here'!AA153</f>
        <v/>
      </c>
      <c r="O153" s="1">
        <f>'Paste cell here'!H153</f>
        <v/>
      </c>
      <c r="P153" s="1">
        <f>(M153-L153)*N153*1000</f>
        <v/>
      </c>
      <c r="Q153" s="1">
        <f>P153*O153</f>
        <v/>
      </c>
      <c r="R153" s="1">
        <f>M153*N153*1000-Q153</f>
        <v/>
      </c>
      <c r="S153" s="5">
        <f>H153/($N153*1000)</f>
        <v/>
      </c>
      <c r="T153" s="5">
        <f>R153/($N153*1000)</f>
        <v/>
      </c>
    </row>
    <row r="154">
      <c r="A154" s="1" t="n">
        <v>153</v>
      </c>
      <c r="B154" s="2">
        <f>DATE(Sintesi!$C$4-1,12,31)+A154</f>
        <v/>
      </c>
      <c r="C154" s="1">
        <f>'Paste cell here'!T154</f>
        <v/>
      </c>
      <c r="D154" s="1">
        <f>'Paste cell here'!AC154</f>
        <v/>
      </c>
      <c r="E154" s="1">
        <f>'Paste cell here'!Y154</f>
        <v/>
      </c>
      <c r="F154" s="1">
        <f>'Paste cell here'!AD154</f>
        <v/>
      </c>
      <c r="G154" s="1">
        <f>'Paste cell here'!W154</f>
        <v/>
      </c>
      <c r="H154" s="1">
        <f>'Paste cell here'!AE154</f>
        <v/>
      </c>
      <c r="I154" s="1">
        <f>'Paste cell here'!AF154</f>
        <v/>
      </c>
      <c r="J154" s="1">
        <f>ABS(I154+C154+D154-E154-F154-G154-H154)</f>
        <v/>
      </c>
      <c r="K154" s="1">
        <f>IF('Bilancio primo strato'!D154&gt;0,1,"")</f>
        <v/>
      </c>
      <c r="L154" s="7">
        <f>Sintesi!$C$34</f>
        <v/>
      </c>
      <c r="M154" s="7">
        <f>Sintesi!$C$33</f>
        <v/>
      </c>
      <c r="N154" s="1">
        <f>'Paste cell here'!AA154</f>
        <v/>
      </c>
      <c r="O154" s="1">
        <f>'Paste cell here'!H154</f>
        <v/>
      </c>
      <c r="P154" s="1">
        <f>(M154-L154)*N154*1000</f>
        <v/>
      </c>
      <c r="Q154" s="1">
        <f>P154*O154</f>
        <v/>
      </c>
      <c r="R154" s="1">
        <f>M154*N154*1000-Q154</f>
        <v/>
      </c>
      <c r="S154" s="5">
        <f>H154/($N154*1000)</f>
        <v/>
      </c>
      <c r="T154" s="5">
        <f>R154/($N154*1000)</f>
        <v/>
      </c>
    </row>
    <row r="155">
      <c r="A155" s="1" t="n">
        <v>154</v>
      </c>
      <c r="B155" s="2">
        <f>DATE(Sintesi!$C$4-1,12,31)+A155</f>
        <v/>
      </c>
      <c r="C155" s="1">
        <f>'Paste cell here'!T155</f>
        <v/>
      </c>
      <c r="D155" s="1">
        <f>'Paste cell here'!AC155</f>
        <v/>
      </c>
      <c r="E155" s="1">
        <f>'Paste cell here'!Y155</f>
        <v/>
      </c>
      <c r="F155" s="1">
        <f>'Paste cell here'!AD155</f>
        <v/>
      </c>
      <c r="G155" s="1">
        <f>'Paste cell here'!W155</f>
        <v/>
      </c>
      <c r="H155" s="1">
        <f>'Paste cell here'!AE155</f>
        <v/>
      </c>
      <c r="I155" s="1">
        <f>'Paste cell here'!AF155</f>
        <v/>
      </c>
      <c r="J155" s="1">
        <f>ABS(I155+C155+D155-E155-F155-G155-H155)</f>
        <v/>
      </c>
      <c r="K155" s="1">
        <f>IF('Bilancio primo strato'!D155&gt;0,1,"")</f>
        <v/>
      </c>
      <c r="L155" s="7">
        <f>Sintesi!$C$34</f>
        <v/>
      </c>
      <c r="M155" s="7">
        <f>Sintesi!$C$33</f>
        <v/>
      </c>
      <c r="N155" s="1">
        <f>'Paste cell here'!AA155</f>
        <v/>
      </c>
      <c r="O155" s="1">
        <f>'Paste cell here'!H155</f>
        <v/>
      </c>
      <c r="P155" s="1">
        <f>(M155-L155)*N155*1000</f>
        <v/>
      </c>
      <c r="Q155" s="1">
        <f>P155*O155</f>
        <v/>
      </c>
      <c r="R155" s="1">
        <f>M155*N155*1000-Q155</f>
        <v/>
      </c>
      <c r="S155" s="5">
        <f>H155/($N155*1000)</f>
        <v/>
      </c>
      <c r="T155" s="5">
        <f>R155/($N155*1000)</f>
        <v/>
      </c>
    </row>
    <row r="156">
      <c r="A156" s="1" t="n">
        <v>155</v>
      </c>
      <c r="B156" s="2">
        <f>DATE(Sintesi!$C$4-1,12,31)+A156</f>
        <v/>
      </c>
      <c r="C156" s="1">
        <f>'Paste cell here'!T156</f>
        <v/>
      </c>
      <c r="D156" s="1">
        <f>'Paste cell here'!AC156</f>
        <v/>
      </c>
      <c r="E156" s="1">
        <f>'Paste cell here'!Y156</f>
        <v/>
      </c>
      <c r="F156" s="1">
        <f>'Paste cell here'!AD156</f>
        <v/>
      </c>
      <c r="G156" s="1">
        <f>'Paste cell here'!W156</f>
        <v/>
      </c>
      <c r="H156" s="1">
        <f>'Paste cell here'!AE156</f>
        <v/>
      </c>
      <c r="I156" s="1">
        <f>'Paste cell here'!AF156</f>
        <v/>
      </c>
      <c r="J156" s="1">
        <f>ABS(I156+C156+D156-E156-F156-G156-H156)</f>
        <v/>
      </c>
      <c r="K156" s="1">
        <f>IF('Bilancio primo strato'!D156&gt;0,1,"")</f>
        <v/>
      </c>
      <c r="L156" s="7">
        <f>Sintesi!$C$34</f>
        <v/>
      </c>
      <c r="M156" s="7">
        <f>Sintesi!$C$33</f>
        <v/>
      </c>
      <c r="N156" s="1">
        <f>'Paste cell here'!AA156</f>
        <v/>
      </c>
      <c r="O156" s="1">
        <f>'Paste cell here'!H156</f>
        <v/>
      </c>
      <c r="P156" s="1">
        <f>(M156-L156)*N156*1000</f>
        <v/>
      </c>
      <c r="Q156" s="1">
        <f>P156*O156</f>
        <v/>
      </c>
      <c r="R156" s="1">
        <f>M156*N156*1000-Q156</f>
        <v/>
      </c>
      <c r="S156" s="5">
        <f>H156/($N156*1000)</f>
        <v/>
      </c>
      <c r="T156" s="5">
        <f>R156/($N156*1000)</f>
        <v/>
      </c>
    </row>
    <row r="157">
      <c r="A157" s="1" t="n">
        <v>156</v>
      </c>
      <c r="B157" s="2">
        <f>DATE(Sintesi!$C$4-1,12,31)+A157</f>
        <v/>
      </c>
      <c r="C157" s="1">
        <f>'Paste cell here'!T157</f>
        <v/>
      </c>
      <c r="D157" s="1">
        <f>'Paste cell here'!AC157</f>
        <v/>
      </c>
      <c r="E157" s="1">
        <f>'Paste cell here'!Y157</f>
        <v/>
      </c>
      <c r="F157" s="1">
        <f>'Paste cell here'!AD157</f>
        <v/>
      </c>
      <c r="G157" s="1">
        <f>'Paste cell here'!W157</f>
        <v/>
      </c>
      <c r="H157" s="1">
        <f>'Paste cell here'!AE157</f>
        <v/>
      </c>
      <c r="I157" s="1">
        <f>'Paste cell here'!AF157</f>
        <v/>
      </c>
      <c r="J157" s="1">
        <f>ABS(I157+C157+D157-E157-F157-G157-H157)</f>
        <v/>
      </c>
      <c r="K157" s="1">
        <f>IF('Bilancio primo strato'!D157&gt;0,1,"")</f>
        <v/>
      </c>
      <c r="L157" s="7">
        <f>Sintesi!$C$34</f>
        <v/>
      </c>
      <c r="M157" s="7">
        <f>Sintesi!$C$33</f>
        <v/>
      </c>
      <c r="N157" s="1">
        <f>'Paste cell here'!AA157</f>
        <v/>
      </c>
      <c r="O157" s="1">
        <f>'Paste cell here'!H157</f>
        <v/>
      </c>
      <c r="P157" s="1">
        <f>(M157-L157)*N157*1000</f>
        <v/>
      </c>
      <c r="Q157" s="1">
        <f>P157*O157</f>
        <v/>
      </c>
      <c r="R157" s="1">
        <f>M157*N157*1000-Q157</f>
        <v/>
      </c>
      <c r="S157" s="5">
        <f>H157/($N157*1000)</f>
        <v/>
      </c>
      <c r="T157" s="5">
        <f>R157/($N157*1000)</f>
        <v/>
      </c>
    </row>
    <row r="158">
      <c r="A158" s="1" t="n">
        <v>157</v>
      </c>
      <c r="B158" s="2">
        <f>DATE(Sintesi!$C$4-1,12,31)+A158</f>
        <v/>
      </c>
      <c r="C158" s="1">
        <f>'Paste cell here'!T158</f>
        <v/>
      </c>
      <c r="D158" s="1">
        <f>'Paste cell here'!AC158</f>
        <v/>
      </c>
      <c r="E158" s="1">
        <f>'Paste cell here'!Y158</f>
        <v/>
      </c>
      <c r="F158" s="1">
        <f>'Paste cell here'!AD158</f>
        <v/>
      </c>
      <c r="G158" s="1">
        <f>'Paste cell here'!W158</f>
        <v/>
      </c>
      <c r="H158" s="1">
        <f>'Paste cell here'!AE158</f>
        <v/>
      </c>
      <c r="I158" s="1">
        <f>'Paste cell here'!AF158</f>
        <v/>
      </c>
      <c r="J158" s="1">
        <f>ABS(I158+C158+D158-E158-F158-G158-H158)</f>
        <v/>
      </c>
      <c r="K158" s="1">
        <f>IF('Bilancio primo strato'!D158&gt;0,1,"")</f>
        <v/>
      </c>
      <c r="L158" s="7">
        <f>Sintesi!$C$34</f>
        <v/>
      </c>
      <c r="M158" s="7">
        <f>Sintesi!$C$33</f>
        <v/>
      </c>
      <c r="N158" s="1">
        <f>'Paste cell here'!AA158</f>
        <v/>
      </c>
      <c r="O158" s="1">
        <f>'Paste cell here'!H158</f>
        <v/>
      </c>
      <c r="P158" s="1">
        <f>(M158-L158)*N158*1000</f>
        <v/>
      </c>
      <c r="Q158" s="1">
        <f>P158*O158</f>
        <v/>
      </c>
      <c r="R158" s="1">
        <f>M158*N158*1000-Q158</f>
        <v/>
      </c>
      <c r="S158" s="5">
        <f>H158/($N158*1000)</f>
        <v/>
      </c>
      <c r="T158" s="5">
        <f>R158/($N158*1000)</f>
        <v/>
      </c>
    </row>
    <row r="159">
      <c r="A159" s="1" t="n">
        <v>158</v>
      </c>
      <c r="B159" s="2">
        <f>DATE(Sintesi!$C$4-1,12,31)+A159</f>
        <v/>
      </c>
      <c r="C159" s="1">
        <f>'Paste cell here'!T159</f>
        <v/>
      </c>
      <c r="D159" s="1">
        <f>'Paste cell here'!AC159</f>
        <v/>
      </c>
      <c r="E159" s="1">
        <f>'Paste cell here'!Y159</f>
        <v/>
      </c>
      <c r="F159" s="1">
        <f>'Paste cell here'!AD159</f>
        <v/>
      </c>
      <c r="G159" s="1">
        <f>'Paste cell here'!W159</f>
        <v/>
      </c>
      <c r="H159" s="1">
        <f>'Paste cell here'!AE159</f>
        <v/>
      </c>
      <c r="I159" s="1">
        <f>'Paste cell here'!AF159</f>
        <v/>
      </c>
      <c r="J159" s="1">
        <f>ABS(I159+C159+D159-E159-F159-G159-H159)</f>
        <v/>
      </c>
      <c r="K159" s="1">
        <f>IF('Bilancio primo strato'!D159&gt;0,1,"")</f>
        <v/>
      </c>
      <c r="L159" s="7">
        <f>Sintesi!$C$34</f>
        <v/>
      </c>
      <c r="M159" s="7">
        <f>Sintesi!$C$33</f>
        <v/>
      </c>
      <c r="N159" s="1">
        <f>'Paste cell here'!AA159</f>
        <v/>
      </c>
      <c r="O159" s="1">
        <f>'Paste cell here'!H159</f>
        <v/>
      </c>
      <c r="P159" s="1">
        <f>(M159-L159)*N159*1000</f>
        <v/>
      </c>
      <c r="Q159" s="1">
        <f>P159*O159</f>
        <v/>
      </c>
      <c r="R159" s="1">
        <f>M159*N159*1000-Q159</f>
        <v/>
      </c>
      <c r="S159" s="5">
        <f>H159/($N159*1000)</f>
        <v/>
      </c>
      <c r="T159" s="5">
        <f>R159/($N159*1000)</f>
        <v/>
      </c>
    </row>
    <row r="160">
      <c r="A160" s="1" t="n">
        <v>159</v>
      </c>
      <c r="B160" s="2">
        <f>DATE(Sintesi!$C$4-1,12,31)+A160</f>
        <v/>
      </c>
      <c r="C160" s="1">
        <f>'Paste cell here'!T160</f>
        <v/>
      </c>
      <c r="D160" s="1">
        <f>'Paste cell here'!AC160</f>
        <v/>
      </c>
      <c r="E160" s="1">
        <f>'Paste cell here'!Y160</f>
        <v/>
      </c>
      <c r="F160" s="1">
        <f>'Paste cell here'!AD160</f>
        <v/>
      </c>
      <c r="G160" s="1">
        <f>'Paste cell here'!W160</f>
        <v/>
      </c>
      <c r="H160" s="1">
        <f>'Paste cell here'!AE160</f>
        <v/>
      </c>
      <c r="I160" s="1">
        <f>'Paste cell here'!AF160</f>
        <v/>
      </c>
      <c r="J160" s="1">
        <f>ABS(I160+C160+D160-E160-F160-G160-H160)</f>
        <v/>
      </c>
      <c r="K160" s="1">
        <f>IF('Bilancio primo strato'!D160&gt;0,1,"")</f>
        <v/>
      </c>
      <c r="L160" s="7">
        <f>Sintesi!$C$34</f>
        <v/>
      </c>
      <c r="M160" s="7">
        <f>Sintesi!$C$33</f>
        <v/>
      </c>
      <c r="N160" s="1">
        <f>'Paste cell here'!AA160</f>
        <v/>
      </c>
      <c r="O160" s="1">
        <f>'Paste cell here'!H160</f>
        <v/>
      </c>
      <c r="P160" s="1">
        <f>(M160-L160)*N160*1000</f>
        <v/>
      </c>
      <c r="Q160" s="1">
        <f>P160*O160</f>
        <v/>
      </c>
      <c r="R160" s="1">
        <f>M160*N160*1000-Q160</f>
        <v/>
      </c>
      <c r="S160" s="5">
        <f>H160/($N160*1000)</f>
        <v/>
      </c>
      <c r="T160" s="5">
        <f>R160/($N160*1000)</f>
        <v/>
      </c>
    </row>
    <row r="161">
      <c r="A161" s="1" t="n">
        <v>160</v>
      </c>
      <c r="B161" s="2">
        <f>DATE(Sintesi!$C$4-1,12,31)+A161</f>
        <v/>
      </c>
      <c r="C161" s="1">
        <f>'Paste cell here'!T161</f>
        <v/>
      </c>
      <c r="D161" s="1">
        <f>'Paste cell here'!AC161</f>
        <v/>
      </c>
      <c r="E161" s="1">
        <f>'Paste cell here'!Y161</f>
        <v/>
      </c>
      <c r="F161" s="1">
        <f>'Paste cell here'!AD161</f>
        <v/>
      </c>
      <c r="G161" s="1">
        <f>'Paste cell here'!W161</f>
        <v/>
      </c>
      <c r="H161" s="1">
        <f>'Paste cell here'!AE161</f>
        <v/>
      </c>
      <c r="I161" s="1">
        <f>'Paste cell here'!AF161</f>
        <v/>
      </c>
      <c r="J161" s="1">
        <f>ABS(I161+C161+D161-E161-F161-G161-H161)</f>
        <v/>
      </c>
      <c r="K161" s="1">
        <f>IF('Bilancio primo strato'!D161&gt;0,1,"")</f>
        <v/>
      </c>
      <c r="L161" s="7">
        <f>Sintesi!$C$34</f>
        <v/>
      </c>
      <c r="M161" s="7">
        <f>Sintesi!$C$33</f>
        <v/>
      </c>
      <c r="N161" s="1">
        <f>'Paste cell here'!AA161</f>
        <v/>
      </c>
      <c r="O161" s="1">
        <f>'Paste cell here'!H161</f>
        <v/>
      </c>
      <c r="P161" s="1">
        <f>(M161-L161)*N161*1000</f>
        <v/>
      </c>
      <c r="Q161" s="1">
        <f>P161*O161</f>
        <v/>
      </c>
      <c r="R161" s="1">
        <f>M161*N161*1000-Q161</f>
        <v/>
      </c>
      <c r="S161" s="5">
        <f>H161/($N161*1000)</f>
        <v/>
      </c>
      <c r="T161" s="5">
        <f>R161/($N161*1000)</f>
        <v/>
      </c>
    </row>
    <row r="162">
      <c r="A162" s="1" t="n">
        <v>161</v>
      </c>
      <c r="B162" s="2">
        <f>DATE(Sintesi!$C$4-1,12,31)+A162</f>
        <v/>
      </c>
      <c r="C162" s="1">
        <f>'Paste cell here'!T162</f>
        <v/>
      </c>
      <c r="D162" s="1">
        <f>'Paste cell here'!AC162</f>
        <v/>
      </c>
      <c r="E162" s="1">
        <f>'Paste cell here'!Y162</f>
        <v/>
      </c>
      <c r="F162" s="1">
        <f>'Paste cell here'!AD162</f>
        <v/>
      </c>
      <c r="G162" s="1">
        <f>'Paste cell here'!W162</f>
        <v/>
      </c>
      <c r="H162" s="1">
        <f>'Paste cell here'!AE162</f>
        <v/>
      </c>
      <c r="I162" s="1">
        <f>'Paste cell here'!AF162</f>
        <v/>
      </c>
      <c r="J162" s="1">
        <f>ABS(I162+C162+D162-E162-F162-G162-H162)</f>
        <v/>
      </c>
      <c r="K162" s="1">
        <f>IF('Bilancio primo strato'!D162&gt;0,1,"")</f>
        <v/>
      </c>
      <c r="L162" s="7">
        <f>Sintesi!$C$34</f>
        <v/>
      </c>
      <c r="M162" s="7">
        <f>Sintesi!$C$33</f>
        <v/>
      </c>
      <c r="N162" s="1">
        <f>'Paste cell here'!AA162</f>
        <v/>
      </c>
      <c r="O162" s="1">
        <f>'Paste cell here'!H162</f>
        <v/>
      </c>
      <c r="P162" s="1">
        <f>(M162-L162)*N162*1000</f>
        <v/>
      </c>
      <c r="Q162" s="1">
        <f>P162*O162</f>
        <v/>
      </c>
      <c r="R162" s="1">
        <f>M162*N162*1000-Q162</f>
        <v/>
      </c>
      <c r="S162" s="5">
        <f>H162/($N162*1000)</f>
        <v/>
      </c>
      <c r="T162" s="5">
        <f>R162/($N162*1000)</f>
        <v/>
      </c>
    </row>
    <row r="163">
      <c r="A163" s="1" t="n">
        <v>162</v>
      </c>
      <c r="B163" s="2">
        <f>DATE(Sintesi!$C$4-1,12,31)+A163</f>
        <v/>
      </c>
      <c r="C163" s="1">
        <f>'Paste cell here'!T163</f>
        <v/>
      </c>
      <c r="D163" s="1">
        <f>'Paste cell here'!AC163</f>
        <v/>
      </c>
      <c r="E163" s="1">
        <f>'Paste cell here'!Y163</f>
        <v/>
      </c>
      <c r="F163" s="1">
        <f>'Paste cell here'!AD163</f>
        <v/>
      </c>
      <c r="G163" s="1">
        <f>'Paste cell here'!W163</f>
        <v/>
      </c>
      <c r="H163" s="1">
        <f>'Paste cell here'!AE163</f>
        <v/>
      </c>
      <c r="I163" s="1">
        <f>'Paste cell here'!AF163</f>
        <v/>
      </c>
      <c r="J163" s="1">
        <f>ABS(I163+C163+D163-E163-F163-G163-H163)</f>
        <v/>
      </c>
      <c r="K163" s="1">
        <f>IF('Bilancio primo strato'!D163&gt;0,1,"")</f>
        <v/>
      </c>
      <c r="L163" s="7">
        <f>Sintesi!$C$34</f>
        <v/>
      </c>
      <c r="M163" s="7">
        <f>Sintesi!$C$33</f>
        <v/>
      </c>
      <c r="N163" s="1">
        <f>'Paste cell here'!AA163</f>
        <v/>
      </c>
      <c r="O163" s="1">
        <f>'Paste cell here'!H163</f>
        <v/>
      </c>
      <c r="P163" s="1">
        <f>(M163-L163)*N163*1000</f>
        <v/>
      </c>
      <c r="Q163" s="1">
        <f>P163*O163</f>
        <v/>
      </c>
      <c r="R163" s="1">
        <f>M163*N163*1000-Q163</f>
        <v/>
      </c>
      <c r="S163" s="5">
        <f>H163/($N163*1000)</f>
        <v/>
      </c>
      <c r="T163" s="5">
        <f>R163/($N163*1000)</f>
        <v/>
      </c>
    </row>
    <row r="164">
      <c r="A164" s="1" t="n">
        <v>163</v>
      </c>
      <c r="B164" s="2">
        <f>DATE(Sintesi!$C$4-1,12,31)+A164</f>
        <v/>
      </c>
      <c r="C164" s="1">
        <f>'Paste cell here'!T164</f>
        <v/>
      </c>
      <c r="D164" s="1">
        <f>'Paste cell here'!AC164</f>
        <v/>
      </c>
      <c r="E164" s="1">
        <f>'Paste cell here'!Y164</f>
        <v/>
      </c>
      <c r="F164" s="1">
        <f>'Paste cell here'!AD164</f>
        <v/>
      </c>
      <c r="G164" s="1">
        <f>'Paste cell here'!W164</f>
        <v/>
      </c>
      <c r="H164" s="1">
        <f>'Paste cell here'!AE164</f>
        <v/>
      </c>
      <c r="I164" s="1">
        <f>'Paste cell here'!AF164</f>
        <v/>
      </c>
      <c r="J164" s="1">
        <f>ABS(I164+C164+D164-E164-F164-G164-H164)</f>
        <v/>
      </c>
      <c r="K164" s="1">
        <f>IF('Bilancio primo strato'!D164&gt;0,1,"")</f>
        <v/>
      </c>
      <c r="L164" s="7">
        <f>Sintesi!$C$34</f>
        <v/>
      </c>
      <c r="M164" s="7">
        <f>Sintesi!$C$33</f>
        <v/>
      </c>
      <c r="N164" s="1">
        <f>'Paste cell here'!AA164</f>
        <v/>
      </c>
      <c r="O164" s="1">
        <f>'Paste cell here'!H164</f>
        <v/>
      </c>
      <c r="P164" s="1">
        <f>(M164-L164)*N164*1000</f>
        <v/>
      </c>
      <c r="Q164" s="1">
        <f>P164*O164</f>
        <v/>
      </c>
      <c r="R164" s="1">
        <f>M164*N164*1000-Q164</f>
        <v/>
      </c>
      <c r="S164" s="5">
        <f>H164/($N164*1000)</f>
        <v/>
      </c>
      <c r="T164" s="5">
        <f>R164/($N164*1000)</f>
        <v/>
      </c>
    </row>
    <row r="165" ht="0.95" customHeight="1">
      <c r="A165" s="1" t="n">
        <v>164</v>
      </c>
      <c r="B165" s="2">
        <f>DATE(Sintesi!$C$4-1,12,31)+A165</f>
        <v/>
      </c>
      <c r="C165" s="1">
        <f>'Paste cell here'!T165</f>
        <v/>
      </c>
      <c r="D165" s="1">
        <f>'Paste cell here'!AC165</f>
        <v/>
      </c>
      <c r="E165" s="1">
        <f>'Paste cell here'!Y165</f>
        <v/>
      </c>
      <c r="F165" s="1">
        <f>'Paste cell here'!AD165</f>
        <v/>
      </c>
      <c r="G165" s="1">
        <f>'Paste cell here'!W165</f>
        <v/>
      </c>
      <c r="H165" s="1">
        <f>'Paste cell here'!AE165</f>
        <v/>
      </c>
      <c r="I165" s="1">
        <f>'Paste cell here'!AF165</f>
        <v/>
      </c>
      <c r="J165" s="1">
        <f>ABS(I165+C165+D165-E165-F165-G165-H165)</f>
        <v/>
      </c>
      <c r="K165" s="1">
        <f>IF('Bilancio primo strato'!D165&gt;0,1,"")</f>
        <v/>
      </c>
      <c r="L165" s="7">
        <f>Sintesi!$C$34</f>
        <v/>
      </c>
      <c r="M165" s="7">
        <f>Sintesi!$C$33</f>
        <v/>
      </c>
      <c r="N165" s="1">
        <f>'Paste cell here'!AA165</f>
        <v/>
      </c>
      <c r="O165" s="1">
        <f>'Paste cell here'!H165</f>
        <v/>
      </c>
      <c r="P165" s="1">
        <f>(M165-L165)*N165*1000</f>
        <v/>
      </c>
      <c r="Q165" s="1">
        <f>P165*O165</f>
        <v/>
      </c>
      <c r="R165" s="1">
        <f>M165*N165*1000-Q165</f>
        <v/>
      </c>
      <c r="S165" s="5">
        <f>H165/($N165*1000)</f>
        <v/>
      </c>
      <c r="T165" s="5">
        <f>R165/($N165*1000)</f>
        <v/>
      </c>
    </row>
    <row r="166">
      <c r="A166" s="1" t="n">
        <v>165</v>
      </c>
      <c r="B166" s="2">
        <f>DATE(Sintesi!$C$4-1,12,31)+A166</f>
        <v/>
      </c>
      <c r="C166" s="1">
        <f>'Paste cell here'!T166</f>
        <v/>
      </c>
      <c r="D166" s="1">
        <f>'Paste cell here'!AC166</f>
        <v/>
      </c>
      <c r="E166" s="1">
        <f>'Paste cell here'!Y166</f>
        <v/>
      </c>
      <c r="F166" s="1">
        <f>'Paste cell here'!AD166</f>
        <v/>
      </c>
      <c r="G166" s="1">
        <f>'Paste cell here'!W166</f>
        <v/>
      </c>
      <c r="H166" s="1">
        <f>'Paste cell here'!AE166</f>
        <v/>
      </c>
      <c r="I166" s="1">
        <f>'Paste cell here'!AF166</f>
        <v/>
      </c>
      <c r="J166" s="1">
        <f>ABS(I166+C166+D166-E166-F166-G166-H166)</f>
        <v/>
      </c>
      <c r="K166" s="1">
        <f>IF('Bilancio primo strato'!D166&gt;0,1,"")</f>
        <v/>
      </c>
      <c r="L166" s="7">
        <f>Sintesi!$C$34</f>
        <v/>
      </c>
      <c r="M166" s="7">
        <f>Sintesi!$C$33</f>
        <v/>
      </c>
      <c r="N166" s="1">
        <f>'Paste cell here'!AA166</f>
        <v/>
      </c>
      <c r="O166" s="1">
        <f>'Paste cell here'!H166</f>
        <v/>
      </c>
      <c r="P166" s="1">
        <f>(M166-L166)*N166*1000</f>
        <v/>
      </c>
      <c r="Q166" s="1">
        <f>P166*O166</f>
        <v/>
      </c>
      <c r="R166" s="1">
        <f>M166*N166*1000-Q166</f>
        <v/>
      </c>
      <c r="S166" s="5">
        <f>H166/($N166*1000)</f>
        <v/>
      </c>
      <c r="T166" s="5">
        <f>R166/($N166*1000)</f>
        <v/>
      </c>
    </row>
    <row r="167">
      <c r="A167" s="1" t="n">
        <v>166</v>
      </c>
      <c r="B167" s="2">
        <f>DATE(Sintesi!$C$4-1,12,31)+A167</f>
        <v/>
      </c>
      <c r="C167" s="1">
        <f>'Paste cell here'!T167</f>
        <v/>
      </c>
      <c r="D167" s="1">
        <f>'Paste cell here'!AC167</f>
        <v/>
      </c>
      <c r="E167" s="1">
        <f>'Paste cell here'!Y167</f>
        <v/>
      </c>
      <c r="F167" s="1">
        <f>'Paste cell here'!AD167</f>
        <v/>
      </c>
      <c r="G167" s="1">
        <f>'Paste cell here'!W167</f>
        <v/>
      </c>
      <c r="H167" s="1">
        <f>'Paste cell here'!AE167</f>
        <v/>
      </c>
      <c r="I167" s="1">
        <f>'Paste cell here'!AF167</f>
        <v/>
      </c>
      <c r="J167" s="1">
        <f>ABS(I167+C167+D167-E167-F167-G167-H167)</f>
        <v/>
      </c>
      <c r="K167" s="1">
        <f>IF('Bilancio primo strato'!D167&gt;0,1,"")</f>
        <v/>
      </c>
      <c r="L167" s="7">
        <f>Sintesi!$C$34</f>
        <v/>
      </c>
      <c r="M167" s="7">
        <f>Sintesi!$C$33</f>
        <v/>
      </c>
      <c r="N167" s="1">
        <f>'Paste cell here'!AA167</f>
        <v/>
      </c>
      <c r="O167" s="1">
        <f>'Paste cell here'!H167</f>
        <v/>
      </c>
      <c r="P167" s="1">
        <f>(M167-L167)*N167*1000</f>
        <v/>
      </c>
      <c r="Q167" s="1">
        <f>P167*O167</f>
        <v/>
      </c>
      <c r="R167" s="1">
        <f>M167*N167*1000-Q167</f>
        <v/>
      </c>
      <c r="S167" s="5">
        <f>H167/($N167*1000)</f>
        <v/>
      </c>
      <c r="T167" s="5">
        <f>R167/($N167*1000)</f>
        <v/>
      </c>
    </row>
    <row r="168">
      <c r="A168" s="1" t="n">
        <v>167</v>
      </c>
      <c r="B168" s="2">
        <f>DATE(Sintesi!$C$4-1,12,31)+A168</f>
        <v/>
      </c>
      <c r="C168" s="1">
        <f>'Paste cell here'!T168</f>
        <v/>
      </c>
      <c r="D168" s="1">
        <f>'Paste cell here'!AC168</f>
        <v/>
      </c>
      <c r="E168" s="1">
        <f>'Paste cell here'!Y168</f>
        <v/>
      </c>
      <c r="F168" s="1">
        <f>'Paste cell here'!AD168</f>
        <v/>
      </c>
      <c r="G168" s="1">
        <f>'Paste cell here'!W168</f>
        <v/>
      </c>
      <c r="H168" s="1">
        <f>'Paste cell here'!AE168</f>
        <v/>
      </c>
      <c r="I168" s="1">
        <f>'Paste cell here'!AF168</f>
        <v/>
      </c>
      <c r="J168" s="1">
        <f>ABS(I168+C168+D168-E168-F168-G168-H168)</f>
        <v/>
      </c>
      <c r="K168" s="1">
        <f>IF('Bilancio primo strato'!D168&gt;0,1,"")</f>
        <v/>
      </c>
      <c r="L168" s="7">
        <f>Sintesi!$C$34</f>
        <v/>
      </c>
      <c r="M168" s="7">
        <f>Sintesi!$C$33</f>
        <v/>
      </c>
      <c r="N168" s="1">
        <f>'Paste cell here'!AA168</f>
        <v/>
      </c>
      <c r="O168" s="1">
        <f>'Paste cell here'!H168</f>
        <v/>
      </c>
      <c r="P168" s="1">
        <f>(M168-L168)*N168*1000</f>
        <v/>
      </c>
      <c r="Q168" s="1">
        <f>P168*O168</f>
        <v/>
      </c>
      <c r="R168" s="1">
        <f>M168*N168*1000-Q168</f>
        <v/>
      </c>
      <c r="S168" s="5">
        <f>H168/($N168*1000)</f>
        <v/>
      </c>
      <c r="T168" s="5">
        <f>R168/($N168*1000)</f>
        <v/>
      </c>
    </row>
    <row r="169">
      <c r="A169" s="1" t="n">
        <v>168</v>
      </c>
      <c r="B169" s="2">
        <f>DATE(Sintesi!$C$4-1,12,31)+A169</f>
        <v/>
      </c>
      <c r="C169" s="1">
        <f>'Paste cell here'!T169</f>
        <v/>
      </c>
      <c r="D169" s="1">
        <f>'Paste cell here'!AC169</f>
        <v/>
      </c>
      <c r="E169" s="1">
        <f>'Paste cell here'!Y169</f>
        <v/>
      </c>
      <c r="F169" s="1">
        <f>'Paste cell here'!AD169</f>
        <v/>
      </c>
      <c r="G169" s="1">
        <f>'Paste cell here'!W169</f>
        <v/>
      </c>
      <c r="H169" s="1">
        <f>'Paste cell here'!AE169</f>
        <v/>
      </c>
      <c r="I169" s="1">
        <f>'Paste cell here'!AF169</f>
        <v/>
      </c>
      <c r="J169" s="1">
        <f>ABS(I169+C169+D169-E169-F169-G169-H169)</f>
        <v/>
      </c>
      <c r="K169" s="1">
        <f>IF('Bilancio primo strato'!D169&gt;0,1,"")</f>
        <v/>
      </c>
      <c r="L169" s="7">
        <f>Sintesi!$C$34</f>
        <v/>
      </c>
      <c r="M169" s="7">
        <f>Sintesi!$C$33</f>
        <v/>
      </c>
      <c r="N169" s="1">
        <f>'Paste cell here'!AA169</f>
        <v/>
      </c>
      <c r="O169" s="1">
        <f>'Paste cell here'!H169</f>
        <v/>
      </c>
      <c r="P169" s="1">
        <f>(M169-L169)*N169*1000</f>
        <v/>
      </c>
      <c r="Q169" s="1">
        <f>P169*O169</f>
        <v/>
      </c>
      <c r="R169" s="1">
        <f>M169*N169*1000-Q169</f>
        <v/>
      </c>
      <c r="S169" s="5">
        <f>H169/($N169*1000)</f>
        <v/>
      </c>
      <c r="T169" s="5">
        <f>R169/($N169*1000)</f>
        <v/>
      </c>
    </row>
    <row r="170">
      <c r="A170" s="1" t="n">
        <v>169</v>
      </c>
      <c r="B170" s="2">
        <f>DATE(Sintesi!$C$4-1,12,31)+A170</f>
        <v/>
      </c>
      <c r="C170" s="1">
        <f>'Paste cell here'!T170</f>
        <v/>
      </c>
      <c r="D170" s="1">
        <f>'Paste cell here'!AC170</f>
        <v/>
      </c>
      <c r="E170" s="1">
        <f>'Paste cell here'!Y170</f>
        <v/>
      </c>
      <c r="F170" s="1">
        <f>'Paste cell here'!AD170</f>
        <v/>
      </c>
      <c r="G170" s="1">
        <f>'Paste cell here'!W170</f>
        <v/>
      </c>
      <c r="H170" s="1">
        <f>'Paste cell here'!AE170</f>
        <v/>
      </c>
      <c r="I170" s="1">
        <f>'Paste cell here'!AF170</f>
        <v/>
      </c>
      <c r="J170" s="1">
        <f>ABS(I170+C170+D170-E170-F170-G170-H170)</f>
        <v/>
      </c>
      <c r="K170" s="1">
        <f>IF('Bilancio primo strato'!D170&gt;0,1,"")</f>
        <v/>
      </c>
      <c r="L170" s="7">
        <f>Sintesi!$C$34</f>
        <v/>
      </c>
      <c r="M170" s="7">
        <f>Sintesi!$C$33</f>
        <v/>
      </c>
      <c r="N170" s="1">
        <f>'Paste cell here'!AA170</f>
        <v/>
      </c>
      <c r="O170" s="1">
        <f>'Paste cell here'!H170</f>
        <v/>
      </c>
      <c r="P170" s="1">
        <f>(M170-L170)*N170*1000</f>
        <v/>
      </c>
      <c r="Q170" s="1">
        <f>P170*O170</f>
        <v/>
      </c>
      <c r="R170" s="1">
        <f>M170*N170*1000-Q170</f>
        <v/>
      </c>
      <c r="S170" s="5">
        <f>H170/($N170*1000)</f>
        <v/>
      </c>
      <c r="T170" s="5">
        <f>R170/($N170*1000)</f>
        <v/>
      </c>
    </row>
    <row r="171">
      <c r="A171" s="1" t="n">
        <v>170</v>
      </c>
      <c r="B171" s="2">
        <f>DATE(Sintesi!$C$4-1,12,31)+A171</f>
        <v/>
      </c>
      <c r="C171" s="1">
        <f>'Paste cell here'!T171</f>
        <v/>
      </c>
      <c r="D171" s="1">
        <f>'Paste cell here'!AC171</f>
        <v/>
      </c>
      <c r="E171" s="1">
        <f>'Paste cell here'!Y171</f>
        <v/>
      </c>
      <c r="F171" s="1">
        <f>'Paste cell here'!AD171</f>
        <v/>
      </c>
      <c r="G171" s="1">
        <f>'Paste cell here'!W171</f>
        <v/>
      </c>
      <c r="H171" s="1">
        <f>'Paste cell here'!AE171</f>
        <v/>
      </c>
      <c r="I171" s="1">
        <f>'Paste cell here'!AF171</f>
        <v/>
      </c>
      <c r="J171" s="1">
        <f>ABS(I171+C171+D171-E171-F171-G171-H171)</f>
        <v/>
      </c>
      <c r="K171" s="1">
        <f>IF('Bilancio primo strato'!D171&gt;0,1,"")</f>
        <v/>
      </c>
      <c r="L171" s="7">
        <f>Sintesi!$C$34</f>
        <v/>
      </c>
      <c r="M171" s="7">
        <f>Sintesi!$C$33</f>
        <v/>
      </c>
      <c r="N171" s="1">
        <f>'Paste cell here'!AA171</f>
        <v/>
      </c>
      <c r="O171" s="1">
        <f>'Paste cell here'!H171</f>
        <v/>
      </c>
      <c r="P171" s="1">
        <f>(M171-L171)*N171*1000</f>
        <v/>
      </c>
      <c r="Q171" s="1">
        <f>P171*O171</f>
        <v/>
      </c>
      <c r="R171" s="1">
        <f>M171*N171*1000-Q171</f>
        <v/>
      </c>
      <c r="S171" s="5">
        <f>H171/($N171*1000)</f>
        <v/>
      </c>
      <c r="T171" s="5">
        <f>R171/($N171*1000)</f>
        <v/>
      </c>
    </row>
    <row r="172">
      <c r="A172" s="1" t="n">
        <v>171</v>
      </c>
      <c r="B172" s="2">
        <f>DATE(Sintesi!$C$4-1,12,31)+A172</f>
        <v/>
      </c>
      <c r="C172" s="1">
        <f>'Paste cell here'!T172</f>
        <v/>
      </c>
      <c r="D172" s="1">
        <f>'Paste cell here'!AC172</f>
        <v/>
      </c>
      <c r="E172" s="1">
        <f>'Paste cell here'!Y172</f>
        <v/>
      </c>
      <c r="F172" s="1">
        <f>'Paste cell here'!AD172</f>
        <v/>
      </c>
      <c r="G172" s="1">
        <f>'Paste cell here'!W172</f>
        <v/>
      </c>
      <c r="H172" s="1">
        <f>'Paste cell here'!AE172</f>
        <v/>
      </c>
      <c r="I172" s="1">
        <f>'Paste cell here'!AF172</f>
        <v/>
      </c>
      <c r="J172" s="1">
        <f>ABS(I172+C172+D172-E172-F172-G172-H172)</f>
        <v/>
      </c>
      <c r="K172" s="1">
        <f>IF('Bilancio primo strato'!D172&gt;0,1,"")</f>
        <v/>
      </c>
      <c r="L172" s="7">
        <f>Sintesi!$C$34</f>
        <v/>
      </c>
      <c r="M172" s="7">
        <f>Sintesi!$C$33</f>
        <v/>
      </c>
      <c r="N172" s="1">
        <f>'Paste cell here'!AA172</f>
        <v/>
      </c>
      <c r="O172" s="1">
        <f>'Paste cell here'!H172</f>
        <v/>
      </c>
      <c r="P172" s="1">
        <f>(M172-L172)*N172*1000</f>
        <v/>
      </c>
      <c r="Q172" s="1">
        <f>P172*O172</f>
        <v/>
      </c>
      <c r="R172" s="1">
        <f>M172*N172*1000-Q172</f>
        <v/>
      </c>
      <c r="S172" s="5">
        <f>H172/($N172*1000)</f>
        <v/>
      </c>
      <c r="T172" s="5">
        <f>R172/($N172*1000)</f>
        <v/>
      </c>
    </row>
    <row r="173">
      <c r="A173" s="1" t="n">
        <v>172</v>
      </c>
      <c r="B173" s="2">
        <f>DATE(Sintesi!$C$4-1,12,31)+A173</f>
        <v/>
      </c>
      <c r="C173" s="1">
        <f>'Paste cell here'!T173</f>
        <v/>
      </c>
      <c r="D173" s="1">
        <f>'Paste cell here'!AC173</f>
        <v/>
      </c>
      <c r="E173" s="1">
        <f>'Paste cell here'!Y173</f>
        <v/>
      </c>
      <c r="F173" s="1">
        <f>'Paste cell here'!AD173</f>
        <v/>
      </c>
      <c r="G173" s="1">
        <f>'Paste cell here'!W173</f>
        <v/>
      </c>
      <c r="H173" s="1">
        <f>'Paste cell here'!AE173</f>
        <v/>
      </c>
      <c r="I173" s="1">
        <f>'Paste cell here'!AF173</f>
        <v/>
      </c>
      <c r="J173" s="1">
        <f>ABS(I173+C173+D173-E173-F173-G173-H173)</f>
        <v/>
      </c>
      <c r="K173" s="1">
        <f>IF('Bilancio primo strato'!D173&gt;0,1,"")</f>
        <v/>
      </c>
      <c r="L173" s="7">
        <f>Sintesi!$C$34</f>
        <v/>
      </c>
      <c r="M173" s="7">
        <f>Sintesi!$C$33</f>
        <v/>
      </c>
      <c r="N173" s="1">
        <f>'Paste cell here'!AA173</f>
        <v/>
      </c>
      <c r="O173" s="1">
        <f>'Paste cell here'!H173</f>
        <v/>
      </c>
      <c r="P173" s="1">
        <f>(M173-L173)*N173*1000</f>
        <v/>
      </c>
      <c r="Q173" s="1">
        <f>P173*O173</f>
        <v/>
      </c>
      <c r="R173" s="1">
        <f>M173*N173*1000-Q173</f>
        <v/>
      </c>
      <c r="S173" s="5">
        <f>H173/($N173*1000)</f>
        <v/>
      </c>
      <c r="T173" s="5">
        <f>R173/($N173*1000)</f>
        <v/>
      </c>
    </row>
    <row r="174">
      <c r="A174" s="1" t="n">
        <v>173</v>
      </c>
      <c r="B174" s="2">
        <f>DATE(Sintesi!$C$4-1,12,31)+A174</f>
        <v/>
      </c>
      <c r="C174" s="1">
        <f>'Paste cell here'!T174</f>
        <v/>
      </c>
      <c r="D174" s="1">
        <f>'Paste cell here'!AC174</f>
        <v/>
      </c>
      <c r="E174" s="1">
        <f>'Paste cell here'!Y174</f>
        <v/>
      </c>
      <c r="F174" s="1">
        <f>'Paste cell here'!AD174</f>
        <v/>
      </c>
      <c r="G174" s="1">
        <f>'Paste cell here'!W174</f>
        <v/>
      </c>
      <c r="H174" s="1">
        <f>'Paste cell here'!AE174</f>
        <v/>
      </c>
      <c r="I174" s="1">
        <f>'Paste cell here'!AF174</f>
        <v/>
      </c>
      <c r="J174" s="1">
        <f>ABS(I174+C174+D174-E174-F174-G174-H174)</f>
        <v/>
      </c>
      <c r="K174" s="1">
        <f>IF('Bilancio primo strato'!D174&gt;0,1,"")</f>
        <v/>
      </c>
      <c r="L174" s="7">
        <f>Sintesi!$C$34</f>
        <v/>
      </c>
      <c r="M174" s="7">
        <f>Sintesi!$C$33</f>
        <v/>
      </c>
      <c r="N174" s="1">
        <f>'Paste cell here'!AA174</f>
        <v/>
      </c>
      <c r="O174" s="1">
        <f>'Paste cell here'!H174</f>
        <v/>
      </c>
      <c r="P174" s="1">
        <f>(M174-L174)*N174*1000</f>
        <v/>
      </c>
      <c r="Q174" s="1">
        <f>P174*O174</f>
        <v/>
      </c>
      <c r="R174" s="1">
        <f>M174*N174*1000-Q174</f>
        <v/>
      </c>
      <c r="S174" s="5">
        <f>H174/($N174*1000)</f>
        <v/>
      </c>
      <c r="T174" s="5">
        <f>R174/($N174*1000)</f>
        <v/>
      </c>
    </row>
    <row r="175">
      <c r="A175" s="1" t="n">
        <v>174</v>
      </c>
      <c r="B175" s="2">
        <f>DATE(Sintesi!$C$4-1,12,31)+A175</f>
        <v/>
      </c>
      <c r="C175" s="1">
        <f>'Paste cell here'!T175</f>
        <v/>
      </c>
      <c r="D175" s="1">
        <f>'Paste cell here'!AC175</f>
        <v/>
      </c>
      <c r="E175" s="1">
        <f>'Paste cell here'!Y175</f>
        <v/>
      </c>
      <c r="F175" s="1">
        <f>'Paste cell here'!AD175</f>
        <v/>
      </c>
      <c r="G175" s="1">
        <f>'Paste cell here'!W175</f>
        <v/>
      </c>
      <c r="H175" s="1">
        <f>'Paste cell here'!AE175</f>
        <v/>
      </c>
      <c r="I175" s="1">
        <f>'Paste cell here'!AF175</f>
        <v/>
      </c>
      <c r="J175" s="1">
        <f>ABS(I175+C175+D175-E175-F175-G175-H175)</f>
        <v/>
      </c>
      <c r="K175" s="1">
        <f>IF('Bilancio primo strato'!D175&gt;0,1,"")</f>
        <v/>
      </c>
      <c r="L175" s="7">
        <f>Sintesi!$C$34</f>
        <v/>
      </c>
      <c r="M175" s="7">
        <f>Sintesi!$C$33</f>
        <v/>
      </c>
      <c r="N175" s="1">
        <f>'Paste cell here'!AA175</f>
        <v/>
      </c>
      <c r="O175" s="1">
        <f>'Paste cell here'!H175</f>
        <v/>
      </c>
      <c r="P175" s="1">
        <f>(M175-L175)*N175*1000</f>
        <v/>
      </c>
      <c r="Q175" s="1">
        <f>P175*O175</f>
        <v/>
      </c>
      <c r="R175" s="1">
        <f>M175*N175*1000-Q175</f>
        <v/>
      </c>
      <c r="S175" s="5">
        <f>H175/($N175*1000)</f>
        <v/>
      </c>
      <c r="T175" s="5">
        <f>R175/($N175*1000)</f>
        <v/>
      </c>
    </row>
    <row r="176">
      <c r="A176" s="1" t="n">
        <v>175</v>
      </c>
      <c r="B176" s="2">
        <f>DATE(Sintesi!$C$4-1,12,31)+A176</f>
        <v/>
      </c>
      <c r="C176" s="1">
        <f>'Paste cell here'!T176</f>
        <v/>
      </c>
      <c r="D176" s="1">
        <f>'Paste cell here'!AC176</f>
        <v/>
      </c>
      <c r="E176" s="1">
        <f>'Paste cell here'!Y176</f>
        <v/>
      </c>
      <c r="F176" s="1">
        <f>'Paste cell here'!AD176</f>
        <v/>
      </c>
      <c r="G176" s="1">
        <f>'Paste cell here'!W176</f>
        <v/>
      </c>
      <c r="H176" s="1">
        <f>'Paste cell here'!AE176</f>
        <v/>
      </c>
      <c r="I176" s="1">
        <f>'Paste cell here'!AF176</f>
        <v/>
      </c>
      <c r="J176" s="1">
        <f>ABS(I176+C176+D176-E176-F176-G176-H176)</f>
        <v/>
      </c>
      <c r="K176" s="1">
        <f>IF('Bilancio primo strato'!D176&gt;0,1,"")</f>
        <v/>
      </c>
      <c r="L176" s="7">
        <f>Sintesi!$C$34</f>
        <v/>
      </c>
      <c r="M176" s="7">
        <f>Sintesi!$C$33</f>
        <v/>
      </c>
      <c r="N176" s="1">
        <f>'Paste cell here'!AA176</f>
        <v/>
      </c>
      <c r="O176" s="1">
        <f>'Paste cell here'!H176</f>
        <v/>
      </c>
      <c r="P176" s="1">
        <f>(M176-L176)*N176*1000</f>
        <v/>
      </c>
      <c r="Q176" s="1">
        <f>P176*O176</f>
        <v/>
      </c>
      <c r="R176" s="1">
        <f>M176*N176*1000-Q176</f>
        <v/>
      </c>
      <c r="S176" s="5">
        <f>H176/($N176*1000)</f>
        <v/>
      </c>
      <c r="T176" s="5">
        <f>R176/($N176*1000)</f>
        <v/>
      </c>
    </row>
    <row r="177">
      <c r="A177" s="1" t="n">
        <v>176</v>
      </c>
      <c r="B177" s="2">
        <f>DATE(Sintesi!$C$4-1,12,31)+A177</f>
        <v/>
      </c>
      <c r="C177" s="1">
        <f>'Paste cell here'!T177</f>
        <v/>
      </c>
      <c r="D177" s="1">
        <f>'Paste cell here'!AC177</f>
        <v/>
      </c>
      <c r="E177" s="1">
        <f>'Paste cell here'!Y177</f>
        <v/>
      </c>
      <c r="F177" s="1">
        <f>'Paste cell here'!AD177</f>
        <v/>
      </c>
      <c r="G177" s="1">
        <f>'Paste cell here'!W177</f>
        <v/>
      </c>
      <c r="H177" s="1">
        <f>'Paste cell here'!AE177</f>
        <v/>
      </c>
      <c r="I177" s="1">
        <f>'Paste cell here'!AF177</f>
        <v/>
      </c>
      <c r="J177" s="1">
        <f>ABS(I177+C177+D177-E177-F177-G177-H177)</f>
        <v/>
      </c>
      <c r="K177" s="1">
        <f>IF('Bilancio primo strato'!D177&gt;0,1,"")</f>
        <v/>
      </c>
      <c r="L177" s="7">
        <f>Sintesi!$C$34</f>
        <v/>
      </c>
      <c r="M177" s="7">
        <f>Sintesi!$C$33</f>
        <v/>
      </c>
      <c r="N177" s="1">
        <f>'Paste cell here'!AA177</f>
        <v/>
      </c>
      <c r="O177" s="1">
        <f>'Paste cell here'!H177</f>
        <v/>
      </c>
      <c r="P177" s="1">
        <f>(M177-L177)*N177*1000</f>
        <v/>
      </c>
      <c r="Q177" s="1">
        <f>P177*O177</f>
        <v/>
      </c>
      <c r="R177" s="1">
        <f>M177*N177*1000-Q177</f>
        <v/>
      </c>
      <c r="S177" s="5">
        <f>H177/($N177*1000)</f>
        <v/>
      </c>
      <c r="T177" s="5">
        <f>R177/($N177*1000)</f>
        <v/>
      </c>
    </row>
    <row r="178">
      <c r="A178" s="1" t="n">
        <v>177</v>
      </c>
      <c r="B178" s="2">
        <f>DATE(Sintesi!$C$4-1,12,31)+A178</f>
        <v/>
      </c>
      <c r="C178" s="1">
        <f>'Paste cell here'!T178</f>
        <v/>
      </c>
      <c r="D178" s="1">
        <f>'Paste cell here'!AC178</f>
        <v/>
      </c>
      <c r="E178" s="1">
        <f>'Paste cell here'!Y178</f>
        <v/>
      </c>
      <c r="F178" s="1">
        <f>'Paste cell here'!AD178</f>
        <v/>
      </c>
      <c r="G178" s="1">
        <f>'Paste cell here'!W178</f>
        <v/>
      </c>
      <c r="H178" s="1">
        <f>'Paste cell here'!AE178</f>
        <v/>
      </c>
      <c r="I178" s="1">
        <f>'Paste cell here'!AF178</f>
        <v/>
      </c>
      <c r="J178" s="1">
        <f>ABS(I178+C178+D178-E178-F178-G178-H178)</f>
        <v/>
      </c>
      <c r="K178" s="1">
        <f>IF('Bilancio primo strato'!D178&gt;0,1,"")</f>
        <v/>
      </c>
      <c r="L178" s="7">
        <f>Sintesi!$C$34</f>
        <v/>
      </c>
      <c r="M178" s="7">
        <f>Sintesi!$C$33</f>
        <v/>
      </c>
      <c r="N178" s="1">
        <f>'Paste cell here'!AA178</f>
        <v/>
      </c>
      <c r="O178" s="1">
        <f>'Paste cell here'!H178</f>
        <v/>
      </c>
      <c r="P178" s="1">
        <f>(M178-L178)*N178*1000</f>
        <v/>
      </c>
      <c r="Q178" s="1">
        <f>P178*O178</f>
        <v/>
      </c>
      <c r="R178" s="1">
        <f>M178*N178*1000-Q178</f>
        <v/>
      </c>
      <c r="S178" s="5">
        <f>H178/($N178*1000)</f>
        <v/>
      </c>
      <c r="T178" s="5">
        <f>R178/($N178*1000)</f>
        <v/>
      </c>
    </row>
    <row r="179">
      <c r="A179" s="1" t="n">
        <v>178</v>
      </c>
      <c r="B179" s="2">
        <f>DATE(Sintesi!$C$4-1,12,31)+A179</f>
        <v/>
      </c>
      <c r="C179" s="1">
        <f>'Paste cell here'!T179</f>
        <v/>
      </c>
      <c r="D179" s="1">
        <f>'Paste cell here'!AC179</f>
        <v/>
      </c>
      <c r="E179" s="1">
        <f>'Paste cell here'!Y179</f>
        <v/>
      </c>
      <c r="F179" s="1">
        <f>'Paste cell here'!AD179</f>
        <v/>
      </c>
      <c r="G179" s="1">
        <f>'Paste cell here'!W179</f>
        <v/>
      </c>
      <c r="H179" s="1">
        <f>'Paste cell here'!AE179</f>
        <v/>
      </c>
      <c r="I179" s="1">
        <f>'Paste cell here'!AF179</f>
        <v/>
      </c>
      <c r="J179" s="1">
        <f>ABS(I179+C179+D179-E179-F179-G179-H179)</f>
        <v/>
      </c>
      <c r="K179" s="1">
        <f>IF('Bilancio primo strato'!D179&gt;0,1,"")</f>
        <v/>
      </c>
      <c r="L179" s="7">
        <f>Sintesi!$C$34</f>
        <v/>
      </c>
      <c r="M179" s="7">
        <f>Sintesi!$C$33</f>
        <v/>
      </c>
      <c r="N179" s="1">
        <f>'Paste cell here'!AA179</f>
        <v/>
      </c>
      <c r="O179" s="1">
        <f>'Paste cell here'!H179</f>
        <v/>
      </c>
      <c r="P179" s="1">
        <f>(M179-L179)*N179*1000</f>
        <v/>
      </c>
      <c r="Q179" s="1">
        <f>P179*O179</f>
        <v/>
      </c>
      <c r="R179" s="1">
        <f>M179*N179*1000-Q179</f>
        <v/>
      </c>
      <c r="S179" s="5">
        <f>H179/($N179*1000)</f>
        <v/>
      </c>
      <c r="T179" s="5">
        <f>R179/($N179*1000)</f>
        <v/>
      </c>
    </row>
    <row r="180">
      <c r="A180" s="1" t="n">
        <v>179</v>
      </c>
      <c r="B180" s="2">
        <f>DATE(Sintesi!$C$4-1,12,31)+A180</f>
        <v/>
      </c>
      <c r="C180" s="1">
        <f>'Paste cell here'!T180</f>
        <v/>
      </c>
      <c r="D180" s="1">
        <f>'Paste cell here'!AC180</f>
        <v/>
      </c>
      <c r="E180" s="1">
        <f>'Paste cell here'!Y180</f>
        <v/>
      </c>
      <c r="F180" s="1">
        <f>'Paste cell here'!AD180</f>
        <v/>
      </c>
      <c r="G180" s="1">
        <f>'Paste cell here'!W180</f>
        <v/>
      </c>
      <c r="H180" s="1">
        <f>'Paste cell here'!AE180</f>
        <v/>
      </c>
      <c r="I180" s="1">
        <f>'Paste cell here'!AF180</f>
        <v/>
      </c>
      <c r="J180" s="1">
        <f>ABS(I180+C180+D180-E180-F180-G180-H180)</f>
        <v/>
      </c>
      <c r="K180" s="1">
        <f>IF('Bilancio primo strato'!D180&gt;0,1,"")</f>
        <v/>
      </c>
      <c r="L180" s="7">
        <f>Sintesi!$C$34</f>
        <v/>
      </c>
      <c r="M180" s="7">
        <f>Sintesi!$C$33</f>
        <v/>
      </c>
      <c r="N180" s="1">
        <f>'Paste cell here'!AA180</f>
        <v/>
      </c>
      <c r="O180" s="1">
        <f>'Paste cell here'!H180</f>
        <v/>
      </c>
      <c r="P180" s="1">
        <f>(M180-L180)*N180*1000</f>
        <v/>
      </c>
      <c r="Q180" s="1">
        <f>P180*O180</f>
        <v/>
      </c>
      <c r="R180" s="1">
        <f>M180*N180*1000-Q180</f>
        <v/>
      </c>
      <c r="S180" s="5">
        <f>H180/($N180*1000)</f>
        <v/>
      </c>
      <c r="T180" s="5">
        <f>R180/($N180*1000)</f>
        <v/>
      </c>
    </row>
    <row r="181">
      <c r="A181" s="1" t="n">
        <v>180</v>
      </c>
      <c r="B181" s="2">
        <f>DATE(Sintesi!$C$4-1,12,31)+A181</f>
        <v/>
      </c>
      <c r="C181" s="1">
        <f>'Paste cell here'!T181</f>
        <v/>
      </c>
      <c r="D181" s="1">
        <f>'Paste cell here'!AC181</f>
        <v/>
      </c>
      <c r="E181" s="1">
        <f>'Paste cell here'!Y181</f>
        <v/>
      </c>
      <c r="F181" s="1">
        <f>'Paste cell here'!AD181</f>
        <v/>
      </c>
      <c r="G181" s="1">
        <f>'Paste cell here'!W181</f>
        <v/>
      </c>
      <c r="H181" s="1">
        <f>'Paste cell here'!AE181</f>
        <v/>
      </c>
      <c r="I181" s="1">
        <f>'Paste cell here'!AF181</f>
        <v/>
      </c>
      <c r="J181" s="1">
        <f>ABS(I181+C181+D181-E181-F181-G181-H181)</f>
        <v/>
      </c>
      <c r="K181" s="1">
        <f>IF('Bilancio primo strato'!D181&gt;0,1,"")</f>
        <v/>
      </c>
      <c r="L181" s="7">
        <f>Sintesi!$C$34</f>
        <v/>
      </c>
      <c r="M181" s="7">
        <f>Sintesi!$C$33</f>
        <v/>
      </c>
      <c r="N181" s="1">
        <f>'Paste cell here'!AA181</f>
        <v/>
      </c>
      <c r="O181" s="1">
        <f>'Paste cell here'!H181</f>
        <v/>
      </c>
      <c r="P181" s="1">
        <f>(M181-L181)*N181*1000</f>
        <v/>
      </c>
      <c r="Q181" s="1">
        <f>P181*O181</f>
        <v/>
      </c>
      <c r="R181" s="1">
        <f>M181*N181*1000-Q181</f>
        <v/>
      </c>
      <c r="S181" s="5">
        <f>H181/($N181*1000)</f>
        <v/>
      </c>
      <c r="T181" s="5">
        <f>R181/($N181*1000)</f>
        <v/>
      </c>
    </row>
    <row r="182">
      <c r="A182" s="1" t="n">
        <v>181</v>
      </c>
      <c r="B182" s="2">
        <f>DATE(Sintesi!$C$4-1,12,31)+A182</f>
        <v/>
      </c>
      <c r="C182" s="1">
        <f>'Paste cell here'!T182</f>
        <v/>
      </c>
      <c r="D182" s="1">
        <f>'Paste cell here'!AC182</f>
        <v/>
      </c>
      <c r="E182" s="1">
        <f>'Paste cell here'!Y182</f>
        <v/>
      </c>
      <c r="F182" s="1">
        <f>'Paste cell here'!AD182</f>
        <v/>
      </c>
      <c r="G182" s="1">
        <f>'Paste cell here'!W182</f>
        <v/>
      </c>
      <c r="H182" s="1">
        <f>'Paste cell here'!AE182</f>
        <v/>
      </c>
      <c r="I182" s="1">
        <f>'Paste cell here'!AF182</f>
        <v/>
      </c>
      <c r="J182" s="1">
        <f>ABS(I182+C182+D182-E182-F182-G182-H182)</f>
        <v/>
      </c>
      <c r="K182" s="1">
        <f>IF('Bilancio primo strato'!D182&gt;0,1,"")</f>
        <v/>
      </c>
      <c r="L182" s="7">
        <f>Sintesi!$C$34</f>
        <v/>
      </c>
      <c r="M182" s="7">
        <f>Sintesi!$C$33</f>
        <v/>
      </c>
      <c r="N182" s="1">
        <f>'Paste cell here'!AA182</f>
        <v/>
      </c>
      <c r="O182" s="1">
        <f>'Paste cell here'!H182</f>
        <v/>
      </c>
      <c r="P182" s="1">
        <f>(M182-L182)*N182*1000</f>
        <v/>
      </c>
      <c r="Q182" s="1">
        <f>P182*O182</f>
        <v/>
      </c>
      <c r="R182" s="1">
        <f>M182*N182*1000-Q182</f>
        <v/>
      </c>
      <c r="S182" s="5">
        <f>H182/($N182*1000)</f>
        <v/>
      </c>
      <c r="T182" s="5">
        <f>R182/($N182*1000)</f>
        <v/>
      </c>
    </row>
    <row r="183">
      <c r="A183" s="1" t="n">
        <v>182</v>
      </c>
      <c r="B183" s="2">
        <f>DATE(Sintesi!$C$4-1,12,31)+A183</f>
        <v/>
      </c>
      <c r="C183" s="1">
        <f>'Paste cell here'!T183</f>
        <v/>
      </c>
      <c r="D183" s="1">
        <f>'Paste cell here'!AC183</f>
        <v/>
      </c>
      <c r="E183" s="1">
        <f>'Paste cell here'!Y183</f>
        <v/>
      </c>
      <c r="F183" s="1">
        <f>'Paste cell here'!AD183</f>
        <v/>
      </c>
      <c r="G183" s="1">
        <f>'Paste cell here'!W183</f>
        <v/>
      </c>
      <c r="H183" s="1">
        <f>'Paste cell here'!AE183</f>
        <v/>
      </c>
      <c r="I183" s="1">
        <f>'Paste cell here'!AF183</f>
        <v/>
      </c>
      <c r="J183" s="1">
        <f>ABS(I183+C183+D183-E183-F183-G183-H183)</f>
        <v/>
      </c>
      <c r="K183" s="1">
        <f>IF('Bilancio primo strato'!D183&gt;0,1,"")</f>
        <v/>
      </c>
      <c r="L183" s="7">
        <f>Sintesi!$C$34</f>
        <v/>
      </c>
      <c r="M183" s="7">
        <f>Sintesi!$C$33</f>
        <v/>
      </c>
      <c r="N183" s="1">
        <f>'Paste cell here'!AA183</f>
        <v/>
      </c>
      <c r="O183" s="1">
        <f>'Paste cell here'!H183</f>
        <v/>
      </c>
      <c r="P183" s="1">
        <f>(M183-L183)*N183*1000</f>
        <v/>
      </c>
      <c r="Q183" s="1">
        <f>P183*O183</f>
        <v/>
      </c>
      <c r="R183" s="1">
        <f>M183*N183*1000-Q183</f>
        <v/>
      </c>
      <c r="S183" s="5">
        <f>H183/($N183*1000)</f>
        <v/>
      </c>
      <c r="T183" s="5">
        <f>R183/($N183*1000)</f>
        <v/>
      </c>
    </row>
    <row r="184">
      <c r="A184" s="1" t="n">
        <v>183</v>
      </c>
      <c r="B184" s="2">
        <f>DATE(Sintesi!$C$4-1,12,31)+A184</f>
        <v/>
      </c>
      <c r="C184" s="1">
        <f>'Paste cell here'!T184</f>
        <v/>
      </c>
      <c r="D184" s="1">
        <f>'Paste cell here'!AC184</f>
        <v/>
      </c>
      <c r="E184" s="1">
        <f>'Paste cell here'!Y184</f>
        <v/>
      </c>
      <c r="F184" s="1">
        <f>'Paste cell here'!AD184</f>
        <v/>
      </c>
      <c r="G184" s="1">
        <f>'Paste cell here'!W184</f>
        <v/>
      </c>
      <c r="H184" s="1">
        <f>'Paste cell here'!AE184</f>
        <v/>
      </c>
      <c r="I184" s="1">
        <f>'Paste cell here'!AF184</f>
        <v/>
      </c>
      <c r="J184" s="1">
        <f>ABS(I184+C184+D184-E184-F184-G184-H184)</f>
        <v/>
      </c>
      <c r="K184" s="1">
        <f>IF('Bilancio primo strato'!D184&gt;0,1,"")</f>
        <v/>
      </c>
      <c r="L184" s="7">
        <f>Sintesi!$C$34</f>
        <v/>
      </c>
      <c r="M184" s="7">
        <f>Sintesi!$C$33</f>
        <v/>
      </c>
      <c r="N184" s="1">
        <f>'Paste cell here'!AA184</f>
        <v/>
      </c>
      <c r="O184" s="1">
        <f>'Paste cell here'!H184</f>
        <v/>
      </c>
      <c r="P184" s="1">
        <f>(M184-L184)*N184*1000</f>
        <v/>
      </c>
      <c r="Q184" s="1">
        <f>P184*O184</f>
        <v/>
      </c>
      <c r="R184" s="1">
        <f>M184*N184*1000-Q184</f>
        <v/>
      </c>
      <c r="S184" s="5">
        <f>H184/($N184*1000)</f>
        <v/>
      </c>
      <c r="T184" s="5">
        <f>R184/($N184*1000)</f>
        <v/>
      </c>
    </row>
    <row r="185">
      <c r="A185" s="1" t="n">
        <v>184</v>
      </c>
      <c r="B185" s="2">
        <f>DATE(Sintesi!$C$4-1,12,31)+A185</f>
        <v/>
      </c>
      <c r="C185" s="1">
        <f>'Paste cell here'!T185</f>
        <v/>
      </c>
      <c r="D185" s="1">
        <f>'Paste cell here'!AC185</f>
        <v/>
      </c>
      <c r="E185" s="1">
        <f>'Paste cell here'!Y185</f>
        <v/>
      </c>
      <c r="F185" s="1">
        <f>'Paste cell here'!AD185</f>
        <v/>
      </c>
      <c r="G185" s="1">
        <f>'Paste cell here'!W185</f>
        <v/>
      </c>
      <c r="H185" s="1">
        <f>'Paste cell here'!AE185</f>
        <v/>
      </c>
      <c r="I185" s="1">
        <f>'Paste cell here'!AF185</f>
        <v/>
      </c>
      <c r="J185" s="1">
        <f>ABS(I185+C185+D185-E185-F185-G185-H185)</f>
        <v/>
      </c>
      <c r="K185" s="1">
        <f>IF('Bilancio primo strato'!D185&gt;0,1,"")</f>
        <v/>
      </c>
      <c r="L185" s="7">
        <f>Sintesi!$C$34</f>
        <v/>
      </c>
      <c r="M185" s="7">
        <f>Sintesi!$C$33</f>
        <v/>
      </c>
      <c r="N185" s="1">
        <f>'Paste cell here'!AA185</f>
        <v/>
      </c>
      <c r="O185" s="1">
        <f>'Paste cell here'!H185</f>
        <v/>
      </c>
      <c r="P185" s="1">
        <f>(M185-L185)*N185*1000</f>
        <v/>
      </c>
      <c r="Q185" s="1">
        <f>P185*O185</f>
        <v/>
      </c>
      <c r="R185" s="1">
        <f>M185*N185*1000-Q185</f>
        <v/>
      </c>
      <c r="S185" s="5">
        <f>H185/($N185*1000)</f>
        <v/>
      </c>
      <c r="T185" s="5">
        <f>R185/($N185*1000)</f>
        <v/>
      </c>
    </row>
    <row r="186">
      <c r="A186" s="1" t="n">
        <v>185</v>
      </c>
      <c r="B186" s="2">
        <f>DATE(Sintesi!$C$4-1,12,31)+A186</f>
        <v/>
      </c>
      <c r="C186" s="1">
        <f>'Paste cell here'!T186</f>
        <v/>
      </c>
      <c r="D186" s="1">
        <f>'Paste cell here'!AC186</f>
        <v/>
      </c>
      <c r="E186" s="1">
        <f>'Paste cell here'!Y186</f>
        <v/>
      </c>
      <c r="F186" s="1">
        <f>'Paste cell here'!AD186</f>
        <v/>
      </c>
      <c r="G186" s="1">
        <f>'Paste cell here'!W186</f>
        <v/>
      </c>
      <c r="H186" s="1">
        <f>'Paste cell here'!AE186</f>
        <v/>
      </c>
      <c r="I186" s="1">
        <f>'Paste cell here'!AF186</f>
        <v/>
      </c>
      <c r="J186" s="1">
        <f>ABS(I186+C186+D186-E186-F186-G186-H186)</f>
        <v/>
      </c>
      <c r="K186" s="1">
        <f>IF('Bilancio primo strato'!D186&gt;0,1,"")</f>
        <v/>
      </c>
      <c r="L186" s="7">
        <f>Sintesi!$C$34</f>
        <v/>
      </c>
      <c r="M186" s="7">
        <f>Sintesi!$C$33</f>
        <v/>
      </c>
      <c r="N186" s="1">
        <f>'Paste cell here'!AA186</f>
        <v/>
      </c>
      <c r="O186" s="1">
        <f>'Paste cell here'!H186</f>
        <v/>
      </c>
      <c r="P186" s="1">
        <f>(M186-L186)*N186*1000</f>
        <v/>
      </c>
      <c r="Q186" s="1">
        <f>P186*O186</f>
        <v/>
      </c>
      <c r="R186" s="1">
        <f>M186*N186*1000-Q186</f>
        <v/>
      </c>
      <c r="S186" s="5">
        <f>H186/($N186*1000)</f>
        <v/>
      </c>
      <c r="T186" s="5">
        <f>R186/($N186*1000)</f>
        <v/>
      </c>
    </row>
    <row r="187">
      <c r="A187" s="1" t="n">
        <v>186</v>
      </c>
      <c r="B187" s="2">
        <f>DATE(Sintesi!$C$4-1,12,31)+A187</f>
        <v/>
      </c>
      <c r="C187" s="1">
        <f>'Paste cell here'!T187</f>
        <v/>
      </c>
      <c r="D187" s="1">
        <f>'Paste cell here'!AC187</f>
        <v/>
      </c>
      <c r="E187" s="1">
        <f>'Paste cell here'!Y187</f>
        <v/>
      </c>
      <c r="F187" s="1">
        <f>'Paste cell here'!AD187</f>
        <v/>
      </c>
      <c r="G187" s="1">
        <f>'Paste cell here'!W187</f>
        <v/>
      </c>
      <c r="H187" s="1">
        <f>'Paste cell here'!AE187</f>
        <v/>
      </c>
      <c r="I187" s="1">
        <f>'Paste cell here'!AF187</f>
        <v/>
      </c>
      <c r="J187" s="1">
        <f>ABS(I187+C187+D187-E187-F187-G187-H187)</f>
        <v/>
      </c>
      <c r="K187" s="1">
        <f>IF('Bilancio primo strato'!D187&gt;0,1,"")</f>
        <v/>
      </c>
      <c r="L187" s="7">
        <f>Sintesi!$C$34</f>
        <v/>
      </c>
      <c r="M187" s="7">
        <f>Sintesi!$C$33</f>
        <v/>
      </c>
      <c r="N187" s="1">
        <f>'Paste cell here'!AA187</f>
        <v/>
      </c>
      <c r="O187" s="1">
        <f>'Paste cell here'!H187</f>
        <v/>
      </c>
      <c r="P187" s="1">
        <f>(M187-L187)*N187*1000</f>
        <v/>
      </c>
      <c r="Q187" s="1">
        <f>P187*O187</f>
        <v/>
      </c>
      <c r="R187" s="1">
        <f>M187*N187*1000-Q187</f>
        <v/>
      </c>
      <c r="S187" s="5">
        <f>H187/($N187*1000)</f>
        <v/>
      </c>
      <c r="T187" s="5">
        <f>R187/($N187*1000)</f>
        <v/>
      </c>
    </row>
    <row r="188">
      <c r="A188" s="1" t="n">
        <v>187</v>
      </c>
      <c r="B188" s="2">
        <f>DATE(Sintesi!$C$4-1,12,31)+A188</f>
        <v/>
      </c>
      <c r="C188" s="1">
        <f>'Paste cell here'!T188</f>
        <v/>
      </c>
      <c r="D188" s="1">
        <f>'Paste cell here'!AC188</f>
        <v/>
      </c>
      <c r="E188" s="1">
        <f>'Paste cell here'!Y188</f>
        <v/>
      </c>
      <c r="F188" s="1">
        <f>'Paste cell here'!AD188</f>
        <v/>
      </c>
      <c r="G188" s="1">
        <f>'Paste cell here'!W188</f>
        <v/>
      </c>
      <c r="H188" s="1">
        <f>'Paste cell here'!AE188</f>
        <v/>
      </c>
      <c r="I188" s="1">
        <f>'Paste cell here'!AF188</f>
        <v/>
      </c>
      <c r="J188" s="1">
        <f>ABS(I188+C188+D188-E188-F188-G188-H188)</f>
        <v/>
      </c>
      <c r="K188" s="1">
        <f>IF('Bilancio primo strato'!D188&gt;0,1,"")</f>
        <v/>
      </c>
      <c r="L188" s="7">
        <f>Sintesi!$C$34</f>
        <v/>
      </c>
      <c r="M188" s="7">
        <f>Sintesi!$C$33</f>
        <v/>
      </c>
      <c r="N188" s="1">
        <f>'Paste cell here'!AA188</f>
        <v/>
      </c>
      <c r="O188" s="1">
        <f>'Paste cell here'!H188</f>
        <v/>
      </c>
      <c r="P188" s="1">
        <f>(M188-L188)*N188*1000</f>
        <v/>
      </c>
      <c r="Q188" s="1">
        <f>P188*O188</f>
        <v/>
      </c>
      <c r="R188" s="1">
        <f>M188*N188*1000-Q188</f>
        <v/>
      </c>
      <c r="S188" s="5">
        <f>H188/($N188*1000)</f>
        <v/>
      </c>
      <c r="T188" s="5">
        <f>R188/($N188*1000)</f>
        <v/>
      </c>
    </row>
    <row r="189">
      <c r="A189" s="1" t="n">
        <v>188</v>
      </c>
      <c r="B189" s="2">
        <f>DATE(Sintesi!$C$4-1,12,31)+A189</f>
        <v/>
      </c>
      <c r="C189" s="1">
        <f>'Paste cell here'!T189</f>
        <v/>
      </c>
      <c r="D189" s="1">
        <f>'Paste cell here'!AC189</f>
        <v/>
      </c>
      <c r="E189" s="1">
        <f>'Paste cell here'!Y189</f>
        <v/>
      </c>
      <c r="F189" s="1">
        <f>'Paste cell here'!AD189</f>
        <v/>
      </c>
      <c r="G189" s="1">
        <f>'Paste cell here'!W189</f>
        <v/>
      </c>
      <c r="H189" s="1">
        <f>'Paste cell here'!AE189</f>
        <v/>
      </c>
      <c r="I189" s="1">
        <f>'Paste cell here'!AF189</f>
        <v/>
      </c>
      <c r="J189" s="1">
        <f>ABS(I189+C189+D189-E189-F189-G189-H189)</f>
        <v/>
      </c>
      <c r="K189" s="1">
        <f>IF('Bilancio primo strato'!D189&gt;0,1,"")</f>
        <v/>
      </c>
      <c r="L189" s="7">
        <f>Sintesi!$C$34</f>
        <v/>
      </c>
      <c r="M189" s="7">
        <f>Sintesi!$C$33</f>
        <v/>
      </c>
      <c r="N189" s="1">
        <f>'Paste cell here'!AA189</f>
        <v/>
      </c>
      <c r="O189" s="1">
        <f>'Paste cell here'!H189</f>
        <v/>
      </c>
      <c r="P189" s="1">
        <f>(M189-L189)*N189*1000</f>
        <v/>
      </c>
      <c r="Q189" s="1">
        <f>P189*O189</f>
        <v/>
      </c>
      <c r="R189" s="1">
        <f>M189*N189*1000-Q189</f>
        <v/>
      </c>
      <c r="S189" s="5">
        <f>H189/($N189*1000)</f>
        <v/>
      </c>
      <c r="T189" s="5">
        <f>R189/($N189*1000)</f>
        <v/>
      </c>
    </row>
    <row r="190">
      <c r="A190" s="1" t="n">
        <v>189</v>
      </c>
      <c r="B190" s="2">
        <f>DATE(Sintesi!$C$4-1,12,31)+A190</f>
        <v/>
      </c>
      <c r="C190" s="1">
        <f>'Paste cell here'!T190</f>
        <v/>
      </c>
      <c r="D190" s="1">
        <f>'Paste cell here'!AC190</f>
        <v/>
      </c>
      <c r="E190" s="1">
        <f>'Paste cell here'!Y190</f>
        <v/>
      </c>
      <c r="F190" s="1">
        <f>'Paste cell here'!AD190</f>
        <v/>
      </c>
      <c r="G190" s="1">
        <f>'Paste cell here'!W190</f>
        <v/>
      </c>
      <c r="H190" s="1">
        <f>'Paste cell here'!AE190</f>
        <v/>
      </c>
      <c r="I190" s="1">
        <f>'Paste cell here'!AF190</f>
        <v/>
      </c>
      <c r="J190" s="1">
        <f>ABS(I190+C190+D190-E190-F190-G190-H190)</f>
        <v/>
      </c>
      <c r="K190" s="1">
        <f>IF('Bilancio primo strato'!D190&gt;0,1,"")</f>
        <v/>
      </c>
      <c r="L190" s="7">
        <f>Sintesi!$C$34</f>
        <v/>
      </c>
      <c r="M190" s="7">
        <f>Sintesi!$C$33</f>
        <v/>
      </c>
      <c r="N190" s="1">
        <f>'Paste cell here'!AA190</f>
        <v/>
      </c>
      <c r="O190" s="1">
        <f>'Paste cell here'!H190</f>
        <v/>
      </c>
      <c r="P190" s="1">
        <f>(M190-L190)*N190*1000</f>
        <v/>
      </c>
      <c r="Q190" s="1">
        <f>P190*O190</f>
        <v/>
      </c>
      <c r="R190" s="1">
        <f>M190*N190*1000-Q190</f>
        <v/>
      </c>
      <c r="S190" s="5">
        <f>H190/($N190*1000)</f>
        <v/>
      </c>
      <c r="T190" s="5">
        <f>R190/($N190*1000)</f>
        <v/>
      </c>
    </row>
    <row r="191">
      <c r="A191" s="1" t="n">
        <v>190</v>
      </c>
      <c r="B191" s="2">
        <f>DATE(Sintesi!$C$4-1,12,31)+A191</f>
        <v/>
      </c>
      <c r="C191" s="1">
        <f>'Paste cell here'!T191</f>
        <v/>
      </c>
      <c r="D191" s="1">
        <f>'Paste cell here'!AC191</f>
        <v/>
      </c>
      <c r="E191" s="1">
        <f>'Paste cell here'!Y191</f>
        <v/>
      </c>
      <c r="F191" s="1">
        <f>'Paste cell here'!AD191</f>
        <v/>
      </c>
      <c r="G191" s="1">
        <f>'Paste cell here'!W191</f>
        <v/>
      </c>
      <c r="H191" s="1">
        <f>'Paste cell here'!AE191</f>
        <v/>
      </c>
      <c r="I191" s="1">
        <f>'Paste cell here'!AF191</f>
        <v/>
      </c>
      <c r="J191" s="1">
        <f>ABS(I191+C191+D191-E191-F191-G191-H191)</f>
        <v/>
      </c>
      <c r="K191" s="1">
        <f>IF('Bilancio primo strato'!D191&gt;0,1,"")</f>
        <v/>
      </c>
      <c r="L191" s="7">
        <f>Sintesi!$C$34</f>
        <v/>
      </c>
      <c r="M191" s="7">
        <f>Sintesi!$C$33</f>
        <v/>
      </c>
      <c r="N191" s="1">
        <f>'Paste cell here'!AA191</f>
        <v/>
      </c>
      <c r="O191" s="1">
        <f>'Paste cell here'!H191</f>
        <v/>
      </c>
      <c r="P191" s="1">
        <f>(M191-L191)*N191*1000</f>
        <v/>
      </c>
      <c r="Q191" s="1">
        <f>P191*O191</f>
        <v/>
      </c>
      <c r="R191" s="1">
        <f>M191*N191*1000-Q191</f>
        <v/>
      </c>
      <c r="S191" s="5">
        <f>H191/($N191*1000)</f>
        <v/>
      </c>
      <c r="T191" s="5">
        <f>R191/($N191*1000)</f>
        <v/>
      </c>
    </row>
    <row r="192">
      <c r="A192" s="1" t="n">
        <v>191</v>
      </c>
      <c r="B192" s="2">
        <f>DATE(Sintesi!$C$4-1,12,31)+A192</f>
        <v/>
      </c>
      <c r="C192" s="1">
        <f>'Paste cell here'!T192</f>
        <v/>
      </c>
      <c r="D192" s="1">
        <f>'Paste cell here'!AC192</f>
        <v/>
      </c>
      <c r="E192" s="1">
        <f>'Paste cell here'!Y192</f>
        <v/>
      </c>
      <c r="F192" s="1">
        <f>'Paste cell here'!AD192</f>
        <v/>
      </c>
      <c r="G192" s="1">
        <f>'Paste cell here'!W192</f>
        <v/>
      </c>
      <c r="H192" s="1">
        <f>'Paste cell here'!AE192</f>
        <v/>
      </c>
      <c r="I192" s="1">
        <f>'Paste cell here'!AF192</f>
        <v/>
      </c>
      <c r="J192" s="1">
        <f>ABS(I192+C192+D192-E192-F192-G192-H192)</f>
        <v/>
      </c>
      <c r="K192" s="1">
        <f>IF('Bilancio primo strato'!D192&gt;0,1,"")</f>
        <v/>
      </c>
      <c r="L192" s="7">
        <f>Sintesi!$C$34</f>
        <v/>
      </c>
      <c r="M192" s="7">
        <f>Sintesi!$C$33</f>
        <v/>
      </c>
      <c r="N192" s="1">
        <f>'Paste cell here'!AA192</f>
        <v/>
      </c>
      <c r="O192" s="1">
        <f>'Paste cell here'!H192</f>
        <v/>
      </c>
      <c r="P192" s="1">
        <f>(M192-L192)*N192*1000</f>
        <v/>
      </c>
      <c r="Q192" s="1">
        <f>P192*O192</f>
        <v/>
      </c>
      <c r="R192" s="1">
        <f>M192*N192*1000-Q192</f>
        <v/>
      </c>
      <c r="S192" s="5">
        <f>H192/($N192*1000)</f>
        <v/>
      </c>
      <c r="T192" s="5">
        <f>R192/($N192*1000)</f>
        <v/>
      </c>
    </row>
    <row r="193">
      <c r="A193" s="1" t="n">
        <v>192</v>
      </c>
      <c r="B193" s="2">
        <f>DATE(Sintesi!$C$4-1,12,31)+A193</f>
        <v/>
      </c>
      <c r="C193" s="1">
        <f>'Paste cell here'!T193</f>
        <v/>
      </c>
      <c r="D193" s="1">
        <f>'Paste cell here'!AC193</f>
        <v/>
      </c>
      <c r="E193" s="1">
        <f>'Paste cell here'!Y193</f>
        <v/>
      </c>
      <c r="F193" s="1">
        <f>'Paste cell here'!AD193</f>
        <v/>
      </c>
      <c r="G193" s="1">
        <f>'Paste cell here'!W193</f>
        <v/>
      </c>
      <c r="H193" s="1">
        <f>'Paste cell here'!AE193</f>
        <v/>
      </c>
      <c r="I193" s="1">
        <f>'Paste cell here'!AF193</f>
        <v/>
      </c>
      <c r="J193" s="1">
        <f>ABS(I193+C193+D193-E193-F193-G193-H193)</f>
        <v/>
      </c>
      <c r="K193" s="1">
        <f>IF('Bilancio primo strato'!D193&gt;0,1,"")</f>
        <v/>
      </c>
      <c r="L193" s="7">
        <f>Sintesi!$C$34</f>
        <v/>
      </c>
      <c r="M193" s="7">
        <f>Sintesi!$C$33</f>
        <v/>
      </c>
      <c r="N193" s="1">
        <f>'Paste cell here'!AA193</f>
        <v/>
      </c>
      <c r="O193" s="1">
        <f>'Paste cell here'!H193</f>
        <v/>
      </c>
      <c r="P193" s="1">
        <f>(M193-L193)*N193*1000</f>
        <v/>
      </c>
      <c r="Q193" s="1">
        <f>P193*O193</f>
        <v/>
      </c>
      <c r="R193" s="1">
        <f>M193*N193*1000-Q193</f>
        <v/>
      </c>
      <c r="S193" s="5">
        <f>H193/($N193*1000)</f>
        <v/>
      </c>
      <c r="T193" s="5">
        <f>R193/($N193*1000)</f>
        <v/>
      </c>
    </row>
    <row r="194">
      <c r="A194" s="1" t="n">
        <v>193</v>
      </c>
      <c r="B194" s="2">
        <f>DATE(Sintesi!$C$4-1,12,31)+A194</f>
        <v/>
      </c>
      <c r="C194" s="1">
        <f>'Paste cell here'!T194</f>
        <v/>
      </c>
      <c r="D194" s="1">
        <f>'Paste cell here'!AC194</f>
        <v/>
      </c>
      <c r="E194" s="1">
        <f>'Paste cell here'!Y194</f>
        <v/>
      </c>
      <c r="F194" s="1">
        <f>'Paste cell here'!AD194</f>
        <v/>
      </c>
      <c r="G194" s="1">
        <f>'Paste cell here'!W194</f>
        <v/>
      </c>
      <c r="H194" s="1">
        <f>'Paste cell here'!AE194</f>
        <v/>
      </c>
      <c r="I194" s="1">
        <f>'Paste cell here'!AF194</f>
        <v/>
      </c>
      <c r="J194" s="1">
        <f>ABS(I194+C194+D194-E194-F194-G194-H194)</f>
        <v/>
      </c>
      <c r="K194" s="1">
        <f>IF('Bilancio primo strato'!D194&gt;0,1,"")</f>
        <v/>
      </c>
      <c r="L194" s="7">
        <f>Sintesi!$C$34</f>
        <v/>
      </c>
      <c r="M194" s="7">
        <f>Sintesi!$C$33</f>
        <v/>
      </c>
      <c r="N194" s="1">
        <f>'Paste cell here'!AA194</f>
        <v/>
      </c>
      <c r="O194" s="1">
        <f>'Paste cell here'!H194</f>
        <v/>
      </c>
      <c r="P194" s="1">
        <f>(M194-L194)*N194*1000</f>
        <v/>
      </c>
      <c r="Q194" s="1">
        <f>P194*O194</f>
        <v/>
      </c>
      <c r="R194" s="1">
        <f>M194*N194*1000-Q194</f>
        <v/>
      </c>
      <c r="S194" s="5">
        <f>H194/($N194*1000)</f>
        <v/>
      </c>
      <c r="T194" s="5">
        <f>R194/($N194*1000)</f>
        <v/>
      </c>
    </row>
    <row r="195">
      <c r="A195" s="1" t="n">
        <v>194</v>
      </c>
      <c r="B195" s="2">
        <f>DATE(Sintesi!$C$4-1,12,31)+A195</f>
        <v/>
      </c>
      <c r="C195" s="1">
        <f>'Paste cell here'!T195</f>
        <v/>
      </c>
      <c r="D195" s="1">
        <f>'Paste cell here'!AC195</f>
        <v/>
      </c>
      <c r="E195" s="1">
        <f>'Paste cell here'!Y195</f>
        <v/>
      </c>
      <c r="F195" s="1">
        <f>'Paste cell here'!AD195</f>
        <v/>
      </c>
      <c r="G195" s="1">
        <f>'Paste cell here'!W195</f>
        <v/>
      </c>
      <c r="H195" s="1">
        <f>'Paste cell here'!AE195</f>
        <v/>
      </c>
      <c r="I195" s="1">
        <f>'Paste cell here'!AF195</f>
        <v/>
      </c>
      <c r="J195" s="1">
        <f>ABS(I195+C195+D195-E195-F195-G195-H195)</f>
        <v/>
      </c>
      <c r="K195" s="1">
        <f>IF('Bilancio primo strato'!D195&gt;0,1,"")</f>
        <v/>
      </c>
      <c r="L195" s="7">
        <f>Sintesi!$C$34</f>
        <v/>
      </c>
      <c r="M195" s="7">
        <f>Sintesi!$C$33</f>
        <v/>
      </c>
      <c r="N195" s="1">
        <f>'Paste cell here'!AA195</f>
        <v/>
      </c>
      <c r="O195" s="1">
        <f>'Paste cell here'!H195</f>
        <v/>
      </c>
      <c r="P195" s="1">
        <f>(M195-L195)*N195*1000</f>
        <v/>
      </c>
      <c r="Q195" s="1">
        <f>P195*O195</f>
        <v/>
      </c>
      <c r="R195" s="1">
        <f>M195*N195*1000-Q195</f>
        <v/>
      </c>
      <c r="S195" s="5">
        <f>H195/($N195*1000)</f>
        <v/>
      </c>
      <c r="T195" s="5">
        <f>R195/($N195*1000)</f>
        <v/>
      </c>
    </row>
    <row r="196">
      <c r="A196" s="1" t="n">
        <v>195</v>
      </c>
      <c r="B196" s="2">
        <f>DATE(Sintesi!$C$4-1,12,31)+A196</f>
        <v/>
      </c>
      <c r="C196" s="1">
        <f>'Paste cell here'!T196</f>
        <v/>
      </c>
      <c r="D196" s="1">
        <f>'Paste cell here'!AC196</f>
        <v/>
      </c>
      <c r="E196" s="1">
        <f>'Paste cell here'!Y196</f>
        <v/>
      </c>
      <c r="F196" s="1">
        <f>'Paste cell here'!AD196</f>
        <v/>
      </c>
      <c r="G196" s="1">
        <f>'Paste cell here'!W196</f>
        <v/>
      </c>
      <c r="H196" s="1">
        <f>'Paste cell here'!AE196</f>
        <v/>
      </c>
      <c r="I196" s="1">
        <f>'Paste cell here'!AF196</f>
        <v/>
      </c>
      <c r="J196" s="1">
        <f>ABS(I196+C196+D196-E196-F196-G196-H196)</f>
        <v/>
      </c>
      <c r="K196" s="1">
        <f>IF('Bilancio primo strato'!D196&gt;0,1,"")</f>
        <v/>
      </c>
      <c r="L196" s="7">
        <f>Sintesi!$C$34</f>
        <v/>
      </c>
      <c r="M196" s="7">
        <f>Sintesi!$C$33</f>
        <v/>
      </c>
      <c r="N196" s="1">
        <f>'Paste cell here'!AA196</f>
        <v/>
      </c>
      <c r="O196" s="1">
        <f>'Paste cell here'!H196</f>
        <v/>
      </c>
      <c r="P196" s="1">
        <f>(M196-L196)*N196*1000</f>
        <v/>
      </c>
      <c r="Q196" s="1">
        <f>P196*O196</f>
        <v/>
      </c>
      <c r="R196" s="1">
        <f>M196*N196*1000-Q196</f>
        <v/>
      </c>
      <c r="S196" s="5">
        <f>H196/($N196*1000)</f>
        <v/>
      </c>
      <c r="T196" s="5">
        <f>R196/($N196*1000)</f>
        <v/>
      </c>
    </row>
    <row r="197">
      <c r="A197" s="1" t="n">
        <v>196</v>
      </c>
      <c r="B197" s="2">
        <f>DATE(Sintesi!$C$4-1,12,31)+A197</f>
        <v/>
      </c>
      <c r="C197" s="1">
        <f>'Paste cell here'!T197</f>
        <v/>
      </c>
      <c r="D197" s="1">
        <f>'Paste cell here'!AC197</f>
        <v/>
      </c>
      <c r="E197" s="1">
        <f>'Paste cell here'!Y197</f>
        <v/>
      </c>
      <c r="F197" s="1">
        <f>'Paste cell here'!AD197</f>
        <v/>
      </c>
      <c r="G197" s="1">
        <f>'Paste cell here'!W197</f>
        <v/>
      </c>
      <c r="H197" s="1">
        <f>'Paste cell here'!AE197</f>
        <v/>
      </c>
      <c r="I197" s="1">
        <f>'Paste cell here'!AF197</f>
        <v/>
      </c>
      <c r="J197" s="1">
        <f>ABS(I197+C197+D197-E197-F197-G197-H197)</f>
        <v/>
      </c>
      <c r="K197" s="1">
        <f>IF('Bilancio primo strato'!D197&gt;0,1,"")</f>
        <v/>
      </c>
      <c r="L197" s="7">
        <f>Sintesi!$C$34</f>
        <v/>
      </c>
      <c r="M197" s="7">
        <f>Sintesi!$C$33</f>
        <v/>
      </c>
      <c r="N197" s="1">
        <f>'Paste cell here'!AA197</f>
        <v/>
      </c>
      <c r="O197" s="1">
        <f>'Paste cell here'!H197</f>
        <v/>
      </c>
      <c r="P197" s="1">
        <f>(M197-L197)*N197*1000</f>
        <v/>
      </c>
      <c r="Q197" s="1">
        <f>P197*O197</f>
        <v/>
      </c>
      <c r="R197" s="1">
        <f>M197*N197*1000-Q197</f>
        <v/>
      </c>
      <c r="S197" s="5">
        <f>H197/($N197*1000)</f>
        <v/>
      </c>
      <c r="T197" s="5">
        <f>R197/($N197*1000)</f>
        <v/>
      </c>
    </row>
    <row r="198">
      <c r="A198" s="1" t="n">
        <v>197</v>
      </c>
      <c r="B198" s="2">
        <f>DATE(Sintesi!$C$4-1,12,31)+A198</f>
        <v/>
      </c>
      <c r="C198" s="1">
        <f>'Paste cell here'!T198</f>
        <v/>
      </c>
      <c r="D198" s="1">
        <f>'Paste cell here'!AC198</f>
        <v/>
      </c>
      <c r="E198" s="1">
        <f>'Paste cell here'!Y198</f>
        <v/>
      </c>
      <c r="F198" s="1">
        <f>'Paste cell here'!AD198</f>
        <v/>
      </c>
      <c r="G198" s="1">
        <f>'Paste cell here'!W198</f>
        <v/>
      </c>
      <c r="H198" s="1">
        <f>'Paste cell here'!AE198</f>
        <v/>
      </c>
      <c r="I198" s="1">
        <f>'Paste cell here'!AF198</f>
        <v/>
      </c>
      <c r="J198" s="1">
        <f>ABS(I198+C198+D198-E198-F198-G198-H198)</f>
        <v/>
      </c>
      <c r="K198" s="1">
        <f>IF('Bilancio primo strato'!D198&gt;0,1,"")</f>
        <v/>
      </c>
      <c r="L198" s="7">
        <f>Sintesi!$C$34</f>
        <v/>
      </c>
      <c r="M198" s="7">
        <f>Sintesi!$C$33</f>
        <v/>
      </c>
      <c r="N198" s="1">
        <f>'Paste cell here'!AA198</f>
        <v/>
      </c>
      <c r="O198" s="1">
        <f>'Paste cell here'!H198</f>
        <v/>
      </c>
      <c r="P198" s="1">
        <f>(M198-L198)*N198*1000</f>
        <v/>
      </c>
      <c r="Q198" s="1">
        <f>P198*O198</f>
        <v/>
      </c>
      <c r="R198" s="1">
        <f>M198*N198*1000-Q198</f>
        <v/>
      </c>
      <c r="S198" s="5">
        <f>H198/($N198*1000)</f>
        <v/>
      </c>
      <c r="T198" s="5">
        <f>R198/($N198*1000)</f>
        <v/>
      </c>
    </row>
    <row r="199">
      <c r="A199" s="1" t="n">
        <v>198</v>
      </c>
      <c r="B199" s="2">
        <f>DATE(Sintesi!$C$4-1,12,31)+A199</f>
        <v/>
      </c>
      <c r="C199" s="1">
        <f>'Paste cell here'!T199</f>
        <v/>
      </c>
      <c r="D199" s="1">
        <f>'Paste cell here'!AC199</f>
        <v/>
      </c>
      <c r="E199" s="1">
        <f>'Paste cell here'!Y199</f>
        <v/>
      </c>
      <c r="F199" s="1">
        <f>'Paste cell here'!AD199</f>
        <v/>
      </c>
      <c r="G199" s="1">
        <f>'Paste cell here'!W199</f>
        <v/>
      </c>
      <c r="H199" s="1">
        <f>'Paste cell here'!AE199</f>
        <v/>
      </c>
      <c r="I199" s="1">
        <f>'Paste cell here'!AF199</f>
        <v/>
      </c>
      <c r="J199" s="1">
        <f>ABS(I199+C199+D199-E199-F199-G199-H199)</f>
        <v/>
      </c>
      <c r="K199" s="1">
        <f>IF('Bilancio primo strato'!D199&gt;0,1,"")</f>
        <v/>
      </c>
      <c r="L199" s="7">
        <f>Sintesi!$C$34</f>
        <v/>
      </c>
      <c r="M199" s="7">
        <f>Sintesi!$C$33</f>
        <v/>
      </c>
      <c r="N199" s="1">
        <f>'Paste cell here'!AA199</f>
        <v/>
      </c>
      <c r="O199" s="1">
        <f>'Paste cell here'!H199</f>
        <v/>
      </c>
      <c r="P199" s="1">
        <f>(M199-L199)*N199*1000</f>
        <v/>
      </c>
      <c r="Q199" s="1">
        <f>P199*O199</f>
        <v/>
      </c>
      <c r="R199" s="1">
        <f>M199*N199*1000-Q199</f>
        <v/>
      </c>
      <c r="S199" s="5">
        <f>H199/($N199*1000)</f>
        <v/>
      </c>
      <c r="T199" s="5">
        <f>R199/($N199*1000)</f>
        <v/>
      </c>
    </row>
    <row r="200">
      <c r="A200" s="1" t="n">
        <v>199</v>
      </c>
      <c r="B200" s="2">
        <f>DATE(Sintesi!$C$4-1,12,31)+A200</f>
        <v/>
      </c>
      <c r="C200" s="1">
        <f>'Paste cell here'!T200</f>
        <v/>
      </c>
      <c r="D200" s="1">
        <f>'Paste cell here'!AC200</f>
        <v/>
      </c>
      <c r="E200" s="1">
        <f>'Paste cell here'!Y200</f>
        <v/>
      </c>
      <c r="F200" s="1">
        <f>'Paste cell here'!AD200</f>
        <v/>
      </c>
      <c r="G200" s="1">
        <f>'Paste cell here'!W200</f>
        <v/>
      </c>
      <c r="H200" s="1">
        <f>'Paste cell here'!AE200</f>
        <v/>
      </c>
      <c r="I200" s="1">
        <f>'Paste cell here'!AF200</f>
        <v/>
      </c>
      <c r="J200" s="1">
        <f>ABS(I200+C200+D200-E200-F200-G200-H200)</f>
        <v/>
      </c>
      <c r="K200" s="1">
        <f>IF('Bilancio primo strato'!D200&gt;0,1,"")</f>
        <v/>
      </c>
      <c r="L200" s="7">
        <f>Sintesi!$C$34</f>
        <v/>
      </c>
      <c r="M200" s="7">
        <f>Sintesi!$C$33</f>
        <v/>
      </c>
      <c r="N200" s="1">
        <f>'Paste cell here'!AA200</f>
        <v/>
      </c>
      <c r="O200" s="1">
        <f>'Paste cell here'!H200</f>
        <v/>
      </c>
      <c r="P200" s="1">
        <f>(M200-L200)*N200*1000</f>
        <v/>
      </c>
      <c r="Q200" s="1">
        <f>P200*O200</f>
        <v/>
      </c>
      <c r="R200" s="1">
        <f>M200*N200*1000-Q200</f>
        <v/>
      </c>
      <c r="S200" s="5">
        <f>H200/($N200*1000)</f>
        <v/>
      </c>
      <c r="T200" s="5">
        <f>R200/($N200*1000)</f>
        <v/>
      </c>
    </row>
    <row r="201">
      <c r="A201" s="1" t="n">
        <v>200</v>
      </c>
      <c r="B201" s="2">
        <f>DATE(Sintesi!$C$4-1,12,31)+A201</f>
        <v/>
      </c>
      <c r="C201" s="1">
        <f>'Paste cell here'!T201</f>
        <v/>
      </c>
      <c r="D201" s="1">
        <f>'Paste cell here'!AC201</f>
        <v/>
      </c>
      <c r="E201" s="1">
        <f>'Paste cell here'!Y201</f>
        <v/>
      </c>
      <c r="F201" s="1">
        <f>'Paste cell here'!AD201</f>
        <v/>
      </c>
      <c r="G201" s="1">
        <f>'Paste cell here'!W201</f>
        <v/>
      </c>
      <c r="H201" s="1">
        <f>'Paste cell here'!AE201</f>
        <v/>
      </c>
      <c r="I201" s="1">
        <f>'Paste cell here'!AF201</f>
        <v/>
      </c>
      <c r="J201" s="1">
        <f>ABS(I201+C201+D201-E201-F201-G201-H201)</f>
        <v/>
      </c>
      <c r="K201" s="1">
        <f>IF('Bilancio primo strato'!D201&gt;0,1,"")</f>
        <v/>
      </c>
      <c r="L201" s="7">
        <f>Sintesi!$C$34</f>
        <v/>
      </c>
      <c r="M201" s="7">
        <f>Sintesi!$C$33</f>
        <v/>
      </c>
      <c r="N201" s="1">
        <f>'Paste cell here'!AA201</f>
        <v/>
      </c>
      <c r="O201" s="1">
        <f>'Paste cell here'!H201</f>
        <v/>
      </c>
      <c r="P201" s="1">
        <f>(M201-L201)*N201*1000</f>
        <v/>
      </c>
      <c r="Q201" s="1">
        <f>P201*O201</f>
        <v/>
      </c>
      <c r="R201" s="1">
        <f>M201*N201*1000-Q201</f>
        <v/>
      </c>
      <c r="S201" s="5">
        <f>H201/($N201*1000)</f>
        <v/>
      </c>
      <c r="T201" s="5">
        <f>R201/($N201*1000)</f>
        <v/>
      </c>
    </row>
    <row r="202">
      <c r="A202" s="1" t="n">
        <v>201</v>
      </c>
      <c r="B202" s="2">
        <f>DATE(Sintesi!$C$4-1,12,31)+A202</f>
        <v/>
      </c>
      <c r="C202" s="1">
        <f>'Paste cell here'!T202</f>
        <v/>
      </c>
      <c r="D202" s="1">
        <f>'Paste cell here'!AC202</f>
        <v/>
      </c>
      <c r="E202" s="1">
        <f>'Paste cell here'!Y202</f>
        <v/>
      </c>
      <c r="F202" s="1">
        <f>'Paste cell here'!AD202</f>
        <v/>
      </c>
      <c r="G202" s="1">
        <f>'Paste cell here'!W202</f>
        <v/>
      </c>
      <c r="H202" s="1">
        <f>'Paste cell here'!AE202</f>
        <v/>
      </c>
      <c r="I202" s="1">
        <f>'Paste cell here'!AF202</f>
        <v/>
      </c>
      <c r="J202" s="1">
        <f>ABS(I202+C202+D202-E202-F202-G202-H202)</f>
        <v/>
      </c>
      <c r="K202" s="1">
        <f>IF('Bilancio primo strato'!D202&gt;0,1,"")</f>
        <v/>
      </c>
      <c r="L202" s="7">
        <f>Sintesi!$C$34</f>
        <v/>
      </c>
      <c r="M202" s="7">
        <f>Sintesi!$C$33</f>
        <v/>
      </c>
      <c r="N202" s="1">
        <f>'Paste cell here'!AA202</f>
        <v/>
      </c>
      <c r="O202" s="1">
        <f>'Paste cell here'!H202</f>
        <v/>
      </c>
      <c r="P202" s="1">
        <f>(M202-L202)*N202*1000</f>
        <v/>
      </c>
      <c r="Q202" s="1">
        <f>P202*O202</f>
        <v/>
      </c>
      <c r="R202" s="1">
        <f>M202*N202*1000-Q202</f>
        <v/>
      </c>
      <c r="S202" s="5">
        <f>H202/($N202*1000)</f>
        <v/>
      </c>
      <c r="T202" s="5">
        <f>R202/($N202*1000)</f>
        <v/>
      </c>
    </row>
    <row r="203">
      <c r="A203" s="1" t="n">
        <v>202</v>
      </c>
      <c r="B203" s="2">
        <f>DATE(Sintesi!$C$4-1,12,31)+A203</f>
        <v/>
      </c>
      <c r="C203" s="1">
        <f>'Paste cell here'!T203</f>
        <v/>
      </c>
      <c r="D203" s="1">
        <f>'Paste cell here'!AC203</f>
        <v/>
      </c>
      <c r="E203" s="1">
        <f>'Paste cell here'!Y203</f>
        <v/>
      </c>
      <c r="F203" s="1">
        <f>'Paste cell here'!AD203</f>
        <v/>
      </c>
      <c r="G203" s="1">
        <f>'Paste cell here'!W203</f>
        <v/>
      </c>
      <c r="H203" s="1">
        <f>'Paste cell here'!AE203</f>
        <v/>
      </c>
      <c r="I203" s="1">
        <f>'Paste cell here'!AF203</f>
        <v/>
      </c>
      <c r="J203" s="1">
        <f>ABS(I203+C203+D203-E203-F203-G203-H203)</f>
        <v/>
      </c>
      <c r="K203" s="1">
        <f>IF('Bilancio primo strato'!D203&gt;0,1,"")</f>
        <v/>
      </c>
      <c r="L203" s="7">
        <f>Sintesi!$C$34</f>
        <v/>
      </c>
      <c r="M203" s="7">
        <f>Sintesi!$C$33</f>
        <v/>
      </c>
      <c r="N203" s="1">
        <f>'Paste cell here'!AA203</f>
        <v/>
      </c>
      <c r="O203" s="1">
        <f>'Paste cell here'!H203</f>
        <v/>
      </c>
      <c r="P203" s="1">
        <f>(M203-L203)*N203*1000</f>
        <v/>
      </c>
      <c r="Q203" s="1">
        <f>P203*O203</f>
        <v/>
      </c>
      <c r="R203" s="1">
        <f>M203*N203*1000-Q203</f>
        <v/>
      </c>
      <c r="S203" s="5">
        <f>H203/($N203*1000)</f>
        <v/>
      </c>
      <c r="T203" s="5">
        <f>R203/($N203*1000)</f>
        <v/>
      </c>
    </row>
    <row r="204">
      <c r="A204" s="1" t="n">
        <v>203</v>
      </c>
      <c r="B204" s="2">
        <f>DATE(Sintesi!$C$4-1,12,31)+A204</f>
        <v/>
      </c>
      <c r="C204" s="1">
        <f>'Paste cell here'!T204</f>
        <v/>
      </c>
      <c r="D204" s="1">
        <f>'Paste cell here'!AC204</f>
        <v/>
      </c>
      <c r="E204" s="1">
        <f>'Paste cell here'!Y204</f>
        <v/>
      </c>
      <c r="F204" s="1">
        <f>'Paste cell here'!AD204</f>
        <v/>
      </c>
      <c r="G204" s="1">
        <f>'Paste cell here'!W204</f>
        <v/>
      </c>
      <c r="H204" s="1">
        <f>'Paste cell here'!AE204</f>
        <v/>
      </c>
      <c r="I204" s="1">
        <f>'Paste cell here'!AF204</f>
        <v/>
      </c>
      <c r="J204" s="1">
        <f>ABS(I204+C204+D204-E204-F204-G204-H204)</f>
        <v/>
      </c>
      <c r="K204" s="1">
        <f>IF('Bilancio primo strato'!D204&gt;0,1,"")</f>
        <v/>
      </c>
      <c r="L204" s="7">
        <f>Sintesi!$C$34</f>
        <v/>
      </c>
      <c r="M204" s="7">
        <f>Sintesi!$C$33</f>
        <v/>
      </c>
      <c r="N204" s="1">
        <f>'Paste cell here'!AA204</f>
        <v/>
      </c>
      <c r="O204" s="1">
        <f>'Paste cell here'!H204</f>
        <v/>
      </c>
      <c r="P204" s="1">
        <f>(M204-L204)*N204*1000</f>
        <v/>
      </c>
      <c r="Q204" s="1">
        <f>P204*O204</f>
        <v/>
      </c>
      <c r="R204" s="1">
        <f>M204*N204*1000-Q204</f>
        <v/>
      </c>
      <c r="S204" s="5">
        <f>H204/($N204*1000)</f>
        <v/>
      </c>
      <c r="T204" s="5">
        <f>R204/($N204*1000)</f>
        <v/>
      </c>
    </row>
    <row r="205">
      <c r="A205" s="1" t="n">
        <v>204</v>
      </c>
      <c r="B205" s="2">
        <f>DATE(Sintesi!$C$4-1,12,31)+A205</f>
        <v/>
      </c>
      <c r="C205" s="1">
        <f>'Paste cell here'!T205</f>
        <v/>
      </c>
      <c r="D205" s="1">
        <f>'Paste cell here'!AC205</f>
        <v/>
      </c>
      <c r="E205" s="1">
        <f>'Paste cell here'!Y205</f>
        <v/>
      </c>
      <c r="F205" s="1">
        <f>'Paste cell here'!AD205</f>
        <v/>
      </c>
      <c r="G205" s="1">
        <f>'Paste cell here'!W205</f>
        <v/>
      </c>
      <c r="H205" s="1">
        <f>'Paste cell here'!AE205</f>
        <v/>
      </c>
      <c r="I205" s="1">
        <f>'Paste cell here'!AF205</f>
        <v/>
      </c>
      <c r="J205" s="1">
        <f>ABS(I205+C205+D205-E205-F205-G205-H205)</f>
        <v/>
      </c>
      <c r="K205" s="1">
        <f>IF('Bilancio primo strato'!D205&gt;0,1,"")</f>
        <v/>
      </c>
      <c r="L205" s="7">
        <f>Sintesi!$C$34</f>
        <v/>
      </c>
      <c r="M205" s="7">
        <f>Sintesi!$C$33</f>
        <v/>
      </c>
      <c r="N205" s="1">
        <f>'Paste cell here'!AA205</f>
        <v/>
      </c>
      <c r="O205" s="1">
        <f>'Paste cell here'!H205</f>
        <v/>
      </c>
      <c r="P205" s="1">
        <f>(M205-L205)*N205*1000</f>
        <v/>
      </c>
      <c r="Q205" s="1">
        <f>P205*O205</f>
        <v/>
      </c>
      <c r="R205" s="1">
        <f>M205*N205*1000-Q205</f>
        <v/>
      </c>
      <c r="S205" s="5">
        <f>H205/($N205*1000)</f>
        <v/>
      </c>
      <c r="T205" s="5">
        <f>R205/($N205*1000)</f>
        <v/>
      </c>
    </row>
    <row r="206">
      <c r="A206" s="1" t="n">
        <v>205</v>
      </c>
      <c r="B206" s="2">
        <f>DATE(Sintesi!$C$4-1,12,31)+A206</f>
        <v/>
      </c>
      <c r="C206" s="1">
        <f>'Paste cell here'!T206</f>
        <v/>
      </c>
      <c r="D206" s="1">
        <f>'Paste cell here'!AC206</f>
        <v/>
      </c>
      <c r="E206" s="1">
        <f>'Paste cell here'!Y206</f>
        <v/>
      </c>
      <c r="F206" s="1">
        <f>'Paste cell here'!AD206</f>
        <v/>
      </c>
      <c r="G206" s="1">
        <f>'Paste cell here'!W206</f>
        <v/>
      </c>
      <c r="H206" s="1">
        <f>'Paste cell here'!AE206</f>
        <v/>
      </c>
      <c r="I206" s="1">
        <f>'Paste cell here'!AF206</f>
        <v/>
      </c>
      <c r="J206" s="1">
        <f>ABS(I206+C206+D206-E206-F206-G206-H206)</f>
        <v/>
      </c>
      <c r="K206" s="1">
        <f>IF('Bilancio primo strato'!D206&gt;0,1,"")</f>
        <v/>
      </c>
      <c r="L206" s="7">
        <f>Sintesi!$C$34</f>
        <v/>
      </c>
      <c r="M206" s="7">
        <f>Sintesi!$C$33</f>
        <v/>
      </c>
      <c r="N206" s="1">
        <f>'Paste cell here'!AA206</f>
        <v/>
      </c>
      <c r="O206" s="1">
        <f>'Paste cell here'!H206</f>
        <v/>
      </c>
      <c r="P206" s="1">
        <f>(M206-L206)*N206*1000</f>
        <v/>
      </c>
      <c r="Q206" s="1">
        <f>P206*O206</f>
        <v/>
      </c>
      <c r="R206" s="1">
        <f>M206*N206*1000-Q206</f>
        <v/>
      </c>
      <c r="S206" s="5">
        <f>H206/($N206*1000)</f>
        <v/>
      </c>
      <c r="T206" s="5">
        <f>R206/($N206*1000)</f>
        <v/>
      </c>
    </row>
    <row r="207">
      <c r="A207" s="1" t="n">
        <v>206</v>
      </c>
      <c r="B207" s="2">
        <f>DATE(Sintesi!$C$4-1,12,31)+A207</f>
        <v/>
      </c>
      <c r="C207" s="1">
        <f>'Paste cell here'!T207</f>
        <v/>
      </c>
      <c r="D207" s="1">
        <f>'Paste cell here'!AC207</f>
        <v/>
      </c>
      <c r="E207" s="1">
        <f>'Paste cell here'!Y207</f>
        <v/>
      </c>
      <c r="F207" s="1">
        <f>'Paste cell here'!AD207</f>
        <v/>
      </c>
      <c r="G207" s="1">
        <f>'Paste cell here'!W207</f>
        <v/>
      </c>
      <c r="H207" s="1">
        <f>'Paste cell here'!AE207</f>
        <v/>
      </c>
      <c r="I207" s="1">
        <f>'Paste cell here'!AF207</f>
        <v/>
      </c>
      <c r="J207" s="1">
        <f>ABS(I207+C207+D207-E207-F207-G207-H207)</f>
        <v/>
      </c>
      <c r="K207" s="1">
        <f>IF('Bilancio primo strato'!D207&gt;0,1,"")</f>
        <v/>
      </c>
      <c r="L207" s="7">
        <f>Sintesi!$C$34</f>
        <v/>
      </c>
      <c r="M207" s="7">
        <f>Sintesi!$C$33</f>
        <v/>
      </c>
      <c r="N207" s="1">
        <f>'Paste cell here'!AA207</f>
        <v/>
      </c>
      <c r="O207" s="1">
        <f>'Paste cell here'!H207</f>
        <v/>
      </c>
      <c r="P207" s="1">
        <f>(M207-L207)*N207*1000</f>
        <v/>
      </c>
      <c r="Q207" s="1">
        <f>P207*O207</f>
        <v/>
      </c>
      <c r="R207" s="1">
        <f>M207*N207*1000-Q207</f>
        <v/>
      </c>
      <c r="S207" s="5">
        <f>H207/($N207*1000)</f>
        <v/>
      </c>
      <c r="T207" s="5">
        <f>R207/($N207*1000)</f>
        <v/>
      </c>
    </row>
    <row r="208">
      <c r="A208" s="1" t="n">
        <v>207</v>
      </c>
      <c r="B208" s="2">
        <f>DATE(Sintesi!$C$4-1,12,31)+A208</f>
        <v/>
      </c>
      <c r="C208" s="1">
        <f>'Paste cell here'!T208</f>
        <v/>
      </c>
      <c r="D208" s="1">
        <f>'Paste cell here'!AC208</f>
        <v/>
      </c>
      <c r="E208" s="1">
        <f>'Paste cell here'!Y208</f>
        <v/>
      </c>
      <c r="F208" s="1">
        <f>'Paste cell here'!AD208</f>
        <v/>
      </c>
      <c r="G208" s="1">
        <f>'Paste cell here'!W208</f>
        <v/>
      </c>
      <c r="H208" s="1">
        <f>'Paste cell here'!AE208</f>
        <v/>
      </c>
      <c r="I208" s="1">
        <f>'Paste cell here'!AF208</f>
        <v/>
      </c>
      <c r="J208" s="1">
        <f>ABS(I208+C208+D208-E208-F208-G208-H208)</f>
        <v/>
      </c>
      <c r="K208" s="1">
        <f>IF('Bilancio primo strato'!D208&gt;0,1,"")</f>
        <v/>
      </c>
      <c r="L208" s="7">
        <f>Sintesi!$C$34</f>
        <v/>
      </c>
      <c r="M208" s="7">
        <f>Sintesi!$C$33</f>
        <v/>
      </c>
      <c r="N208" s="1">
        <f>'Paste cell here'!AA208</f>
        <v/>
      </c>
      <c r="O208" s="1">
        <f>'Paste cell here'!H208</f>
        <v/>
      </c>
      <c r="P208" s="1">
        <f>(M208-L208)*N208*1000</f>
        <v/>
      </c>
      <c r="Q208" s="1">
        <f>P208*O208</f>
        <v/>
      </c>
      <c r="R208" s="1">
        <f>M208*N208*1000-Q208</f>
        <v/>
      </c>
      <c r="S208" s="5">
        <f>H208/($N208*1000)</f>
        <v/>
      </c>
      <c r="T208" s="5">
        <f>R208/($N208*1000)</f>
        <v/>
      </c>
    </row>
    <row r="209">
      <c r="A209" s="1" t="n">
        <v>208</v>
      </c>
      <c r="B209" s="2">
        <f>DATE(Sintesi!$C$4-1,12,31)+A209</f>
        <v/>
      </c>
      <c r="C209" s="1">
        <f>'Paste cell here'!T209</f>
        <v/>
      </c>
      <c r="D209" s="1">
        <f>'Paste cell here'!AC209</f>
        <v/>
      </c>
      <c r="E209" s="1">
        <f>'Paste cell here'!Y209</f>
        <v/>
      </c>
      <c r="F209" s="1">
        <f>'Paste cell here'!AD209</f>
        <v/>
      </c>
      <c r="G209" s="1">
        <f>'Paste cell here'!W209</f>
        <v/>
      </c>
      <c r="H209" s="1">
        <f>'Paste cell here'!AE209</f>
        <v/>
      </c>
      <c r="I209" s="1">
        <f>'Paste cell here'!AF209</f>
        <v/>
      </c>
      <c r="J209" s="1">
        <f>ABS(I209+C209+D209-E209-F209-G209-H209)</f>
        <v/>
      </c>
      <c r="K209" s="1">
        <f>IF('Bilancio primo strato'!D209&gt;0,1,"")</f>
        <v/>
      </c>
      <c r="L209" s="7">
        <f>Sintesi!$C$34</f>
        <v/>
      </c>
      <c r="M209" s="7">
        <f>Sintesi!$C$33</f>
        <v/>
      </c>
      <c r="N209" s="1">
        <f>'Paste cell here'!AA209</f>
        <v/>
      </c>
      <c r="O209" s="1">
        <f>'Paste cell here'!H209</f>
        <v/>
      </c>
      <c r="P209" s="1">
        <f>(M209-L209)*N209*1000</f>
        <v/>
      </c>
      <c r="Q209" s="1">
        <f>P209*O209</f>
        <v/>
      </c>
      <c r="R209" s="1">
        <f>M209*N209*1000-Q209</f>
        <v/>
      </c>
      <c r="S209" s="5">
        <f>H209/($N209*1000)</f>
        <v/>
      </c>
      <c r="T209" s="5">
        <f>R209/($N209*1000)</f>
        <v/>
      </c>
    </row>
    <row r="210">
      <c r="A210" s="1" t="n">
        <v>209</v>
      </c>
      <c r="B210" s="2">
        <f>DATE(Sintesi!$C$4-1,12,31)+A210</f>
        <v/>
      </c>
      <c r="C210" s="1">
        <f>'Paste cell here'!T210</f>
        <v/>
      </c>
      <c r="D210" s="1">
        <f>'Paste cell here'!AC210</f>
        <v/>
      </c>
      <c r="E210" s="1">
        <f>'Paste cell here'!Y210</f>
        <v/>
      </c>
      <c r="F210" s="1">
        <f>'Paste cell here'!AD210</f>
        <v/>
      </c>
      <c r="G210" s="1">
        <f>'Paste cell here'!W210</f>
        <v/>
      </c>
      <c r="H210" s="1">
        <f>'Paste cell here'!AE210</f>
        <v/>
      </c>
      <c r="I210" s="1">
        <f>'Paste cell here'!AF210</f>
        <v/>
      </c>
      <c r="J210" s="1">
        <f>ABS(I210+C210+D210-E210-F210-G210-H210)</f>
        <v/>
      </c>
      <c r="K210" s="1">
        <f>IF('Bilancio primo strato'!D210&gt;0,1,"")</f>
        <v/>
      </c>
      <c r="L210" s="7">
        <f>Sintesi!$C$34</f>
        <v/>
      </c>
      <c r="M210" s="7">
        <f>Sintesi!$C$33</f>
        <v/>
      </c>
      <c r="N210" s="1">
        <f>'Paste cell here'!AA210</f>
        <v/>
      </c>
      <c r="O210" s="1">
        <f>'Paste cell here'!H210</f>
        <v/>
      </c>
      <c r="P210" s="1">
        <f>(M210-L210)*N210*1000</f>
        <v/>
      </c>
      <c r="Q210" s="1">
        <f>P210*O210</f>
        <v/>
      </c>
      <c r="R210" s="1">
        <f>M210*N210*1000-Q210</f>
        <v/>
      </c>
      <c r="S210" s="5">
        <f>H210/($N210*1000)</f>
        <v/>
      </c>
      <c r="T210" s="5">
        <f>R210/($N210*1000)</f>
        <v/>
      </c>
    </row>
    <row r="211">
      <c r="A211" s="1" t="n">
        <v>210</v>
      </c>
      <c r="B211" s="2">
        <f>DATE(Sintesi!$C$4-1,12,31)+A211</f>
        <v/>
      </c>
      <c r="C211" s="1">
        <f>'Paste cell here'!T211</f>
        <v/>
      </c>
      <c r="D211" s="1">
        <f>'Paste cell here'!AC211</f>
        <v/>
      </c>
      <c r="E211" s="1">
        <f>'Paste cell here'!Y211</f>
        <v/>
      </c>
      <c r="F211" s="1">
        <f>'Paste cell here'!AD211</f>
        <v/>
      </c>
      <c r="G211" s="1">
        <f>'Paste cell here'!W211</f>
        <v/>
      </c>
      <c r="H211" s="1">
        <f>'Paste cell here'!AE211</f>
        <v/>
      </c>
      <c r="I211" s="1">
        <f>'Paste cell here'!AF211</f>
        <v/>
      </c>
      <c r="J211" s="1">
        <f>ABS(I211+C211+D211-E211-F211-G211-H211)</f>
        <v/>
      </c>
      <c r="K211" s="1">
        <f>IF('Bilancio primo strato'!D211&gt;0,1,"")</f>
        <v/>
      </c>
      <c r="L211" s="7">
        <f>Sintesi!$C$34</f>
        <v/>
      </c>
      <c r="M211" s="7">
        <f>Sintesi!$C$33</f>
        <v/>
      </c>
      <c r="N211" s="1">
        <f>'Paste cell here'!AA211</f>
        <v/>
      </c>
      <c r="O211" s="1">
        <f>'Paste cell here'!H211</f>
        <v/>
      </c>
      <c r="P211" s="1">
        <f>(M211-L211)*N211*1000</f>
        <v/>
      </c>
      <c r="Q211" s="1">
        <f>P211*O211</f>
        <v/>
      </c>
      <c r="R211" s="1">
        <f>M211*N211*1000-Q211</f>
        <v/>
      </c>
      <c r="S211" s="5">
        <f>H211/($N211*1000)</f>
        <v/>
      </c>
      <c r="T211" s="5">
        <f>R211/($N211*1000)</f>
        <v/>
      </c>
    </row>
    <row r="212">
      <c r="A212" s="1" t="n">
        <v>211</v>
      </c>
      <c r="B212" s="2">
        <f>DATE(Sintesi!$C$4-1,12,31)+A212</f>
        <v/>
      </c>
      <c r="C212" s="1">
        <f>'Paste cell here'!T212</f>
        <v/>
      </c>
      <c r="D212" s="1">
        <f>'Paste cell here'!AC212</f>
        <v/>
      </c>
      <c r="E212" s="1">
        <f>'Paste cell here'!Y212</f>
        <v/>
      </c>
      <c r="F212" s="1">
        <f>'Paste cell here'!AD212</f>
        <v/>
      </c>
      <c r="G212" s="1">
        <f>'Paste cell here'!W212</f>
        <v/>
      </c>
      <c r="H212" s="1">
        <f>'Paste cell here'!AE212</f>
        <v/>
      </c>
      <c r="I212" s="1">
        <f>'Paste cell here'!AF212</f>
        <v/>
      </c>
      <c r="J212" s="1">
        <f>ABS(I212+C212+D212-E212-F212-G212-H212)</f>
        <v/>
      </c>
      <c r="K212" s="1">
        <f>IF('Bilancio primo strato'!D212&gt;0,1,"")</f>
        <v/>
      </c>
      <c r="L212" s="7">
        <f>Sintesi!$C$34</f>
        <v/>
      </c>
      <c r="M212" s="7">
        <f>Sintesi!$C$33</f>
        <v/>
      </c>
      <c r="N212" s="1">
        <f>'Paste cell here'!AA212</f>
        <v/>
      </c>
      <c r="O212" s="1">
        <f>'Paste cell here'!H212</f>
        <v/>
      </c>
      <c r="P212" s="1">
        <f>(M212-L212)*N212*1000</f>
        <v/>
      </c>
      <c r="Q212" s="1">
        <f>P212*O212</f>
        <v/>
      </c>
      <c r="R212" s="1">
        <f>M212*N212*1000-Q212</f>
        <v/>
      </c>
      <c r="S212" s="5">
        <f>H212/($N212*1000)</f>
        <v/>
      </c>
      <c r="T212" s="5">
        <f>R212/($N212*1000)</f>
        <v/>
      </c>
    </row>
    <row r="213">
      <c r="A213" s="1" t="n">
        <v>212</v>
      </c>
      <c r="B213" s="2">
        <f>DATE(Sintesi!$C$4-1,12,31)+A213</f>
        <v/>
      </c>
      <c r="C213" s="1">
        <f>'Paste cell here'!T213</f>
        <v/>
      </c>
      <c r="D213" s="1">
        <f>'Paste cell here'!AC213</f>
        <v/>
      </c>
      <c r="E213" s="1">
        <f>'Paste cell here'!Y213</f>
        <v/>
      </c>
      <c r="F213" s="1">
        <f>'Paste cell here'!AD213</f>
        <v/>
      </c>
      <c r="G213" s="1">
        <f>'Paste cell here'!W213</f>
        <v/>
      </c>
      <c r="H213" s="1">
        <f>'Paste cell here'!AE213</f>
        <v/>
      </c>
      <c r="I213" s="1">
        <f>'Paste cell here'!AF213</f>
        <v/>
      </c>
      <c r="J213" s="1">
        <f>ABS(I213+C213+D213-E213-F213-G213-H213)</f>
        <v/>
      </c>
      <c r="K213" s="1">
        <f>IF('Bilancio primo strato'!D213&gt;0,1,"")</f>
        <v/>
      </c>
      <c r="L213" s="7">
        <f>Sintesi!$C$34</f>
        <v/>
      </c>
      <c r="M213" s="7">
        <f>Sintesi!$C$33</f>
        <v/>
      </c>
      <c r="N213" s="1">
        <f>'Paste cell here'!AA213</f>
        <v/>
      </c>
      <c r="O213" s="1">
        <f>'Paste cell here'!H213</f>
        <v/>
      </c>
      <c r="P213" s="1">
        <f>(M213-L213)*N213*1000</f>
        <v/>
      </c>
      <c r="Q213" s="1">
        <f>P213*O213</f>
        <v/>
      </c>
      <c r="R213" s="1">
        <f>M213*N213*1000-Q213</f>
        <v/>
      </c>
      <c r="S213" s="5">
        <f>H213/($N213*1000)</f>
        <v/>
      </c>
      <c r="T213" s="5">
        <f>R213/($N213*1000)</f>
        <v/>
      </c>
    </row>
    <row r="214">
      <c r="A214" s="1" t="n">
        <v>213</v>
      </c>
      <c r="B214" s="2">
        <f>DATE(Sintesi!$C$4-1,12,31)+A214</f>
        <v/>
      </c>
      <c r="C214" s="1">
        <f>'Paste cell here'!T214</f>
        <v/>
      </c>
      <c r="D214" s="1">
        <f>'Paste cell here'!AC214</f>
        <v/>
      </c>
      <c r="E214" s="1">
        <f>'Paste cell here'!Y214</f>
        <v/>
      </c>
      <c r="F214" s="1">
        <f>'Paste cell here'!AD214</f>
        <v/>
      </c>
      <c r="G214" s="1">
        <f>'Paste cell here'!W214</f>
        <v/>
      </c>
      <c r="H214" s="1">
        <f>'Paste cell here'!AE214</f>
        <v/>
      </c>
      <c r="I214" s="1">
        <f>'Paste cell here'!AF214</f>
        <v/>
      </c>
      <c r="J214" s="1">
        <f>ABS(I214+C214+D214-E214-F214-G214-H214)</f>
        <v/>
      </c>
      <c r="K214" s="1">
        <f>IF('Bilancio primo strato'!D214&gt;0,1,"")</f>
        <v/>
      </c>
      <c r="L214" s="7">
        <f>Sintesi!$C$34</f>
        <v/>
      </c>
      <c r="M214" s="7">
        <f>Sintesi!$C$33</f>
        <v/>
      </c>
      <c r="N214" s="1">
        <f>'Paste cell here'!AA214</f>
        <v/>
      </c>
      <c r="O214" s="1">
        <f>'Paste cell here'!H214</f>
        <v/>
      </c>
      <c r="P214" s="1">
        <f>(M214-L214)*N214*1000</f>
        <v/>
      </c>
      <c r="Q214" s="1">
        <f>P214*O214</f>
        <v/>
      </c>
      <c r="R214" s="1">
        <f>M214*N214*1000-Q214</f>
        <v/>
      </c>
      <c r="S214" s="5">
        <f>H214/($N214*1000)</f>
        <v/>
      </c>
      <c r="T214" s="5">
        <f>R214/($N214*1000)</f>
        <v/>
      </c>
    </row>
    <row r="215">
      <c r="A215" s="1" t="n">
        <v>214</v>
      </c>
      <c r="B215" s="2">
        <f>DATE(Sintesi!$C$4-1,12,31)+A215</f>
        <v/>
      </c>
      <c r="C215" s="1">
        <f>'Paste cell here'!T215</f>
        <v/>
      </c>
      <c r="D215" s="1">
        <f>'Paste cell here'!AC215</f>
        <v/>
      </c>
      <c r="E215" s="1">
        <f>'Paste cell here'!Y215</f>
        <v/>
      </c>
      <c r="F215" s="1">
        <f>'Paste cell here'!AD215</f>
        <v/>
      </c>
      <c r="G215" s="1">
        <f>'Paste cell here'!W215</f>
        <v/>
      </c>
      <c r="H215" s="1">
        <f>'Paste cell here'!AE215</f>
        <v/>
      </c>
      <c r="I215" s="1">
        <f>'Paste cell here'!AF215</f>
        <v/>
      </c>
      <c r="J215" s="1">
        <f>ABS(I215+C215+D215-E215-F215-G215-H215)</f>
        <v/>
      </c>
      <c r="K215" s="1">
        <f>IF('Bilancio primo strato'!D215&gt;0,1,"")</f>
        <v/>
      </c>
      <c r="L215" s="7">
        <f>Sintesi!$C$34</f>
        <v/>
      </c>
      <c r="M215" s="7">
        <f>Sintesi!$C$33</f>
        <v/>
      </c>
      <c r="N215" s="1">
        <f>'Paste cell here'!AA215</f>
        <v/>
      </c>
      <c r="O215" s="1">
        <f>'Paste cell here'!H215</f>
        <v/>
      </c>
      <c r="P215" s="1">
        <f>(M215-L215)*N215*1000</f>
        <v/>
      </c>
      <c r="Q215" s="1">
        <f>P215*O215</f>
        <v/>
      </c>
      <c r="R215" s="1">
        <f>M215*N215*1000-Q215</f>
        <v/>
      </c>
      <c r="S215" s="5">
        <f>H215/($N215*1000)</f>
        <v/>
      </c>
      <c r="T215" s="5">
        <f>R215/($N215*1000)</f>
        <v/>
      </c>
    </row>
    <row r="216">
      <c r="A216" s="1" t="n">
        <v>215</v>
      </c>
      <c r="B216" s="2">
        <f>DATE(Sintesi!$C$4-1,12,31)+A216</f>
        <v/>
      </c>
      <c r="C216" s="1">
        <f>'Paste cell here'!T216</f>
        <v/>
      </c>
      <c r="D216" s="1">
        <f>'Paste cell here'!AC216</f>
        <v/>
      </c>
      <c r="E216" s="1">
        <f>'Paste cell here'!Y216</f>
        <v/>
      </c>
      <c r="F216" s="1">
        <f>'Paste cell here'!AD216</f>
        <v/>
      </c>
      <c r="G216" s="1">
        <f>'Paste cell here'!W216</f>
        <v/>
      </c>
      <c r="H216" s="1">
        <f>'Paste cell here'!AE216</f>
        <v/>
      </c>
      <c r="I216" s="1">
        <f>'Paste cell here'!AF216</f>
        <v/>
      </c>
      <c r="J216" s="1">
        <f>ABS(I216+C216+D216-E216-F216-G216-H216)</f>
        <v/>
      </c>
      <c r="K216" s="1">
        <f>IF('Bilancio primo strato'!D216&gt;0,1,"")</f>
        <v/>
      </c>
      <c r="L216" s="7">
        <f>Sintesi!$C$34</f>
        <v/>
      </c>
      <c r="M216" s="7">
        <f>Sintesi!$C$33</f>
        <v/>
      </c>
      <c r="N216" s="1">
        <f>'Paste cell here'!AA216</f>
        <v/>
      </c>
      <c r="O216" s="1">
        <f>'Paste cell here'!H216</f>
        <v/>
      </c>
      <c r="P216" s="1">
        <f>(M216-L216)*N216*1000</f>
        <v/>
      </c>
      <c r="Q216" s="1">
        <f>P216*O216</f>
        <v/>
      </c>
      <c r="R216" s="1">
        <f>M216*N216*1000-Q216</f>
        <v/>
      </c>
      <c r="S216" s="5">
        <f>H216/($N216*1000)</f>
        <v/>
      </c>
      <c r="T216" s="5">
        <f>R216/($N216*1000)</f>
        <v/>
      </c>
    </row>
    <row r="217">
      <c r="A217" s="1" t="n">
        <v>216</v>
      </c>
      <c r="B217" s="2">
        <f>DATE(Sintesi!$C$4-1,12,31)+A217</f>
        <v/>
      </c>
      <c r="C217" s="1">
        <f>'Paste cell here'!T217</f>
        <v/>
      </c>
      <c r="D217" s="1">
        <f>'Paste cell here'!AC217</f>
        <v/>
      </c>
      <c r="E217" s="1">
        <f>'Paste cell here'!Y217</f>
        <v/>
      </c>
      <c r="F217" s="1">
        <f>'Paste cell here'!AD217</f>
        <v/>
      </c>
      <c r="G217" s="1">
        <f>'Paste cell here'!W217</f>
        <v/>
      </c>
      <c r="H217" s="1">
        <f>'Paste cell here'!AE217</f>
        <v/>
      </c>
      <c r="I217" s="1">
        <f>'Paste cell here'!AF217</f>
        <v/>
      </c>
      <c r="J217" s="1">
        <f>ABS(I217+C217+D217-E217-F217-G217-H217)</f>
        <v/>
      </c>
      <c r="K217" s="1">
        <f>IF('Bilancio primo strato'!D217&gt;0,1,"")</f>
        <v/>
      </c>
      <c r="L217" s="7">
        <f>Sintesi!$C$34</f>
        <v/>
      </c>
      <c r="M217" s="7">
        <f>Sintesi!$C$33</f>
        <v/>
      </c>
      <c r="N217" s="1">
        <f>'Paste cell here'!AA217</f>
        <v/>
      </c>
      <c r="O217" s="1">
        <f>'Paste cell here'!H217</f>
        <v/>
      </c>
      <c r="P217" s="1">
        <f>(M217-L217)*N217*1000</f>
        <v/>
      </c>
      <c r="Q217" s="1">
        <f>P217*O217</f>
        <v/>
      </c>
      <c r="R217" s="1">
        <f>M217*N217*1000-Q217</f>
        <v/>
      </c>
      <c r="S217" s="5">
        <f>H217/($N217*1000)</f>
        <v/>
      </c>
      <c r="T217" s="5">
        <f>R217/($N217*1000)</f>
        <v/>
      </c>
    </row>
    <row r="218">
      <c r="A218" s="1" t="n">
        <v>217</v>
      </c>
      <c r="B218" s="2">
        <f>DATE(Sintesi!$C$4-1,12,31)+A218</f>
        <v/>
      </c>
      <c r="C218" s="1">
        <f>'Paste cell here'!T218</f>
        <v/>
      </c>
      <c r="D218" s="1">
        <f>'Paste cell here'!AC218</f>
        <v/>
      </c>
      <c r="E218" s="1">
        <f>'Paste cell here'!Y218</f>
        <v/>
      </c>
      <c r="F218" s="1">
        <f>'Paste cell here'!AD218</f>
        <v/>
      </c>
      <c r="G218" s="1">
        <f>'Paste cell here'!W218</f>
        <v/>
      </c>
      <c r="H218" s="1">
        <f>'Paste cell here'!AE218</f>
        <v/>
      </c>
      <c r="I218" s="1">
        <f>'Paste cell here'!AF218</f>
        <v/>
      </c>
      <c r="J218" s="1">
        <f>ABS(I218+C218+D218-E218-F218-G218-H218)</f>
        <v/>
      </c>
      <c r="K218" s="1">
        <f>IF('Bilancio primo strato'!D218&gt;0,1,"")</f>
        <v/>
      </c>
      <c r="L218" s="7">
        <f>Sintesi!$C$34</f>
        <v/>
      </c>
      <c r="M218" s="7">
        <f>Sintesi!$C$33</f>
        <v/>
      </c>
      <c r="N218" s="1">
        <f>'Paste cell here'!AA218</f>
        <v/>
      </c>
      <c r="O218" s="1">
        <f>'Paste cell here'!H218</f>
        <v/>
      </c>
      <c r="P218" s="1">
        <f>(M218-L218)*N218*1000</f>
        <v/>
      </c>
      <c r="Q218" s="1">
        <f>P218*O218</f>
        <v/>
      </c>
      <c r="R218" s="1">
        <f>M218*N218*1000-Q218</f>
        <v/>
      </c>
      <c r="S218" s="5">
        <f>H218/($N218*1000)</f>
        <v/>
      </c>
      <c r="T218" s="5">
        <f>R218/($N218*1000)</f>
        <v/>
      </c>
    </row>
    <row r="219">
      <c r="A219" s="1" t="n">
        <v>218</v>
      </c>
      <c r="B219" s="2">
        <f>DATE(Sintesi!$C$4-1,12,31)+A219</f>
        <v/>
      </c>
      <c r="C219" s="1">
        <f>'Paste cell here'!T219</f>
        <v/>
      </c>
      <c r="D219" s="1">
        <f>'Paste cell here'!AC219</f>
        <v/>
      </c>
      <c r="E219" s="1">
        <f>'Paste cell here'!Y219</f>
        <v/>
      </c>
      <c r="F219" s="1">
        <f>'Paste cell here'!AD219</f>
        <v/>
      </c>
      <c r="G219" s="1">
        <f>'Paste cell here'!W219</f>
        <v/>
      </c>
      <c r="H219" s="1">
        <f>'Paste cell here'!AE219</f>
        <v/>
      </c>
      <c r="I219" s="1">
        <f>'Paste cell here'!AF219</f>
        <v/>
      </c>
      <c r="J219" s="1">
        <f>ABS(I219+C219+D219-E219-F219-G219-H219)</f>
        <v/>
      </c>
      <c r="K219" s="1">
        <f>IF('Bilancio primo strato'!D219&gt;0,1,"")</f>
        <v/>
      </c>
      <c r="L219" s="7">
        <f>Sintesi!$C$34</f>
        <v/>
      </c>
      <c r="M219" s="7">
        <f>Sintesi!$C$33</f>
        <v/>
      </c>
      <c r="N219" s="1">
        <f>'Paste cell here'!AA219</f>
        <v/>
      </c>
      <c r="O219" s="1">
        <f>'Paste cell here'!H219</f>
        <v/>
      </c>
      <c r="P219" s="1">
        <f>(M219-L219)*N219*1000</f>
        <v/>
      </c>
      <c r="Q219" s="1">
        <f>P219*O219</f>
        <v/>
      </c>
      <c r="R219" s="1">
        <f>M219*N219*1000-Q219</f>
        <v/>
      </c>
      <c r="S219" s="5">
        <f>H219/($N219*1000)</f>
        <v/>
      </c>
      <c r="T219" s="5">
        <f>R219/($N219*1000)</f>
        <v/>
      </c>
    </row>
    <row r="220">
      <c r="A220" s="1" t="n">
        <v>219</v>
      </c>
      <c r="B220" s="2">
        <f>DATE(Sintesi!$C$4-1,12,31)+A220</f>
        <v/>
      </c>
      <c r="C220" s="1">
        <f>'Paste cell here'!T220</f>
        <v/>
      </c>
      <c r="D220" s="1">
        <f>'Paste cell here'!AC220</f>
        <v/>
      </c>
      <c r="E220" s="1">
        <f>'Paste cell here'!Y220</f>
        <v/>
      </c>
      <c r="F220" s="1">
        <f>'Paste cell here'!AD220</f>
        <v/>
      </c>
      <c r="G220" s="1">
        <f>'Paste cell here'!W220</f>
        <v/>
      </c>
      <c r="H220" s="1">
        <f>'Paste cell here'!AE220</f>
        <v/>
      </c>
      <c r="I220" s="1">
        <f>'Paste cell here'!AF220</f>
        <v/>
      </c>
      <c r="J220" s="1">
        <f>ABS(I220+C220+D220-E220-F220-G220-H220)</f>
        <v/>
      </c>
      <c r="K220" s="1">
        <f>IF('Bilancio primo strato'!D220&gt;0,1,"")</f>
        <v/>
      </c>
      <c r="L220" s="7">
        <f>Sintesi!$C$34</f>
        <v/>
      </c>
      <c r="M220" s="7">
        <f>Sintesi!$C$33</f>
        <v/>
      </c>
      <c r="N220" s="1">
        <f>'Paste cell here'!AA220</f>
        <v/>
      </c>
      <c r="O220" s="1">
        <f>'Paste cell here'!H220</f>
        <v/>
      </c>
      <c r="P220" s="1">
        <f>(M220-L220)*N220*1000</f>
        <v/>
      </c>
      <c r="Q220" s="1">
        <f>P220*O220</f>
        <v/>
      </c>
      <c r="R220" s="1">
        <f>M220*N220*1000-Q220</f>
        <v/>
      </c>
      <c r="S220" s="5">
        <f>H220/($N220*1000)</f>
        <v/>
      </c>
      <c r="T220" s="5">
        <f>R220/($N220*1000)</f>
        <v/>
      </c>
    </row>
    <row r="221">
      <c r="A221" s="1" t="n">
        <v>220</v>
      </c>
      <c r="B221" s="2">
        <f>DATE(Sintesi!$C$4-1,12,31)+A221</f>
        <v/>
      </c>
      <c r="C221" s="1">
        <f>'Paste cell here'!T221</f>
        <v/>
      </c>
      <c r="D221" s="1">
        <f>'Paste cell here'!AC221</f>
        <v/>
      </c>
      <c r="E221" s="1">
        <f>'Paste cell here'!Y221</f>
        <v/>
      </c>
      <c r="F221" s="1">
        <f>'Paste cell here'!AD221</f>
        <v/>
      </c>
      <c r="G221" s="1">
        <f>'Paste cell here'!W221</f>
        <v/>
      </c>
      <c r="H221" s="1">
        <f>'Paste cell here'!AE221</f>
        <v/>
      </c>
      <c r="I221" s="1">
        <f>'Paste cell here'!AF221</f>
        <v/>
      </c>
      <c r="J221" s="1">
        <f>ABS(I221+C221+D221-E221-F221-G221-H221)</f>
        <v/>
      </c>
      <c r="K221" s="1">
        <f>IF('Bilancio primo strato'!D221&gt;0,1,"")</f>
        <v/>
      </c>
      <c r="L221" s="7">
        <f>Sintesi!$C$34</f>
        <v/>
      </c>
      <c r="M221" s="7">
        <f>Sintesi!$C$33</f>
        <v/>
      </c>
      <c r="N221" s="1">
        <f>'Paste cell here'!AA221</f>
        <v/>
      </c>
      <c r="O221" s="1">
        <f>'Paste cell here'!H221</f>
        <v/>
      </c>
      <c r="P221" s="1">
        <f>(M221-L221)*N221*1000</f>
        <v/>
      </c>
      <c r="Q221" s="1">
        <f>P221*O221</f>
        <v/>
      </c>
      <c r="R221" s="1">
        <f>M221*N221*1000-Q221</f>
        <v/>
      </c>
      <c r="S221" s="5">
        <f>H221/($N221*1000)</f>
        <v/>
      </c>
      <c r="T221" s="5">
        <f>R221/($N221*1000)</f>
        <v/>
      </c>
    </row>
    <row r="222">
      <c r="A222" s="1" t="n">
        <v>221</v>
      </c>
      <c r="B222" s="2">
        <f>DATE(Sintesi!$C$4-1,12,31)+A222</f>
        <v/>
      </c>
      <c r="C222" s="1">
        <f>'Paste cell here'!T222</f>
        <v/>
      </c>
      <c r="D222" s="1">
        <f>'Paste cell here'!AC222</f>
        <v/>
      </c>
      <c r="E222" s="1">
        <f>'Paste cell here'!Y222</f>
        <v/>
      </c>
      <c r="F222" s="1">
        <f>'Paste cell here'!AD222</f>
        <v/>
      </c>
      <c r="G222" s="1">
        <f>'Paste cell here'!W222</f>
        <v/>
      </c>
      <c r="H222" s="1">
        <f>'Paste cell here'!AE222</f>
        <v/>
      </c>
      <c r="I222" s="1">
        <f>'Paste cell here'!AF222</f>
        <v/>
      </c>
      <c r="J222" s="1">
        <f>ABS(I222+C222+D222-E222-F222-G222-H222)</f>
        <v/>
      </c>
      <c r="K222" s="1">
        <f>IF('Bilancio primo strato'!D222&gt;0,1,"")</f>
        <v/>
      </c>
      <c r="L222" s="7">
        <f>Sintesi!$C$34</f>
        <v/>
      </c>
      <c r="M222" s="7">
        <f>Sintesi!$C$33</f>
        <v/>
      </c>
      <c r="N222" s="1">
        <f>'Paste cell here'!AA222</f>
        <v/>
      </c>
      <c r="O222" s="1">
        <f>'Paste cell here'!H222</f>
        <v/>
      </c>
      <c r="P222" s="1">
        <f>(M222-L222)*N222*1000</f>
        <v/>
      </c>
      <c r="Q222" s="1">
        <f>P222*O222</f>
        <v/>
      </c>
      <c r="R222" s="1">
        <f>M222*N222*1000-Q222</f>
        <v/>
      </c>
      <c r="S222" s="5">
        <f>H222/($N222*1000)</f>
        <v/>
      </c>
      <c r="T222" s="5">
        <f>R222/($N222*1000)</f>
        <v/>
      </c>
    </row>
    <row r="223">
      <c r="A223" s="1" t="n">
        <v>222</v>
      </c>
      <c r="B223" s="2">
        <f>DATE(Sintesi!$C$4-1,12,31)+A223</f>
        <v/>
      </c>
      <c r="C223" s="1">
        <f>'Paste cell here'!T223</f>
        <v/>
      </c>
      <c r="D223" s="1">
        <f>'Paste cell here'!AC223</f>
        <v/>
      </c>
      <c r="E223" s="1">
        <f>'Paste cell here'!Y223</f>
        <v/>
      </c>
      <c r="F223" s="1">
        <f>'Paste cell here'!AD223</f>
        <v/>
      </c>
      <c r="G223" s="1">
        <f>'Paste cell here'!W223</f>
        <v/>
      </c>
      <c r="H223" s="1">
        <f>'Paste cell here'!AE223</f>
        <v/>
      </c>
      <c r="I223" s="1">
        <f>'Paste cell here'!AF223</f>
        <v/>
      </c>
      <c r="J223" s="1">
        <f>ABS(I223+C223+D223-E223-F223-G223-H223)</f>
        <v/>
      </c>
      <c r="K223" s="1">
        <f>IF('Bilancio primo strato'!D223&gt;0,1,"")</f>
        <v/>
      </c>
      <c r="L223" s="7">
        <f>Sintesi!$C$34</f>
        <v/>
      </c>
      <c r="M223" s="7">
        <f>Sintesi!$C$33</f>
        <v/>
      </c>
      <c r="N223" s="1">
        <f>'Paste cell here'!AA223</f>
        <v/>
      </c>
      <c r="O223" s="1">
        <f>'Paste cell here'!H223</f>
        <v/>
      </c>
      <c r="P223" s="1">
        <f>(M223-L223)*N223*1000</f>
        <v/>
      </c>
      <c r="Q223" s="1">
        <f>P223*O223</f>
        <v/>
      </c>
      <c r="R223" s="1">
        <f>M223*N223*1000-Q223</f>
        <v/>
      </c>
      <c r="S223" s="5">
        <f>H223/($N223*1000)</f>
        <v/>
      </c>
      <c r="T223" s="5">
        <f>R223/($N223*1000)</f>
        <v/>
      </c>
    </row>
    <row r="224">
      <c r="A224" s="1" t="n">
        <v>223</v>
      </c>
      <c r="B224" s="2">
        <f>DATE(Sintesi!$C$4-1,12,31)+A224</f>
        <v/>
      </c>
      <c r="C224" s="1">
        <f>'Paste cell here'!T224</f>
        <v/>
      </c>
      <c r="D224" s="1">
        <f>'Paste cell here'!AC224</f>
        <v/>
      </c>
      <c r="E224" s="1">
        <f>'Paste cell here'!Y224</f>
        <v/>
      </c>
      <c r="F224" s="1">
        <f>'Paste cell here'!AD224</f>
        <v/>
      </c>
      <c r="G224" s="1">
        <f>'Paste cell here'!W224</f>
        <v/>
      </c>
      <c r="H224" s="1">
        <f>'Paste cell here'!AE224</f>
        <v/>
      </c>
      <c r="I224" s="1">
        <f>'Paste cell here'!AF224</f>
        <v/>
      </c>
      <c r="J224" s="1">
        <f>ABS(I224+C224+D224-E224-F224-G224-H224)</f>
        <v/>
      </c>
      <c r="K224" s="1">
        <f>IF('Bilancio primo strato'!D224&gt;0,1,"")</f>
        <v/>
      </c>
      <c r="L224" s="7">
        <f>Sintesi!$C$34</f>
        <v/>
      </c>
      <c r="M224" s="7">
        <f>Sintesi!$C$33</f>
        <v/>
      </c>
      <c r="N224" s="1">
        <f>'Paste cell here'!AA224</f>
        <v/>
      </c>
      <c r="O224" s="1">
        <f>'Paste cell here'!H224</f>
        <v/>
      </c>
      <c r="P224" s="1">
        <f>(M224-L224)*N224*1000</f>
        <v/>
      </c>
      <c r="Q224" s="1">
        <f>P224*O224</f>
        <v/>
      </c>
      <c r="R224" s="1">
        <f>M224*N224*1000-Q224</f>
        <v/>
      </c>
      <c r="S224" s="5">
        <f>H224/($N224*1000)</f>
        <v/>
      </c>
      <c r="T224" s="5">
        <f>R224/($N224*1000)</f>
        <v/>
      </c>
    </row>
    <row r="225">
      <c r="A225" s="1" t="n">
        <v>224</v>
      </c>
      <c r="B225" s="2">
        <f>DATE(Sintesi!$C$4-1,12,31)+A225</f>
        <v/>
      </c>
      <c r="C225" s="1">
        <f>'Paste cell here'!T225</f>
        <v/>
      </c>
      <c r="D225" s="1">
        <f>'Paste cell here'!AC225</f>
        <v/>
      </c>
      <c r="E225" s="1">
        <f>'Paste cell here'!Y225</f>
        <v/>
      </c>
      <c r="F225" s="1">
        <f>'Paste cell here'!AD225</f>
        <v/>
      </c>
      <c r="G225" s="1">
        <f>'Paste cell here'!W225</f>
        <v/>
      </c>
      <c r="H225" s="1">
        <f>'Paste cell here'!AE225</f>
        <v/>
      </c>
      <c r="I225" s="1">
        <f>'Paste cell here'!AF225</f>
        <v/>
      </c>
      <c r="J225" s="1">
        <f>ABS(I225+C225+D225-E225-F225-G225-H225)</f>
        <v/>
      </c>
      <c r="K225" s="1">
        <f>IF('Bilancio primo strato'!D225&gt;0,1,"")</f>
        <v/>
      </c>
      <c r="L225" s="7">
        <f>Sintesi!$C$34</f>
        <v/>
      </c>
      <c r="M225" s="7">
        <f>Sintesi!$C$33</f>
        <v/>
      </c>
      <c r="N225" s="1">
        <f>'Paste cell here'!AA225</f>
        <v/>
      </c>
      <c r="O225" s="1">
        <f>'Paste cell here'!H225</f>
        <v/>
      </c>
      <c r="P225" s="1">
        <f>(M225-L225)*N225*1000</f>
        <v/>
      </c>
      <c r="Q225" s="1">
        <f>P225*O225</f>
        <v/>
      </c>
      <c r="R225" s="1">
        <f>M225*N225*1000-Q225</f>
        <v/>
      </c>
      <c r="S225" s="5">
        <f>H225/($N225*1000)</f>
        <v/>
      </c>
      <c r="T225" s="5">
        <f>R225/($N225*1000)</f>
        <v/>
      </c>
    </row>
    <row r="226">
      <c r="A226" s="1" t="n">
        <v>225</v>
      </c>
      <c r="B226" s="2">
        <f>DATE(Sintesi!$C$4-1,12,31)+A226</f>
        <v/>
      </c>
      <c r="C226" s="1">
        <f>'Paste cell here'!T226</f>
        <v/>
      </c>
      <c r="D226" s="1">
        <f>'Paste cell here'!AC226</f>
        <v/>
      </c>
      <c r="E226" s="1">
        <f>'Paste cell here'!Y226</f>
        <v/>
      </c>
      <c r="F226" s="1">
        <f>'Paste cell here'!AD226</f>
        <v/>
      </c>
      <c r="G226" s="1">
        <f>'Paste cell here'!W226</f>
        <v/>
      </c>
      <c r="H226" s="1">
        <f>'Paste cell here'!AE226</f>
        <v/>
      </c>
      <c r="I226" s="1">
        <f>'Paste cell here'!AF226</f>
        <v/>
      </c>
      <c r="J226" s="1">
        <f>ABS(I226+C226+D226-E226-F226-G226-H226)</f>
        <v/>
      </c>
      <c r="K226" s="1">
        <f>IF('Bilancio primo strato'!D226&gt;0,1,"")</f>
        <v/>
      </c>
      <c r="L226" s="7">
        <f>Sintesi!$C$34</f>
        <v/>
      </c>
      <c r="M226" s="7">
        <f>Sintesi!$C$33</f>
        <v/>
      </c>
      <c r="N226" s="1">
        <f>'Paste cell here'!AA226</f>
        <v/>
      </c>
      <c r="O226" s="1">
        <f>'Paste cell here'!H226</f>
        <v/>
      </c>
      <c r="P226" s="1">
        <f>(M226-L226)*N226*1000</f>
        <v/>
      </c>
      <c r="Q226" s="1">
        <f>P226*O226</f>
        <v/>
      </c>
      <c r="R226" s="1">
        <f>M226*N226*1000-Q226</f>
        <v/>
      </c>
      <c r="S226" s="5">
        <f>H226/($N226*1000)</f>
        <v/>
      </c>
      <c r="T226" s="5">
        <f>R226/($N226*1000)</f>
        <v/>
      </c>
    </row>
    <row r="227">
      <c r="A227" s="1" t="n">
        <v>226</v>
      </c>
      <c r="B227" s="2">
        <f>DATE(Sintesi!$C$4-1,12,31)+A227</f>
        <v/>
      </c>
      <c r="C227" s="1">
        <f>'Paste cell here'!T227</f>
        <v/>
      </c>
      <c r="D227" s="1">
        <f>'Paste cell here'!AC227</f>
        <v/>
      </c>
      <c r="E227" s="1">
        <f>'Paste cell here'!Y227</f>
        <v/>
      </c>
      <c r="F227" s="1">
        <f>'Paste cell here'!AD227</f>
        <v/>
      </c>
      <c r="G227" s="1">
        <f>'Paste cell here'!W227</f>
        <v/>
      </c>
      <c r="H227" s="1">
        <f>'Paste cell here'!AE227</f>
        <v/>
      </c>
      <c r="I227" s="1">
        <f>'Paste cell here'!AF227</f>
        <v/>
      </c>
      <c r="J227" s="1">
        <f>ABS(I227+C227+D227-E227-F227-G227-H227)</f>
        <v/>
      </c>
      <c r="K227" s="1">
        <f>IF('Bilancio primo strato'!D227&gt;0,1,"")</f>
        <v/>
      </c>
      <c r="L227" s="7">
        <f>Sintesi!$C$34</f>
        <v/>
      </c>
      <c r="M227" s="7">
        <f>Sintesi!$C$33</f>
        <v/>
      </c>
      <c r="N227" s="1">
        <f>'Paste cell here'!AA227</f>
        <v/>
      </c>
      <c r="O227" s="1">
        <f>'Paste cell here'!H227</f>
        <v/>
      </c>
      <c r="P227" s="1">
        <f>(M227-L227)*N227*1000</f>
        <v/>
      </c>
      <c r="Q227" s="1">
        <f>P227*O227</f>
        <v/>
      </c>
      <c r="R227" s="1">
        <f>M227*N227*1000-Q227</f>
        <v/>
      </c>
      <c r="S227" s="5">
        <f>H227/($N227*1000)</f>
        <v/>
      </c>
      <c r="T227" s="5">
        <f>R227/($N227*1000)</f>
        <v/>
      </c>
    </row>
    <row r="228">
      <c r="A228" s="1" t="n">
        <v>227</v>
      </c>
      <c r="B228" s="2">
        <f>DATE(Sintesi!$C$4-1,12,31)+A228</f>
        <v/>
      </c>
      <c r="C228" s="1">
        <f>'Paste cell here'!T228</f>
        <v/>
      </c>
      <c r="D228" s="1">
        <f>'Paste cell here'!AC228</f>
        <v/>
      </c>
      <c r="E228" s="1">
        <f>'Paste cell here'!Y228</f>
        <v/>
      </c>
      <c r="F228" s="1">
        <f>'Paste cell here'!AD228</f>
        <v/>
      </c>
      <c r="G228" s="1">
        <f>'Paste cell here'!W228</f>
        <v/>
      </c>
      <c r="H228" s="1">
        <f>'Paste cell here'!AE228</f>
        <v/>
      </c>
      <c r="I228" s="1">
        <f>'Paste cell here'!AF228</f>
        <v/>
      </c>
      <c r="J228" s="1">
        <f>ABS(I228+C228+D228-E228-F228-G228-H228)</f>
        <v/>
      </c>
      <c r="K228" s="1">
        <f>IF('Bilancio primo strato'!D228&gt;0,1,"")</f>
        <v/>
      </c>
      <c r="L228" s="7">
        <f>Sintesi!$C$34</f>
        <v/>
      </c>
      <c r="M228" s="7">
        <f>Sintesi!$C$33</f>
        <v/>
      </c>
      <c r="N228" s="1">
        <f>'Paste cell here'!AA228</f>
        <v/>
      </c>
      <c r="O228" s="1">
        <f>'Paste cell here'!H228</f>
        <v/>
      </c>
      <c r="P228" s="1">
        <f>(M228-L228)*N228*1000</f>
        <v/>
      </c>
      <c r="Q228" s="1">
        <f>P228*O228</f>
        <v/>
      </c>
      <c r="R228" s="1">
        <f>M228*N228*1000-Q228</f>
        <v/>
      </c>
      <c r="S228" s="5">
        <f>H228/($N228*1000)</f>
        <v/>
      </c>
      <c r="T228" s="5">
        <f>R228/($N228*1000)</f>
        <v/>
      </c>
    </row>
    <row r="229">
      <c r="A229" s="1" t="n">
        <v>228</v>
      </c>
      <c r="B229" s="2">
        <f>DATE(Sintesi!$C$4-1,12,31)+A229</f>
        <v/>
      </c>
      <c r="C229" s="1">
        <f>'Paste cell here'!T229</f>
        <v/>
      </c>
      <c r="D229" s="1">
        <f>'Paste cell here'!AC229</f>
        <v/>
      </c>
      <c r="E229" s="1">
        <f>'Paste cell here'!Y229</f>
        <v/>
      </c>
      <c r="F229" s="1">
        <f>'Paste cell here'!AD229</f>
        <v/>
      </c>
      <c r="G229" s="1">
        <f>'Paste cell here'!W229</f>
        <v/>
      </c>
      <c r="H229" s="1">
        <f>'Paste cell here'!AE229</f>
        <v/>
      </c>
      <c r="I229" s="1">
        <f>'Paste cell here'!AF229</f>
        <v/>
      </c>
      <c r="J229" s="1">
        <f>ABS(I229+C229+D229-E229-F229-G229-H229)</f>
        <v/>
      </c>
      <c r="K229" s="1">
        <f>IF('Bilancio primo strato'!D229&gt;0,1,"")</f>
        <v/>
      </c>
      <c r="L229" s="7">
        <f>Sintesi!$C$34</f>
        <v/>
      </c>
      <c r="M229" s="7">
        <f>Sintesi!$C$33</f>
        <v/>
      </c>
      <c r="N229" s="1">
        <f>'Paste cell here'!AA229</f>
        <v/>
      </c>
      <c r="O229" s="1">
        <f>'Paste cell here'!H229</f>
        <v/>
      </c>
      <c r="P229" s="1">
        <f>(M229-L229)*N229*1000</f>
        <v/>
      </c>
      <c r="Q229" s="1">
        <f>P229*O229</f>
        <v/>
      </c>
      <c r="R229" s="1">
        <f>M229*N229*1000-Q229</f>
        <v/>
      </c>
      <c r="S229" s="5">
        <f>H229/($N229*1000)</f>
        <v/>
      </c>
      <c r="T229" s="5">
        <f>R229/($N229*1000)</f>
        <v/>
      </c>
    </row>
    <row r="230">
      <c r="A230" s="1" t="n">
        <v>229</v>
      </c>
      <c r="B230" s="2">
        <f>DATE(Sintesi!$C$4-1,12,31)+A230</f>
        <v/>
      </c>
      <c r="C230" s="1">
        <f>'Paste cell here'!T230</f>
        <v/>
      </c>
      <c r="D230" s="1">
        <f>'Paste cell here'!AC230</f>
        <v/>
      </c>
      <c r="E230" s="1">
        <f>'Paste cell here'!Y230</f>
        <v/>
      </c>
      <c r="F230" s="1">
        <f>'Paste cell here'!AD230</f>
        <v/>
      </c>
      <c r="G230" s="1">
        <f>'Paste cell here'!W230</f>
        <v/>
      </c>
      <c r="H230" s="1">
        <f>'Paste cell here'!AE230</f>
        <v/>
      </c>
      <c r="I230" s="1">
        <f>'Paste cell here'!AF230</f>
        <v/>
      </c>
      <c r="J230" s="1">
        <f>ABS(I230+C230+D230-E230-F230-G230-H230)</f>
        <v/>
      </c>
      <c r="K230" s="1">
        <f>IF('Bilancio primo strato'!D230&gt;0,1,"")</f>
        <v/>
      </c>
      <c r="L230" s="7">
        <f>Sintesi!$C$34</f>
        <v/>
      </c>
      <c r="M230" s="7">
        <f>Sintesi!$C$33</f>
        <v/>
      </c>
      <c r="N230" s="1">
        <f>'Paste cell here'!AA230</f>
        <v/>
      </c>
      <c r="O230" s="1">
        <f>'Paste cell here'!H230</f>
        <v/>
      </c>
      <c r="P230" s="1">
        <f>(M230-L230)*N230*1000</f>
        <v/>
      </c>
      <c r="Q230" s="1">
        <f>P230*O230</f>
        <v/>
      </c>
      <c r="R230" s="1">
        <f>M230*N230*1000-Q230</f>
        <v/>
      </c>
      <c r="S230" s="5">
        <f>H230/($N230*1000)</f>
        <v/>
      </c>
      <c r="T230" s="5">
        <f>R230/($N230*1000)</f>
        <v/>
      </c>
    </row>
    <row r="231">
      <c r="A231" s="1" t="n">
        <v>230</v>
      </c>
      <c r="B231" s="2">
        <f>DATE(Sintesi!$C$4-1,12,31)+A231</f>
        <v/>
      </c>
      <c r="C231" s="1">
        <f>'Paste cell here'!T231</f>
        <v/>
      </c>
      <c r="D231" s="1">
        <f>'Paste cell here'!AC231</f>
        <v/>
      </c>
      <c r="E231" s="1">
        <f>'Paste cell here'!Y231</f>
        <v/>
      </c>
      <c r="F231" s="1">
        <f>'Paste cell here'!AD231</f>
        <v/>
      </c>
      <c r="G231" s="1">
        <f>'Paste cell here'!W231</f>
        <v/>
      </c>
      <c r="H231" s="1">
        <f>'Paste cell here'!AE231</f>
        <v/>
      </c>
      <c r="I231" s="1">
        <f>'Paste cell here'!AF231</f>
        <v/>
      </c>
      <c r="J231" s="1">
        <f>ABS(I231+C231+D231-E231-F231-G231-H231)</f>
        <v/>
      </c>
      <c r="K231" s="1">
        <f>IF('Bilancio primo strato'!D231&gt;0,1,"")</f>
        <v/>
      </c>
      <c r="L231" s="7">
        <f>Sintesi!$C$34</f>
        <v/>
      </c>
      <c r="M231" s="7">
        <f>Sintesi!$C$33</f>
        <v/>
      </c>
      <c r="N231" s="1">
        <f>'Paste cell here'!AA231</f>
        <v/>
      </c>
      <c r="O231" s="1">
        <f>'Paste cell here'!H231</f>
        <v/>
      </c>
      <c r="P231" s="1">
        <f>(M231-L231)*N231*1000</f>
        <v/>
      </c>
      <c r="Q231" s="1">
        <f>P231*O231</f>
        <v/>
      </c>
      <c r="R231" s="1">
        <f>M231*N231*1000-Q231</f>
        <v/>
      </c>
      <c r="S231" s="5">
        <f>H231/($N231*1000)</f>
        <v/>
      </c>
      <c r="T231" s="5">
        <f>R231/($N231*1000)</f>
        <v/>
      </c>
    </row>
    <row r="232">
      <c r="A232" s="1" t="n">
        <v>231</v>
      </c>
      <c r="B232" s="2">
        <f>DATE(Sintesi!$C$4-1,12,31)+A232</f>
        <v/>
      </c>
      <c r="C232" s="1">
        <f>'Paste cell here'!T232</f>
        <v/>
      </c>
      <c r="D232" s="1">
        <f>'Paste cell here'!AC232</f>
        <v/>
      </c>
      <c r="E232" s="1">
        <f>'Paste cell here'!Y232</f>
        <v/>
      </c>
      <c r="F232" s="1">
        <f>'Paste cell here'!AD232</f>
        <v/>
      </c>
      <c r="G232" s="1">
        <f>'Paste cell here'!W232</f>
        <v/>
      </c>
      <c r="H232" s="1">
        <f>'Paste cell here'!AE232</f>
        <v/>
      </c>
      <c r="I232" s="1">
        <f>'Paste cell here'!AF232</f>
        <v/>
      </c>
      <c r="J232" s="1">
        <f>ABS(I232+C232+D232-E232-F232-G232-H232)</f>
        <v/>
      </c>
      <c r="K232" s="1">
        <f>IF('Bilancio primo strato'!D232&gt;0,1,"")</f>
        <v/>
      </c>
      <c r="L232" s="7">
        <f>Sintesi!$C$34</f>
        <v/>
      </c>
      <c r="M232" s="7">
        <f>Sintesi!$C$33</f>
        <v/>
      </c>
      <c r="N232" s="1">
        <f>'Paste cell here'!AA232</f>
        <v/>
      </c>
      <c r="O232" s="1">
        <f>'Paste cell here'!H232</f>
        <v/>
      </c>
      <c r="P232" s="1">
        <f>(M232-L232)*N232*1000</f>
        <v/>
      </c>
      <c r="Q232" s="1">
        <f>P232*O232</f>
        <v/>
      </c>
      <c r="R232" s="1">
        <f>M232*N232*1000-Q232</f>
        <v/>
      </c>
      <c r="S232" s="5">
        <f>H232/($N232*1000)</f>
        <v/>
      </c>
      <c r="T232" s="5">
        <f>R232/($N232*1000)</f>
        <v/>
      </c>
    </row>
    <row r="233">
      <c r="A233" s="1" t="n">
        <v>232</v>
      </c>
      <c r="B233" s="2">
        <f>DATE(Sintesi!$C$4-1,12,31)+A233</f>
        <v/>
      </c>
      <c r="C233" s="1">
        <f>'Paste cell here'!T233</f>
        <v/>
      </c>
      <c r="D233" s="1">
        <f>'Paste cell here'!AC233</f>
        <v/>
      </c>
      <c r="E233" s="1">
        <f>'Paste cell here'!Y233</f>
        <v/>
      </c>
      <c r="F233" s="1">
        <f>'Paste cell here'!AD233</f>
        <v/>
      </c>
      <c r="G233" s="1">
        <f>'Paste cell here'!W233</f>
        <v/>
      </c>
      <c r="H233" s="1">
        <f>'Paste cell here'!AE233</f>
        <v/>
      </c>
      <c r="I233" s="1">
        <f>'Paste cell here'!AF233</f>
        <v/>
      </c>
      <c r="J233" s="1">
        <f>ABS(I233+C233+D233-E233-F233-G233-H233)</f>
        <v/>
      </c>
      <c r="K233" s="1">
        <f>IF('Bilancio primo strato'!D233&gt;0,1,"")</f>
        <v/>
      </c>
      <c r="L233" s="7">
        <f>Sintesi!$C$34</f>
        <v/>
      </c>
      <c r="M233" s="7">
        <f>Sintesi!$C$33</f>
        <v/>
      </c>
      <c r="N233" s="1">
        <f>'Paste cell here'!AA233</f>
        <v/>
      </c>
      <c r="O233" s="1">
        <f>'Paste cell here'!H233</f>
        <v/>
      </c>
      <c r="P233" s="1">
        <f>(M233-L233)*N233*1000</f>
        <v/>
      </c>
      <c r="Q233" s="1">
        <f>P233*O233</f>
        <v/>
      </c>
      <c r="R233" s="1">
        <f>M233*N233*1000-Q233</f>
        <v/>
      </c>
      <c r="S233" s="5">
        <f>H233/($N233*1000)</f>
        <v/>
      </c>
      <c r="T233" s="5">
        <f>R233/($N233*1000)</f>
        <v/>
      </c>
    </row>
    <row r="234">
      <c r="A234" s="1" t="n">
        <v>233</v>
      </c>
      <c r="B234" s="2">
        <f>DATE(Sintesi!$C$4-1,12,31)+A234</f>
        <v/>
      </c>
      <c r="C234" s="1">
        <f>'Paste cell here'!T234</f>
        <v/>
      </c>
      <c r="D234" s="1">
        <f>'Paste cell here'!AC234</f>
        <v/>
      </c>
      <c r="E234" s="1">
        <f>'Paste cell here'!Y234</f>
        <v/>
      </c>
      <c r="F234" s="1">
        <f>'Paste cell here'!AD234</f>
        <v/>
      </c>
      <c r="G234" s="1">
        <f>'Paste cell here'!W234</f>
        <v/>
      </c>
      <c r="H234" s="1">
        <f>'Paste cell here'!AE234</f>
        <v/>
      </c>
      <c r="I234" s="1">
        <f>'Paste cell here'!AF234</f>
        <v/>
      </c>
      <c r="J234" s="1">
        <f>ABS(I234+C234+D234-E234-F234-G234-H234)</f>
        <v/>
      </c>
      <c r="K234" s="1">
        <f>IF('Bilancio primo strato'!D234&gt;0,1,"")</f>
        <v/>
      </c>
      <c r="L234" s="7">
        <f>Sintesi!$C$34</f>
        <v/>
      </c>
      <c r="M234" s="7">
        <f>Sintesi!$C$33</f>
        <v/>
      </c>
      <c r="N234" s="1">
        <f>'Paste cell here'!AA234</f>
        <v/>
      </c>
      <c r="O234" s="1">
        <f>'Paste cell here'!H234</f>
        <v/>
      </c>
      <c r="P234" s="1">
        <f>(M234-L234)*N234*1000</f>
        <v/>
      </c>
      <c r="Q234" s="1">
        <f>P234*O234</f>
        <v/>
      </c>
      <c r="R234" s="1">
        <f>M234*N234*1000-Q234</f>
        <v/>
      </c>
      <c r="S234" s="5">
        <f>H234/($N234*1000)</f>
        <v/>
      </c>
      <c r="T234" s="5">
        <f>R234/($N234*1000)</f>
        <v/>
      </c>
    </row>
    <row r="235">
      <c r="A235" s="1" t="n">
        <v>234</v>
      </c>
      <c r="B235" s="2">
        <f>DATE(Sintesi!$C$4-1,12,31)+A235</f>
        <v/>
      </c>
      <c r="C235" s="1">
        <f>'Paste cell here'!T235</f>
        <v/>
      </c>
      <c r="D235" s="1">
        <f>'Paste cell here'!AC235</f>
        <v/>
      </c>
      <c r="E235" s="1">
        <f>'Paste cell here'!Y235</f>
        <v/>
      </c>
      <c r="F235" s="1">
        <f>'Paste cell here'!AD235</f>
        <v/>
      </c>
      <c r="G235" s="1">
        <f>'Paste cell here'!W235</f>
        <v/>
      </c>
      <c r="H235" s="1">
        <f>'Paste cell here'!AE235</f>
        <v/>
      </c>
      <c r="I235" s="1">
        <f>'Paste cell here'!AF235</f>
        <v/>
      </c>
      <c r="J235" s="1">
        <f>ABS(I235+C235+D235-E235-F235-G235-H235)</f>
        <v/>
      </c>
      <c r="K235" s="1">
        <f>IF('Bilancio primo strato'!D235&gt;0,1,"")</f>
        <v/>
      </c>
      <c r="L235" s="7">
        <f>Sintesi!$C$34</f>
        <v/>
      </c>
      <c r="M235" s="7">
        <f>Sintesi!$C$33</f>
        <v/>
      </c>
      <c r="N235" s="1">
        <f>'Paste cell here'!AA235</f>
        <v/>
      </c>
      <c r="O235" s="1">
        <f>'Paste cell here'!H235</f>
        <v/>
      </c>
      <c r="P235" s="1">
        <f>(M235-L235)*N235*1000</f>
        <v/>
      </c>
      <c r="Q235" s="1">
        <f>P235*O235</f>
        <v/>
      </c>
      <c r="R235" s="1">
        <f>M235*N235*1000-Q235</f>
        <v/>
      </c>
      <c r="S235" s="5">
        <f>H235/($N235*1000)</f>
        <v/>
      </c>
      <c r="T235" s="5">
        <f>R235/($N235*1000)</f>
        <v/>
      </c>
    </row>
    <row r="236">
      <c r="A236" s="1" t="n">
        <v>235</v>
      </c>
      <c r="B236" s="2">
        <f>DATE(Sintesi!$C$4-1,12,31)+A236</f>
        <v/>
      </c>
      <c r="C236" s="1">
        <f>'Paste cell here'!T236</f>
        <v/>
      </c>
      <c r="D236" s="1">
        <f>'Paste cell here'!AC236</f>
        <v/>
      </c>
      <c r="E236" s="1">
        <f>'Paste cell here'!Y236</f>
        <v/>
      </c>
      <c r="F236" s="1">
        <f>'Paste cell here'!AD236</f>
        <v/>
      </c>
      <c r="G236" s="1">
        <f>'Paste cell here'!W236</f>
        <v/>
      </c>
      <c r="H236" s="1">
        <f>'Paste cell here'!AE236</f>
        <v/>
      </c>
      <c r="I236" s="1">
        <f>'Paste cell here'!AF236</f>
        <v/>
      </c>
      <c r="J236" s="1">
        <f>ABS(I236+C236+D236-E236-F236-G236-H236)</f>
        <v/>
      </c>
      <c r="K236" s="1">
        <f>IF('Bilancio primo strato'!D236&gt;0,1,"")</f>
        <v/>
      </c>
      <c r="L236" s="7">
        <f>Sintesi!$C$34</f>
        <v/>
      </c>
      <c r="M236" s="7">
        <f>Sintesi!$C$33</f>
        <v/>
      </c>
      <c r="N236" s="1">
        <f>'Paste cell here'!AA236</f>
        <v/>
      </c>
      <c r="O236" s="1">
        <f>'Paste cell here'!H236</f>
        <v/>
      </c>
      <c r="P236" s="1">
        <f>(M236-L236)*N236*1000</f>
        <v/>
      </c>
      <c r="Q236" s="1">
        <f>P236*O236</f>
        <v/>
      </c>
      <c r="R236" s="1">
        <f>M236*N236*1000-Q236</f>
        <v/>
      </c>
      <c r="S236" s="5">
        <f>H236/($N236*1000)</f>
        <v/>
      </c>
      <c r="T236" s="5">
        <f>R236/($N236*1000)</f>
        <v/>
      </c>
    </row>
    <row r="237">
      <c r="A237" s="1" t="n">
        <v>236</v>
      </c>
      <c r="B237" s="2">
        <f>DATE(Sintesi!$C$4-1,12,31)+A237</f>
        <v/>
      </c>
      <c r="C237" s="1">
        <f>'Paste cell here'!T237</f>
        <v/>
      </c>
      <c r="D237" s="1">
        <f>'Paste cell here'!AC237</f>
        <v/>
      </c>
      <c r="E237" s="1">
        <f>'Paste cell here'!Y237</f>
        <v/>
      </c>
      <c r="F237" s="1">
        <f>'Paste cell here'!AD237</f>
        <v/>
      </c>
      <c r="G237" s="1">
        <f>'Paste cell here'!W237</f>
        <v/>
      </c>
      <c r="H237" s="1">
        <f>'Paste cell here'!AE237</f>
        <v/>
      </c>
      <c r="I237" s="1">
        <f>'Paste cell here'!AF237</f>
        <v/>
      </c>
      <c r="J237" s="1">
        <f>ABS(I237+C237+D237-E237-F237-G237-H237)</f>
        <v/>
      </c>
      <c r="K237" s="1">
        <f>IF('Bilancio primo strato'!D237&gt;0,1,"")</f>
        <v/>
      </c>
      <c r="L237" s="7">
        <f>Sintesi!$C$34</f>
        <v/>
      </c>
      <c r="M237" s="7">
        <f>Sintesi!$C$33</f>
        <v/>
      </c>
      <c r="N237" s="1">
        <f>'Paste cell here'!AA237</f>
        <v/>
      </c>
      <c r="O237" s="1">
        <f>'Paste cell here'!H237</f>
        <v/>
      </c>
      <c r="P237" s="1">
        <f>(M237-L237)*N237*1000</f>
        <v/>
      </c>
      <c r="Q237" s="1">
        <f>P237*O237</f>
        <v/>
      </c>
      <c r="R237" s="1">
        <f>M237*N237*1000-Q237</f>
        <v/>
      </c>
      <c r="S237" s="5">
        <f>H237/($N237*1000)</f>
        <v/>
      </c>
      <c r="T237" s="5">
        <f>R237/($N237*1000)</f>
        <v/>
      </c>
    </row>
    <row r="238">
      <c r="A238" s="1" t="n">
        <v>237</v>
      </c>
      <c r="B238" s="2">
        <f>DATE(Sintesi!$C$4-1,12,31)+A238</f>
        <v/>
      </c>
      <c r="C238" s="1">
        <f>'Paste cell here'!T238</f>
        <v/>
      </c>
      <c r="D238" s="1">
        <f>'Paste cell here'!AC238</f>
        <v/>
      </c>
      <c r="E238" s="1">
        <f>'Paste cell here'!Y238</f>
        <v/>
      </c>
      <c r="F238" s="1">
        <f>'Paste cell here'!AD238</f>
        <v/>
      </c>
      <c r="G238" s="1">
        <f>'Paste cell here'!W238</f>
        <v/>
      </c>
      <c r="H238" s="1">
        <f>'Paste cell here'!AE238</f>
        <v/>
      </c>
      <c r="I238" s="1">
        <f>'Paste cell here'!AF238</f>
        <v/>
      </c>
      <c r="J238" s="1">
        <f>ABS(I238+C238+D238-E238-F238-G238-H238)</f>
        <v/>
      </c>
      <c r="K238" s="1">
        <f>IF('Bilancio primo strato'!D238&gt;0,1,"")</f>
        <v/>
      </c>
      <c r="L238" s="7">
        <f>Sintesi!$C$34</f>
        <v/>
      </c>
      <c r="M238" s="7">
        <f>Sintesi!$C$33</f>
        <v/>
      </c>
      <c r="N238" s="1">
        <f>'Paste cell here'!AA238</f>
        <v/>
      </c>
      <c r="O238" s="1">
        <f>'Paste cell here'!H238</f>
        <v/>
      </c>
      <c r="P238" s="1">
        <f>(M238-L238)*N238*1000</f>
        <v/>
      </c>
      <c r="Q238" s="1">
        <f>P238*O238</f>
        <v/>
      </c>
      <c r="R238" s="1">
        <f>M238*N238*1000-Q238</f>
        <v/>
      </c>
      <c r="S238" s="5">
        <f>H238/($N238*1000)</f>
        <v/>
      </c>
      <c r="T238" s="5">
        <f>R238/($N238*1000)</f>
        <v/>
      </c>
    </row>
    <row r="239">
      <c r="A239" s="1" t="n">
        <v>238</v>
      </c>
      <c r="B239" s="2">
        <f>DATE(Sintesi!$C$4-1,12,31)+A239</f>
        <v/>
      </c>
      <c r="C239" s="1">
        <f>'Paste cell here'!T239</f>
        <v/>
      </c>
      <c r="D239" s="1">
        <f>'Paste cell here'!AC239</f>
        <v/>
      </c>
      <c r="E239" s="1">
        <f>'Paste cell here'!Y239</f>
        <v/>
      </c>
      <c r="F239" s="1">
        <f>'Paste cell here'!AD239</f>
        <v/>
      </c>
      <c r="G239" s="1">
        <f>'Paste cell here'!W239</f>
        <v/>
      </c>
      <c r="H239" s="1">
        <f>'Paste cell here'!AE239</f>
        <v/>
      </c>
      <c r="I239" s="1">
        <f>'Paste cell here'!AF239</f>
        <v/>
      </c>
      <c r="J239" s="1">
        <f>ABS(I239+C239+D239-E239-F239-G239-H239)</f>
        <v/>
      </c>
      <c r="K239" s="1">
        <f>IF('Bilancio primo strato'!D239&gt;0,1,"")</f>
        <v/>
      </c>
      <c r="L239" s="7">
        <f>Sintesi!$C$34</f>
        <v/>
      </c>
      <c r="M239" s="7">
        <f>Sintesi!$C$33</f>
        <v/>
      </c>
      <c r="N239" s="1">
        <f>'Paste cell here'!AA239</f>
        <v/>
      </c>
      <c r="O239" s="1">
        <f>'Paste cell here'!H239</f>
        <v/>
      </c>
      <c r="P239" s="1">
        <f>(M239-L239)*N239*1000</f>
        <v/>
      </c>
      <c r="Q239" s="1">
        <f>P239*O239</f>
        <v/>
      </c>
      <c r="R239" s="1">
        <f>M239*N239*1000-Q239</f>
        <v/>
      </c>
      <c r="S239" s="5">
        <f>H239/($N239*1000)</f>
        <v/>
      </c>
      <c r="T239" s="5">
        <f>R239/($N239*1000)</f>
        <v/>
      </c>
    </row>
    <row r="240">
      <c r="A240" s="1" t="n">
        <v>239</v>
      </c>
      <c r="B240" s="2">
        <f>DATE(Sintesi!$C$4-1,12,31)+A240</f>
        <v/>
      </c>
      <c r="C240" s="1">
        <f>'Paste cell here'!T240</f>
        <v/>
      </c>
      <c r="D240" s="1">
        <f>'Paste cell here'!AC240</f>
        <v/>
      </c>
      <c r="E240" s="1">
        <f>'Paste cell here'!Y240</f>
        <v/>
      </c>
      <c r="F240" s="1">
        <f>'Paste cell here'!AD240</f>
        <v/>
      </c>
      <c r="G240" s="1">
        <f>'Paste cell here'!W240</f>
        <v/>
      </c>
      <c r="H240" s="1">
        <f>'Paste cell here'!AE240</f>
        <v/>
      </c>
      <c r="I240" s="1">
        <f>'Paste cell here'!AF240</f>
        <v/>
      </c>
      <c r="J240" s="1">
        <f>ABS(I240+C240+D240-E240-F240-G240-H240)</f>
        <v/>
      </c>
      <c r="K240" s="1">
        <f>IF('Bilancio primo strato'!D240&gt;0,1,"")</f>
        <v/>
      </c>
      <c r="L240" s="7">
        <f>Sintesi!$C$34</f>
        <v/>
      </c>
      <c r="M240" s="7">
        <f>Sintesi!$C$33</f>
        <v/>
      </c>
      <c r="N240" s="1">
        <f>'Paste cell here'!AA240</f>
        <v/>
      </c>
      <c r="O240" s="1">
        <f>'Paste cell here'!H240</f>
        <v/>
      </c>
      <c r="P240" s="1">
        <f>(M240-L240)*N240*1000</f>
        <v/>
      </c>
      <c r="Q240" s="1">
        <f>P240*O240</f>
        <v/>
      </c>
      <c r="R240" s="1">
        <f>M240*N240*1000-Q240</f>
        <v/>
      </c>
      <c r="S240" s="5">
        <f>H240/($N240*1000)</f>
        <v/>
      </c>
      <c r="T240" s="5">
        <f>R240/($N240*1000)</f>
        <v/>
      </c>
    </row>
    <row r="241">
      <c r="A241" s="1" t="n">
        <v>240</v>
      </c>
      <c r="B241" s="2">
        <f>DATE(Sintesi!$C$4-1,12,31)+A241</f>
        <v/>
      </c>
      <c r="C241" s="1">
        <f>'Paste cell here'!T241</f>
        <v/>
      </c>
      <c r="D241" s="1">
        <f>'Paste cell here'!AC241</f>
        <v/>
      </c>
      <c r="E241" s="1">
        <f>'Paste cell here'!Y241</f>
        <v/>
      </c>
      <c r="F241" s="1">
        <f>'Paste cell here'!AD241</f>
        <v/>
      </c>
      <c r="G241" s="1">
        <f>'Paste cell here'!W241</f>
        <v/>
      </c>
      <c r="H241" s="1">
        <f>'Paste cell here'!AE241</f>
        <v/>
      </c>
      <c r="I241" s="1">
        <f>'Paste cell here'!AF241</f>
        <v/>
      </c>
      <c r="J241" s="1">
        <f>ABS(I241+C241+D241-E241-F241-G241-H241)</f>
        <v/>
      </c>
      <c r="K241" s="1">
        <f>IF('Bilancio primo strato'!D241&gt;0,1,"")</f>
        <v/>
      </c>
      <c r="L241" s="7">
        <f>Sintesi!$C$34</f>
        <v/>
      </c>
      <c r="M241" s="7">
        <f>Sintesi!$C$33</f>
        <v/>
      </c>
      <c r="N241" s="1">
        <f>'Paste cell here'!AA241</f>
        <v/>
      </c>
      <c r="O241" s="1">
        <f>'Paste cell here'!H241</f>
        <v/>
      </c>
      <c r="P241" s="1">
        <f>(M241-L241)*N241*1000</f>
        <v/>
      </c>
      <c r="Q241" s="1">
        <f>P241*O241</f>
        <v/>
      </c>
      <c r="R241" s="1">
        <f>M241*N241*1000-Q241</f>
        <v/>
      </c>
      <c r="S241" s="5">
        <f>H241/($N241*1000)</f>
        <v/>
      </c>
      <c r="T241" s="5">
        <f>R241/($N241*1000)</f>
        <v/>
      </c>
    </row>
    <row r="242">
      <c r="A242" s="1" t="n">
        <v>241</v>
      </c>
      <c r="B242" s="2">
        <f>DATE(Sintesi!$C$4-1,12,31)+A242</f>
        <v/>
      </c>
      <c r="C242" s="1">
        <f>'Paste cell here'!T242</f>
        <v/>
      </c>
      <c r="D242" s="1">
        <f>'Paste cell here'!AC242</f>
        <v/>
      </c>
      <c r="E242" s="1">
        <f>'Paste cell here'!Y242</f>
        <v/>
      </c>
      <c r="F242" s="1">
        <f>'Paste cell here'!AD242</f>
        <v/>
      </c>
      <c r="G242" s="1">
        <f>'Paste cell here'!W242</f>
        <v/>
      </c>
      <c r="H242" s="1">
        <f>'Paste cell here'!AE242</f>
        <v/>
      </c>
      <c r="I242" s="1">
        <f>'Paste cell here'!AF242</f>
        <v/>
      </c>
      <c r="J242" s="1">
        <f>ABS(I242+C242+D242-E242-F242-G242-H242)</f>
        <v/>
      </c>
      <c r="K242" s="1">
        <f>IF('Bilancio primo strato'!D242&gt;0,1,"")</f>
        <v/>
      </c>
      <c r="L242" s="7">
        <f>Sintesi!$C$34</f>
        <v/>
      </c>
      <c r="M242" s="7">
        <f>Sintesi!$C$33</f>
        <v/>
      </c>
      <c r="N242" s="1">
        <f>'Paste cell here'!AA242</f>
        <v/>
      </c>
      <c r="O242" s="1">
        <f>'Paste cell here'!H242</f>
        <v/>
      </c>
      <c r="P242" s="1">
        <f>(M242-L242)*N242*1000</f>
        <v/>
      </c>
      <c r="Q242" s="1">
        <f>P242*O242</f>
        <v/>
      </c>
      <c r="R242" s="1">
        <f>M242*N242*1000-Q242</f>
        <v/>
      </c>
      <c r="S242" s="5">
        <f>H242/($N242*1000)</f>
        <v/>
      </c>
      <c r="T242" s="5">
        <f>R242/($N242*1000)</f>
        <v/>
      </c>
    </row>
    <row r="243">
      <c r="A243" s="1" t="n">
        <v>242</v>
      </c>
      <c r="B243" s="2">
        <f>DATE(Sintesi!$C$4-1,12,31)+A243</f>
        <v/>
      </c>
      <c r="C243" s="1">
        <f>'Paste cell here'!T243</f>
        <v/>
      </c>
      <c r="D243" s="1">
        <f>'Paste cell here'!AC243</f>
        <v/>
      </c>
      <c r="E243" s="1">
        <f>'Paste cell here'!Y243</f>
        <v/>
      </c>
      <c r="F243" s="1">
        <f>'Paste cell here'!AD243</f>
        <v/>
      </c>
      <c r="G243" s="1">
        <f>'Paste cell here'!W243</f>
        <v/>
      </c>
      <c r="H243" s="1">
        <f>'Paste cell here'!AE243</f>
        <v/>
      </c>
      <c r="I243" s="1">
        <f>'Paste cell here'!AF243</f>
        <v/>
      </c>
      <c r="J243" s="1">
        <f>ABS(I243+C243+D243-E243-F243-G243-H243)</f>
        <v/>
      </c>
      <c r="K243" s="1">
        <f>IF('Bilancio primo strato'!D243&gt;0,1,"")</f>
        <v/>
      </c>
      <c r="L243" s="7">
        <f>Sintesi!$C$34</f>
        <v/>
      </c>
      <c r="M243" s="7">
        <f>Sintesi!$C$33</f>
        <v/>
      </c>
      <c r="N243" s="1">
        <f>'Paste cell here'!AA243</f>
        <v/>
      </c>
      <c r="O243" s="1">
        <f>'Paste cell here'!H243</f>
        <v/>
      </c>
      <c r="P243" s="1">
        <f>(M243-L243)*N243*1000</f>
        <v/>
      </c>
      <c r="Q243" s="1">
        <f>P243*O243</f>
        <v/>
      </c>
      <c r="R243" s="1">
        <f>M243*N243*1000-Q243</f>
        <v/>
      </c>
      <c r="S243" s="5">
        <f>H243/($N243*1000)</f>
        <v/>
      </c>
      <c r="T243" s="5">
        <f>R243/($N243*1000)</f>
        <v/>
      </c>
    </row>
    <row r="244">
      <c r="A244" s="1" t="n">
        <v>243</v>
      </c>
      <c r="B244" s="2">
        <f>DATE(Sintesi!$C$4-1,12,31)+A244</f>
        <v/>
      </c>
      <c r="C244" s="1">
        <f>'Paste cell here'!T244</f>
        <v/>
      </c>
      <c r="D244" s="1">
        <f>'Paste cell here'!AC244</f>
        <v/>
      </c>
      <c r="E244" s="1">
        <f>'Paste cell here'!Y244</f>
        <v/>
      </c>
      <c r="F244" s="1">
        <f>'Paste cell here'!AD244</f>
        <v/>
      </c>
      <c r="G244" s="1">
        <f>'Paste cell here'!W244</f>
        <v/>
      </c>
      <c r="H244" s="1">
        <f>'Paste cell here'!AE244</f>
        <v/>
      </c>
      <c r="I244" s="1">
        <f>'Paste cell here'!AF244</f>
        <v/>
      </c>
      <c r="J244" s="1">
        <f>ABS(I244+C244+D244-E244-F244-G244-H244)</f>
        <v/>
      </c>
      <c r="K244" s="1">
        <f>IF('Bilancio primo strato'!D244&gt;0,1,"")</f>
        <v/>
      </c>
      <c r="L244" s="7">
        <f>Sintesi!$C$34</f>
        <v/>
      </c>
      <c r="M244" s="7">
        <f>Sintesi!$C$33</f>
        <v/>
      </c>
      <c r="N244" s="1">
        <f>'Paste cell here'!AA244</f>
        <v/>
      </c>
      <c r="O244" s="1">
        <f>'Paste cell here'!H244</f>
        <v/>
      </c>
      <c r="P244" s="1">
        <f>(M244-L244)*N244*1000</f>
        <v/>
      </c>
      <c r="Q244" s="1">
        <f>P244*O244</f>
        <v/>
      </c>
      <c r="R244" s="1">
        <f>M244*N244*1000-Q244</f>
        <v/>
      </c>
      <c r="S244" s="5">
        <f>H244/($N244*1000)</f>
        <v/>
      </c>
      <c r="T244" s="5">
        <f>R244/($N244*1000)</f>
        <v/>
      </c>
    </row>
    <row r="245">
      <c r="A245" s="1" t="n">
        <v>244</v>
      </c>
      <c r="B245" s="2">
        <f>DATE(Sintesi!$C$4-1,12,31)+A245</f>
        <v/>
      </c>
      <c r="C245" s="1">
        <f>'Paste cell here'!T245</f>
        <v/>
      </c>
      <c r="D245" s="1">
        <f>'Paste cell here'!AC245</f>
        <v/>
      </c>
      <c r="E245" s="1">
        <f>'Paste cell here'!Y245</f>
        <v/>
      </c>
      <c r="F245" s="1">
        <f>'Paste cell here'!AD245</f>
        <v/>
      </c>
      <c r="G245" s="1">
        <f>'Paste cell here'!W245</f>
        <v/>
      </c>
      <c r="H245" s="1">
        <f>'Paste cell here'!AE245</f>
        <v/>
      </c>
      <c r="I245" s="1">
        <f>'Paste cell here'!AF245</f>
        <v/>
      </c>
      <c r="J245" s="1">
        <f>ABS(I245+C245+D245-E245-F245-G245-H245)</f>
        <v/>
      </c>
      <c r="K245" s="1">
        <f>IF('Bilancio primo strato'!D245&gt;0,1,"")</f>
        <v/>
      </c>
      <c r="L245" s="7">
        <f>Sintesi!$C$34</f>
        <v/>
      </c>
      <c r="M245" s="7">
        <f>Sintesi!$C$33</f>
        <v/>
      </c>
      <c r="N245" s="1">
        <f>'Paste cell here'!AA245</f>
        <v/>
      </c>
      <c r="O245" s="1">
        <f>'Paste cell here'!H245</f>
        <v/>
      </c>
      <c r="P245" s="1">
        <f>(M245-L245)*N245*1000</f>
        <v/>
      </c>
      <c r="Q245" s="1">
        <f>P245*O245</f>
        <v/>
      </c>
      <c r="R245" s="1">
        <f>M245*N245*1000-Q245</f>
        <v/>
      </c>
      <c r="S245" s="5">
        <f>H245/($N245*1000)</f>
        <v/>
      </c>
      <c r="T245" s="5">
        <f>R245/($N245*1000)</f>
        <v/>
      </c>
    </row>
    <row r="246">
      <c r="A246" s="1" t="n">
        <v>245</v>
      </c>
      <c r="B246" s="2">
        <f>DATE(Sintesi!$C$4-1,12,31)+A246</f>
        <v/>
      </c>
      <c r="C246" s="1">
        <f>'Paste cell here'!T246</f>
        <v/>
      </c>
      <c r="D246" s="1">
        <f>'Paste cell here'!AC246</f>
        <v/>
      </c>
      <c r="E246" s="1">
        <f>'Paste cell here'!Y246</f>
        <v/>
      </c>
      <c r="F246" s="1">
        <f>'Paste cell here'!AD246</f>
        <v/>
      </c>
      <c r="G246" s="1">
        <f>'Paste cell here'!W246</f>
        <v/>
      </c>
      <c r="H246" s="1">
        <f>'Paste cell here'!AE246</f>
        <v/>
      </c>
      <c r="I246" s="1">
        <f>'Paste cell here'!AF246</f>
        <v/>
      </c>
      <c r="J246" s="1">
        <f>ABS(I246+C246+D246-E246-F246-G246-H246)</f>
        <v/>
      </c>
      <c r="K246" s="1">
        <f>IF('Bilancio primo strato'!D246&gt;0,1,"")</f>
        <v/>
      </c>
      <c r="L246" s="7">
        <f>Sintesi!$C$34</f>
        <v/>
      </c>
      <c r="M246" s="7">
        <f>Sintesi!$C$33</f>
        <v/>
      </c>
      <c r="N246" s="1">
        <f>'Paste cell here'!AA246</f>
        <v/>
      </c>
      <c r="O246" s="1">
        <f>'Paste cell here'!H246</f>
        <v/>
      </c>
      <c r="P246" s="1">
        <f>(M246-L246)*N246*1000</f>
        <v/>
      </c>
      <c r="Q246" s="1">
        <f>P246*O246</f>
        <v/>
      </c>
      <c r="R246" s="1">
        <f>M246*N246*1000-Q246</f>
        <v/>
      </c>
      <c r="S246" s="5">
        <f>H246/($N246*1000)</f>
        <v/>
      </c>
      <c r="T246" s="5">
        <f>R246/($N246*1000)</f>
        <v/>
      </c>
    </row>
    <row r="247">
      <c r="A247" s="1" t="n">
        <v>246</v>
      </c>
      <c r="B247" s="2">
        <f>DATE(Sintesi!$C$4-1,12,31)+A247</f>
        <v/>
      </c>
      <c r="C247" s="1">
        <f>'Paste cell here'!T247</f>
        <v/>
      </c>
      <c r="D247" s="1">
        <f>'Paste cell here'!AC247</f>
        <v/>
      </c>
      <c r="E247" s="1">
        <f>'Paste cell here'!Y247</f>
        <v/>
      </c>
      <c r="F247" s="1">
        <f>'Paste cell here'!AD247</f>
        <v/>
      </c>
      <c r="G247" s="1">
        <f>'Paste cell here'!W247</f>
        <v/>
      </c>
      <c r="H247" s="1">
        <f>'Paste cell here'!AE247</f>
        <v/>
      </c>
      <c r="I247" s="1">
        <f>'Paste cell here'!AF247</f>
        <v/>
      </c>
      <c r="J247" s="1">
        <f>ABS(I247+C247+D247-E247-F247-G247-H247)</f>
        <v/>
      </c>
      <c r="K247" s="1">
        <f>IF('Bilancio primo strato'!D247&gt;0,1,"")</f>
        <v/>
      </c>
      <c r="L247" s="7">
        <f>Sintesi!$C$34</f>
        <v/>
      </c>
      <c r="M247" s="7">
        <f>Sintesi!$C$33</f>
        <v/>
      </c>
      <c r="N247" s="1">
        <f>'Paste cell here'!AA247</f>
        <v/>
      </c>
      <c r="O247" s="1">
        <f>'Paste cell here'!H247</f>
        <v/>
      </c>
      <c r="P247" s="1">
        <f>(M247-L247)*N247*1000</f>
        <v/>
      </c>
      <c r="Q247" s="1">
        <f>P247*O247</f>
        <v/>
      </c>
      <c r="R247" s="1">
        <f>M247*N247*1000-Q247</f>
        <v/>
      </c>
      <c r="S247" s="5">
        <f>H247/($N247*1000)</f>
        <v/>
      </c>
      <c r="T247" s="5">
        <f>R247/($N247*1000)</f>
        <v/>
      </c>
    </row>
    <row r="248">
      <c r="A248" s="1" t="n">
        <v>247</v>
      </c>
      <c r="B248" s="2">
        <f>DATE(Sintesi!$C$4-1,12,31)+A248</f>
        <v/>
      </c>
      <c r="C248" s="1">
        <f>'Paste cell here'!T248</f>
        <v/>
      </c>
      <c r="D248" s="1">
        <f>'Paste cell here'!AC248</f>
        <v/>
      </c>
      <c r="E248" s="1">
        <f>'Paste cell here'!Y248</f>
        <v/>
      </c>
      <c r="F248" s="1">
        <f>'Paste cell here'!AD248</f>
        <v/>
      </c>
      <c r="G248" s="1">
        <f>'Paste cell here'!W248</f>
        <v/>
      </c>
      <c r="H248" s="1">
        <f>'Paste cell here'!AE248</f>
        <v/>
      </c>
      <c r="I248" s="1">
        <f>'Paste cell here'!AF248</f>
        <v/>
      </c>
      <c r="J248" s="1">
        <f>ABS(I248+C248+D248-E248-F248-G248-H248)</f>
        <v/>
      </c>
      <c r="K248" s="1">
        <f>IF('Bilancio primo strato'!D248&gt;0,1,"")</f>
        <v/>
      </c>
      <c r="L248" s="7">
        <f>Sintesi!$C$34</f>
        <v/>
      </c>
      <c r="M248" s="7">
        <f>Sintesi!$C$33</f>
        <v/>
      </c>
      <c r="N248" s="1">
        <f>'Paste cell here'!AA248</f>
        <v/>
      </c>
      <c r="O248" s="1">
        <f>'Paste cell here'!H248</f>
        <v/>
      </c>
      <c r="P248" s="1">
        <f>(M248-L248)*N248*1000</f>
        <v/>
      </c>
      <c r="Q248" s="1">
        <f>P248*O248</f>
        <v/>
      </c>
      <c r="R248" s="1">
        <f>M248*N248*1000-Q248</f>
        <v/>
      </c>
      <c r="S248" s="5">
        <f>H248/($N248*1000)</f>
        <v/>
      </c>
      <c r="T248" s="5">
        <f>R248/($N248*1000)</f>
        <v/>
      </c>
    </row>
    <row r="249">
      <c r="A249" s="1" t="n">
        <v>248</v>
      </c>
      <c r="B249" s="2">
        <f>DATE(Sintesi!$C$4-1,12,31)+A249</f>
        <v/>
      </c>
      <c r="C249" s="1">
        <f>'Paste cell here'!T249</f>
        <v/>
      </c>
      <c r="D249" s="1">
        <f>'Paste cell here'!AC249</f>
        <v/>
      </c>
      <c r="E249" s="1">
        <f>'Paste cell here'!Y249</f>
        <v/>
      </c>
      <c r="F249" s="1">
        <f>'Paste cell here'!AD249</f>
        <v/>
      </c>
      <c r="G249" s="1">
        <f>'Paste cell here'!W249</f>
        <v/>
      </c>
      <c r="H249" s="1">
        <f>'Paste cell here'!AE249</f>
        <v/>
      </c>
      <c r="I249" s="1">
        <f>'Paste cell here'!AF249</f>
        <v/>
      </c>
      <c r="J249" s="1">
        <f>ABS(I249+C249+D249-E249-F249-G249-H249)</f>
        <v/>
      </c>
      <c r="K249" s="1">
        <f>IF('Bilancio primo strato'!D249&gt;0,1,"")</f>
        <v/>
      </c>
      <c r="L249" s="7">
        <f>Sintesi!$C$34</f>
        <v/>
      </c>
      <c r="M249" s="7">
        <f>Sintesi!$C$33</f>
        <v/>
      </c>
      <c r="N249" s="1">
        <f>'Paste cell here'!AA249</f>
        <v/>
      </c>
      <c r="O249" s="1">
        <f>'Paste cell here'!H249</f>
        <v/>
      </c>
      <c r="P249" s="1">
        <f>(M249-L249)*N249*1000</f>
        <v/>
      </c>
      <c r="Q249" s="1">
        <f>P249*O249</f>
        <v/>
      </c>
      <c r="R249" s="1">
        <f>M249*N249*1000-Q249</f>
        <v/>
      </c>
      <c r="S249" s="5">
        <f>H249/($N249*1000)</f>
        <v/>
      </c>
      <c r="T249" s="5">
        <f>R249/($N249*1000)</f>
        <v/>
      </c>
    </row>
    <row r="250">
      <c r="A250" s="1" t="n">
        <v>249</v>
      </c>
      <c r="B250" s="2">
        <f>DATE(Sintesi!$C$4-1,12,31)+A250</f>
        <v/>
      </c>
      <c r="C250" s="1">
        <f>'Paste cell here'!T250</f>
        <v/>
      </c>
      <c r="D250" s="1">
        <f>'Paste cell here'!AC250</f>
        <v/>
      </c>
      <c r="E250" s="1">
        <f>'Paste cell here'!Y250</f>
        <v/>
      </c>
      <c r="F250" s="1">
        <f>'Paste cell here'!AD250</f>
        <v/>
      </c>
      <c r="G250" s="1">
        <f>'Paste cell here'!W250</f>
        <v/>
      </c>
      <c r="H250" s="1">
        <f>'Paste cell here'!AE250</f>
        <v/>
      </c>
      <c r="I250" s="1">
        <f>'Paste cell here'!AF250</f>
        <v/>
      </c>
      <c r="J250" s="1">
        <f>ABS(I250+C250+D250-E250-F250-G250-H250)</f>
        <v/>
      </c>
      <c r="K250" s="1">
        <f>IF('Bilancio primo strato'!D250&gt;0,1,"")</f>
        <v/>
      </c>
      <c r="L250" s="7">
        <f>Sintesi!$C$34</f>
        <v/>
      </c>
      <c r="M250" s="7">
        <f>Sintesi!$C$33</f>
        <v/>
      </c>
      <c r="N250" s="1">
        <f>'Paste cell here'!AA250</f>
        <v/>
      </c>
      <c r="O250" s="1">
        <f>'Paste cell here'!H250</f>
        <v/>
      </c>
      <c r="P250" s="1">
        <f>(M250-L250)*N250*1000</f>
        <v/>
      </c>
      <c r="Q250" s="1">
        <f>P250*O250</f>
        <v/>
      </c>
      <c r="R250" s="1">
        <f>M250*N250*1000-Q250</f>
        <v/>
      </c>
      <c r="S250" s="5">
        <f>H250/($N250*1000)</f>
        <v/>
      </c>
      <c r="T250" s="5">
        <f>R250/($N250*1000)</f>
        <v/>
      </c>
    </row>
    <row r="251">
      <c r="A251" s="1" t="n">
        <v>250</v>
      </c>
      <c r="B251" s="2">
        <f>DATE(Sintesi!$C$4-1,12,31)+A251</f>
        <v/>
      </c>
      <c r="C251" s="1">
        <f>'Paste cell here'!T251</f>
        <v/>
      </c>
      <c r="D251" s="1">
        <f>'Paste cell here'!AC251</f>
        <v/>
      </c>
      <c r="E251" s="1">
        <f>'Paste cell here'!Y251</f>
        <v/>
      </c>
      <c r="F251" s="1">
        <f>'Paste cell here'!AD251</f>
        <v/>
      </c>
      <c r="G251" s="1">
        <f>'Paste cell here'!W251</f>
        <v/>
      </c>
      <c r="H251" s="1">
        <f>'Paste cell here'!AE251</f>
        <v/>
      </c>
      <c r="I251" s="1">
        <f>'Paste cell here'!AF251</f>
        <v/>
      </c>
      <c r="J251" s="1">
        <f>ABS(I251+C251+D251-E251-F251-G251-H251)</f>
        <v/>
      </c>
      <c r="K251" s="1">
        <f>IF('Bilancio primo strato'!D251&gt;0,1,"")</f>
        <v/>
      </c>
      <c r="L251" s="7">
        <f>Sintesi!$C$34</f>
        <v/>
      </c>
      <c r="M251" s="7">
        <f>Sintesi!$C$33</f>
        <v/>
      </c>
      <c r="N251" s="1">
        <f>'Paste cell here'!AA251</f>
        <v/>
      </c>
      <c r="O251" s="1">
        <f>'Paste cell here'!H251</f>
        <v/>
      </c>
      <c r="P251" s="1">
        <f>(M251-L251)*N251*1000</f>
        <v/>
      </c>
      <c r="Q251" s="1">
        <f>P251*O251</f>
        <v/>
      </c>
      <c r="R251" s="1">
        <f>M251*N251*1000-Q251</f>
        <v/>
      </c>
      <c r="S251" s="5">
        <f>H251/($N251*1000)</f>
        <v/>
      </c>
      <c r="T251" s="5">
        <f>R251/($N251*1000)</f>
        <v/>
      </c>
    </row>
    <row r="252">
      <c r="A252" s="1" t="n">
        <v>251</v>
      </c>
      <c r="B252" s="2">
        <f>DATE(Sintesi!$C$4-1,12,31)+A252</f>
        <v/>
      </c>
      <c r="C252" s="1">
        <f>'Paste cell here'!T252</f>
        <v/>
      </c>
      <c r="D252" s="1">
        <f>'Paste cell here'!AC252</f>
        <v/>
      </c>
      <c r="E252" s="1">
        <f>'Paste cell here'!Y252</f>
        <v/>
      </c>
      <c r="F252" s="1">
        <f>'Paste cell here'!AD252</f>
        <v/>
      </c>
      <c r="G252" s="1">
        <f>'Paste cell here'!W252</f>
        <v/>
      </c>
      <c r="H252" s="1">
        <f>'Paste cell here'!AE252</f>
        <v/>
      </c>
      <c r="I252" s="1">
        <f>'Paste cell here'!AF252</f>
        <v/>
      </c>
      <c r="J252" s="1">
        <f>ABS(I252+C252+D252-E252-F252-G252-H252)</f>
        <v/>
      </c>
      <c r="K252" s="1">
        <f>IF('Bilancio primo strato'!D252&gt;0,1,"")</f>
        <v/>
      </c>
      <c r="L252" s="7">
        <f>Sintesi!$C$34</f>
        <v/>
      </c>
      <c r="M252" s="7">
        <f>Sintesi!$C$33</f>
        <v/>
      </c>
      <c r="N252" s="1">
        <f>'Paste cell here'!AA252</f>
        <v/>
      </c>
      <c r="O252" s="1">
        <f>'Paste cell here'!H252</f>
        <v/>
      </c>
      <c r="P252" s="1">
        <f>(M252-L252)*N252*1000</f>
        <v/>
      </c>
      <c r="Q252" s="1">
        <f>P252*O252</f>
        <v/>
      </c>
      <c r="R252" s="1">
        <f>M252*N252*1000-Q252</f>
        <v/>
      </c>
      <c r="S252" s="5">
        <f>H252/($N252*1000)</f>
        <v/>
      </c>
      <c r="T252" s="5">
        <f>R252/($N252*1000)</f>
        <v/>
      </c>
    </row>
    <row r="253">
      <c r="A253" s="1" t="n">
        <v>252</v>
      </c>
      <c r="B253" s="2">
        <f>DATE(Sintesi!$C$4-1,12,31)+A253</f>
        <v/>
      </c>
      <c r="C253" s="1">
        <f>'Paste cell here'!T253</f>
        <v/>
      </c>
      <c r="D253" s="1">
        <f>'Paste cell here'!AC253</f>
        <v/>
      </c>
      <c r="E253" s="1">
        <f>'Paste cell here'!Y253</f>
        <v/>
      </c>
      <c r="F253" s="1">
        <f>'Paste cell here'!AD253</f>
        <v/>
      </c>
      <c r="G253" s="1">
        <f>'Paste cell here'!W253</f>
        <v/>
      </c>
      <c r="H253" s="1">
        <f>'Paste cell here'!AE253</f>
        <v/>
      </c>
      <c r="I253" s="1">
        <f>'Paste cell here'!AF253</f>
        <v/>
      </c>
      <c r="J253" s="1">
        <f>ABS(I253+C253+D253-E253-F253-G253-H253)</f>
        <v/>
      </c>
      <c r="K253" s="1">
        <f>IF('Bilancio primo strato'!D253&gt;0,1,"")</f>
        <v/>
      </c>
      <c r="L253" s="7">
        <f>Sintesi!$C$34</f>
        <v/>
      </c>
      <c r="M253" s="7">
        <f>Sintesi!$C$33</f>
        <v/>
      </c>
      <c r="N253" s="1">
        <f>'Paste cell here'!AA253</f>
        <v/>
      </c>
      <c r="O253" s="1">
        <f>'Paste cell here'!H253</f>
        <v/>
      </c>
      <c r="P253" s="1">
        <f>(M253-L253)*N253*1000</f>
        <v/>
      </c>
      <c r="Q253" s="1">
        <f>P253*O253</f>
        <v/>
      </c>
      <c r="R253" s="1">
        <f>M253*N253*1000-Q253</f>
        <v/>
      </c>
      <c r="S253" s="5">
        <f>H253/($N253*1000)</f>
        <v/>
      </c>
      <c r="T253" s="5">
        <f>R253/($N253*1000)</f>
        <v/>
      </c>
    </row>
    <row r="254">
      <c r="A254" s="1" t="n">
        <v>253</v>
      </c>
      <c r="B254" s="2">
        <f>DATE(Sintesi!$C$4-1,12,31)+A254</f>
        <v/>
      </c>
      <c r="C254" s="1">
        <f>'Paste cell here'!T254</f>
        <v/>
      </c>
      <c r="D254" s="1">
        <f>'Paste cell here'!AC254</f>
        <v/>
      </c>
      <c r="E254" s="1">
        <f>'Paste cell here'!Y254</f>
        <v/>
      </c>
      <c r="F254" s="1">
        <f>'Paste cell here'!AD254</f>
        <v/>
      </c>
      <c r="G254" s="1">
        <f>'Paste cell here'!W254</f>
        <v/>
      </c>
      <c r="H254" s="1">
        <f>'Paste cell here'!AE254</f>
        <v/>
      </c>
      <c r="I254" s="1">
        <f>'Paste cell here'!AF254</f>
        <v/>
      </c>
      <c r="J254" s="1">
        <f>ABS(I254+C254+D254-E254-F254-G254-H254)</f>
        <v/>
      </c>
      <c r="K254" s="1">
        <f>IF('Bilancio primo strato'!D254&gt;0,1,"")</f>
        <v/>
      </c>
      <c r="L254" s="7">
        <f>Sintesi!$C$34</f>
        <v/>
      </c>
      <c r="M254" s="7">
        <f>Sintesi!$C$33</f>
        <v/>
      </c>
      <c r="N254" s="1">
        <f>'Paste cell here'!AA254</f>
        <v/>
      </c>
      <c r="O254" s="1">
        <f>'Paste cell here'!H254</f>
        <v/>
      </c>
      <c r="P254" s="1">
        <f>(M254-L254)*N254*1000</f>
        <v/>
      </c>
      <c r="Q254" s="1">
        <f>P254*O254</f>
        <v/>
      </c>
      <c r="R254" s="1">
        <f>M254*N254*1000-Q254</f>
        <v/>
      </c>
      <c r="S254" s="5">
        <f>H254/($N254*1000)</f>
        <v/>
      </c>
      <c r="T254" s="5">
        <f>R254/($N254*1000)</f>
        <v/>
      </c>
    </row>
    <row r="255">
      <c r="A255" s="1" t="n">
        <v>254</v>
      </c>
      <c r="B255" s="2">
        <f>DATE(Sintesi!$C$4-1,12,31)+A255</f>
        <v/>
      </c>
      <c r="C255" s="1">
        <f>'Paste cell here'!T255</f>
        <v/>
      </c>
      <c r="D255" s="1">
        <f>'Paste cell here'!AC255</f>
        <v/>
      </c>
      <c r="E255" s="1">
        <f>'Paste cell here'!Y255</f>
        <v/>
      </c>
      <c r="F255" s="1">
        <f>'Paste cell here'!AD255</f>
        <v/>
      </c>
      <c r="G255" s="1">
        <f>'Paste cell here'!W255</f>
        <v/>
      </c>
      <c r="H255" s="1">
        <f>'Paste cell here'!AE255</f>
        <v/>
      </c>
      <c r="I255" s="1">
        <f>'Paste cell here'!AF255</f>
        <v/>
      </c>
      <c r="J255" s="1">
        <f>ABS(I255+C255+D255-E255-F255-G255-H255)</f>
        <v/>
      </c>
      <c r="K255" s="1">
        <f>IF('Bilancio primo strato'!D255&gt;0,1,"")</f>
        <v/>
      </c>
      <c r="L255" s="7">
        <f>Sintesi!$C$34</f>
        <v/>
      </c>
      <c r="M255" s="7">
        <f>Sintesi!$C$33</f>
        <v/>
      </c>
      <c r="N255" s="1">
        <f>'Paste cell here'!AA255</f>
        <v/>
      </c>
      <c r="O255" s="1">
        <f>'Paste cell here'!H255</f>
        <v/>
      </c>
      <c r="P255" s="1">
        <f>(M255-L255)*N255*1000</f>
        <v/>
      </c>
      <c r="Q255" s="1">
        <f>P255*O255</f>
        <v/>
      </c>
      <c r="R255" s="1">
        <f>M255*N255*1000-Q255</f>
        <v/>
      </c>
      <c r="S255" s="5">
        <f>H255/($N255*1000)</f>
        <v/>
      </c>
      <c r="T255" s="5">
        <f>R255/($N255*1000)</f>
        <v/>
      </c>
    </row>
    <row r="256">
      <c r="A256" s="1" t="n">
        <v>255</v>
      </c>
      <c r="B256" s="2">
        <f>DATE(Sintesi!$C$4-1,12,31)+A256</f>
        <v/>
      </c>
      <c r="C256" s="1">
        <f>'Paste cell here'!T256</f>
        <v/>
      </c>
      <c r="D256" s="1">
        <f>'Paste cell here'!AC256</f>
        <v/>
      </c>
      <c r="E256" s="1">
        <f>'Paste cell here'!Y256</f>
        <v/>
      </c>
      <c r="F256" s="1">
        <f>'Paste cell here'!AD256</f>
        <v/>
      </c>
      <c r="G256" s="1">
        <f>'Paste cell here'!W256</f>
        <v/>
      </c>
      <c r="H256" s="1">
        <f>'Paste cell here'!AE256</f>
        <v/>
      </c>
      <c r="I256" s="1">
        <f>'Paste cell here'!AF256</f>
        <v/>
      </c>
      <c r="J256" s="1">
        <f>ABS(I256+C256+D256-E256-F256-G256-H256)</f>
        <v/>
      </c>
      <c r="K256" s="1">
        <f>IF('Bilancio primo strato'!D256&gt;0,1,"")</f>
        <v/>
      </c>
      <c r="L256" s="7">
        <f>Sintesi!$C$34</f>
        <v/>
      </c>
      <c r="M256" s="7">
        <f>Sintesi!$C$33</f>
        <v/>
      </c>
      <c r="N256" s="1">
        <f>'Paste cell here'!AA256</f>
        <v/>
      </c>
      <c r="O256" s="1">
        <f>'Paste cell here'!H256</f>
        <v/>
      </c>
      <c r="P256" s="1">
        <f>(M256-L256)*N256*1000</f>
        <v/>
      </c>
      <c r="Q256" s="1">
        <f>P256*O256</f>
        <v/>
      </c>
      <c r="R256" s="1">
        <f>M256*N256*1000-Q256</f>
        <v/>
      </c>
      <c r="S256" s="5">
        <f>H256/($N256*1000)</f>
        <v/>
      </c>
      <c r="T256" s="5">
        <f>R256/($N256*1000)</f>
        <v/>
      </c>
    </row>
    <row r="257">
      <c r="A257" s="1" t="n">
        <v>256</v>
      </c>
      <c r="B257" s="2">
        <f>DATE(Sintesi!$C$4-1,12,31)+A257</f>
        <v/>
      </c>
      <c r="C257" s="1">
        <f>'Paste cell here'!T257</f>
        <v/>
      </c>
      <c r="D257" s="1">
        <f>'Paste cell here'!AC257</f>
        <v/>
      </c>
      <c r="E257" s="1">
        <f>'Paste cell here'!Y257</f>
        <v/>
      </c>
      <c r="F257" s="1">
        <f>'Paste cell here'!AD257</f>
        <v/>
      </c>
      <c r="G257" s="1">
        <f>'Paste cell here'!W257</f>
        <v/>
      </c>
      <c r="H257" s="1">
        <f>'Paste cell here'!AE257</f>
        <v/>
      </c>
      <c r="I257" s="1">
        <f>'Paste cell here'!AF257</f>
        <v/>
      </c>
      <c r="J257" s="1">
        <f>ABS(I257+C257+D257-E257-F257-G257-H257)</f>
        <v/>
      </c>
      <c r="K257" s="1">
        <f>IF('Bilancio primo strato'!D257&gt;0,1,"")</f>
        <v/>
      </c>
      <c r="L257" s="7">
        <f>Sintesi!$C$34</f>
        <v/>
      </c>
      <c r="M257" s="7">
        <f>Sintesi!$C$33</f>
        <v/>
      </c>
      <c r="N257" s="1">
        <f>'Paste cell here'!AA257</f>
        <v/>
      </c>
      <c r="O257" s="1">
        <f>'Paste cell here'!H257</f>
        <v/>
      </c>
      <c r="P257" s="1">
        <f>(M257-L257)*N257*1000</f>
        <v/>
      </c>
      <c r="Q257" s="1">
        <f>P257*O257</f>
        <v/>
      </c>
      <c r="R257" s="1">
        <f>M257*N257*1000-Q257</f>
        <v/>
      </c>
      <c r="S257" s="5">
        <f>H257/($N257*1000)</f>
        <v/>
      </c>
      <c r="T257" s="5">
        <f>R257/($N257*1000)</f>
        <v/>
      </c>
    </row>
    <row r="258">
      <c r="A258" s="1" t="n">
        <v>257</v>
      </c>
      <c r="B258" s="2">
        <f>DATE(Sintesi!$C$4-1,12,31)+A258</f>
        <v/>
      </c>
      <c r="C258" s="1">
        <f>'Paste cell here'!T258</f>
        <v/>
      </c>
      <c r="D258" s="1">
        <f>'Paste cell here'!AC258</f>
        <v/>
      </c>
      <c r="E258" s="1">
        <f>'Paste cell here'!Y258</f>
        <v/>
      </c>
      <c r="F258" s="1">
        <f>'Paste cell here'!AD258</f>
        <v/>
      </c>
      <c r="G258" s="1">
        <f>'Paste cell here'!W258</f>
        <v/>
      </c>
      <c r="H258" s="1">
        <f>'Paste cell here'!AE258</f>
        <v/>
      </c>
      <c r="I258" s="1">
        <f>'Paste cell here'!AF258</f>
        <v/>
      </c>
      <c r="J258" s="1">
        <f>ABS(I258+C258+D258-E258-F258-G258-H258)</f>
        <v/>
      </c>
      <c r="K258" s="1">
        <f>IF('Bilancio primo strato'!D258&gt;0,1,"")</f>
        <v/>
      </c>
      <c r="L258" s="7">
        <f>Sintesi!$C$34</f>
        <v/>
      </c>
      <c r="M258" s="7">
        <f>Sintesi!$C$33</f>
        <v/>
      </c>
      <c r="N258" s="1">
        <f>'Paste cell here'!AA258</f>
        <v/>
      </c>
      <c r="O258" s="1">
        <f>'Paste cell here'!H258</f>
        <v/>
      </c>
      <c r="P258" s="1">
        <f>(M258-L258)*N258*1000</f>
        <v/>
      </c>
      <c r="Q258" s="1">
        <f>P258*O258</f>
        <v/>
      </c>
      <c r="R258" s="1">
        <f>M258*N258*1000-Q258</f>
        <v/>
      </c>
      <c r="S258" s="5">
        <f>H258/($N258*1000)</f>
        <v/>
      </c>
      <c r="T258" s="5">
        <f>R258/($N258*1000)</f>
        <v/>
      </c>
    </row>
    <row r="259">
      <c r="A259" s="1" t="n">
        <v>258</v>
      </c>
      <c r="B259" s="2">
        <f>DATE(Sintesi!$C$4-1,12,31)+A259</f>
        <v/>
      </c>
      <c r="C259" s="1">
        <f>'Paste cell here'!T259</f>
        <v/>
      </c>
      <c r="D259" s="1">
        <f>'Paste cell here'!AC259</f>
        <v/>
      </c>
      <c r="E259" s="1">
        <f>'Paste cell here'!Y259</f>
        <v/>
      </c>
      <c r="F259" s="1">
        <f>'Paste cell here'!AD259</f>
        <v/>
      </c>
      <c r="G259" s="1">
        <f>'Paste cell here'!W259</f>
        <v/>
      </c>
      <c r="H259" s="1">
        <f>'Paste cell here'!AE259</f>
        <v/>
      </c>
      <c r="I259" s="1">
        <f>'Paste cell here'!AF259</f>
        <v/>
      </c>
      <c r="J259" s="1">
        <f>ABS(I259+C259+D259-E259-F259-G259-H259)</f>
        <v/>
      </c>
      <c r="K259" s="1">
        <f>IF('Bilancio primo strato'!D259&gt;0,1,"")</f>
        <v/>
      </c>
      <c r="L259" s="7">
        <f>Sintesi!$C$34</f>
        <v/>
      </c>
      <c r="M259" s="7">
        <f>Sintesi!$C$33</f>
        <v/>
      </c>
      <c r="N259" s="1">
        <f>'Paste cell here'!AA259</f>
        <v/>
      </c>
      <c r="O259" s="1">
        <f>'Paste cell here'!H259</f>
        <v/>
      </c>
      <c r="P259" s="1">
        <f>(M259-L259)*N259*1000</f>
        <v/>
      </c>
      <c r="Q259" s="1">
        <f>P259*O259</f>
        <v/>
      </c>
      <c r="R259" s="1">
        <f>M259*N259*1000-Q259</f>
        <v/>
      </c>
      <c r="S259" s="5">
        <f>H259/($N259*1000)</f>
        <v/>
      </c>
      <c r="T259" s="5">
        <f>R259/($N259*1000)</f>
        <v/>
      </c>
    </row>
    <row r="260">
      <c r="A260" s="1" t="n">
        <v>259</v>
      </c>
      <c r="B260" s="2">
        <f>DATE(Sintesi!$C$4-1,12,31)+A260</f>
        <v/>
      </c>
      <c r="C260" s="1">
        <f>'Paste cell here'!T260</f>
        <v/>
      </c>
      <c r="D260" s="1">
        <f>'Paste cell here'!AC260</f>
        <v/>
      </c>
      <c r="E260" s="1">
        <f>'Paste cell here'!Y260</f>
        <v/>
      </c>
      <c r="F260" s="1">
        <f>'Paste cell here'!AD260</f>
        <v/>
      </c>
      <c r="G260" s="1">
        <f>'Paste cell here'!W260</f>
        <v/>
      </c>
      <c r="H260" s="1">
        <f>'Paste cell here'!AE260</f>
        <v/>
      </c>
      <c r="I260" s="1">
        <f>'Paste cell here'!AF260</f>
        <v/>
      </c>
      <c r="J260" s="1">
        <f>ABS(I260+C260+D260-E260-F260-G260-H260)</f>
        <v/>
      </c>
      <c r="K260" s="1">
        <f>IF('Bilancio primo strato'!D260&gt;0,1,"")</f>
        <v/>
      </c>
      <c r="L260" s="7">
        <f>Sintesi!$C$34</f>
        <v/>
      </c>
      <c r="M260" s="7">
        <f>Sintesi!$C$33</f>
        <v/>
      </c>
      <c r="N260" s="1">
        <f>'Paste cell here'!AA260</f>
        <v/>
      </c>
      <c r="O260" s="1">
        <f>'Paste cell here'!H260</f>
        <v/>
      </c>
      <c r="P260" s="1">
        <f>(M260-L260)*N260*1000</f>
        <v/>
      </c>
      <c r="Q260" s="1">
        <f>P260*O260</f>
        <v/>
      </c>
      <c r="R260" s="1">
        <f>M260*N260*1000-Q260</f>
        <v/>
      </c>
      <c r="S260" s="5">
        <f>H260/($N260*1000)</f>
        <v/>
      </c>
      <c r="T260" s="5">
        <f>R260/($N260*1000)</f>
        <v/>
      </c>
    </row>
    <row r="261">
      <c r="A261" s="1" t="n">
        <v>260</v>
      </c>
      <c r="B261" s="2">
        <f>DATE(Sintesi!$C$4-1,12,31)+A261</f>
        <v/>
      </c>
      <c r="C261" s="1">
        <f>'Paste cell here'!T261</f>
        <v/>
      </c>
      <c r="D261" s="1">
        <f>'Paste cell here'!AC261</f>
        <v/>
      </c>
      <c r="E261" s="1">
        <f>'Paste cell here'!Y261</f>
        <v/>
      </c>
      <c r="F261" s="1">
        <f>'Paste cell here'!AD261</f>
        <v/>
      </c>
      <c r="G261" s="1">
        <f>'Paste cell here'!W261</f>
        <v/>
      </c>
      <c r="H261" s="1">
        <f>'Paste cell here'!AE261</f>
        <v/>
      </c>
      <c r="I261" s="1">
        <f>'Paste cell here'!AF261</f>
        <v/>
      </c>
      <c r="J261" s="1">
        <f>ABS(I261+C261+D261-E261-F261-G261-H261)</f>
        <v/>
      </c>
      <c r="K261" s="1">
        <f>IF('Bilancio primo strato'!D261&gt;0,1,"")</f>
        <v/>
      </c>
      <c r="L261" s="7">
        <f>Sintesi!$C$34</f>
        <v/>
      </c>
      <c r="M261" s="7">
        <f>Sintesi!$C$33</f>
        <v/>
      </c>
      <c r="N261" s="1">
        <f>'Paste cell here'!AA261</f>
        <v/>
      </c>
      <c r="O261" s="1">
        <f>'Paste cell here'!H261</f>
        <v/>
      </c>
      <c r="P261" s="1">
        <f>(M261-L261)*N261*1000</f>
        <v/>
      </c>
      <c r="Q261" s="1">
        <f>P261*O261</f>
        <v/>
      </c>
      <c r="R261" s="1">
        <f>M261*N261*1000-Q261</f>
        <v/>
      </c>
      <c r="S261" s="5">
        <f>H261/($N261*1000)</f>
        <v/>
      </c>
      <c r="T261" s="5">
        <f>R261/($N261*1000)</f>
        <v/>
      </c>
    </row>
    <row r="262">
      <c r="A262" s="1" t="n">
        <v>261</v>
      </c>
      <c r="B262" s="2">
        <f>DATE(Sintesi!$C$4-1,12,31)+A262</f>
        <v/>
      </c>
      <c r="C262" s="1">
        <f>'Paste cell here'!T262</f>
        <v/>
      </c>
      <c r="D262" s="1">
        <f>'Paste cell here'!AC262</f>
        <v/>
      </c>
      <c r="E262" s="1">
        <f>'Paste cell here'!Y262</f>
        <v/>
      </c>
      <c r="F262" s="1">
        <f>'Paste cell here'!AD262</f>
        <v/>
      </c>
      <c r="G262" s="1">
        <f>'Paste cell here'!W262</f>
        <v/>
      </c>
      <c r="H262" s="1">
        <f>'Paste cell here'!AE262</f>
        <v/>
      </c>
      <c r="I262" s="1">
        <f>'Paste cell here'!AF262</f>
        <v/>
      </c>
      <c r="J262" s="1">
        <f>ABS(I262+C262+D262-E262-F262-G262-H262)</f>
        <v/>
      </c>
      <c r="K262" s="1">
        <f>IF('Bilancio primo strato'!D262&gt;0,1,"")</f>
        <v/>
      </c>
      <c r="L262" s="7">
        <f>Sintesi!$C$34</f>
        <v/>
      </c>
      <c r="M262" s="7">
        <f>Sintesi!$C$33</f>
        <v/>
      </c>
      <c r="N262" s="1">
        <f>'Paste cell here'!AA262</f>
        <v/>
      </c>
      <c r="O262" s="1">
        <f>'Paste cell here'!H262</f>
        <v/>
      </c>
      <c r="P262" s="1">
        <f>(M262-L262)*N262*1000</f>
        <v/>
      </c>
      <c r="Q262" s="1">
        <f>P262*O262</f>
        <v/>
      </c>
      <c r="R262" s="1">
        <f>M262*N262*1000-Q262</f>
        <v/>
      </c>
      <c r="S262" s="5">
        <f>H262/($N262*1000)</f>
        <v/>
      </c>
      <c r="T262" s="5">
        <f>R262/($N262*1000)</f>
        <v/>
      </c>
    </row>
    <row r="263">
      <c r="A263" s="1" t="n">
        <v>262</v>
      </c>
      <c r="B263" s="2">
        <f>DATE(Sintesi!$C$4-1,12,31)+A263</f>
        <v/>
      </c>
      <c r="C263" s="1">
        <f>'Paste cell here'!T263</f>
        <v/>
      </c>
      <c r="D263" s="1">
        <f>'Paste cell here'!AC263</f>
        <v/>
      </c>
      <c r="E263" s="1">
        <f>'Paste cell here'!Y263</f>
        <v/>
      </c>
      <c r="F263" s="1">
        <f>'Paste cell here'!AD263</f>
        <v/>
      </c>
      <c r="G263" s="1">
        <f>'Paste cell here'!W263</f>
        <v/>
      </c>
      <c r="H263" s="1">
        <f>'Paste cell here'!AE263</f>
        <v/>
      </c>
      <c r="I263" s="1">
        <f>'Paste cell here'!AF263</f>
        <v/>
      </c>
      <c r="J263" s="1">
        <f>ABS(I263+C263+D263-E263-F263-G263-H263)</f>
        <v/>
      </c>
      <c r="K263" s="1">
        <f>IF('Bilancio primo strato'!D263&gt;0,1,"")</f>
        <v/>
      </c>
      <c r="L263" s="7">
        <f>Sintesi!$C$34</f>
        <v/>
      </c>
      <c r="M263" s="7">
        <f>Sintesi!$C$33</f>
        <v/>
      </c>
      <c r="N263" s="1">
        <f>'Paste cell here'!AA263</f>
        <v/>
      </c>
      <c r="O263" s="1">
        <f>'Paste cell here'!H263</f>
        <v/>
      </c>
      <c r="P263" s="1">
        <f>(M263-L263)*N263*1000</f>
        <v/>
      </c>
      <c r="Q263" s="1">
        <f>P263*O263</f>
        <v/>
      </c>
      <c r="R263" s="1">
        <f>M263*N263*1000-Q263</f>
        <v/>
      </c>
      <c r="S263" s="5">
        <f>H263/($N263*1000)</f>
        <v/>
      </c>
      <c r="T263" s="5">
        <f>R263/($N263*1000)</f>
        <v/>
      </c>
    </row>
    <row r="264">
      <c r="A264" s="1" t="n">
        <v>263</v>
      </c>
      <c r="B264" s="2">
        <f>DATE(Sintesi!$C$4-1,12,31)+A264</f>
        <v/>
      </c>
      <c r="C264" s="1">
        <f>'Paste cell here'!T264</f>
        <v/>
      </c>
      <c r="D264" s="1">
        <f>'Paste cell here'!AC264</f>
        <v/>
      </c>
      <c r="E264" s="1">
        <f>'Paste cell here'!Y264</f>
        <v/>
      </c>
      <c r="F264" s="1">
        <f>'Paste cell here'!AD264</f>
        <v/>
      </c>
      <c r="G264" s="1">
        <f>'Paste cell here'!W264</f>
        <v/>
      </c>
      <c r="H264" s="1">
        <f>'Paste cell here'!AE264</f>
        <v/>
      </c>
      <c r="I264" s="1">
        <f>'Paste cell here'!AF264</f>
        <v/>
      </c>
      <c r="J264" s="1">
        <f>ABS(I264+C264+D264-E264-F264-G264-H264)</f>
        <v/>
      </c>
      <c r="K264" s="1">
        <f>IF('Bilancio primo strato'!D264&gt;0,1,"")</f>
        <v/>
      </c>
      <c r="L264" s="7">
        <f>Sintesi!$C$34</f>
        <v/>
      </c>
      <c r="M264" s="7">
        <f>Sintesi!$C$33</f>
        <v/>
      </c>
      <c r="N264" s="1">
        <f>'Paste cell here'!AA264</f>
        <v/>
      </c>
      <c r="O264" s="1">
        <f>'Paste cell here'!H264</f>
        <v/>
      </c>
      <c r="P264" s="1">
        <f>(M264-L264)*N264*1000</f>
        <v/>
      </c>
      <c r="Q264" s="1">
        <f>P264*O264</f>
        <v/>
      </c>
      <c r="R264" s="1">
        <f>M264*N264*1000-Q264</f>
        <v/>
      </c>
      <c r="S264" s="5">
        <f>H264/($N264*1000)</f>
        <v/>
      </c>
      <c r="T264" s="5">
        <f>R264/($N264*1000)</f>
        <v/>
      </c>
    </row>
    <row r="265">
      <c r="A265" s="1" t="n">
        <v>264</v>
      </c>
      <c r="B265" s="2">
        <f>DATE(Sintesi!$C$4-1,12,31)+A265</f>
        <v/>
      </c>
      <c r="C265" s="1">
        <f>'Paste cell here'!T265</f>
        <v/>
      </c>
      <c r="D265" s="1">
        <f>'Paste cell here'!AC265</f>
        <v/>
      </c>
      <c r="E265" s="1">
        <f>'Paste cell here'!Y265</f>
        <v/>
      </c>
      <c r="F265" s="1">
        <f>'Paste cell here'!AD265</f>
        <v/>
      </c>
      <c r="G265" s="1">
        <f>'Paste cell here'!W265</f>
        <v/>
      </c>
      <c r="H265" s="1">
        <f>'Paste cell here'!AE265</f>
        <v/>
      </c>
      <c r="I265" s="1">
        <f>'Paste cell here'!AF265</f>
        <v/>
      </c>
      <c r="J265" s="1">
        <f>ABS(I265+C265+D265-E265-F265-G265-H265)</f>
        <v/>
      </c>
      <c r="K265" s="1">
        <f>IF('Bilancio primo strato'!D265&gt;0,1,"")</f>
        <v/>
      </c>
      <c r="L265" s="7">
        <f>Sintesi!$C$34</f>
        <v/>
      </c>
      <c r="M265" s="7">
        <f>Sintesi!$C$33</f>
        <v/>
      </c>
      <c r="N265" s="1">
        <f>'Paste cell here'!AA265</f>
        <v/>
      </c>
      <c r="O265" s="1">
        <f>'Paste cell here'!H265</f>
        <v/>
      </c>
      <c r="P265" s="1">
        <f>(M265-L265)*N265*1000</f>
        <v/>
      </c>
      <c r="Q265" s="1">
        <f>P265*O265</f>
        <v/>
      </c>
      <c r="R265" s="1">
        <f>M265*N265*1000-Q265</f>
        <v/>
      </c>
      <c r="S265" s="5">
        <f>H265/($N265*1000)</f>
        <v/>
      </c>
      <c r="T265" s="5">
        <f>R265/($N265*1000)</f>
        <v/>
      </c>
    </row>
    <row r="266">
      <c r="A266" s="1" t="n">
        <v>265</v>
      </c>
      <c r="B266" s="2">
        <f>DATE(Sintesi!$C$4-1,12,31)+A266</f>
        <v/>
      </c>
      <c r="C266" s="1">
        <f>'Paste cell here'!T266</f>
        <v/>
      </c>
      <c r="D266" s="1">
        <f>'Paste cell here'!AC266</f>
        <v/>
      </c>
      <c r="E266" s="1">
        <f>'Paste cell here'!Y266</f>
        <v/>
      </c>
      <c r="F266" s="1">
        <f>'Paste cell here'!AD266</f>
        <v/>
      </c>
      <c r="G266" s="1">
        <f>'Paste cell here'!W266</f>
        <v/>
      </c>
      <c r="H266" s="1">
        <f>'Paste cell here'!AE266</f>
        <v/>
      </c>
      <c r="I266" s="1">
        <f>'Paste cell here'!AF266</f>
        <v/>
      </c>
      <c r="J266" s="1">
        <f>ABS(I266+C266+D266-E266-F266-G266-H266)</f>
        <v/>
      </c>
      <c r="K266" s="1">
        <f>IF('Bilancio primo strato'!D266&gt;0,1,"")</f>
        <v/>
      </c>
      <c r="L266" s="7">
        <f>Sintesi!$C$34</f>
        <v/>
      </c>
      <c r="M266" s="7">
        <f>Sintesi!$C$33</f>
        <v/>
      </c>
      <c r="N266" s="1">
        <f>'Paste cell here'!AA266</f>
        <v/>
      </c>
      <c r="O266" s="1">
        <f>'Paste cell here'!H266</f>
        <v/>
      </c>
      <c r="P266" s="1">
        <f>(M266-L266)*N266*1000</f>
        <v/>
      </c>
      <c r="Q266" s="1">
        <f>P266*O266</f>
        <v/>
      </c>
      <c r="R266" s="1">
        <f>M266*N266*1000-Q266</f>
        <v/>
      </c>
      <c r="S266" s="5">
        <f>H266/($N266*1000)</f>
        <v/>
      </c>
      <c r="T266" s="5">
        <f>R266/($N266*1000)</f>
        <v/>
      </c>
    </row>
    <row r="267">
      <c r="A267" s="1" t="n">
        <v>266</v>
      </c>
      <c r="B267" s="2">
        <f>DATE(Sintesi!$C$4-1,12,31)+A267</f>
        <v/>
      </c>
      <c r="C267" s="1">
        <f>'Paste cell here'!T267</f>
        <v/>
      </c>
      <c r="D267" s="1">
        <f>'Paste cell here'!AC267</f>
        <v/>
      </c>
      <c r="E267" s="1">
        <f>'Paste cell here'!Y267</f>
        <v/>
      </c>
      <c r="F267" s="1">
        <f>'Paste cell here'!AD267</f>
        <v/>
      </c>
      <c r="G267" s="1">
        <f>'Paste cell here'!W267</f>
        <v/>
      </c>
      <c r="H267" s="1">
        <f>'Paste cell here'!AE267</f>
        <v/>
      </c>
      <c r="I267" s="1">
        <f>'Paste cell here'!AF267</f>
        <v/>
      </c>
      <c r="J267" s="1">
        <f>ABS(I267+C267+D267-E267-F267-G267-H267)</f>
        <v/>
      </c>
      <c r="K267" s="1">
        <f>IF('Bilancio primo strato'!D267&gt;0,1,"")</f>
        <v/>
      </c>
      <c r="L267" s="7">
        <f>Sintesi!$C$34</f>
        <v/>
      </c>
      <c r="M267" s="7">
        <f>Sintesi!$C$33</f>
        <v/>
      </c>
      <c r="N267" s="1">
        <f>'Paste cell here'!AA267</f>
        <v/>
      </c>
      <c r="O267" s="1">
        <f>'Paste cell here'!H267</f>
        <v/>
      </c>
      <c r="P267" s="1">
        <f>(M267-L267)*N267*1000</f>
        <v/>
      </c>
      <c r="Q267" s="1">
        <f>P267*O267</f>
        <v/>
      </c>
      <c r="R267" s="1">
        <f>M267*N267*1000-Q267</f>
        <v/>
      </c>
      <c r="S267" s="5">
        <f>H267/($N267*1000)</f>
        <v/>
      </c>
      <c r="T267" s="5">
        <f>R267/($N267*1000)</f>
        <v/>
      </c>
    </row>
    <row r="268">
      <c r="A268" s="1" t="n">
        <v>267</v>
      </c>
      <c r="B268" s="2">
        <f>DATE(Sintesi!$C$4-1,12,31)+A268</f>
        <v/>
      </c>
      <c r="C268" s="1">
        <f>'Paste cell here'!T268</f>
        <v/>
      </c>
      <c r="D268" s="1">
        <f>'Paste cell here'!AC268</f>
        <v/>
      </c>
      <c r="E268" s="1">
        <f>'Paste cell here'!Y268</f>
        <v/>
      </c>
      <c r="F268" s="1">
        <f>'Paste cell here'!AD268</f>
        <v/>
      </c>
      <c r="G268" s="1">
        <f>'Paste cell here'!W268</f>
        <v/>
      </c>
      <c r="H268" s="1">
        <f>'Paste cell here'!AE268</f>
        <v/>
      </c>
      <c r="I268" s="1">
        <f>'Paste cell here'!AF268</f>
        <v/>
      </c>
      <c r="J268" s="1">
        <f>ABS(I268+C268+D268-E268-F268-G268-H268)</f>
        <v/>
      </c>
      <c r="K268" s="1">
        <f>IF('Bilancio primo strato'!D268&gt;0,1,"")</f>
        <v/>
      </c>
      <c r="L268" s="7">
        <f>Sintesi!$C$34</f>
        <v/>
      </c>
      <c r="M268" s="7">
        <f>Sintesi!$C$33</f>
        <v/>
      </c>
      <c r="N268" s="1">
        <f>'Paste cell here'!AA268</f>
        <v/>
      </c>
      <c r="O268" s="1">
        <f>'Paste cell here'!H268</f>
        <v/>
      </c>
      <c r="P268" s="1">
        <f>(M268-L268)*N268*1000</f>
        <v/>
      </c>
      <c r="Q268" s="1">
        <f>P268*O268</f>
        <v/>
      </c>
      <c r="R268" s="1">
        <f>M268*N268*1000-Q268</f>
        <v/>
      </c>
      <c r="S268" s="5">
        <f>H268/($N268*1000)</f>
        <v/>
      </c>
      <c r="T268" s="5">
        <f>R268/($N268*1000)</f>
        <v/>
      </c>
    </row>
    <row r="269">
      <c r="A269" s="1" t="n">
        <v>268</v>
      </c>
      <c r="B269" s="2">
        <f>DATE(Sintesi!$C$4-1,12,31)+A269</f>
        <v/>
      </c>
      <c r="C269" s="1">
        <f>'Paste cell here'!T269</f>
        <v/>
      </c>
      <c r="D269" s="1">
        <f>'Paste cell here'!AC269</f>
        <v/>
      </c>
      <c r="E269" s="1">
        <f>'Paste cell here'!Y269</f>
        <v/>
      </c>
      <c r="F269" s="1">
        <f>'Paste cell here'!AD269</f>
        <v/>
      </c>
      <c r="G269" s="1">
        <f>'Paste cell here'!W269</f>
        <v/>
      </c>
      <c r="H269" s="1">
        <f>'Paste cell here'!AE269</f>
        <v/>
      </c>
      <c r="I269" s="1">
        <f>'Paste cell here'!AF269</f>
        <v/>
      </c>
      <c r="J269" s="1">
        <f>ABS(I269+C269+D269-E269-F269-G269-H269)</f>
        <v/>
      </c>
      <c r="K269" s="1">
        <f>IF('Bilancio primo strato'!D269&gt;0,1,"")</f>
        <v/>
      </c>
      <c r="L269" s="7">
        <f>Sintesi!$C$34</f>
        <v/>
      </c>
      <c r="M269" s="7">
        <f>Sintesi!$C$33</f>
        <v/>
      </c>
      <c r="N269" s="1">
        <f>'Paste cell here'!AA269</f>
        <v/>
      </c>
      <c r="O269" s="1">
        <f>'Paste cell here'!H269</f>
        <v/>
      </c>
      <c r="P269" s="1">
        <f>(M269-L269)*N269*1000</f>
        <v/>
      </c>
      <c r="Q269" s="1">
        <f>P269*O269</f>
        <v/>
      </c>
      <c r="R269" s="1">
        <f>M269*N269*1000-Q269</f>
        <v/>
      </c>
      <c r="S269" s="5">
        <f>H269/($N269*1000)</f>
        <v/>
      </c>
      <c r="T269" s="5">
        <f>R269/($N269*1000)</f>
        <v/>
      </c>
    </row>
    <row r="270">
      <c r="A270" s="1" t="n">
        <v>269</v>
      </c>
      <c r="B270" s="2">
        <f>DATE(Sintesi!$C$4-1,12,31)+A270</f>
        <v/>
      </c>
      <c r="C270" s="1">
        <f>'Paste cell here'!T270</f>
        <v/>
      </c>
      <c r="D270" s="1">
        <f>'Paste cell here'!AC270</f>
        <v/>
      </c>
      <c r="E270" s="1">
        <f>'Paste cell here'!Y270</f>
        <v/>
      </c>
      <c r="F270" s="1">
        <f>'Paste cell here'!AD270</f>
        <v/>
      </c>
      <c r="G270" s="1">
        <f>'Paste cell here'!W270</f>
        <v/>
      </c>
      <c r="H270" s="1">
        <f>'Paste cell here'!AE270</f>
        <v/>
      </c>
      <c r="I270" s="1">
        <f>'Paste cell here'!AF270</f>
        <v/>
      </c>
      <c r="J270" s="1">
        <f>ABS(I270+C270+D270-E270-F270-G270-H270)</f>
        <v/>
      </c>
      <c r="K270" s="1">
        <f>IF('Bilancio primo strato'!D270&gt;0,1,"")</f>
        <v/>
      </c>
      <c r="L270" s="7">
        <f>Sintesi!$C$34</f>
        <v/>
      </c>
      <c r="M270" s="7">
        <f>Sintesi!$C$33</f>
        <v/>
      </c>
      <c r="N270" s="1">
        <f>'Paste cell here'!AA270</f>
        <v/>
      </c>
      <c r="O270" s="1">
        <f>'Paste cell here'!H270</f>
        <v/>
      </c>
      <c r="P270" s="1">
        <f>(M270-L270)*N270*1000</f>
        <v/>
      </c>
      <c r="Q270" s="1">
        <f>P270*O270</f>
        <v/>
      </c>
      <c r="R270" s="1">
        <f>M270*N270*1000-Q270</f>
        <v/>
      </c>
      <c r="S270" s="5">
        <f>H270/($N270*1000)</f>
        <v/>
      </c>
      <c r="T270" s="5">
        <f>R270/($N270*1000)</f>
        <v/>
      </c>
    </row>
    <row r="271">
      <c r="A271" s="1" t="n">
        <v>270</v>
      </c>
      <c r="B271" s="2">
        <f>DATE(Sintesi!$C$4-1,12,31)+A271</f>
        <v/>
      </c>
      <c r="C271" s="1">
        <f>'Paste cell here'!T271</f>
        <v/>
      </c>
      <c r="D271" s="1">
        <f>'Paste cell here'!AC271</f>
        <v/>
      </c>
      <c r="E271" s="1">
        <f>'Paste cell here'!Y271</f>
        <v/>
      </c>
      <c r="F271" s="1">
        <f>'Paste cell here'!AD271</f>
        <v/>
      </c>
      <c r="G271" s="1">
        <f>'Paste cell here'!W271</f>
        <v/>
      </c>
      <c r="H271" s="1">
        <f>'Paste cell here'!AE271</f>
        <v/>
      </c>
      <c r="I271" s="1">
        <f>'Paste cell here'!AF271</f>
        <v/>
      </c>
      <c r="J271" s="1">
        <f>ABS(I271+C271+D271-E271-F271-G271-H271)</f>
        <v/>
      </c>
      <c r="K271" s="1">
        <f>IF('Bilancio primo strato'!D271&gt;0,1,"")</f>
        <v/>
      </c>
      <c r="L271" s="7">
        <f>Sintesi!$C$34</f>
        <v/>
      </c>
      <c r="M271" s="7">
        <f>Sintesi!$C$33</f>
        <v/>
      </c>
      <c r="N271" s="1">
        <f>'Paste cell here'!AA271</f>
        <v/>
      </c>
      <c r="O271" s="1">
        <f>'Paste cell here'!H271</f>
        <v/>
      </c>
      <c r="P271" s="1">
        <f>(M271-L271)*N271*1000</f>
        <v/>
      </c>
      <c r="Q271" s="1">
        <f>P271*O271</f>
        <v/>
      </c>
      <c r="R271" s="1">
        <f>M271*N271*1000-Q271</f>
        <v/>
      </c>
      <c r="S271" s="5">
        <f>H271/($N271*1000)</f>
        <v/>
      </c>
      <c r="T271" s="5">
        <f>R271/($N271*1000)</f>
        <v/>
      </c>
    </row>
    <row r="272">
      <c r="A272" s="1" t="n">
        <v>271</v>
      </c>
      <c r="B272" s="2">
        <f>DATE(Sintesi!$C$4-1,12,31)+A272</f>
        <v/>
      </c>
      <c r="C272" s="1">
        <f>'Paste cell here'!T272</f>
        <v/>
      </c>
      <c r="D272" s="1">
        <f>'Paste cell here'!AC272</f>
        <v/>
      </c>
      <c r="E272" s="1">
        <f>'Paste cell here'!Y272</f>
        <v/>
      </c>
      <c r="F272" s="1">
        <f>'Paste cell here'!AD272</f>
        <v/>
      </c>
      <c r="G272" s="1">
        <f>'Paste cell here'!W272</f>
        <v/>
      </c>
      <c r="H272" s="1">
        <f>'Paste cell here'!AE272</f>
        <v/>
      </c>
      <c r="I272" s="1">
        <f>'Paste cell here'!AF272</f>
        <v/>
      </c>
      <c r="J272" s="1">
        <f>ABS(I272+C272+D272-E272-F272-G272-H272)</f>
        <v/>
      </c>
      <c r="K272" s="1">
        <f>IF('Bilancio primo strato'!D272&gt;0,1,"")</f>
        <v/>
      </c>
      <c r="L272" s="7">
        <f>Sintesi!$C$34</f>
        <v/>
      </c>
      <c r="M272" s="7">
        <f>Sintesi!$C$33</f>
        <v/>
      </c>
      <c r="N272" s="1">
        <f>'Paste cell here'!AA272</f>
        <v/>
      </c>
      <c r="O272" s="1">
        <f>'Paste cell here'!H272</f>
        <v/>
      </c>
      <c r="P272" s="1">
        <f>(M272-L272)*N272*1000</f>
        <v/>
      </c>
      <c r="Q272" s="1">
        <f>P272*O272</f>
        <v/>
      </c>
      <c r="R272" s="1">
        <f>M272*N272*1000-Q272</f>
        <v/>
      </c>
      <c r="S272" s="5">
        <f>H272/($N272*1000)</f>
        <v/>
      </c>
      <c r="T272" s="5">
        <f>R272/($N272*1000)</f>
        <v/>
      </c>
    </row>
    <row r="273">
      <c r="A273" s="1" t="n">
        <v>272</v>
      </c>
      <c r="B273" s="2">
        <f>DATE(Sintesi!$C$4-1,12,31)+A273</f>
        <v/>
      </c>
      <c r="C273" s="1">
        <f>'Paste cell here'!T273</f>
        <v/>
      </c>
      <c r="D273" s="1">
        <f>'Paste cell here'!AC273</f>
        <v/>
      </c>
      <c r="E273" s="1">
        <f>'Paste cell here'!Y273</f>
        <v/>
      </c>
      <c r="F273" s="1">
        <f>'Paste cell here'!AD273</f>
        <v/>
      </c>
      <c r="G273" s="1">
        <f>'Paste cell here'!W273</f>
        <v/>
      </c>
      <c r="H273" s="1">
        <f>'Paste cell here'!AE273</f>
        <v/>
      </c>
      <c r="I273" s="1">
        <f>'Paste cell here'!AF273</f>
        <v/>
      </c>
      <c r="J273" s="1">
        <f>ABS(I273+C273+D273-E273-F273-G273-H273)</f>
        <v/>
      </c>
      <c r="K273" s="1">
        <f>IF('Bilancio primo strato'!D273&gt;0,1,"")</f>
        <v/>
      </c>
      <c r="L273" s="7">
        <f>Sintesi!$C$34</f>
        <v/>
      </c>
      <c r="M273" s="7">
        <f>Sintesi!$C$33</f>
        <v/>
      </c>
      <c r="N273" s="1">
        <f>'Paste cell here'!AA273</f>
        <v/>
      </c>
      <c r="O273" s="1">
        <f>'Paste cell here'!H273</f>
        <v/>
      </c>
      <c r="P273" s="1">
        <f>(M273-L273)*N273*1000</f>
        <v/>
      </c>
      <c r="Q273" s="1">
        <f>P273*O273</f>
        <v/>
      </c>
      <c r="R273" s="1">
        <f>M273*N273*1000-Q273</f>
        <v/>
      </c>
      <c r="S273" s="5">
        <f>H273/($N273*1000)</f>
        <v/>
      </c>
      <c r="T273" s="5">
        <f>R273/($N273*1000)</f>
        <v/>
      </c>
    </row>
    <row r="274">
      <c r="A274" s="1" t="n">
        <v>273</v>
      </c>
      <c r="B274" s="2">
        <f>DATE(Sintesi!$C$4-1,12,31)+A274</f>
        <v/>
      </c>
      <c r="C274" s="1">
        <f>'Paste cell here'!T274</f>
        <v/>
      </c>
      <c r="D274" s="1">
        <f>'Paste cell here'!AC274</f>
        <v/>
      </c>
      <c r="E274" s="1">
        <f>'Paste cell here'!Y274</f>
        <v/>
      </c>
      <c r="F274" s="1">
        <f>'Paste cell here'!AD274</f>
        <v/>
      </c>
      <c r="G274" s="1">
        <f>'Paste cell here'!W274</f>
        <v/>
      </c>
      <c r="H274" s="1">
        <f>'Paste cell here'!AE274</f>
        <v/>
      </c>
      <c r="I274" s="1">
        <f>'Paste cell here'!AF274</f>
        <v/>
      </c>
      <c r="J274" s="1">
        <f>ABS(I274+C274+D274-E274-F274-G274-H274)</f>
        <v/>
      </c>
      <c r="K274" s="1">
        <f>IF('Bilancio primo strato'!D274&gt;0,1,"")</f>
        <v/>
      </c>
      <c r="L274" s="7">
        <f>Sintesi!$C$34</f>
        <v/>
      </c>
      <c r="M274" s="7">
        <f>Sintesi!$C$33</f>
        <v/>
      </c>
      <c r="N274" s="1">
        <f>'Paste cell here'!AA274</f>
        <v/>
      </c>
      <c r="O274" s="1">
        <f>'Paste cell here'!H274</f>
        <v/>
      </c>
      <c r="P274" s="1">
        <f>(M274-L274)*N274*1000</f>
        <v/>
      </c>
      <c r="Q274" s="1">
        <f>P274*O274</f>
        <v/>
      </c>
      <c r="R274" s="1">
        <f>M274*N274*1000-Q274</f>
        <v/>
      </c>
      <c r="S274" s="5">
        <f>H274/($N274*1000)</f>
        <v/>
      </c>
      <c r="T274" s="5">
        <f>R274/($N274*1000)</f>
        <v/>
      </c>
    </row>
    <row r="275">
      <c r="A275" s="1" t="n">
        <v>274</v>
      </c>
      <c r="B275" s="2">
        <f>DATE(Sintesi!$C$4-1,12,31)+A275</f>
        <v/>
      </c>
      <c r="C275" s="1">
        <f>'Paste cell here'!T275</f>
        <v/>
      </c>
      <c r="D275" s="1">
        <f>'Paste cell here'!AC275</f>
        <v/>
      </c>
      <c r="E275" s="1">
        <f>'Paste cell here'!Y275</f>
        <v/>
      </c>
      <c r="F275" s="1">
        <f>'Paste cell here'!AD275</f>
        <v/>
      </c>
      <c r="G275" s="1">
        <f>'Paste cell here'!W275</f>
        <v/>
      </c>
      <c r="H275" s="1">
        <f>'Paste cell here'!AE275</f>
        <v/>
      </c>
      <c r="I275" s="1">
        <f>'Paste cell here'!AF275</f>
        <v/>
      </c>
      <c r="J275" s="1">
        <f>ABS(I275+C275+D275-E275-F275-G275-H275)</f>
        <v/>
      </c>
      <c r="K275" s="1">
        <f>IF('Bilancio primo strato'!D275&gt;0,1,"")</f>
        <v/>
      </c>
      <c r="L275" s="7">
        <f>Sintesi!$C$34</f>
        <v/>
      </c>
      <c r="M275" s="7">
        <f>Sintesi!$C$33</f>
        <v/>
      </c>
      <c r="N275" s="1">
        <f>'Paste cell here'!AA275</f>
        <v/>
      </c>
      <c r="O275" s="1">
        <f>'Paste cell here'!H275</f>
        <v/>
      </c>
      <c r="P275" s="1">
        <f>(M275-L275)*N275*1000</f>
        <v/>
      </c>
      <c r="Q275" s="1">
        <f>P275*O275</f>
        <v/>
      </c>
      <c r="R275" s="1">
        <f>M275*N275*1000-Q275</f>
        <v/>
      </c>
      <c r="S275" s="5">
        <f>H275/($N275*1000)</f>
        <v/>
      </c>
      <c r="T275" s="5">
        <f>R275/($N275*1000)</f>
        <v/>
      </c>
    </row>
    <row r="276">
      <c r="A276" s="1" t="n">
        <v>275</v>
      </c>
      <c r="B276" s="2">
        <f>DATE(Sintesi!$C$4-1,12,31)+A276</f>
        <v/>
      </c>
      <c r="C276" s="1">
        <f>'Paste cell here'!T276</f>
        <v/>
      </c>
      <c r="D276" s="1">
        <f>'Paste cell here'!AC276</f>
        <v/>
      </c>
      <c r="E276" s="1">
        <f>'Paste cell here'!Y276</f>
        <v/>
      </c>
      <c r="F276" s="1">
        <f>'Paste cell here'!AD276</f>
        <v/>
      </c>
      <c r="G276" s="1">
        <f>'Paste cell here'!W276</f>
        <v/>
      </c>
      <c r="H276" s="1">
        <f>'Paste cell here'!AE276</f>
        <v/>
      </c>
      <c r="I276" s="1">
        <f>'Paste cell here'!AF276</f>
        <v/>
      </c>
      <c r="J276" s="1">
        <f>ABS(I276+C276+D276-E276-F276-G276-H276)</f>
        <v/>
      </c>
      <c r="K276" s="1">
        <f>IF('Bilancio primo strato'!D276&gt;0,1,"")</f>
        <v/>
      </c>
      <c r="L276" s="7">
        <f>Sintesi!$C$34</f>
        <v/>
      </c>
      <c r="M276" s="7">
        <f>Sintesi!$C$33</f>
        <v/>
      </c>
      <c r="N276" s="1">
        <f>'Paste cell here'!AA276</f>
        <v/>
      </c>
      <c r="O276" s="1">
        <f>'Paste cell here'!H276</f>
        <v/>
      </c>
      <c r="P276" s="1">
        <f>(M276-L276)*N276*1000</f>
        <v/>
      </c>
      <c r="Q276" s="1">
        <f>P276*O276</f>
        <v/>
      </c>
      <c r="R276" s="1">
        <f>M276*N276*1000-Q276</f>
        <v/>
      </c>
      <c r="S276" s="5">
        <f>H276/($N276*1000)</f>
        <v/>
      </c>
      <c r="T276" s="5">
        <f>R276/($N276*1000)</f>
        <v/>
      </c>
    </row>
    <row r="277">
      <c r="A277" s="1" t="n">
        <v>276</v>
      </c>
      <c r="B277" s="2">
        <f>DATE(Sintesi!$C$4-1,12,31)+A277</f>
        <v/>
      </c>
      <c r="C277" s="1">
        <f>'Paste cell here'!T277</f>
        <v/>
      </c>
      <c r="D277" s="1">
        <f>'Paste cell here'!AC277</f>
        <v/>
      </c>
      <c r="E277" s="1">
        <f>'Paste cell here'!Y277</f>
        <v/>
      </c>
      <c r="F277" s="1">
        <f>'Paste cell here'!AD277</f>
        <v/>
      </c>
      <c r="G277" s="1">
        <f>'Paste cell here'!W277</f>
        <v/>
      </c>
      <c r="H277" s="1">
        <f>'Paste cell here'!AE277</f>
        <v/>
      </c>
      <c r="I277" s="1">
        <f>'Paste cell here'!AF277</f>
        <v/>
      </c>
      <c r="J277" s="1">
        <f>ABS(I277+C277+D277-E277-F277-G277-H277)</f>
        <v/>
      </c>
      <c r="K277" s="1">
        <f>IF('Bilancio primo strato'!D277&gt;0,1,"")</f>
        <v/>
      </c>
      <c r="L277" s="7">
        <f>Sintesi!$C$34</f>
        <v/>
      </c>
      <c r="M277" s="7">
        <f>Sintesi!$C$33</f>
        <v/>
      </c>
      <c r="N277" s="1">
        <f>'Paste cell here'!AA277</f>
        <v/>
      </c>
      <c r="O277" s="1">
        <f>'Paste cell here'!H277</f>
        <v/>
      </c>
      <c r="P277" s="1">
        <f>(M277-L277)*N277*1000</f>
        <v/>
      </c>
      <c r="Q277" s="1">
        <f>P277*O277</f>
        <v/>
      </c>
      <c r="R277" s="1">
        <f>M277*N277*1000-Q277</f>
        <v/>
      </c>
      <c r="S277" s="5">
        <f>H277/($N277*1000)</f>
        <v/>
      </c>
      <c r="T277" s="5">
        <f>R277/($N277*1000)</f>
        <v/>
      </c>
    </row>
    <row r="278">
      <c r="A278" s="1" t="n">
        <v>277</v>
      </c>
      <c r="B278" s="2">
        <f>DATE(Sintesi!$C$4-1,12,31)+A278</f>
        <v/>
      </c>
      <c r="C278" s="1">
        <f>'Paste cell here'!T278</f>
        <v/>
      </c>
      <c r="D278" s="1">
        <f>'Paste cell here'!AC278</f>
        <v/>
      </c>
      <c r="E278" s="1">
        <f>'Paste cell here'!Y278</f>
        <v/>
      </c>
      <c r="F278" s="1">
        <f>'Paste cell here'!AD278</f>
        <v/>
      </c>
      <c r="G278" s="1">
        <f>'Paste cell here'!W278</f>
        <v/>
      </c>
      <c r="H278" s="1">
        <f>'Paste cell here'!AE278</f>
        <v/>
      </c>
      <c r="I278" s="1">
        <f>'Paste cell here'!AF278</f>
        <v/>
      </c>
      <c r="J278" s="1">
        <f>ABS(I278+C278+D278-E278-F278-G278-H278)</f>
        <v/>
      </c>
      <c r="K278" s="1">
        <f>IF('Bilancio primo strato'!D278&gt;0,1,"")</f>
        <v/>
      </c>
      <c r="L278" s="7">
        <f>Sintesi!$C$34</f>
        <v/>
      </c>
      <c r="M278" s="7">
        <f>Sintesi!$C$33</f>
        <v/>
      </c>
      <c r="N278" s="1">
        <f>'Paste cell here'!AA278</f>
        <v/>
      </c>
      <c r="O278" s="1">
        <f>'Paste cell here'!H278</f>
        <v/>
      </c>
      <c r="P278" s="1">
        <f>(M278-L278)*N278*1000</f>
        <v/>
      </c>
      <c r="Q278" s="1">
        <f>P278*O278</f>
        <v/>
      </c>
      <c r="R278" s="1">
        <f>M278*N278*1000-Q278</f>
        <v/>
      </c>
      <c r="S278" s="5">
        <f>H278/($N278*1000)</f>
        <v/>
      </c>
      <c r="T278" s="5">
        <f>R278/($N278*1000)</f>
        <v/>
      </c>
    </row>
    <row r="279">
      <c r="A279" s="1" t="n">
        <v>278</v>
      </c>
      <c r="B279" s="2">
        <f>DATE(Sintesi!$C$4-1,12,31)+A279</f>
        <v/>
      </c>
      <c r="C279" s="1">
        <f>'Paste cell here'!T279</f>
        <v/>
      </c>
      <c r="D279" s="1">
        <f>'Paste cell here'!AC279</f>
        <v/>
      </c>
      <c r="E279" s="1">
        <f>'Paste cell here'!Y279</f>
        <v/>
      </c>
      <c r="F279" s="1">
        <f>'Paste cell here'!AD279</f>
        <v/>
      </c>
      <c r="G279" s="1">
        <f>'Paste cell here'!W279</f>
        <v/>
      </c>
      <c r="H279" s="1">
        <f>'Paste cell here'!AE279</f>
        <v/>
      </c>
      <c r="I279" s="1">
        <f>'Paste cell here'!AF279</f>
        <v/>
      </c>
      <c r="J279" s="1">
        <f>ABS(I279+C279+D279-E279-F279-G279-H279)</f>
        <v/>
      </c>
      <c r="K279" s="1">
        <f>IF('Bilancio primo strato'!D279&gt;0,1,"")</f>
        <v/>
      </c>
      <c r="L279" s="7">
        <f>Sintesi!$C$34</f>
        <v/>
      </c>
      <c r="M279" s="7">
        <f>Sintesi!$C$33</f>
        <v/>
      </c>
      <c r="N279" s="1">
        <f>'Paste cell here'!AA279</f>
        <v/>
      </c>
      <c r="O279" s="1">
        <f>'Paste cell here'!H279</f>
        <v/>
      </c>
      <c r="P279" s="1">
        <f>(M279-L279)*N279*1000</f>
        <v/>
      </c>
      <c r="Q279" s="1">
        <f>P279*O279</f>
        <v/>
      </c>
      <c r="R279" s="1">
        <f>M279*N279*1000-Q279</f>
        <v/>
      </c>
      <c r="S279" s="5">
        <f>H279/($N279*1000)</f>
        <v/>
      </c>
      <c r="T279" s="5">
        <f>R279/($N279*1000)</f>
        <v/>
      </c>
    </row>
    <row r="280">
      <c r="A280" s="1" t="n">
        <v>279</v>
      </c>
      <c r="B280" s="2">
        <f>DATE(Sintesi!$C$4-1,12,31)+A280</f>
        <v/>
      </c>
      <c r="C280" s="1">
        <f>'Paste cell here'!T280</f>
        <v/>
      </c>
      <c r="D280" s="1">
        <f>'Paste cell here'!AC280</f>
        <v/>
      </c>
      <c r="E280" s="1">
        <f>'Paste cell here'!Y280</f>
        <v/>
      </c>
      <c r="F280" s="1">
        <f>'Paste cell here'!AD280</f>
        <v/>
      </c>
      <c r="G280" s="1">
        <f>'Paste cell here'!W280</f>
        <v/>
      </c>
      <c r="H280" s="1">
        <f>'Paste cell here'!AE280</f>
        <v/>
      </c>
      <c r="I280" s="1">
        <f>'Paste cell here'!AF280</f>
        <v/>
      </c>
      <c r="J280" s="1">
        <f>ABS(I280+C280+D280-E280-F280-G280-H280)</f>
        <v/>
      </c>
      <c r="K280" s="1">
        <f>IF('Bilancio primo strato'!D280&gt;0,1,"")</f>
        <v/>
      </c>
      <c r="L280" s="7">
        <f>Sintesi!$C$34</f>
        <v/>
      </c>
      <c r="M280" s="7">
        <f>Sintesi!$C$33</f>
        <v/>
      </c>
      <c r="N280" s="1">
        <f>'Paste cell here'!AA280</f>
        <v/>
      </c>
      <c r="O280" s="1">
        <f>'Paste cell here'!H280</f>
        <v/>
      </c>
      <c r="P280" s="1">
        <f>(M280-L280)*N280*1000</f>
        <v/>
      </c>
      <c r="Q280" s="1">
        <f>P280*O280</f>
        <v/>
      </c>
      <c r="R280" s="1">
        <f>M280*N280*1000-Q280</f>
        <v/>
      </c>
      <c r="S280" s="5">
        <f>H280/($N280*1000)</f>
        <v/>
      </c>
      <c r="T280" s="5">
        <f>R280/($N280*1000)</f>
        <v/>
      </c>
    </row>
    <row r="281">
      <c r="A281" s="1" t="n">
        <v>280</v>
      </c>
      <c r="B281" s="2">
        <f>DATE(Sintesi!$C$4-1,12,31)+A281</f>
        <v/>
      </c>
      <c r="C281" s="1">
        <f>'Paste cell here'!T281</f>
        <v/>
      </c>
      <c r="D281" s="1">
        <f>'Paste cell here'!AC281</f>
        <v/>
      </c>
      <c r="E281" s="1">
        <f>'Paste cell here'!Y281</f>
        <v/>
      </c>
      <c r="F281" s="1">
        <f>'Paste cell here'!AD281</f>
        <v/>
      </c>
      <c r="G281" s="1">
        <f>'Paste cell here'!W281</f>
        <v/>
      </c>
      <c r="H281" s="1">
        <f>'Paste cell here'!AE281</f>
        <v/>
      </c>
      <c r="I281" s="1">
        <f>'Paste cell here'!AF281</f>
        <v/>
      </c>
      <c r="J281" s="1">
        <f>ABS(I281+C281+D281-E281-F281-G281-H281)</f>
        <v/>
      </c>
      <c r="K281" s="1">
        <f>IF('Bilancio primo strato'!D281&gt;0,1,"")</f>
        <v/>
      </c>
      <c r="L281" s="7">
        <f>Sintesi!$C$34</f>
        <v/>
      </c>
      <c r="M281" s="7">
        <f>Sintesi!$C$33</f>
        <v/>
      </c>
      <c r="N281" s="1">
        <f>'Paste cell here'!AA281</f>
        <v/>
      </c>
      <c r="O281" s="1">
        <f>'Paste cell here'!H281</f>
        <v/>
      </c>
      <c r="P281" s="1">
        <f>(M281-L281)*N281*1000</f>
        <v/>
      </c>
      <c r="Q281" s="1">
        <f>P281*O281</f>
        <v/>
      </c>
      <c r="R281" s="1">
        <f>M281*N281*1000-Q281</f>
        <v/>
      </c>
      <c r="S281" s="5">
        <f>H281/($N281*1000)</f>
        <v/>
      </c>
      <c r="T281" s="5">
        <f>R281/($N281*1000)</f>
        <v/>
      </c>
    </row>
    <row r="282">
      <c r="A282" s="1" t="n">
        <v>281</v>
      </c>
      <c r="B282" s="2">
        <f>DATE(Sintesi!$C$4-1,12,31)+A282</f>
        <v/>
      </c>
      <c r="C282" s="1">
        <f>'Paste cell here'!T282</f>
        <v/>
      </c>
      <c r="D282" s="1">
        <f>'Paste cell here'!AC282</f>
        <v/>
      </c>
      <c r="E282" s="1">
        <f>'Paste cell here'!Y282</f>
        <v/>
      </c>
      <c r="F282" s="1">
        <f>'Paste cell here'!AD282</f>
        <v/>
      </c>
      <c r="G282" s="1">
        <f>'Paste cell here'!W282</f>
        <v/>
      </c>
      <c r="H282" s="1">
        <f>'Paste cell here'!AE282</f>
        <v/>
      </c>
      <c r="I282" s="1">
        <f>'Paste cell here'!AF282</f>
        <v/>
      </c>
      <c r="J282" s="1">
        <f>ABS(I282+C282+D282-E282-F282-G282-H282)</f>
        <v/>
      </c>
      <c r="K282" s="1">
        <f>IF('Bilancio primo strato'!D282&gt;0,1,"")</f>
        <v/>
      </c>
      <c r="L282" s="7">
        <f>Sintesi!$C$34</f>
        <v/>
      </c>
      <c r="M282" s="7">
        <f>Sintesi!$C$33</f>
        <v/>
      </c>
      <c r="N282" s="1">
        <f>'Paste cell here'!AA282</f>
        <v/>
      </c>
      <c r="O282" s="1">
        <f>'Paste cell here'!H282</f>
        <v/>
      </c>
      <c r="P282" s="1">
        <f>(M282-L282)*N282*1000</f>
        <v/>
      </c>
      <c r="Q282" s="1">
        <f>P282*O282</f>
        <v/>
      </c>
      <c r="R282" s="1">
        <f>M282*N282*1000-Q282</f>
        <v/>
      </c>
      <c r="S282" s="5">
        <f>H282/($N282*1000)</f>
        <v/>
      </c>
      <c r="T282" s="5">
        <f>R282/($N282*1000)</f>
        <v/>
      </c>
    </row>
    <row r="283">
      <c r="A283" s="1" t="n">
        <v>282</v>
      </c>
      <c r="B283" s="2">
        <f>DATE(Sintesi!$C$4-1,12,31)+A283</f>
        <v/>
      </c>
      <c r="C283" s="1">
        <f>'Paste cell here'!T283</f>
        <v/>
      </c>
      <c r="D283" s="1">
        <f>'Paste cell here'!AC283</f>
        <v/>
      </c>
      <c r="E283" s="1">
        <f>'Paste cell here'!Y283</f>
        <v/>
      </c>
      <c r="F283" s="1">
        <f>'Paste cell here'!AD283</f>
        <v/>
      </c>
      <c r="G283" s="1">
        <f>'Paste cell here'!W283</f>
        <v/>
      </c>
      <c r="H283" s="1">
        <f>'Paste cell here'!AE283</f>
        <v/>
      </c>
      <c r="I283" s="1">
        <f>'Paste cell here'!AF283</f>
        <v/>
      </c>
      <c r="J283" s="1">
        <f>ABS(I283+C283+D283-E283-F283-G283-H283)</f>
        <v/>
      </c>
      <c r="K283" s="1">
        <f>IF('Bilancio primo strato'!D283&gt;0,1,"")</f>
        <v/>
      </c>
      <c r="L283" s="7">
        <f>Sintesi!$C$34</f>
        <v/>
      </c>
      <c r="M283" s="7">
        <f>Sintesi!$C$33</f>
        <v/>
      </c>
      <c r="N283" s="1">
        <f>'Paste cell here'!AA283</f>
        <v/>
      </c>
      <c r="O283" s="1">
        <f>'Paste cell here'!H283</f>
        <v/>
      </c>
      <c r="P283" s="1">
        <f>(M283-L283)*N283*1000</f>
        <v/>
      </c>
      <c r="Q283" s="1">
        <f>P283*O283</f>
        <v/>
      </c>
      <c r="R283" s="1">
        <f>M283*N283*1000-Q283</f>
        <v/>
      </c>
      <c r="S283" s="5">
        <f>H283/($N283*1000)</f>
        <v/>
      </c>
      <c r="T283" s="5">
        <f>R283/($N283*1000)</f>
        <v/>
      </c>
    </row>
    <row r="284">
      <c r="A284" s="1" t="n">
        <v>283</v>
      </c>
      <c r="B284" s="2">
        <f>DATE(Sintesi!$C$4-1,12,31)+A284</f>
        <v/>
      </c>
      <c r="C284" s="1">
        <f>'Paste cell here'!T284</f>
        <v/>
      </c>
      <c r="D284" s="1">
        <f>'Paste cell here'!AC284</f>
        <v/>
      </c>
      <c r="E284" s="1">
        <f>'Paste cell here'!Y284</f>
        <v/>
      </c>
      <c r="F284" s="1">
        <f>'Paste cell here'!AD284</f>
        <v/>
      </c>
      <c r="G284" s="1">
        <f>'Paste cell here'!W284</f>
        <v/>
      </c>
      <c r="H284" s="1">
        <f>'Paste cell here'!AE284</f>
        <v/>
      </c>
      <c r="I284" s="1">
        <f>'Paste cell here'!AF284</f>
        <v/>
      </c>
      <c r="J284" s="1">
        <f>ABS(I284+C284+D284-E284-F284-G284-H284)</f>
        <v/>
      </c>
      <c r="K284" s="1">
        <f>IF('Bilancio primo strato'!D284&gt;0,1,"")</f>
        <v/>
      </c>
      <c r="L284" s="7">
        <f>Sintesi!$C$34</f>
        <v/>
      </c>
      <c r="M284" s="7">
        <f>Sintesi!$C$33</f>
        <v/>
      </c>
      <c r="N284" s="1">
        <f>'Paste cell here'!AA284</f>
        <v/>
      </c>
      <c r="O284" s="1">
        <f>'Paste cell here'!H284</f>
        <v/>
      </c>
      <c r="P284" s="1">
        <f>(M284-L284)*N284*1000</f>
        <v/>
      </c>
      <c r="Q284" s="1">
        <f>P284*O284</f>
        <v/>
      </c>
      <c r="R284" s="1">
        <f>M284*N284*1000-Q284</f>
        <v/>
      </c>
      <c r="S284" s="5">
        <f>H284/($N284*1000)</f>
        <v/>
      </c>
      <c r="T284" s="5">
        <f>R284/($N284*1000)</f>
        <v/>
      </c>
    </row>
    <row r="285">
      <c r="A285" s="1" t="n">
        <v>284</v>
      </c>
      <c r="B285" s="2">
        <f>DATE(Sintesi!$C$4-1,12,31)+A285</f>
        <v/>
      </c>
      <c r="C285" s="1">
        <f>'Paste cell here'!T285</f>
        <v/>
      </c>
      <c r="D285" s="1">
        <f>'Paste cell here'!AC285</f>
        <v/>
      </c>
      <c r="E285" s="1">
        <f>'Paste cell here'!Y285</f>
        <v/>
      </c>
      <c r="F285" s="1">
        <f>'Paste cell here'!AD285</f>
        <v/>
      </c>
      <c r="G285" s="1">
        <f>'Paste cell here'!W285</f>
        <v/>
      </c>
      <c r="H285" s="1">
        <f>'Paste cell here'!AE285</f>
        <v/>
      </c>
      <c r="I285" s="1">
        <f>'Paste cell here'!AF285</f>
        <v/>
      </c>
      <c r="J285" s="1">
        <f>ABS(I285+C285+D285-E285-F285-G285-H285)</f>
        <v/>
      </c>
      <c r="K285" s="1">
        <f>IF('Bilancio primo strato'!D285&gt;0,1,"")</f>
        <v/>
      </c>
      <c r="L285" s="7">
        <f>Sintesi!$C$34</f>
        <v/>
      </c>
      <c r="M285" s="7">
        <f>Sintesi!$C$33</f>
        <v/>
      </c>
      <c r="N285" s="1">
        <f>'Paste cell here'!AA285</f>
        <v/>
      </c>
      <c r="O285" s="1">
        <f>'Paste cell here'!H285</f>
        <v/>
      </c>
      <c r="P285" s="1">
        <f>(M285-L285)*N285*1000</f>
        <v/>
      </c>
      <c r="Q285" s="1">
        <f>P285*O285</f>
        <v/>
      </c>
      <c r="R285" s="1">
        <f>M285*N285*1000-Q285</f>
        <v/>
      </c>
      <c r="S285" s="5">
        <f>H285/($N285*1000)</f>
        <v/>
      </c>
      <c r="T285" s="5">
        <f>R285/($N285*1000)</f>
        <v/>
      </c>
    </row>
    <row r="286">
      <c r="A286" s="1" t="n">
        <v>285</v>
      </c>
      <c r="B286" s="2">
        <f>DATE(Sintesi!$C$4-1,12,31)+A286</f>
        <v/>
      </c>
      <c r="C286" s="1">
        <f>'Paste cell here'!T286</f>
        <v/>
      </c>
      <c r="D286" s="1">
        <f>'Paste cell here'!AC286</f>
        <v/>
      </c>
      <c r="E286" s="1">
        <f>'Paste cell here'!Y286</f>
        <v/>
      </c>
      <c r="F286" s="1">
        <f>'Paste cell here'!AD286</f>
        <v/>
      </c>
      <c r="G286" s="1">
        <f>'Paste cell here'!W286</f>
        <v/>
      </c>
      <c r="H286" s="1">
        <f>'Paste cell here'!AE286</f>
        <v/>
      </c>
      <c r="I286" s="1">
        <f>'Paste cell here'!AF286</f>
        <v/>
      </c>
      <c r="J286" s="1">
        <f>ABS(I286+C286+D286-E286-F286-G286-H286)</f>
        <v/>
      </c>
      <c r="K286" s="1">
        <f>IF('Bilancio primo strato'!D286&gt;0,1,"")</f>
        <v/>
      </c>
      <c r="L286" s="7">
        <f>Sintesi!$C$34</f>
        <v/>
      </c>
      <c r="M286" s="7">
        <f>Sintesi!$C$33</f>
        <v/>
      </c>
      <c r="N286" s="1">
        <f>'Paste cell here'!AA286</f>
        <v/>
      </c>
      <c r="O286" s="1">
        <f>'Paste cell here'!H286</f>
        <v/>
      </c>
      <c r="P286" s="1">
        <f>(M286-L286)*N286*1000</f>
        <v/>
      </c>
      <c r="Q286" s="1">
        <f>P286*O286</f>
        <v/>
      </c>
      <c r="R286" s="1">
        <f>M286*N286*1000-Q286</f>
        <v/>
      </c>
      <c r="S286" s="5">
        <f>H286/($N286*1000)</f>
        <v/>
      </c>
      <c r="T286" s="5">
        <f>R286/($N286*1000)</f>
        <v/>
      </c>
    </row>
    <row r="287">
      <c r="A287" s="1" t="n">
        <v>286</v>
      </c>
      <c r="B287" s="2">
        <f>DATE(Sintesi!$C$4-1,12,31)+A287</f>
        <v/>
      </c>
      <c r="C287" s="1">
        <f>'Paste cell here'!T287</f>
        <v/>
      </c>
      <c r="D287" s="1">
        <f>'Paste cell here'!AC287</f>
        <v/>
      </c>
      <c r="E287" s="1">
        <f>'Paste cell here'!Y287</f>
        <v/>
      </c>
      <c r="F287" s="1">
        <f>'Paste cell here'!AD287</f>
        <v/>
      </c>
      <c r="G287" s="1">
        <f>'Paste cell here'!W287</f>
        <v/>
      </c>
      <c r="H287" s="1">
        <f>'Paste cell here'!AE287</f>
        <v/>
      </c>
      <c r="I287" s="1">
        <f>'Paste cell here'!AF287</f>
        <v/>
      </c>
      <c r="J287" s="1">
        <f>ABS(I287+C287+D287-E287-F287-G287-H287)</f>
        <v/>
      </c>
      <c r="K287" s="1">
        <f>IF('Bilancio primo strato'!D287&gt;0,1,"")</f>
        <v/>
      </c>
      <c r="L287" s="7">
        <f>Sintesi!$C$34</f>
        <v/>
      </c>
      <c r="M287" s="7">
        <f>Sintesi!$C$33</f>
        <v/>
      </c>
      <c r="N287" s="1">
        <f>'Paste cell here'!AA287</f>
        <v/>
      </c>
      <c r="O287" s="1">
        <f>'Paste cell here'!H287</f>
        <v/>
      </c>
      <c r="P287" s="1">
        <f>(M287-L287)*N287*1000</f>
        <v/>
      </c>
      <c r="Q287" s="1">
        <f>P287*O287</f>
        <v/>
      </c>
      <c r="R287" s="1">
        <f>M287*N287*1000-Q287</f>
        <v/>
      </c>
      <c r="S287" s="5">
        <f>H287/($N287*1000)</f>
        <v/>
      </c>
      <c r="T287" s="5">
        <f>R287/($N287*1000)</f>
        <v/>
      </c>
    </row>
    <row r="288">
      <c r="A288" s="1" t="n">
        <v>287</v>
      </c>
      <c r="B288" s="2">
        <f>DATE(Sintesi!$C$4-1,12,31)+A288</f>
        <v/>
      </c>
      <c r="C288" s="1">
        <f>'Paste cell here'!T288</f>
        <v/>
      </c>
      <c r="D288" s="1">
        <f>'Paste cell here'!AC288</f>
        <v/>
      </c>
      <c r="E288" s="1">
        <f>'Paste cell here'!Y288</f>
        <v/>
      </c>
      <c r="F288" s="1">
        <f>'Paste cell here'!AD288</f>
        <v/>
      </c>
      <c r="G288" s="1">
        <f>'Paste cell here'!W288</f>
        <v/>
      </c>
      <c r="H288" s="1">
        <f>'Paste cell here'!AE288</f>
        <v/>
      </c>
      <c r="I288" s="1">
        <f>'Paste cell here'!AF288</f>
        <v/>
      </c>
      <c r="J288" s="1">
        <f>ABS(I288+C288+D288-E288-F288-G288-H288)</f>
        <v/>
      </c>
      <c r="K288" s="1">
        <f>IF('Bilancio primo strato'!D288&gt;0,1,"")</f>
        <v/>
      </c>
      <c r="L288" s="7">
        <f>Sintesi!$C$34</f>
        <v/>
      </c>
      <c r="M288" s="7">
        <f>Sintesi!$C$33</f>
        <v/>
      </c>
      <c r="N288" s="1">
        <f>'Paste cell here'!AA288</f>
        <v/>
      </c>
      <c r="O288" s="1">
        <f>'Paste cell here'!H288</f>
        <v/>
      </c>
      <c r="P288" s="1">
        <f>(M288-L288)*N288*1000</f>
        <v/>
      </c>
      <c r="Q288" s="1">
        <f>P288*O288</f>
        <v/>
      </c>
      <c r="R288" s="1">
        <f>M288*N288*1000-Q288</f>
        <v/>
      </c>
      <c r="S288" s="5">
        <f>H288/($N288*1000)</f>
        <v/>
      </c>
      <c r="T288" s="5">
        <f>R288/($N288*1000)</f>
        <v/>
      </c>
    </row>
    <row r="289">
      <c r="A289" s="1" t="n">
        <v>288</v>
      </c>
      <c r="B289" s="2">
        <f>DATE(Sintesi!$C$4-1,12,31)+A289</f>
        <v/>
      </c>
      <c r="C289" s="1">
        <f>'Paste cell here'!T289</f>
        <v/>
      </c>
      <c r="D289" s="1">
        <f>'Paste cell here'!AC289</f>
        <v/>
      </c>
      <c r="E289" s="1">
        <f>'Paste cell here'!Y289</f>
        <v/>
      </c>
      <c r="F289" s="1">
        <f>'Paste cell here'!AD289</f>
        <v/>
      </c>
      <c r="G289" s="1">
        <f>'Paste cell here'!W289</f>
        <v/>
      </c>
      <c r="H289" s="1">
        <f>'Paste cell here'!AE289</f>
        <v/>
      </c>
      <c r="I289" s="1">
        <f>'Paste cell here'!AF289</f>
        <v/>
      </c>
      <c r="J289" s="1">
        <f>ABS(I289+C289+D289-E289-F289-G289-H289)</f>
        <v/>
      </c>
      <c r="K289" s="1">
        <f>IF('Bilancio primo strato'!D289&gt;0,1,"")</f>
        <v/>
      </c>
      <c r="L289" s="7">
        <f>Sintesi!$C$34</f>
        <v/>
      </c>
      <c r="M289" s="7">
        <f>Sintesi!$C$33</f>
        <v/>
      </c>
      <c r="N289" s="1">
        <f>'Paste cell here'!AA289</f>
        <v/>
      </c>
      <c r="O289" s="1">
        <f>'Paste cell here'!H289</f>
        <v/>
      </c>
      <c r="P289" s="1">
        <f>(M289-L289)*N289*1000</f>
        <v/>
      </c>
      <c r="Q289" s="1">
        <f>P289*O289</f>
        <v/>
      </c>
      <c r="R289" s="1">
        <f>M289*N289*1000-Q289</f>
        <v/>
      </c>
      <c r="S289" s="5">
        <f>H289/($N289*1000)</f>
        <v/>
      </c>
      <c r="T289" s="5">
        <f>R289/($N289*1000)</f>
        <v/>
      </c>
    </row>
    <row r="290">
      <c r="A290" s="1" t="n">
        <v>289</v>
      </c>
      <c r="B290" s="2">
        <f>DATE(Sintesi!$C$4-1,12,31)+A290</f>
        <v/>
      </c>
      <c r="C290" s="1">
        <f>'Paste cell here'!T290</f>
        <v/>
      </c>
      <c r="D290" s="1">
        <f>'Paste cell here'!AC290</f>
        <v/>
      </c>
      <c r="E290" s="1">
        <f>'Paste cell here'!Y290</f>
        <v/>
      </c>
      <c r="F290" s="1">
        <f>'Paste cell here'!AD290</f>
        <v/>
      </c>
      <c r="G290" s="1">
        <f>'Paste cell here'!W290</f>
        <v/>
      </c>
      <c r="H290" s="1">
        <f>'Paste cell here'!AE290</f>
        <v/>
      </c>
      <c r="I290" s="1">
        <f>'Paste cell here'!AF290</f>
        <v/>
      </c>
      <c r="J290" s="1">
        <f>ABS(I290+C290+D290-E290-F290-G290-H290)</f>
        <v/>
      </c>
      <c r="K290" s="1">
        <f>IF('Bilancio primo strato'!D290&gt;0,1,"")</f>
        <v/>
      </c>
      <c r="L290" s="7">
        <f>Sintesi!$C$34</f>
        <v/>
      </c>
      <c r="M290" s="7">
        <f>Sintesi!$C$33</f>
        <v/>
      </c>
      <c r="N290" s="1">
        <f>'Paste cell here'!AA290</f>
        <v/>
      </c>
      <c r="O290" s="1">
        <f>'Paste cell here'!H290</f>
        <v/>
      </c>
      <c r="P290" s="1">
        <f>(M290-L290)*N290*1000</f>
        <v/>
      </c>
      <c r="Q290" s="1">
        <f>P290*O290</f>
        <v/>
      </c>
      <c r="R290" s="1">
        <f>M290*N290*1000-Q290</f>
        <v/>
      </c>
      <c r="S290" s="5">
        <f>H290/($N290*1000)</f>
        <v/>
      </c>
      <c r="T290" s="5">
        <f>R290/($N290*1000)</f>
        <v/>
      </c>
    </row>
    <row r="291">
      <c r="A291" s="1" t="n">
        <v>290</v>
      </c>
      <c r="B291" s="2">
        <f>DATE(Sintesi!$C$4-1,12,31)+A291</f>
        <v/>
      </c>
      <c r="C291" s="1">
        <f>'Paste cell here'!T291</f>
        <v/>
      </c>
      <c r="D291" s="1">
        <f>'Paste cell here'!AC291</f>
        <v/>
      </c>
      <c r="E291" s="1">
        <f>'Paste cell here'!Y291</f>
        <v/>
      </c>
      <c r="F291" s="1">
        <f>'Paste cell here'!AD291</f>
        <v/>
      </c>
      <c r="G291" s="1">
        <f>'Paste cell here'!W291</f>
        <v/>
      </c>
      <c r="H291" s="1">
        <f>'Paste cell here'!AE291</f>
        <v/>
      </c>
      <c r="I291" s="1">
        <f>'Paste cell here'!AF291</f>
        <v/>
      </c>
      <c r="J291" s="1">
        <f>ABS(I291+C291+D291-E291-F291-G291-H291)</f>
        <v/>
      </c>
      <c r="K291" s="1">
        <f>IF('Bilancio primo strato'!D291&gt;0,1,"")</f>
        <v/>
      </c>
      <c r="L291" s="7">
        <f>Sintesi!$C$34</f>
        <v/>
      </c>
      <c r="M291" s="7">
        <f>Sintesi!$C$33</f>
        <v/>
      </c>
      <c r="N291" s="1">
        <f>'Paste cell here'!AA291</f>
        <v/>
      </c>
      <c r="O291" s="1">
        <f>'Paste cell here'!H291</f>
        <v/>
      </c>
      <c r="P291" s="1">
        <f>(M291-L291)*N291*1000</f>
        <v/>
      </c>
      <c r="Q291" s="1">
        <f>P291*O291</f>
        <v/>
      </c>
      <c r="R291" s="1">
        <f>M291*N291*1000-Q291</f>
        <v/>
      </c>
      <c r="S291" s="5">
        <f>H291/($N291*1000)</f>
        <v/>
      </c>
      <c r="T291" s="5">
        <f>R291/($N291*1000)</f>
        <v/>
      </c>
    </row>
    <row r="292">
      <c r="A292" s="1" t="n">
        <v>291</v>
      </c>
      <c r="B292" s="2">
        <f>DATE(Sintesi!$C$4-1,12,31)+A292</f>
        <v/>
      </c>
      <c r="C292" s="1">
        <f>'Paste cell here'!T292</f>
        <v/>
      </c>
      <c r="D292" s="1">
        <f>'Paste cell here'!AC292</f>
        <v/>
      </c>
      <c r="E292" s="1">
        <f>'Paste cell here'!Y292</f>
        <v/>
      </c>
      <c r="F292" s="1">
        <f>'Paste cell here'!AD292</f>
        <v/>
      </c>
      <c r="G292" s="1">
        <f>'Paste cell here'!W292</f>
        <v/>
      </c>
      <c r="H292" s="1">
        <f>'Paste cell here'!AE292</f>
        <v/>
      </c>
      <c r="I292" s="1">
        <f>'Paste cell here'!AF292</f>
        <v/>
      </c>
      <c r="J292" s="1">
        <f>ABS(I292+C292+D292-E292-F292-G292-H292)</f>
        <v/>
      </c>
      <c r="K292" s="1">
        <f>IF('Bilancio primo strato'!D292&gt;0,1,"")</f>
        <v/>
      </c>
      <c r="L292" s="7">
        <f>Sintesi!$C$34</f>
        <v/>
      </c>
      <c r="M292" s="7">
        <f>Sintesi!$C$33</f>
        <v/>
      </c>
      <c r="N292" s="1">
        <f>'Paste cell here'!AA292</f>
        <v/>
      </c>
      <c r="O292" s="1">
        <f>'Paste cell here'!H292</f>
        <v/>
      </c>
      <c r="P292" s="1">
        <f>(M292-L292)*N292*1000</f>
        <v/>
      </c>
      <c r="Q292" s="1">
        <f>P292*O292</f>
        <v/>
      </c>
      <c r="R292" s="1">
        <f>M292*N292*1000-Q292</f>
        <v/>
      </c>
      <c r="S292" s="5">
        <f>H292/($N292*1000)</f>
        <v/>
      </c>
      <c r="T292" s="5">
        <f>R292/($N292*1000)</f>
        <v/>
      </c>
    </row>
    <row r="293">
      <c r="A293" s="1" t="n">
        <v>292</v>
      </c>
      <c r="B293" s="2">
        <f>DATE(Sintesi!$C$4-1,12,31)+A293</f>
        <v/>
      </c>
      <c r="C293" s="1">
        <f>'Paste cell here'!T293</f>
        <v/>
      </c>
      <c r="D293" s="1">
        <f>'Paste cell here'!AC293</f>
        <v/>
      </c>
      <c r="E293" s="1">
        <f>'Paste cell here'!Y293</f>
        <v/>
      </c>
      <c r="F293" s="1">
        <f>'Paste cell here'!AD293</f>
        <v/>
      </c>
      <c r="G293" s="1">
        <f>'Paste cell here'!W293</f>
        <v/>
      </c>
      <c r="H293" s="1">
        <f>'Paste cell here'!AE293</f>
        <v/>
      </c>
      <c r="I293" s="1">
        <f>'Paste cell here'!AF293</f>
        <v/>
      </c>
      <c r="J293" s="1">
        <f>ABS(I293+C293+D293-E293-F293-G293-H293)</f>
        <v/>
      </c>
      <c r="K293" s="1">
        <f>IF('Bilancio primo strato'!D293&gt;0,1,"")</f>
        <v/>
      </c>
      <c r="L293" s="7">
        <f>Sintesi!$C$34</f>
        <v/>
      </c>
      <c r="M293" s="7">
        <f>Sintesi!$C$33</f>
        <v/>
      </c>
      <c r="N293" s="1">
        <f>'Paste cell here'!AA293</f>
        <v/>
      </c>
      <c r="O293" s="1">
        <f>'Paste cell here'!H293</f>
        <v/>
      </c>
      <c r="P293" s="1">
        <f>(M293-L293)*N293*1000</f>
        <v/>
      </c>
      <c r="Q293" s="1">
        <f>P293*O293</f>
        <v/>
      </c>
      <c r="R293" s="1">
        <f>M293*N293*1000-Q293</f>
        <v/>
      </c>
      <c r="S293" s="5">
        <f>H293/($N293*1000)</f>
        <v/>
      </c>
      <c r="T293" s="5">
        <f>R293/($N293*1000)</f>
        <v/>
      </c>
    </row>
    <row r="294">
      <c r="A294" s="1" t="n">
        <v>293</v>
      </c>
      <c r="B294" s="2">
        <f>DATE(Sintesi!$C$4-1,12,31)+A294</f>
        <v/>
      </c>
      <c r="C294" s="1">
        <f>'Paste cell here'!T294</f>
        <v/>
      </c>
      <c r="D294" s="1">
        <f>'Paste cell here'!AC294</f>
        <v/>
      </c>
      <c r="E294" s="1">
        <f>'Paste cell here'!Y294</f>
        <v/>
      </c>
      <c r="F294" s="1">
        <f>'Paste cell here'!AD294</f>
        <v/>
      </c>
      <c r="G294" s="1">
        <f>'Paste cell here'!W294</f>
        <v/>
      </c>
      <c r="H294" s="1">
        <f>'Paste cell here'!AE294</f>
        <v/>
      </c>
      <c r="I294" s="1">
        <f>'Paste cell here'!AF294</f>
        <v/>
      </c>
      <c r="J294" s="1">
        <f>ABS(I294+C294+D294-E294-F294-G294-H294)</f>
        <v/>
      </c>
      <c r="K294" s="1">
        <f>IF('Bilancio primo strato'!D294&gt;0,1,"")</f>
        <v/>
      </c>
      <c r="L294" s="7">
        <f>Sintesi!$C$34</f>
        <v/>
      </c>
      <c r="M294" s="7">
        <f>Sintesi!$C$33</f>
        <v/>
      </c>
      <c r="N294" s="1">
        <f>'Paste cell here'!AA294</f>
        <v/>
      </c>
      <c r="O294" s="1">
        <f>'Paste cell here'!H294</f>
        <v/>
      </c>
      <c r="P294" s="1">
        <f>(M294-L294)*N294*1000</f>
        <v/>
      </c>
      <c r="Q294" s="1">
        <f>P294*O294</f>
        <v/>
      </c>
      <c r="R294" s="1">
        <f>M294*N294*1000-Q294</f>
        <v/>
      </c>
      <c r="S294" s="5">
        <f>H294/($N294*1000)</f>
        <v/>
      </c>
      <c r="T294" s="5">
        <f>R294/($N294*1000)</f>
        <v/>
      </c>
    </row>
    <row r="295">
      <c r="A295" s="1" t="n">
        <v>294</v>
      </c>
      <c r="B295" s="2">
        <f>DATE(Sintesi!$C$4-1,12,31)+A295</f>
        <v/>
      </c>
      <c r="C295" s="1">
        <f>'Paste cell here'!T295</f>
        <v/>
      </c>
      <c r="D295" s="1">
        <f>'Paste cell here'!AC295</f>
        <v/>
      </c>
      <c r="E295" s="1">
        <f>'Paste cell here'!Y295</f>
        <v/>
      </c>
      <c r="F295" s="1">
        <f>'Paste cell here'!AD295</f>
        <v/>
      </c>
      <c r="G295" s="1">
        <f>'Paste cell here'!W295</f>
        <v/>
      </c>
      <c r="H295" s="1">
        <f>'Paste cell here'!AE295</f>
        <v/>
      </c>
      <c r="I295" s="1">
        <f>'Paste cell here'!AF295</f>
        <v/>
      </c>
      <c r="J295" s="1">
        <f>ABS(I295+C295+D295-E295-F295-G295-H295)</f>
        <v/>
      </c>
      <c r="K295" s="1">
        <f>IF('Bilancio primo strato'!D295&gt;0,1,"")</f>
        <v/>
      </c>
      <c r="L295" s="7">
        <f>Sintesi!$C$34</f>
        <v/>
      </c>
      <c r="M295" s="7">
        <f>Sintesi!$C$33</f>
        <v/>
      </c>
      <c r="N295" s="1">
        <f>'Paste cell here'!AA295</f>
        <v/>
      </c>
      <c r="O295" s="1">
        <f>'Paste cell here'!H295</f>
        <v/>
      </c>
      <c r="P295" s="1">
        <f>(M295-L295)*N295*1000</f>
        <v/>
      </c>
      <c r="Q295" s="1">
        <f>P295*O295</f>
        <v/>
      </c>
      <c r="R295" s="1">
        <f>M295*N295*1000-Q295</f>
        <v/>
      </c>
      <c r="S295" s="5">
        <f>H295/($N295*1000)</f>
        <v/>
      </c>
      <c r="T295" s="5">
        <f>R295/($N295*1000)</f>
        <v/>
      </c>
    </row>
    <row r="296">
      <c r="A296" s="1" t="n">
        <v>295</v>
      </c>
      <c r="B296" s="2">
        <f>DATE(Sintesi!$C$4-1,12,31)+A296</f>
        <v/>
      </c>
      <c r="C296" s="1">
        <f>'Paste cell here'!T296</f>
        <v/>
      </c>
      <c r="D296" s="1">
        <f>'Paste cell here'!AC296</f>
        <v/>
      </c>
      <c r="E296" s="1">
        <f>'Paste cell here'!Y296</f>
        <v/>
      </c>
      <c r="F296" s="1">
        <f>'Paste cell here'!AD296</f>
        <v/>
      </c>
      <c r="G296" s="1">
        <f>'Paste cell here'!W296</f>
        <v/>
      </c>
      <c r="H296" s="1">
        <f>'Paste cell here'!AE296</f>
        <v/>
      </c>
      <c r="I296" s="1">
        <f>'Paste cell here'!AF296</f>
        <v/>
      </c>
      <c r="J296" s="1">
        <f>ABS(I296+C296+D296-E296-F296-G296-H296)</f>
        <v/>
      </c>
      <c r="K296" s="1">
        <f>IF('Bilancio primo strato'!D296&gt;0,1,"")</f>
        <v/>
      </c>
      <c r="L296" s="7">
        <f>Sintesi!$C$34</f>
        <v/>
      </c>
      <c r="M296" s="7">
        <f>Sintesi!$C$33</f>
        <v/>
      </c>
      <c r="N296" s="1">
        <f>'Paste cell here'!AA296</f>
        <v/>
      </c>
      <c r="O296" s="1">
        <f>'Paste cell here'!H296</f>
        <v/>
      </c>
      <c r="P296" s="1">
        <f>(M296-L296)*N296*1000</f>
        <v/>
      </c>
      <c r="Q296" s="1">
        <f>P296*O296</f>
        <v/>
      </c>
      <c r="R296" s="1">
        <f>M296*N296*1000-Q296</f>
        <v/>
      </c>
      <c r="S296" s="5">
        <f>H296/($N296*1000)</f>
        <v/>
      </c>
      <c r="T296" s="5">
        <f>R296/($N296*1000)</f>
        <v/>
      </c>
    </row>
    <row r="297">
      <c r="A297" s="1" t="n">
        <v>296</v>
      </c>
      <c r="B297" s="2">
        <f>DATE(Sintesi!$C$4-1,12,31)+A297</f>
        <v/>
      </c>
      <c r="C297" s="1">
        <f>'Paste cell here'!T297</f>
        <v/>
      </c>
      <c r="D297" s="1">
        <f>'Paste cell here'!AC297</f>
        <v/>
      </c>
      <c r="E297" s="1">
        <f>'Paste cell here'!Y297</f>
        <v/>
      </c>
      <c r="F297" s="1">
        <f>'Paste cell here'!AD297</f>
        <v/>
      </c>
      <c r="G297" s="1">
        <f>'Paste cell here'!W297</f>
        <v/>
      </c>
      <c r="H297" s="1">
        <f>'Paste cell here'!AE297</f>
        <v/>
      </c>
      <c r="I297" s="1">
        <f>'Paste cell here'!AF297</f>
        <v/>
      </c>
      <c r="J297" s="1">
        <f>ABS(I297+C297+D297-E297-F297-G297-H297)</f>
        <v/>
      </c>
      <c r="K297" s="1">
        <f>IF('Bilancio primo strato'!D297&gt;0,1,"")</f>
        <v/>
      </c>
      <c r="L297" s="7">
        <f>Sintesi!$C$34</f>
        <v/>
      </c>
      <c r="M297" s="7">
        <f>Sintesi!$C$33</f>
        <v/>
      </c>
      <c r="N297" s="1">
        <f>'Paste cell here'!AA297</f>
        <v/>
      </c>
      <c r="O297" s="1">
        <f>'Paste cell here'!H297</f>
        <v/>
      </c>
      <c r="P297" s="1">
        <f>(M297-L297)*N297*1000</f>
        <v/>
      </c>
      <c r="Q297" s="1">
        <f>P297*O297</f>
        <v/>
      </c>
      <c r="R297" s="1">
        <f>M297*N297*1000-Q297</f>
        <v/>
      </c>
      <c r="S297" s="5">
        <f>H297/($N297*1000)</f>
        <v/>
      </c>
      <c r="T297" s="5">
        <f>R297/($N297*1000)</f>
        <v/>
      </c>
    </row>
    <row r="298">
      <c r="A298" s="1" t="n">
        <v>297</v>
      </c>
      <c r="B298" s="2">
        <f>DATE(Sintesi!$C$4-1,12,31)+A298</f>
        <v/>
      </c>
      <c r="C298" s="1">
        <f>'Paste cell here'!T298</f>
        <v/>
      </c>
      <c r="D298" s="1">
        <f>'Paste cell here'!AC298</f>
        <v/>
      </c>
      <c r="E298" s="1">
        <f>'Paste cell here'!Y298</f>
        <v/>
      </c>
      <c r="F298" s="1">
        <f>'Paste cell here'!AD298</f>
        <v/>
      </c>
      <c r="G298" s="1">
        <f>'Paste cell here'!W298</f>
        <v/>
      </c>
      <c r="H298" s="1">
        <f>'Paste cell here'!AE298</f>
        <v/>
      </c>
      <c r="I298" s="1">
        <f>'Paste cell here'!AF298</f>
        <v/>
      </c>
      <c r="J298" s="1">
        <f>ABS(I298+C298+D298-E298-F298-G298-H298)</f>
        <v/>
      </c>
      <c r="K298" s="1">
        <f>IF('Bilancio primo strato'!D298&gt;0,1,"")</f>
        <v/>
      </c>
      <c r="L298" s="7">
        <f>Sintesi!$C$34</f>
        <v/>
      </c>
      <c r="M298" s="7">
        <f>Sintesi!$C$33</f>
        <v/>
      </c>
      <c r="N298" s="1">
        <f>'Paste cell here'!AA298</f>
        <v/>
      </c>
      <c r="O298" s="1">
        <f>'Paste cell here'!H298</f>
        <v/>
      </c>
      <c r="P298" s="1">
        <f>(M298-L298)*N298*1000</f>
        <v/>
      </c>
      <c r="Q298" s="1">
        <f>P298*O298</f>
        <v/>
      </c>
      <c r="R298" s="1">
        <f>M298*N298*1000-Q298</f>
        <v/>
      </c>
      <c r="S298" s="5">
        <f>H298/($N298*1000)</f>
        <v/>
      </c>
      <c r="T298" s="5">
        <f>R298/($N298*1000)</f>
        <v/>
      </c>
    </row>
    <row r="299">
      <c r="A299" s="1" t="n">
        <v>298</v>
      </c>
      <c r="B299" s="2">
        <f>DATE(Sintesi!$C$4-1,12,31)+A299</f>
        <v/>
      </c>
      <c r="C299" s="1">
        <f>'Paste cell here'!T299</f>
        <v/>
      </c>
      <c r="D299" s="1">
        <f>'Paste cell here'!AC299</f>
        <v/>
      </c>
      <c r="E299" s="1">
        <f>'Paste cell here'!Y299</f>
        <v/>
      </c>
      <c r="F299" s="1">
        <f>'Paste cell here'!AD299</f>
        <v/>
      </c>
      <c r="G299" s="1">
        <f>'Paste cell here'!W299</f>
        <v/>
      </c>
      <c r="H299" s="1">
        <f>'Paste cell here'!AE299</f>
        <v/>
      </c>
      <c r="I299" s="1">
        <f>'Paste cell here'!AF299</f>
        <v/>
      </c>
      <c r="J299" s="1">
        <f>ABS(I299+C299+D299-E299-F299-G299-H299)</f>
        <v/>
      </c>
      <c r="K299" s="1">
        <f>IF('Bilancio primo strato'!D299&gt;0,1,"")</f>
        <v/>
      </c>
      <c r="L299" s="7">
        <f>Sintesi!$C$34</f>
        <v/>
      </c>
      <c r="M299" s="7">
        <f>Sintesi!$C$33</f>
        <v/>
      </c>
      <c r="N299" s="1">
        <f>'Paste cell here'!AA299</f>
        <v/>
      </c>
      <c r="O299" s="1">
        <f>'Paste cell here'!H299</f>
        <v/>
      </c>
      <c r="P299" s="1">
        <f>(M299-L299)*N299*1000</f>
        <v/>
      </c>
      <c r="Q299" s="1">
        <f>P299*O299</f>
        <v/>
      </c>
      <c r="R299" s="1">
        <f>M299*N299*1000-Q299</f>
        <v/>
      </c>
      <c r="S299" s="5">
        <f>H299/($N299*1000)</f>
        <v/>
      </c>
      <c r="T299" s="5">
        <f>R299/($N299*1000)</f>
        <v/>
      </c>
    </row>
    <row r="300">
      <c r="A300" s="1" t="n">
        <v>299</v>
      </c>
      <c r="B300" s="2">
        <f>DATE(Sintesi!$C$4-1,12,31)+A300</f>
        <v/>
      </c>
      <c r="C300" s="1">
        <f>'Paste cell here'!T300</f>
        <v/>
      </c>
      <c r="D300" s="1">
        <f>'Paste cell here'!AC300</f>
        <v/>
      </c>
      <c r="E300" s="1">
        <f>'Paste cell here'!Y300</f>
        <v/>
      </c>
      <c r="F300" s="1">
        <f>'Paste cell here'!AD300</f>
        <v/>
      </c>
      <c r="G300" s="1">
        <f>'Paste cell here'!W300</f>
        <v/>
      </c>
      <c r="H300" s="1">
        <f>'Paste cell here'!AE300</f>
        <v/>
      </c>
      <c r="I300" s="1">
        <f>'Paste cell here'!AF300</f>
        <v/>
      </c>
      <c r="J300" s="1">
        <f>ABS(I300+C300+D300-E300-F300-G300-H300)</f>
        <v/>
      </c>
      <c r="K300" s="1">
        <f>IF('Bilancio primo strato'!D300&gt;0,1,"")</f>
        <v/>
      </c>
      <c r="L300" s="7">
        <f>Sintesi!$C$34</f>
        <v/>
      </c>
      <c r="M300" s="7">
        <f>Sintesi!$C$33</f>
        <v/>
      </c>
      <c r="N300" s="1">
        <f>'Paste cell here'!AA300</f>
        <v/>
      </c>
      <c r="O300" s="1">
        <f>'Paste cell here'!H300</f>
        <v/>
      </c>
      <c r="P300" s="1">
        <f>(M300-L300)*N300*1000</f>
        <v/>
      </c>
      <c r="Q300" s="1">
        <f>P300*O300</f>
        <v/>
      </c>
      <c r="R300" s="1">
        <f>M300*N300*1000-Q300</f>
        <v/>
      </c>
      <c r="S300" s="5">
        <f>H300/($N300*1000)</f>
        <v/>
      </c>
      <c r="T300" s="5">
        <f>R300/($N300*1000)</f>
        <v/>
      </c>
    </row>
    <row r="301">
      <c r="A301" s="1" t="n">
        <v>300</v>
      </c>
      <c r="B301" s="2">
        <f>DATE(Sintesi!$C$4-1,12,31)+A301</f>
        <v/>
      </c>
      <c r="C301" s="1">
        <f>'Paste cell here'!T301</f>
        <v/>
      </c>
      <c r="D301" s="1">
        <f>'Paste cell here'!AC301</f>
        <v/>
      </c>
      <c r="E301" s="1">
        <f>'Paste cell here'!Y301</f>
        <v/>
      </c>
      <c r="F301" s="1">
        <f>'Paste cell here'!AD301</f>
        <v/>
      </c>
      <c r="G301" s="1">
        <f>'Paste cell here'!W301</f>
        <v/>
      </c>
      <c r="H301" s="1">
        <f>'Paste cell here'!AE301</f>
        <v/>
      </c>
      <c r="I301" s="1">
        <f>'Paste cell here'!AF301</f>
        <v/>
      </c>
      <c r="J301" s="1">
        <f>ABS(I301+C301+D301-E301-F301-G301-H301)</f>
        <v/>
      </c>
      <c r="K301" s="1">
        <f>IF('Bilancio primo strato'!D301&gt;0,1,"")</f>
        <v/>
      </c>
      <c r="L301" s="7">
        <f>Sintesi!$C$34</f>
        <v/>
      </c>
      <c r="M301" s="7">
        <f>Sintesi!$C$33</f>
        <v/>
      </c>
      <c r="N301" s="1">
        <f>'Paste cell here'!AA301</f>
        <v/>
      </c>
      <c r="O301" s="1">
        <f>'Paste cell here'!H301</f>
        <v/>
      </c>
      <c r="P301" s="1">
        <f>(M301-L301)*N301*1000</f>
        <v/>
      </c>
      <c r="Q301" s="1">
        <f>P301*O301</f>
        <v/>
      </c>
      <c r="R301" s="1">
        <f>M301*N301*1000-Q301</f>
        <v/>
      </c>
      <c r="S301" s="5">
        <f>H301/($N301*1000)</f>
        <v/>
      </c>
      <c r="T301" s="5">
        <f>R301/($N301*1000)</f>
        <v/>
      </c>
    </row>
    <row r="302">
      <c r="A302" s="1" t="n">
        <v>301</v>
      </c>
      <c r="B302" s="2">
        <f>DATE(Sintesi!$C$4-1,12,31)+A302</f>
        <v/>
      </c>
      <c r="C302" s="1">
        <f>'Paste cell here'!T302</f>
        <v/>
      </c>
      <c r="D302" s="1">
        <f>'Paste cell here'!AC302</f>
        <v/>
      </c>
      <c r="E302" s="1">
        <f>'Paste cell here'!Y302</f>
        <v/>
      </c>
      <c r="F302" s="1">
        <f>'Paste cell here'!AD302</f>
        <v/>
      </c>
      <c r="G302" s="1">
        <f>'Paste cell here'!W302</f>
        <v/>
      </c>
      <c r="H302" s="1">
        <f>'Paste cell here'!AE302</f>
        <v/>
      </c>
      <c r="I302" s="1">
        <f>'Paste cell here'!AF302</f>
        <v/>
      </c>
      <c r="J302" s="1">
        <f>ABS(I302+C302+D302-E302-F302-G302-H302)</f>
        <v/>
      </c>
      <c r="K302" s="1">
        <f>IF('Bilancio primo strato'!D302&gt;0,1,"")</f>
        <v/>
      </c>
      <c r="L302" s="7">
        <f>Sintesi!$C$34</f>
        <v/>
      </c>
      <c r="M302" s="7">
        <f>Sintesi!$C$33</f>
        <v/>
      </c>
      <c r="N302" s="1">
        <f>'Paste cell here'!AA302</f>
        <v/>
      </c>
      <c r="O302" s="1">
        <f>'Paste cell here'!H302</f>
        <v/>
      </c>
      <c r="P302" s="1">
        <f>(M302-L302)*N302*1000</f>
        <v/>
      </c>
      <c r="Q302" s="1">
        <f>P302*O302</f>
        <v/>
      </c>
      <c r="R302" s="1">
        <f>M302*N302*1000-Q302</f>
        <v/>
      </c>
      <c r="S302" s="5">
        <f>H302/($N302*1000)</f>
        <v/>
      </c>
      <c r="T302" s="5">
        <f>R302/($N302*1000)</f>
        <v/>
      </c>
    </row>
    <row r="303">
      <c r="A303" s="1" t="n">
        <v>302</v>
      </c>
      <c r="B303" s="2">
        <f>DATE(Sintesi!$C$4-1,12,31)+A303</f>
        <v/>
      </c>
      <c r="C303" s="1">
        <f>'Paste cell here'!T303</f>
        <v/>
      </c>
      <c r="D303" s="1">
        <f>'Paste cell here'!AC303</f>
        <v/>
      </c>
      <c r="E303" s="1">
        <f>'Paste cell here'!Y303</f>
        <v/>
      </c>
      <c r="F303" s="1">
        <f>'Paste cell here'!AD303</f>
        <v/>
      </c>
      <c r="G303" s="1">
        <f>'Paste cell here'!W303</f>
        <v/>
      </c>
      <c r="H303" s="1">
        <f>'Paste cell here'!AE303</f>
        <v/>
      </c>
      <c r="I303" s="1">
        <f>'Paste cell here'!AF303</f>
        <v/>
      </c>
      <c r="J303" s="1">
        <f>ABS(I303+C303+D303-E303-F303-G303-H303)</f>
        <v/>
      </c>
      <c r="K303" s="1">
        <f>IF('Bilancio primo strato'!D303&gt;0,1,"")</f>
        <v/>
      </c>
      <c r="L303" s="7">
        <f>Sintesi!$C$34</f>
        <v/>
      </c>
      <c r="M303" s="7">
        <f>Sintesi!$C$33</f>
        <v/>
      </c>
      <c r="N303" s="1">
        <f>'Paste cell here'!AA303</f>
        <v/>
      </c>
      <c r="O303" s="1">
        <f>'Paste cell here'!H303</f>
        <v/>
      </c>
      <c r="P303" s="1">
        <f>(M303-L303)*N303*1000</f>
        <v/>
      </c>
      <c r="Q303" s="1">
        <f>P303*O303</f>
        <v/>
      </c>
      <c r="R303" s="1">
        <f>M303*N303*1000-Q303</f>
        <v/>
      </c>
      <c r="S303" s="5">
        <f>H303/($N303*1000)</f>
        <v/>
      </c>
      <c r="T303" s="5">
        <f>R303/($N303*1000)</f>
        <v/>
      </c>
    </row>
    <row r="304">
      <c r="A304" s="1" t="n">
        <v>303</v>
      </c>
      <c r="B304" s="2">
        <f>DATE(Sintesi!$C$4-1,12,31)+A304</f>
        <v/>
      </c>
      <c r="C304" s="1">
        <f>'Paste cell here'!T304</f>
        <v/>
      </c>
      <c r="D304" s="1">
        <f>'Paste cell here'!AC304</f>
        <v/>
      </c>
      <c r="E304" s="1">
        <f>'Paste cell here'!Y304</f>
        <v/>
      </c>
      <c r="F304" s="1">
        <f>'Paste cell here'!AD304</f>
        <v/>
      </c>
      <c r="G304" s="1">
        <f>'Paste cell here'!W304</f>
        <v/>
      </c>
      <c r="H304" s="1">
        <f>'Paste cell here'!AE304</f>
        <v/>
      </c>
      <c r="I304" s="1">
        <f>'Paste cell here'!AF304</f>
        <v/>
      </c>
      <c r="J304" s="1">
        <f>ABS(I304+C304+D304-E304-F304-G304-H304)</f>
        <v/>
      </c>
      <c r="K304" s="1">
        <f>IF('Bilancio primo strato'!D304&gt;0,1,"")</f>
        <v/>
      </c>
      <c r="L304" s="7">
        <f>Sintesi!$C$34</f>
        <v/>
      </c>
      <c r="M304" s="7">
        <f>Sintesi!$C$33</f>
        <v/>
      </c>
      <c r="N304" s="1">
        <f>'Paste cell here'!AA304</f>
        <v/>
      </c>
      <c r="O304" s="1">
        <f>'Paste cell here'!H304</f>
        <v/>
      </c>
      <c r="P304" s="1">
        <f>(M304-L304)*N304*1000</f>
        <v/>
      </c>
      <c r="Q304" s="1">
        <f>P304*O304</f>
        <v/>
      </c>
      <c r="R304" s="1">
        <f>M304*N304*1000-Q304</f>
        <v/>
      </c>
      <c r="S304" s="5">
        <f>H304/($N304*1000)</f>
        <v/>
      </c>
      <c r="T304" s="5">
        <f>R304/($N304*1000)</f>
        <v/>
      </c>
    </row>
    <row r="305">
      <c r="A305" s="1" t="n">
        <v>304</v>
      </c>
      <c r="B305" s="2">
        <f>DATE(Sintesi!$C$4-1,12,31)+A305</f>
        <v/>
      </c>
      <c r="C305" s="1">
        <f>'Paste cell here'!T305</f>
        <v/>
      </c>
      <c r="D305" s="1">
        <f>'Paste cell here'!AC305</f>
        <v/>
      </c>
      <c r="E305" s="1">
        <f>'Paste cell here'!Y305</f>
        <v/>
      </c>
      <c r="F305" s="1">
        <f>'Paste cell here'!AD305</f>
        <v/>
      </c>
      <c r="G305" s="1">
        <f>'Paste cell here'!W305</f>
        <v/>
      </c>
      <c r="H305" s="1">
        <f>'Paste cell here'!AE305</f>
        <v/>
      </c>
      <c r="I305" s="1">
        <f>'Paste cell here'!AF305</f>
        <v/>
      </c>
      <c r="J305" s="1">
        <f>ABS(I305+C305+D305-E305-F305-G305-H305)</f>
        <v/>
      </c>
      <c r="K305" s="1">
        <f>IF('Bilancio primo strato'!D305&gt;0,1,"")</f>
        <v/>
      </c>
      <c r="L305" s="7">
        <f>Sintesi!$C$34</f>
        <v/>
      </c>
      <c r="M305" s="7">
        <f>Sintesi!$C$33</f>
        <v/>
      </c>
      <c r="N305" s="1">
        <f>'Paste cell here'!AA305</f>
        <v/>
      </c>
      <c r="O305" s="1">
        <f>'Paste cell here'!H305</f>
        <v/>
      </c>
      <c r="P305" s="1">
        <f>(M305-L305)*N305*1000</f>
        <v/>
      </c>
      <c r="Q305" s="1">
        <f>P305*O305</f>
        <v/>
      </c>
      <c r="R305" s="1">
        <f>M305*N305*1000-Q305</f>
        <v/>
      </c>
      <c r="S305" s="5">
        <f>H305/($N305*1000)</f>
        <v/>
      </c>
      <c r="T305" s="5">
        <f>R305/($N305*1000)</f>
        <v/>
      </c>
    </row>
    <row r="306">
      <c r="A306" s="1" t="n">
        <v>305</v>
      </c>
      <c r="B306" s="2">
        <f>DATE(Sintesi!$C$4-1,12,31)+A306</f>
        <v/>
      </c>
      <c r="C306" s="1">
        <f>'Paste cell here'!T306</f>
        <v/>
      </c>
      <c r="D306" s="1">
        <f>'Paste cell here'!AC306</f>
        <v/>
      </c>
      <c r="E306" s="1">
        <f>'Paste cell here'!Y306</f>
        <v/>
      </c>
      <c r="F306" s="1">
        <f>'Paste cell here'!AD306</f>
        <v/>
      </c>
      <c r="G306" s="1">
        <f>'Paste cell here'!W306</f>
        <v/>
      </c>
      <c r="H306" s="1">
        <f>'Paste cell here'!AE306</f>
        <v/>
      </c>
      <c r="I306" s="1">
        <f>'Paste cell here'!AF306</f>
        <v/>
      </c>
      <c r="J306" s="1">
        <f>ABS(I306+C306+D306-E306-F306-G306-H306)</f>
        <v/>
      </c>
      <c r="K306" s="1">
        <f>IF('Bilancio primo strato'!D306&gt;0,1,"")</f>
        <v/>
      </c>
      <c r="L306" s="7">
        <f>Sintesi!$C$34</f>
        <v/>
      </c>
      <c r="M306" s="7">
        <f>Sintesi!$C$33</f>
        <v/>
      </c>
      <c r="N306" s="1">
        <f>'Paste cell here'!AA306</f>
        <v/>
      </c>
      <c r="O306" s="1">
        <f>'Paste cell here'!H306</f>
        <v/>
      </c>
      <c r="P306" s="1">
        <f>(M306-L306)*N306*1000</f>
        <v/>
      </c>
      <c r="Q306" s="1">
        <f>P306*O306</f>
        <v/>
      </c>
      <c r="R306" s="1">
        <f>M306*N306*1000-Q306</f>
        <v/>
      </c>
      <c r="S306" s="5">
        <f>H306/($N306*1000)</f>
        <v/>
      </c>
      <c r="T306" s="5">
        <f>R306/($N306*1000)</f>
        <v/>
      </c>
    </row>
    <row r="307">
      <c r="A307" s="1" t="n">
        <v>306</v>
      </c>
      <c r="B307" s="2">
        <f>DATE(Sintesi!$C$4-1,12,31)+A307</f>
        <v/>
      </c>
      <c r="C307" s="1">
        <f>'Paste cell here'!T307</f>
        <v/>
      </c>
      <c r="D307" s="1">
        <f>'Paste cell here'!AC307</f>
        <v/>
      </c>
      <c r="E307" s="1">
        <f>'Paste cell here'!Y307</f>
        <v/>
      </c>
      <c r="F307" s="1">
        <f>'Paste cell here'!AD307</f>
        <v/>
      </c>
      <c r="G307" s="1">
        <f>'Paste cell here'!W307</f>
        <v/>
      </c>
      <c r="H307" s="1">
        <f>'Paste cell here'!AE307</f>
        <v/>
      </c>
      <c r="I307" s="1">
        <f>'Paste cell here'!AF307</f>
        <v/>
      </c>
      <c r="J307" s="1">
        <f>ABS(I307+C307+D307-E307-F307-G307-H307)</f>
        <v/>
      </c>
      <c r="K307" s="1">
        <f>IF('Bilancio primo strato'!D307&gt;0,1,"")</f>
        <v/>
      </c>
      <c r="L307" s="7">
        <f>Sintesi!$C$34</f>
        <v/>
      </c>
      <c r="M307" s="7">
        <f>Sintesi!$C$33</f>
        <v/>
      </c>
      <c r="N307" s="1">
        <f>'Paste cell here'!AA307</f>
        <v/>
      </c>
      <c r="O307" s="1">
        <f>'Paste cell here'!H307</f>
        <v/>
      </c>
      <c r="P307" s="1">
        <f>(M307-L307)*N307*1000</f>
        <v/>
      </c>
      <c r="Q307" s="1">
        <f>P307*O307</f>
        <v/>
      </c>
      <c r="R307" s="1">
        <f>M307*N307*1000-Q307</f>
        <v/>
      </c>
      <c r="S307" s="5">
        <f>H307/($N307*1000)</f>
        <v/>
      </c>
      <c r="T307" s="5">
        <f>R307/($N307*1000)</f>
        <v/>
      </c>
    </row>
    <row r="308">
      <c r="A308" s="1" t="n">
        <v>307</v>
      </c>
      <c r="B308" s="2">
        <f>DATE(Sintesi!$C$4-1,12,31)+A308</f>
        <v/>
      </c>
      <c r="C308" s="1">
        <f>'Paste cell here'!T308</f>
        <v/>
      </c>
      <c r="D308" s="1">
        <f>'Paste cell here'!AC308</f>
        <v/>
      </c>
      <c r="E308" s="1">
        <f>'Paste cell here'!Y308</f>
        <v/>
      </c>
      <c r="F308" s="1">
        <f>'Paste cell here'!AD308</f>
        <v/>
      </c>
      <c r="G308" s="1">
        <f>'Paste cell here'!W308</f>
        <v/>
      </c>
      <c r="H308" s="1">
        <f>'Paste cell here'!AE308</f>
        <v/>
      </c>
      <c r="I308" s="1">
        <f>'Paste cell here'!AF308</f>
        <v/>
      </c>
      <c r="J308" s="1">
        <f>ABS(I308+C308+D308-E308-F308-G308-H308)</f>
        <v/>
      </c>
      <c r="K308" s="1">
        <f>IF('Bilancio primo strato'!D308&gt;0,1,"")</f>
        <v/>
      </c>
      <c r="L308" s="7">
        <f>Sintesi!$C$34</f>
        <v/>
      </c>
      <c r="M308" s="7">
        <f>Sintesi!$C$33</f>
        <v/>
      </c>
      <c r="N308" s="1">
        <f>'Paste cell here'!AA308</f>
        <v/>
      </c>
      <c r="O308" s="1">
        <f>'Paste cell here'!H308</f>
        <v/>
      </c>
      <c r="P308" s="1">
        <f>(M308-L308)*N308*1000</f>
        <v/>
      </c>
      <c r="Q308" s="1">
        <f>P308*O308</f>
        <v/>
      </c>
      <c r="R308" s="1">
        <f>M308*N308*1000-Q308</f>
        <v/>
      </c>
      <c r="S308" s="5">
        <f>H308/($N308*1000)</f>
        <v/>
      </c>
      <c r="T308" s="5">
        <f>R308/($N308*1000)</f>
        <v/>
      </c>
    </row>
    <row r="309">
      <c r="A309" s="1" t="n">
        <v>308</v>
      </c>
      <c r="B309" s="2">
        <f>DATE(Sintesi!$C$4-1,12,31)+A309</f>
        <v/>
      </c>
      <c r="C309" s="1">
        <f>'Paste cell here'!T309</f>
        <v/>
      </c>
      <c r="D309" s="1">
        <f>'Paste cell here'!AC309</f>
        <v/>
      </c>
      <c r="E309" s="1">
        <f>'Paste cell here'!Y309</f>
        <v/>
      </c>
      <c r="F309" s="1">
        <f>'Paste cell here'!AD309</f>
        <v/>
      </c>
      <c r="G309" s="1">
        <f>'Paste cell here'!W309</f>
        <v/>
      </c>
      <c r="H309" s="1">
        <f>'Paste cell here'!AE309</f>
        <v/>
      </c>
      <c r="I309" s="1">
        <f>'Paste cell here'!AF309</f>
        <v/>
      </c>
      <c r="J309" s="1">
        <f>ABS(I309+C309+D309-E309-F309-G309-H309)</f>
        <v/>
      </c>
      <c r="K309" s="1">
        <f>IF('Bilancio primo strato'!D309&gt;0,1,"")</f>
        <v/>
      </c>
      <c r="L309" s="7">
        <f>Sintesi!$C$34</f>
        <v/>
      </c>
      <c r="M309" s="7">
        <f>Sintesi!$C$33</f>
        <v/>
      </c>
      <c r="N309" s="1">
        <f>'Paste cell here'!AA309</f>
        <v/>
      </c>
      <c r="O309" s="1">
        <f>'Paste cell here'!H309</f>
        <v/>
      </c>
      <c r="P309" s="1">
        <f>(M309-L309)*N309*1000</f>
        <v/>
      </c>
      <c r="Q309" s="1">
        <f>P309*O309</f>
        <v/>
      </c>
      <c r="R309" s="1">
        <f>M309*N309*1000-Q309</f>
        <v/>
      </c>
      <c r="S309" s="5">
        <f>H309/($N309*1000)</f>
        <v/>
      </c>
      <c r="T309" s="5">
        <f>R309/($N309*1000)</f>
        <v/>
      </c>
    </row>
    <row r="310">
      <c r="A310" s="1" t="n">
        <v>309</v>
      </c>
      <c r="B310" s="2">
        <f>DATE(Sintesi!$C$4-1,12,31)+A310</f>
        <v/>
      </c>
      <c r="C310" s="1">
        <f>'Paste cell here'!T310</f>
        <v/>
      </c>
      <c r="D310" s="1">
        <f>'Paste cell here'!AC310</f>
        <v/>
      </c>
      <c r="E310" s="1">
        <f>'Paste cell here'!Y310</f>
        <v/>
      </c>
      <c r="F310" s="1">
        <f>'Paste cell here'!AD310</f>
        <v/>
      </c>
      <c r="G310" s="1">
        <f>'Paste cell here'!W310</f>
        <v/>
      </c>
      <c r="H310" s="1">
        <f>'Paste cell here'!AE310</f>
        <v/>
      </c>
      <c r="I310" s="1">
        <f>'Paste cell here'!AF310</f>
        <v/>
      </c>
      <c r="J310" s="1">
        <f>ABS(I310+C310+D310-E310-F310-G310-H310)</f>
        <v/>
      </c>
      <c r="K310" s="1">
        <f>IF('Bilancio primo strato'!D310&gt;0,1,"")</f>
        <v/>
      </c>
      <c r="L310" s="7">
        <f>Sintesi!$C$34</f>
        <v/>
      </c>
      <c r="M310" s="7">
        <f>Sintesi!$C$33</f>
        <v/>
      </c>
      <c r="N310" s="1">
        <f>'Paste cell here'!AA310</f>
        <v/>
      </c>
      <c r="O310" s="1">
        <f>'Paste cell here'!H310</f>
        <v/>
      </c>
      <c r="P310" s="1">
        <f>(M310-L310)*N310*1000</f>
        <v/>
      </c>
      <c r="Q310" s="1">
        <f>P310*O310</f>
        <v/>
      </c>
      <c r="R310" s="1">
        <f>M310*N310*1000-Q310</f>
        <v/>
      </c>
      <c r="S310" s="5">
        <f>H310/($N310*1000)</f>
        <v/>
      </c>
      <c r="T310" s="5">
        <f>R310/($N310*1000)</f>
        <v/>
      </c>
    </row>
    <row r="311">
      <c r="A311" s="1" t="n">
        <v>310</v>
      </c>
      <c r="B311" s="2">
        <f>DATE(Sintesi!$C$4-1,12,31)+A311</f>
        <v/>
      </c>
      <c r="C311" s="1">
        <f>'Paste cell here'!T311</f>
        <v/>
      </c>
      <c r="D311" s="1">
        <f>'Paste cell here'!AC311</f>
        <v/>
      </c>
      <c r="E311" s="1">
        <f>'Paste cell here'!Y311</f>
        <v/>
      </c>
      <c r="F311" s="1">
        <f>'Paste cell here'!AD311</f>
        <v/>
      </c>
      <c r="G311" s="1">
        <f>'Paste cell here'!W311</f>
        <v/>
      </c>
      <c r="H311" s="1">
        <f>'Paste cell here'!AE311</f>
        <v/>
      </c>
      <c r="I311" s="1">
        <f>'Paste cell here'!AF311</f>
        <v/>
      </c>
      <c r="J311" s="1">
        <f>ABS(I311+C311+D311-E311-F311-G311-H311)</f>
        <v/>
      </c>
      <c r="K311" s="1">
        <f>IF('Bilancio primo strato'!D311&gt;0,1,"")</f>
        <v/>
      </c>
      <c r="L311" s="7">
        <f>Sintesi!$C$34</f>
        <v/>
      </c>
      <c r="M311" s="7">
        <f>Sintesi!$C$33</f>
        <v/>
      </c>
      <c r="N311" s="1">
        <f>'Paste cell here'!AA311</f>
        <v/>
      </c>
      <c r="O311" s="1">
        <f>'Paste cell here'!H311</f>
        <v/>
      </c>
      <c r="P311" s="1">
        <f>(M311-L311)*N311*1000</f>
        <v/>
      </c>
      <c r="Q311" s="1">
        <f>P311*O311</f>
        <v/>
      </c>
      <c r="R311" s="1">
        <f>M311*N311*1000-Q311</f>
        <v/>
      </c>
      <c r="S311" s="5">
        <f>H311/($N311*1000)</f>
        <v/>
      </c>
      <c r="T311" s="5">
        <f>R311/($N311*1000)</f>
        <v/>
      </c>
    </row>
    <row r="312">
      <c r="A312" s="1" t="n">
        <v>311</v>
      </c>
      <c r="B312" s="2">
        <f>DATE(Sintesi!$C$4-1,12,31)+A312</f>
        <v/>
      </c>
      <c r="C312" s="1">
        <f>'Paste cell here'!T312</f>
        <v/>
      </c>
      <c r="D312" s="1">
        <f>'Paste cell here'!AC312</f>
        <v/>
      </c>
      <c r="E312" s="1">
        <f>'Paste cell here'!Y312</f>
        <v/>
      </c>
      <c r="F312" s="1">
        <f>'Paste cell here'!AD312</f>
        <v/>
      </c>
      <c r="G312" s="1">
        <f>'Paste cell here'!W312</f>
        <v/>
      </c>
      <c r="H312" s="1">
        <f>'Paste cell here'!AE312</f>
        <v/>
      </c>
      <c r="I312" s="1">
        <f>'Paste cell here'!AF312</f>
        <v/>
      </c>
      <c r="J312" s="1">
        <f>ABS(I312+C312+D312-E312-F312-G312-H312)</f>
        <v/>
      </c>
      <c r="K312" s="1">
        <f>IF('Bilancio primo strato'!D312&gt;0,1,"")</f>
        <v/>
      </c>
      <c r="L312" s="7">
        <f>Sintesi!$C$34</f>
        <v/>
      </c>
      <c r="M312" s="7">
        <f>Sintesi!$C$33</f>
        <v/>
      </c>
      <c r="N312" s="1">
        <f>'Paste cell here'!AA312</f>
        <v/>
      </c>
      <c r="O312" s="1">
        <f>'Paste cell here'!H312</f>
        <v/>
      </c>
      <c r="P312" s="1">
        <f>(M312-L312)*N312*1000</f>
        <v/>
      </c>
      <c r="Q312" s="1">
        <f>P312*O312</f>
        <v/>
      </c>
      <c r="R312" s="1">
        <f>M312*N312*1000-Q312</f>
        <v/>
      </c>
      <c r="S312" s="5">
        <f>H312/($N312*1000)</f>
        <v/>
      </c>
      <c r="T312" s="5">
        <f>R312/($N312*1000)</f>
        <v/>
      </c>
    </row>
    <row r="313">
      <c r="A313" s="1" t="n">
        <v>312</v>
      </c>
      <c r="B313" s="2">
        <f>DATE(Sintesi!$C$4-1,12,31)+A313</f>
        <v/>
      </c>
      <c r="C313" s="1">
        <f>'Paste cell here'!T313</f>
        <v/>
      </c>
      <c r="D313" s="1">
        <f>'Paste cell here'!AC313</f>
        <v/>
      </c>
      <c r="E313" s="1">
        <f>'Paste cell here'!Y313</f>
        <v/>
      </c>
      <c r="F313" s="1">
        <f>'Paste cell here'!AD313</f>
        <v/>
      </c>
      <c r="G313" s="1">
        <f>'Paste cell here'!W313</f>
        <v/>
      </c>
      <c r="H313" s="1">
        <f>'Paste cell here'!AE313</f>
        <v/>
      </c>
      <c r="I313" s="1">
        <f>'Paste cell here'!AF313</f>
        <v/>
      </c>
      <c r="J313" s="1">
        <f>ABS(I313+C313+D313-E313-F313-G313-H313)</f>
        <v/>
      </c>
      <c r="K313" s="1">
        <f>IF('Bilancio primo strato'!D313&gt;0,1,"")</f>
        <v/>
      </c>
      <c r="L313" s="7">
        <f>Sintesi!$C$34</f>
        <v/>
      </c>
      <c r="M313" s="7">
        <f>Sintesi!$C$33</f>
        <v/>
      </c>
      <c r="N313" s="1">
        <f>'Paste cell here'!AA313</f>
        <v/>
      </c>
      <c r="O313" s="1">
        <f>'Paste cell here'!H313</f>
        <v/>
      </c>
      <c r="P313" s="1">
        <f>(M313-L313)*N313*1000</f>
        <v/>
      </c>
      <c r="Q313" s="1">
        <f>P313*O313</f>
        <v/>
      </c>
      <c r="R313" s="1">
        <f>M313*N313*1000-Q313</f>
        <v/>
      </c>
      <c r="S313" s="5">
        <f>H313/($N313*1000)</f>
        <v/>
      </c>
      <c r="T313" s="5">
        <f>R313/($N313*1000)</f>
        <v/>
      </c>
    </row>
    <row r="314">
      <c r="A314" s="1" t="n">
        <v>313</v>
      </c>
      <c r="B314" s="2">
        <f>DATE(Sintesi!$C$4-1,12,31)+A314</f>
        <v/>
      </c>
      <c r="C314" s="1">
        <f>'Paste cell here'!T314</f>
        <v/>
      </c>
      <c r="D314" s="1">
        <f>'Paste cell here'!AC314</f>
        <v/>
      </c>
      <c r="E314" s="1">
        <f>'Paste cell here'!Y314</f>
        <v/>
      </c>
      <c r="F314" s="1">
        <f>'Paste cell here'!AD314</f>
        <v/>
      </c>
      <c r="G314" s="1">
        <f>'Paste cell here'!W314</f>
        <v/>
      </c>
      <c r="H314" s="1">
        <f>'Paste cell here'!AE314</f>
        <v/>
      </c>
      <c r="I314" s="1">
        <f>'Paste cell here'!AF314</f>
        <v/>
      </c>
      <c r="J314" s="1">
        <f>ABS(I314+C314+D314-E314-F314-G314-H314)</f>
        <v/>
      </c>
      <c r="K314" s="1">
        <f>IF('Bilancio primo strato'!D314&gt;0,1,"")</f>
        <v/>
      </c>
      <c r="L314" s="7">
        <f>Sintesi!$C$34</f>
        <v/>
      </c>
      <c r="M314" s="7">
        <f>Sintesi!$C$33</f>
        <v/>
      </c>
      <c r="N314" s="1">
        <f>'Paste cell here'!AA314</f>
        <v/>
      </c>
      <c r="O314" s="1">
        <f>'Paste cell here'!H314</f>
        <v/>
      </c>
      <c r="P314" s="1">
        <f>(M314-L314)*N314*1000</f>
        <v/>
      </c>
      <c r="Q314" s="1">
        <f>P314*O314</f>
        <v/>
      </c>
      <c r="R314" s="1">
        <f>M314*N314*1000-Q314</f>
        <v/>
      </c>
      <c r="S314" s="5">
        <f>H314/($N314*1000)</f>
        <v/>
      </c>
      <c r="T314" s="5">
        <f>R314/($N314*1000)</f>
        <v/>
      </c>
    </row>
    <row r="315">
      <c r="A315" s="1" t="n">
        <v>314</v>
      </c>
      <c r="B315" s="2">
        <f>DATE(Sintesi!$C$4-1,12,31)+A315</f>
        <v/>
      </c>
      <c r="C315" s="1">
        <f>'Paste cell here'!T315</f>
        <v/>
      </c>
      <c r="D315" s="1">
        <f>'Paste cell here'!AC315</f>
        <v/>
      </c>
      <c r="E315" s="1">
        <f>'Paste cell here'!Y315</f>
        <v/>
      </c>
      <c r="F315" s="1">
        <f>'Paste cell here'!AD315</f>
        <v/>
      </c>
      <c r="G315" s="1">
        <f>'Paste cell here'!W315</f>
        <v/>
      </c>
      <c r="H315" s="1">
        <f>'Paste cell here'!AE315</f>
        <v/>
      </c>
      <c r="I315" s="1">
        <f>'Paste cell here'!AF315</f>
        <v/>
      </c>
      <c r="J315" s="1">
        <f>ABS(I315+C315+D315-E315-F315-G315-H315)</f>
        <v/>
      </c>
      <c r="K315" s="1">
        <f>IF('Bilancio primo strato'!D315&gt;0,1,"")</f>
        <v/>
      </c>
      <c r="L315" s="7">
        <f>Sintesi!$C$34</f>
        <v/>
      </c>
      <c r="M315" s="7">
        <f>Sintesi!$C$33</f>
        <v/>
      </c>
      <c r="N315" s="1">
        <f>'Paste cell here'!AA315</f>
        <v/>
      </c>
      <c r="O315" s="1">
        <f>'Paste cell here'!H315</f>
        <v/>
      </c>
      <c r="P315" s="1">
        <f>(M315-L315)*N315*1000</f>
        <v/>
      </c>
      <c r="Q315" s="1">
        <f>P315*O315</f>
        <v/>
      </c>
      <c r="R315" s="1">
        <f>M315*N315*1000-Q315</f>
        <v/>
      </c>
      <c r="S315" s="5">
        <f>H315/($N315*1000)</f>
        <v/>
      </c>
      <c r="T315" s="5">
        <f>R315/($N315*1000)</f>
        <v/>
      </c>
    </row>
    <row r="316">
      <c r="A316" s="1" t="n">
        <v>315</v>
      </c>
      <c r="B316" s="2">
        <f>DATE(Sintesi!$C$4-1,12,31)+A316</f>
        <v/>
      </c>
      <c r="C316" s="1">
        <f>'Paste cell here'!T316</f>
        <v/>
      </c>
      <c r="D316" s="1">
        <f>'Paste cell here'!AC316</f>
        <v/>
      </c>
      <c r="E316" s="1">
        <f>'Paste cell here'!Y316</f>
        <v/>
      </c>
      <c r="F316" s="1">
        <f>'Paste cell here'!AD316</f>
        <v/>
      </c>
      <c r="G316" s="1">
        <f>'Paste cell here'!W316</f>
        <v/>
      </c>
      <c r="H316" s="1">
        <f>'Paste cell here'!AE316</f>
        <v/>
      </c>
      <c r="I316" s="1">
        <f>'Paste cell here'!AF316</f>
        <v/>
      </c>
      <c r="J316" s="1">
        <f>ABS(I316+C316+D316-E316-F316-G316-H316)</f>
        <v/>
      </c>
      <c r="K316" s="1">
        <f>IF('Bilancio primo strato'!D316&gt;0,1,"")</f>
        <v/>
      </c>
      <c r="L316" s="7">
        <f>Sintesi!$C$34</f>
        <v/>
      </c>
      <c r="M316" s="7">
        <f>Sintesi!$C$33</f>
        <v/>
      </c>
      <c r="N316" s="1">
        <f>'Paste cell here'!AA316</f>
        <v/>
      </c>
      <c r="O316" s="1">
        <f>'Paste cell here'!H316</f>
        <v/>
      </c>
      <c r="P316" s="1">
        <f>(M316-L316)*N316*1000</f>
        <v/>
      </c>
      <c r="Q316" s="1">
        <f>P316*O316</f>
        <v/>
      </c>
      <c r="R316" s="1">
        <f>M316*N316*1000-Q316</f>
        <v/>
      </c>
      <c r="S316" s="5">
        <f>H316/($N316*1000)</f>
        <v/>
      </c>
      <c r="T316" s="5">
        <f>R316/($N316*1000)</f>
        <v/>
      </c>
    </row>
    <row r="317">
      <c r="A317" s="1" t="n">
        <v>316</v>
      </c>
      <c r="B317" s="2">
        <f>DATE(Sintesi!$C$4-1,12,31)+A317</f>
        <v/>
      </c>
      <c r="C317" s="1">
        <f>'Paste cell here'!T317</f>
        <v/>
      </c>
      <c r="D317" s="1">
        <f>'Paste cell here'!AC317</f>
        <v/>
      </c>
      <c r="E317" s="1">
        <f>'Paste cell here'!Y317</f>
        <v/>
      </c>
      <c r="F317" s="1">
        <f>'Paste cell here'!AD317</f>
        <v/>
      </c>
      <c r="G317" s="1">
        <f>'Paste cell here'!W317</f>
        <v/>
      </c>
      <c r="H317" s="1">
        <f>'Paste cell here'!AE317</f>
        <v/>
      </c>
      <c r="I317" s="1">
        <f>'Paste cell here'!AF317</f>
        <v/>
      </c>
      <c r="J317" s="1">
        <f>ABS(I317+C317+D317-E317-F317-G317-H317)</f>
        <v/>
      </c>
      <c r="K317" s="1">
        <f>IF('Bilancio primo strato'!D317&gt;0,1,"")</f>
        <v/>
      </c>
      <c r="L317" s="7">
        <f>Sintesi!$C$34</f>
        <v/>
      </c>
      <c r="M317" s="7">
        <f>Sintesi!$C$33</f>
        <v/>
      </c>
      <c r="N317" s="1">
        <f>'Paste cell here'!AA317</f>
        <v/>
      </c>
      <c r="O317" s="1">
        <f>'Paste cell here'!H317</f>
        <v/>
      </c>
      <c r="P317" s="1">
        <f>(M317-L317)*N317*1000</f>
        <v/>
      </c>
      <c r="Q317" s="1">
        <f>P317*O317</f>
        <v/>
      </c>
      <c r="R317" s="1">
        <f>M317*N317*1000-Q317</f>
        <v/>
      </c>
      <c r="S317" s="5">
        <f>H317/($N317*1000)</f>
        <v/>
      </c>
      <c r="T317" s="5">
        <f>R317/($N317*1000)</f>
        <v/>
      </c>
    </row>
    <row r="318">
      <c r="A318" s="1" t="n">
        <v>317</v>
      </c>
      <c r="B318" s="2">
        <f>DATE(Sintesi!$C$4-1,12,31)+A318</f>
        <v/>
      </c>
      <c r="C318" s="1">
        <f>'Paste cell here'!T318</f>
        <v/>
      </c>
      <c r="D318" s="1">
        <f>'Paste cell here'!AC318</f>
        <v/>
      </c>
      <c r="E318" s="1">
        <f>'Paste cell here'!Y318</f>
        <v/>
      </c>
      <c r="F318" s="1">
        <f>'Paste cell here'!AD318</f>
        <v/>
      </c>
      <c r="G318" s="1">
        <f>'Paste cell here'!W318</f>
        <v/>
      </c>
      <c r="H318" s="1">
        <f>'Paste cell here'!AE318</f>
        <v/>
      </c>
      <c r="I318" s="1">
        <f>'Paste cell here'!AF318</f>
        <v/>
      </c>
      <c r="J318" s="1">
        <f>ABS(I318+C318+D318-E318-F318-G318-H318)</f>
        <v/>
      </c>
      <c r="K318" s="1">
        <f>IF('Bilancio primo strato'!D318&gt;0,1,"")</f>
        <v/>
      </c>
      <c r="L318" s="7">
        <f>Sintesi!$C$34</f>
        <v/>
      </c>
      <c r="M318" s="7">
        <f>Sintesi!$C$33</f>
        <v/>
      </c>
      <c r="N318" s="1">
        <f>'Paste cell here'!AA318</f>
        <v/>
      </c>
      <c r="O318" s="1">
        <f>'Paste cell here'!H318</f>
        <v/>
      </c>
      <c r="P318" s="1">
        <f>(M318-L318)*N318*1000</f>
        <v/>
      </c>
      <c r="Q318" s="1">
        <f>P318*O318</f>
        <v/>
      </c>
      <c r="R318" s="1">
        <f>M318*N318*1000-Q318</f>
        <v/>
      </c>
      <c r="S318" s="5">
        <f>H318/($N318*1000)</f>
        <v/>
      </c>
      <c r="T318" s="5">
        <f>R318/($N318*1000)</f>
        <v/>
      </c>
    </row>
    <row r="319">
      <c r="A319" s="1" t="n">
        <v>318</v>
      </c>
      <c r="B319" s="2">
        <f>DATE(Sintesi!$C$4-1,12,31)+A319</f>
        <v/>
      </c>
      <c r="C319" s="1">
        <f>'Paste cell here'!T319</f>
        <v/>
      </c>
      <c r="D319" s="1">
        <f>'Paste cell here'!AC319</f>
        <v/>
      </c>
      <c r="E319" s="1">
        <f>'Paste cell here'!Y319</f>
        <v/>
      </c>
      <c r="F319" s="1">
        <f>'Paste cell here'!AD319</f>
        <v/>
      </c>
      <c r="G319" s="1">
        <f>'Paste cell here'!W319</f>
        <v/>
      </c>
      <c r="H319" s="1">
        <f>'Paste cell here'!AE319</f>
        <v/>
      </c>
      <c r="I319" s="1">
        <f>'Paste cell here'!AF319</f>
        <v/>
      </c>
      <c r="J319" s="1">
        <f>ABS(I319+C319+D319-E319-F319-G319-H319)</f>
        <v/>
      </c>
      <c r="K319" s="1">
        <f>IF('Bilancio primo strato'!D319&gt;0,1,"")</f>
        <v/>
      </c>
      <c r="L319" s="7">
        <f>Sintesi!$C$34</f>
        <v/>
      </c>
      <c r="M319" s="7">
        <f>Sintesi!$C$33</f>
        <v/>
      </c>
      <c r="N319" s="1">
        <f>'Paste cell here'!AA319</f>
        <v/>
      </c>
      <c r="O319" s="1">
        <f>'Paste cell here'!H319</f>
        <v/>
      </c>
      <c r="P319" s="1">
        <f>(M319-L319)*N319*1000</f>
        <v/>
      </c>
      <c r="Q319" s="1">
        <f>P319*O319</f>
        <v/>
      </c>
      <c r="R319" s="1">
        <f>M319*N319*1000-Q319</f>
        <v/>
      </c>
      <c r="S319" s="5">
        <f>H319/($N319*1000)</f>
        <v/>
      </c>
      <c r="T319" s="5">
        <f>R319/($N319*1000)</f>
        <v/>
      </c>
    </row>
    <row r="320">
      <c r="A320" s="1" t="n">
        <v>319</v>
      </c>
      <c r="B320" s="2">
        <f>DATE(Sintesi!$C$4-1,12,31)+A320</f>
        <v/>
      </c>
      <c r="C320" s="1">
        <f>'Paste cell here'!T320</f>
        <v/>
      </c>
      <c r="D320" s="1">
        <f>'Paste cell here'!AC320</f>
        <v/>
      </c>
      <c r="E320" s="1">
        <f>'Paste cell here'!Y320</f>
        <v/>
      </c>
      <c r="F320" s="1">
        <f>'Paste cell here'!AD320</f>
        <v/>
      </c>
      <c r="G320" s="1">
        <f>'Paste cell here'!W320</f>
        <v/>
      </c>
      <c r="H320" s="1">
        <f>'Paste cell here'!AE320</f>
        <v/>
      </c>
      <c r="I320" s="1">
        <f>'Paste cell here'!AF320</f>
        <v/>
      </c>
      <c r="J320" s="1">
        <f>ABS(I320+C320+D320-E320-F320-G320-H320)</f>
        <v/>
      </c>
      <c r="K320" s="1">
        <f>IF('Bilancio primo strato'!D320&gt;0,1,"")</f>
        <v/>
      </c>
      <c r="L320" s="7">
        <f>Sintesi!$C$34</f>
        <v/>
      </c>
      <c r="M320" s="7">
        <f>Sintesi!$C$33</f>
        <v/>
      </c>
      <c r="N320" s="1">
        <f>'Paste cell here'!AA320</f>
        <v/>
      </c>
      <c r="O320" s="1">
        <f>'Paste cell here'!H320</f>
        <v/>
      </c>
      <c r="P320" s="1">
        <f>(M320-L320)*N320*1000</f>
        <v/>
      </c>
      <c r="Q320" s="1">
        <f>P320*O320</f>
        <v/>
      </c>
      <c r="R320" s="1">
        <f>M320*N320*1000-Q320</f>
        <v/>
      </c>
      <c r="S320" s="5">
        <f>H320/($N320*1000)</f>
        <v/>
      </c>
      <c r="T320" s="5">
        <f>R320/($N320*1000)</f>
        <v/>
      </c>
    </row>
    <row r="321">
      <c r="A321" s="1" t="n">
        <v>320</v>
      </c>
      <c r="B321" s="2">
        <f>DATE(Sintesi!$C$4-1,12,31)+A321</f>
        <v/>
      </c>
      <c r="C321" s="1">
        <f>'Paste cell here'!T321</f>
        <v/>
      </c>
      <c r="D321" s="1">
        <f>'Paste cell here'!AC321</f>
        <v/>
      </c>
      <c r="E321" s="1">
        <f>'Paste cell here'!Y321</f>
        <v/>
      </c>
      <c r="F321" s="1">
        <f>'Paste cell here'!AD321</f>
        <v/>
      </c>
      <c r="G321" s="1">
        <f>'Paste cell here'!W321</f>
        <v/>
      </c>
      <c r="H321" s="1">
        <f>'Paste cell here'!AE321</f>
        <v/>
      </c>
      <c r="I321" s="1">
        <f>'Paste cell here'!AF321</f>
        <v/>
      </c>
      <c r="J321" s="1">
        <f>ABS(I321+C321+D321-E321-F321-G321-H321)</f>
        <v/>
      </c>
      <c r="K321" s="1">
        <f>IF('Bilancio primo strato'!D321&gt;0,1,"")</f>
        <v/>
      </c>
      <c r="L321" s="7">
        <f>Sintesi!$C$34</f>
        <v/>
      </c>
      <c r="M321" s="7">
        <f>Sintesi!$C$33</f>
        <v/>
      </c>
      <c r="N321" s="1">
        <f>'Paste cell here'!AA321</f>
        <v/>
      </c>
      <c r="O321" s="1">
        <f>'Paste cell here'!H321</f>
        <v/>
      </c>
      <c r="P321" s="1">
        <f>(M321-L321)*N321*1000</f>
        <v/>
      </c>
      <c r="Q321" s="1">
        <f>P321*O321</f>
        <v/>
      </c>
      <c r="R321" s="1">
        <f>M321*N321*1000-Q321</f>
        <v/>
      </c>
      <c r="S321" s="5">
        <f>H321/($N321*1000)</f>
        <v/>
      </c>
      <c r="T321" s="5">
        <f>R321/($N321*1000)</f>
        <v/>
      </c>
    </row>
    <row r="322">
      <c r="A322" s="1" t="n">
        <v>321</v>
      </c>
      <c r="B322" s="2">
        <f>DATE(Sintesi!$C$4-1,12,31)+A322</f>
        <v/>
      </c>
      <c r="C322" s="1">
        <f>'Paste cell here'!T322</f>
        <v/>
      </c>
      <c r="D322" s="1">
        <f>'Paste cell here'!AC322</f>
        <v/>
      </c>
      <c r="E322" s="1">
        <f>'Paste cell here'!Y322</f>
        <v/>
      </c>
      <c r="F322" s="1">
        <f>'Paste cell here'!AD322</f>
        <v/>
      </c>
      <c r="G322" s="1">
        <f>'Paste cell here'!W322</f>
        <v/>
      </c>
      <c r="H322" s="1">
        <f>'Paste cell here'!AE322</f>
        <v/>
      </c>
      <c r="I322" s="1">
        <f>'Paste cell here'!AF322</f>
        <v/>
      </c>
      <c r="J322" s="1">
        <f>ABS(I322+C322+D322-E322-F322-G322-H322)</f>
        <v/>
      </c>
      <c r="K322" s="1">
        <f>IF('Bilancio primo strato'!D322&gt;0,1,"")</f>
        <v/>
      </c>
      <c r="L322" s="7">
        <f>Sintesi!$C$34</f>
        <v/>
      </c>
      <c r="M322" s="7">
        <f>Sintesi!$C$33</f>
        <v/>
      </c>
      <c r="N322" s="1">
        <f>'Paste cell here'!AA322</f>
        <v/>
      </c>
      <c r="O322" s="1">
        <f>'Paste cell here'!H322</f>
        <v/>
      </c>
      <c r="P322" s="1">
        <f>(M322-L322)*N322*1000</f>
        <v/>
      </c>
      <c r="Q322" s="1">
        <f>P322*O322</f>
        <v/>
      </c>
      <c r="R322" s="1">
        <f>M322*N322*1000-Q322</f>
        <v/>
      </c>
      <c r="S322" s="5">
        <f>H322/($N322*1000)</f>
        <v/>
      </c>
      <c r="T322" s="5">
        <f>R322/($N322*1000)</f>
        <v/>
      </c>
    </row>
    <row r="323">
      <c r="A323" s="1" t="n">
        <v>322</v>
      </c>
      <c r="B323" s="2">
        <f>DATE(Sintesi!$C$4-1,12,31)+A323</f>
        <v/>
      </c>
      <c r="C323" s="1">
        <f>'Paste cell here'!T323</f>
        <v/>
      </c>
      <c r="D323" s="1">
        <f>'Paste cell here'!AC323</f>
        <v/>
      </c>
      <c r="E323" s="1">
        <f>'Paste cell here'!Y323</f>
        <v/>
      </c>
      <c r="F323" s="1">
        <f>'Paste cell here'!AD323</f>
        <v/>
      </c>
      <c r="G323" s="1">
        <f>'Paste cell here'!W323</f>
        <v/>
      </c>
      <c r="H323" s="1">
        <f>'Paste cell here'!AE323</f>
        <v/>
      </c>
      <c r="I323" s="1">
        <f>'Paste cell here'!AF323</f>
        <v/>
      </c>
      <c r="J323" s="1">
        <f>ABS(I323+C323+D323-E323-F323-G323-H323)</f>
        <v/>
      </c>
      <c r="K323" s="1">
        <f>IF('Bilancio primo strato'!D323&gt;0,1,"")</f>
        <v/>
      </c>
      <c r="L323" s="7">
        <f>Sintesi!$C$34</f>
        <v/>
      </c>
      <c r="M323" s="7">
        <f>Sintesi!$C$33</f>
        <v/>
      </c>
      <c r="N323" s="1">
        <f>'Paste cell here'!AA323</f>
        <v/>
      </c>
      <c r="O323" s="1">
        <f>'Paste cell here'!H323</f>
        <v/>
      </c>
      <c r="P323" s="1">
        <f>(M323-L323)*N323*1000</f>
        <v/>
      </c>
      <c r="Q323" s="1">
        <f>P323*O323</f>
        <v/>
      </c>
      <c r="R323" s="1">
        <f>M323*N323*1000-Q323</f>
        <v/>
      </c>
      <c r="S323" s="5">
        <f>H323/($N323*1000)</f>
        <v/>
      </c>
      <c r="T323" s="5">
        <f>R323/($N323*1000)</f>
        <v/>
      </c>
    </row>
    <row r="324">
      <c r="A324" s="1" t="n">
        <v>323</v>
      </c>
      <c r="B324" s="2">
        <f>DATE(Sintesi!$C$4-1,12,31)+A324</f>
        <v/>
      </c>
      <c r="C324" s="1">
        <f>'Paste cell here'!T324</f>
        <v/>
      </c>
      <c r="D324" s="1">
        <f>'Paste cell here'!AC324</f>
        <v/>
      </c>
      <c r="E324" s="1">
        <f>'Paste cell here'!Y324</f>
        <v/>
      </c>
      <c r="F324" s="1">
        <f>'Paste cell here'!AD324</f>
        <v/>
      </c>
      <c r="G324" s="1">
        <f>'Paste cell here'!W324</f>
        <v/>
      </c>
      <c r="H324" s="1">
        <f>'Paste cell here'!AE324</f>
        <v/>
      </c>
      <c r="I324" s="1">
        <f>'Paste cell here'!AF324</f>
        <v/>
      </c>
      <c r="J324" s="1">
        <f>ABS(I324+C324+D324-E324-F324-G324-H324)</f>
        <v/>
      </c>
      <c r="K324" s="1">
        <f>IF('Bilancio primo strato'!D324&gt;0,1,"")</f>
        <v/>
      </c>
      <c r="L324" s="7">
        <f>Sintesi!$C$34</f>
        <v/>
      </c>
      <c r="M324" s="7">
        <f>Sintesi!$C$33</f>
        <v/>
      </c>
      <c r="N324" s="1">
        <f>'Paste cell here'!AA324</f>
        <v/>
      </c>
      <c r="O324" s="1">
        <f>'Paste cell here'!H324</f>
        <v/>
      </c>
      <c r="P324" s="1">
        <f>(M324-L324)*N324*1000</f>
        <v/>
      </c>
      <c r="Q324" s="1">
        <f>P324*O324</f>
        <v/>
      </c>
      <c r="R324" s="1">
        <f>M324*N324*1000-Q324</f>
        <v/>
      </c>
      <c r="S324" s="5">
        <f>H324/($N324*1000)</f>
        <v/>
      </c>
      <c r="T324" s="5">
        <f>R324/($N324*1000)</f>
        <v/>
      </c>
    </row>
    <row r="325">
      <c r="A325" s="1" t="n">
        <v>324</v>
      </c>
      <c r="B325" s="2">
        <f>DATE(Sintesi!$C$4-1,12,31)+A325</f>
        <v/>
      </c>
      <c r="C325" s="1">
        <f>'Paste cell here'!T325</f>
        <v/>
      </c>
      <c r="D325" s="1">
        <f>'Paste cell here'!AC325</f>
        <v/>
      </c>
      <c r="E325" s="1">
        <f>'Paste cell here'!Y325</f>
        <v/>
      </c>
      <c r="F325" s="1">
        <f>'Paste cell here'!AD325</f>
        <v/>
      </c>
      <c r="G325" s="1">
        <f>'Paste cell here'!W325</f>
        <v/>
      </c>
      <c r="H325" s="1">
        <f>'Paste cell here'!AE325</f>
        <v/>
      </c>
      <c r="I325" s="1">
        <f>'Paste cell here'!AF325</f>
        <v/>
      </c>
      <c r="J325" s="1">
        <f>ABS(I325+C325+D325-E325-F325-G325-H325)</f>
        <v/>
      </c>
      <c r="K325" s="1">
        <f>IF('Bilancio primo strato'!D325&gt;0,1,"")</f>
        <v/>
      </c>
      <c r="L325" s="7">
        <f>Sintesi!$C$34</f>
        <v/>
      </c>
      <c r="M325" s="7">
        <f>Sintesi!$C$33</f>
        <v/>
      </c>
      <c r="N325" s="1">
        <f>'Paste cell here'!AA325</f>
        <v/>
      </c>
      <c r="O325" s="1">
        <f>'Paste cell here'!H325</f>
        <v/>
      </c>
      <c r="P325" s="1">
        <f>(M325-L325)*N325*1000</f>
        <v/>
      </c>
      <c r="Q325" s="1">
        <f>P325*O325</f>
        <v/>
      </c>
      <c r="R325" s="1">
        <f>M325*N325*1000-Q325</f>
        <v/>
      </c>
      <c r="S325" s="5">
        <f>H325/($N325*1000)</f>
        <v/>
      </c>
      <c r="T325" s="5">
        <f>R325/($N325*1000)</f>
        <v/>
      </c>
    </row>
    <row r="326">
      <c r="A326" s="1" t="n">
        <v>325</v>
      </c>
      <c r="B326" s="2">
        <f>DATE(Sintesi!$C$4-1,12,31)+A326</f>
        <v/>
      </c>
      <c r="C326" s="1">
        <f>'Paste cell here'!T326</f>
        <v/>
      </c>
      <c r="D326" s="1">
        <f>'Paste cell here'!AC326</f>
        <v/>
      </c>
      <c r="E326" s="1">
        <f>'Paste cell here'!Y326</f>
        <v/>
      </c>
      <c r="F326" s="1">
        <f>'Paste cell here'!AD326</f>
        <v/>
      </c>
      <c r="G326" s="1">
        <f>'Paste cell here'!W326</f>
        <v/>
      </c>
      <c r="H326" s="1">
        <f>'Paste cell here'!AE326</f>
        <v/>
      </c>
      <c r="I326" s="1">
        <f>'Paste cell here'!AF326</f>
        <v/>
      </c>
      <c r="J326" s="1">
        <f>ABS(I326+C326+D326-E326-F326-G326-H326)</f>
        <v/>
      </c>
      <c r="K326" s="1">
        <f>IF('Bilancio primo strato'!D326&gt;0,1,"")</f>
        <v/>
      </c>
      <c r="L326" s="7">
        <f>Sintesi!$C$34</f>
        <v/>
      </c>
      <c r="M326" s="7">
        <f>Sintesi!$C$33</f>
        <v/>
      </c>
      <c r="N326" s="1">
        <f>'Paste cell here'!AA326</f>
        <v/>
      </c>
      <c r="O326" s="1">
        <f>'Paste cell here'!H326</f>
        <v/>
      </c>
      <c r="P326" s="1">
        <f>(M326-L326)*N326*1000</f>
        <v/>
      </c>
      <c r="Q326" s="1">
        <f>P326*O326</f>
        <v/>
      </c>
      <c r="R326" s="1">
        <f>M326*N326*1000-Q326</f>
        <v/>
      </c>
      <c r="S326" s="5">
        <f>H326/($N326*1000)</f>
        <v/>
      </c>
      <c r="T326" s="5">
        <f>R326/($N326*1000)</f>
        <v/>
      </c>
    </row>
    <row r="327">
      <c r="A327" s="1" t="n">
        <v>326</v>
      </c>
      <c r="B327" s="2">
        <f>DATE(Sintesi!$C$4-1,12,31)+A327</f>
        <v/>
      </c>
      <c r="C327" s="1">
        <f>'Paste cell here'!T327</f>
        <v/>
      </c>
      <c r="D327" s="1">
        <f>'Paste cell here'!AC327</f>
        <v/>
      </c>
      <c r="E327" s="1">
        <f>'Paste cell here'!Y327</f>
        <v/>
      </c>
      <c r="F327" s="1">
        <f>'Paste cell here'!AD327</f>
        <v/>
      </c>
      <c r="G327" s="1">
        <f>'Paste cell here'!W327</f>
        <v/>
      </c>
      <c r="H327" s="1">
        <f>'Paste cell here'!AE327</f>
        <v/>
      </c>
      <c r="I327" s="1">
        <f>'Paste cell here'!AF327</f>
        <v/>
      </c>
      <c r="J327" s="1">
        <f>ABS(I327+C327+D327-E327-F327-G327-H327)</f>
        <v/>
      </c>
      <c r="K327" s="1">
        <f>IF('Bilancio primo strato'!D327&gt;0,1,"")</f>
        <v/>
      </c>
      <c r="L327" s="7">
        <f>Sintesi!$C$34</f>
        <v/>
      </c>
      <c r="M327" s="7">
        <f>Sintesi!$C$33</f>
        <v/>
      </c>
      <c r="N327" s="1">
        <f>'Paste cell here'!AA327</f>
        <v/>
      </c>
      <c r="O327" s="1">
        <f>'Paste cell here'!H327</f>
        <v/>
      </c>
      <c r="P327" s="1">
        <f>(M327-L327)*N327*1000</f>
        <v/>
      </c>
      <c r="Q327" s="1">
        <f>P327*O327</f>
        <v/>
      </c>
      <c r="R327" s="1">
        <f>M327*N327*1000-Q327</f>
        <v/>
      </c>
      <c r="S327" s="5">
        <f>H327/($N327*1000)</f>
        <v/>
      </c>
      <c r="T327" s="5">
        <f>R327/($N327*1000)</f>
        <v/>
      </c>
    </row>
    <row r="328">
      <c r="A328" s="1" t="n">
        <v>327</v>
      </c>
      <c r="B328" s="2">
        <f>DATE(Sintesi!$C$4-1,12,31)+A328</f>
        <v/>
      </c>
      <c r="C328" s="1">
        <f>'Paste cell here'!T328</f>
        <v/>
      </c>
      <c r="D328" s="1">
        <f>'Paste cell here'!AC328</f>
        <v/>
      </c>
      <c r="E328" s="1">
        <f>'Paste cell here'!Y328</f>
        <v/>
      </c>
      <c r="F328" s="1">
        <f>'Paste cell here'!AD328</f>
        <v/>
      </c>
      <c r="G328" s="1">
        <f>'Paste cell here'!W328</f>
        <v/>
      </c>
      <c r="H328" s="1">
        <f>'Paste cell here'!AE328</f>
        <v/>
      </c>
      <c r="I328" s="1">
        <f>'Paste cell here'!AF328</f>
        <v/>
      </c>
      <c r="J328" s="1">
        <f>ABS(I328+C328+D328-E328-F328-G328-H328)</f>
        <v/>
      </c>
      <c r="K328" s="1">
        <f>IF('Bilancio primo strato'!D328&gt;0,1,"")</f>
        <v/>
      </c>
      <c r="L328" s="7">
        <f>Sintesi!$C$34</f>
        <v/>
      </c>
      <c r="M328" s="7">
        <f>Sintesi!$C$33</f>
        <v/>
      </c>
      <c r="N328" s="1">
        <f>'Paste cell here'!AA328</f>
        <v/>
      </c>
      <c r="O328" s="1">
        <f>'Paste cell here'!H328</f>
        <v/>
      </c>
      <c r="P328" s="1">
        <f>(M328-L328)*N328*1000</f>
        <v/>
      </c>
      <c r="Q328" s="1">
        <f>P328*O328</f>
        <v/>
      </c>
      <c r="R328" s="1">
        <f>M328*N328*1000-Q328</f>
        <v/>
      </c>
      <c r="S328" s="5">
        <f>H328/($N328*1000)</f>
        <v/>
      </c>
      <c r="T328" s="5">
        <f>R328/($N328*1000)</f>
        <v/>
      </c>
    </row>
    <row r="329">
      <c r="A329" s="1" t="n">
        <v>328</v>
      </c>
      <c r="B329" s="2">
        <f>DATE(Sintesi!$C$4-1,12,31)+A329</f>
        <v/>
      </c>
      <c r="C329" s="1">
        <f>'Paste cell here'!T329</f>
        <v/>
      </c>
      <c r="D329" s="1">
        <f>'Paste cell here'!AC329</f>
        <v/>
      </c>
      <c r="E329" s="1">
        <f>'Paste cell here'!Y329</f>
        <v/>
      </c>
      <c r="F329" s="1">
        <f>'Paste cell here'!AD329</f>
        <v/>
      </c>
      <c r="G329" s="1">
        <f>'Paste cell here'!W329</f>
        <v/>
      </c>
      <c r="H329" s="1">
        <f>'Paste cell here'!AE329</f>
        <v/>
      </c>
      <c r="I329" s="1">
        <f>'Paste cell here'!AF329</f>
        <v/>
      </c>
      <c r="J329" s="1">
        <f>ABS(I329+C329+D329-E329-F329-G329-H329)</f>
        <v/>
      </c>
      <c r="K329" s="1">
        <f>IF('Bilancio primo strato'!D329&gt;0,1,"")</f>
        <v/>
      </c>
      <c r="L329" s="7">
        <f>Sintesi!$C$34</f>
        <v/>
      </c>
      <c r="M329" s="7">
        <f>Sintesi!$C$33</f>
        <v/>
      </c>
      <c r="N329" s="1">
        <f>'Paste cell here'!AA329</f>
        <v/>
      </c>
      <c r="O329" s="1">
        <f>'Paste cell here'!H329</f>
        <v/>
      </c>
      <c r="P329" s="1">
        <f>(M329-L329)*N329*1000</f>
        <v/>
      </c>
      <c r="Q329" s="1">
        <f>P329*O329</f>
        <v/>
      </c>
      <c r="R329" s="1">
        <f>M329*N329*1000-Q329</f>
        <v/>
      </c>
      <c r="S329" s="5">
        <f>H329/($N329*1000)</f>
        <v/>
      </c>
      <c r="T329" s="5">
        <f>R329/($N329*1000)</f>
        <v/>
      </c>
    </row>
    <row r="330">
      <c r="A330" s="1" t="n">
        <v>329</v>
      </c>
      <c r="B330" s="2">
        <f>DATE(Sintesi!$C$4-1,12,31)+A330</f>
        <v/>
      </c>
      <c r="C330" s="1">
        <f>'Paste cell here'!T330</f>
        <v/>
      </c>
      <c r="D330" s="1">
        <f>'Paste cell here'!AC330</f>
        <v/>
      </c>
      <c r="E330" s="1">
        <f>'Paste cell here'!Y330</f>
        <v/>
      </c>
      <c r="F330" s="1">
        <f>'Paste cell here'!AD330</f>
        <v/>
      </c>
      <c r="G330" s="1">
        <f>'Paste cell here'!W330</f>
        <v/>
      </c>
      <c r="H330" s="1">
        <f>'Paste cell here'!AE330</f>
        <v/>
      </c>
      <c r="I330" s="1">
        <f>'Paste cell here'!AF330</f>
        <v/>
      </c>
      <c r="J330" s="1">
        <f>ABS(I330+C330+D330-E330-F330-G330-H330)</f>
        <v/>
      </c>
      <c r="K330" s="1">
        <f>IF('Bilancio primo strato'!D330&gt;0,1,"")</f>
        <v/>
      </c>
      <c r="L330" s="7">
        <f>Sintesi!$C$34</f>
        <v/>
      </c>
      <c r="M330" s="7">
        <f>Sintesi!$C$33</f>
        <v/>
      </c>
      <c r="N330" s="1">
        <f>'Paste cell here'!AA330</f>
        <v/>
      </c>
      <c r="O330" s="1">
        <f>'Paste cell here'!H330</f>
        <v/>
      </c>
      <c r="P330" s="1">
        <f>(M330-L330)*N330*1000</f>
        <v/>
      </c>
      <c r="Q330" s="1">
        <f>P330*O330</f>
        <v/>
      </c>
      <c r="R330" s="1">
        <f>M330*N330*1000-Q330</f>
        <v/>
      </c>
      <c r="S330" s="5">
        <f>H330/($N330*1000)</f>
        <v/>
      </c>
      <c r="T330" s="5">
        <f>R330/($N330*1000)</f>
        <v/>
      </c>
    </row>
    <row r="331">
      <c r="A331" s="1" t="n">
        <v>330</v>
      </c>
      <c r="B331" s="2">
        <f>DATE(Sintesi!$C$4-1,12,31)+A331</f>
        <v/>
      </c>
      <c r="C331" s="1">
        <f>'Paste cell here'!T331</f>
        <v/>
      </c>
      <c r="D331" s="1">
        <f>'Paste cell here'!AC331</f>
        <v/>
      </c>
      <c r="E331" s="1">
        <f>'Paste cell here'!Y331</f>
        <v/>
      </c>
      <c r="F331" s="1">
        <f>'Paste cell here'!AD331</f>
        <v/>
      </c>
      <c r="G331" s="1">
        <f>'Paste cell here'!W331</f>
        <v/>
      </c>
      <c r="H331" s="1">
        <f>'Paste cell here'!AE331</f>
        <v/>
      </c>
      <c r="I331" s="1">
        <f>'Paste cell here'!AF331</f>
        <v/>
      </c>
      <c r="J331" s="1">
        <f>ABS(I331+C331+D331-E331-F331-G331-H331)</f>
        <v/>
      </c>
      <c r="K331" s="1">
        <f>IF('Bilancio primo strato'!D331&gt;0,1,"")</f>
        <v/>
      </c>
      <c r="L331" s="7">
        <f>Sintesi!$C$34</f>
        <v/>
      </c>
      <c r="M331" s="7">
        <f>Sintesi!$C$33</f>
        <v/>
      </c>
      <c r="N331" s="1">
        <f>'Paste cell here'!AA331</f>
        <v/>
      </c>
      <c r="O331" s="1">
        <f>'Paste cell here'!H331</f>
        <v/>
      </c>
      <c r="P331" s="1">
        <f>(M331-L331)*N331*1000</f>
        <v/>
      </c>
      <c r="Q331" s="1">
        <f>P331*O331</f>
        <v/>
      </c>
      <c r="R331" s="1">
        <f>M331*N331*1000-Q331</f>
        <v/>
      </c>
      <c r="S331" s="5">
        <f>H331/($N331*1000)</f>
        <v/>
      </c>
      <c r="T331" s="5">
        <f>R331/($N331*1000)</f>
        <v/>
      </c>
    </row>
    <row r="332">
      <c r="A332" s="1" t="n">
        <v>331</v>
      </c>
      <c r="B332" s="2">
        <f>DATE(Sintesi!$C$4-1,12,31)+A332</f>
        <v/>
      </c>
      <c r="C332" s="1">
        <f>'Paste cell here'!T332</f>
        <v/>
      </c>
      <c r="D332" s="1">
        <f>'Paste cell here'!AC332</f>
        <v/>
      </c>
      <c r="E332" s="1">
        <f>'Paste cell here'!Y332</f>
        <v/>
      </c>
      <c r="F332" s="1">
        <f>'Paste cell here'!AD332</f>
        <v/>
      </c>
      <c r="G332" s="1">
        <f>'Paste cell here'!W332</f>
        <v/>
      </c>
      <c r="H332" s="1">
        <f>'Paste cell here'!AE332</f>
        <v/>
      </c>
      <c r="I332" s="1">
        <f>'Paste cell here'!AF332</f>
        <v/>
      </c>
      <c r="J332" s="1">
        <f>ABS(I332+C332+D332-E332-F332-G332-H332)</f>
        <v/>
      </c>
      <c r="K332" s="1">
        <f>IF('Bilancio primo strato'!D332&gt;0,1,"")</f>
        <v/>
      </c>
      <c r="L332" s="7">
        <f>Sintesi!$C$34</f>
        <v/>
      </c>
      <c r="M332" s="7">
        <f>Sintesi!$C$33</f>
        <v/>
      </c>
      <c r="N332" s="1">
        <f>'Paste cell here'!AA332</f>
        <v/>
      </c>
      <c r="O332" s="1">
        <f>'Paste cell here'!H332</f>
        <v/>
      </c>
      <c r="P332" s="1">
        <f>(M332-L332)*N332*1000</f>
        <v/>
      </c>
      <c r="Q332" s="1">
        <f>P332*O332</f>
        <v/>
      </c>
      <c r="R332" s="1">
        <f>M332*N332*1000-Q332</f>
        <v/>
      </c>
      <c r="S332" s="5">
        <f>H332/($N332*1000)</f>
        <v/>
      </c>
      <c r="T332" s="5">
        <f>R332/($N332*1000)</f>
        <v/>
      </c>
    </row>
    <row r="333">
      <c r="A333" s="1" t="n">
        <v>332</v>
      </c>
      <c r="B333" s="2">
        <f>DATE(Sintesi!$C$4-1,12,31)+A333</f>
        <v/>
      </c>
      <c r="C333" s="1">
        <f>'Paste cell here'!T333</f>
        <v/>
      </c>
      <c r="D333" s="1">
        <f>'Paste cell here'!AC333</f>
        <v/>
      </c>
      <c r="E333" s="1">
        <f>'Paste cell here'!Y333</f>
        <v/>
      </c>
      <c r="F333" s="1">
        <f>'Paste cell here'!AD333</f>
        <v/>
      </c>
      <c r="G333" s="1">
        <f>'Paste cell here'!W333</f>
        <v/>
      </c>
      <c r="H333" s="1">
        <f>'Paste cell here'!AE333</f>
        <v/>
      </c>
      <c r="I333" s="1">
        <f>'Paste cell here'!AF333</f>
        <v/>
      </c>
      <c r="J333" s="1">
        <f>ABS(I333+C333+D333-E333-F333-G333-H333)</f>
        <v/>
      </c>
      <c r="K333" s="1">
        <f>IF('Bilancio primo strato'!D333&gt;0,1,"")</f>
        <v/>
      </c>
      <c r="L333" s="7">
        <f>Sintesi!$C$34</f>
        <v/>
      </c>
      <c r="M333" s="7">
        <f>Sintesi!$C$33</f>
        <v/>
      </c>
      <c r="N333" s="1">
        <f>'Paste cell here'!AA333</f>
        <v/>
      </c>
      <c r="O333" s="1">
        <f>'Paste cell here'!H333</f>
        <v/>
      </c>
      <c r="P333" s="1">
        <f>(M333-L333)*N333*1000</f>
        <v/>
      </c>
      <c r="Q333" s="1">
        <f>P333*O333</f>
        <v/>
      </c>
      <c r="R333" s="1">
        <f>M333*N333*1000-Q333</f>
        <v/>
      </c>
      <c r="S333" s="5">
        <f>H333/($N333*1000)</f>
        <v/>
      </c>
      <c r="T333" s="5">
        <f>R333/($N333*1000)</f>
        <v/>
      </c>
    </row>
    <row r="334">
      <c r="A334" s="1" t="n">
        <v>333</v>
      </c>
      <c r="B334" s="2">
        <f>DATE(Sintesi!$C$4-1,12,31)+A334</f>
        <v/>
      </c>
      <c r="C334" s="1">
        <f>'Paste cell here'!T334</f>
        <v/>
      </c>
      <c r="D334" s="1">
        <f>'Paste cell here'!AC334</f>
        <v/>
      </c>
      <c r="E334" s="1">
        <f>'Paste cell here'!Y334</f>
        <v/>
      </c>
      <c r="F334" s="1">
        <f>'Paste cell here'!AD334</f>
        <v/>
      </c>
      <c r="G334" s="1">
        <f>'Paste cell here'!W334</f>
        <v/>
      </c>
      <c r="H334" s="1">
        <f>'Paste cell here'!AE334</f>
        <v/>
      </c>
      <c r="I334" s="1">
        <f>'Paste cell here'!AF334</f>
        <v/>
      </c>
      <c r="J334" s="1">
        <f>ABS(I334+C334+D334-E334-F334-G334-H334)</f>
        <v/>
      </c>
      <c r="K334" s="1">
        <f>IF('Bilancio primo strato'!D334&gt;0,1,"")</f>
        <v/>
      </c>
      <c r="L334" s="7">
        <f>Sintesi!$C$34</f>
        <v/>
      </c>
      <c r="M334" s="7">
        <f>Sintesi!$C$33</f>
        <v/>
      </c>
      <c r="N334" s="1">
        <f>'Paste cell here'!AA334</f>
        <v/>
      </c>
      <c r="O334" s="1">
        <f>'Paste cell here'!H334</f>
        <v/>
      </c>
      <c r="P334" s="1">
        <f>(M334-L334)*N334*1000</f>
        <v/>
      </c>
      <c r="Q334" s="1">
        <f>P334*O334</f>
        <v/>
      </c>
      <c r="R334" s="1">
        <f>M334*N334*1000-Q334</f>
        <v/>
      </c>
      <c r="S334" s="5">
        <f>H334/($N334*1000)</f>
        <v/>
      </c>
      <c r="T334" s="5">
        <f>R334/($N334*1000)</f>
        <v/>
      </c>
    </row>
    <row r="335">
      <c r="A335" s="1" t="n">
        <v>334</v>
      </c>
      <c r="B335" s="2">
        <f>DATE(Sintesi!$C$4-1,12,31)+A335</f>
        <v/>
      </c>
      <c r="C335" s="1">
        <f>'Paste cell here'!T335</f>
        <v/>
      </c>
      <c r="D335" s="1">
        <f>'Paste cell here'!AC335</f>
        <v/>
      </c>
      <c r="E335" s="1">
        <f>'Paste cell here'!Y335</f>
        <v/>
      </c>
      <c r="F335" s="1">
        <f>'Paste cell here'!AD335</f>
        <v/>
      </c>
      <c r="G335" s="1">
        <f>'Paste cell here'!W335</f>
        <v/>
      </c>
      <c r="H335" s="1">
        <f>'Paste cell here'!AE335</f>
        <v/>
      </c>
      <c r="I335" s="1">
        <f>'Paste cell here'!AF335</f>
        <v/>
      </c>
      <c r="J335" s="1">
        <f>ABS(I335+C335+D335-E335-F335-G335-H335)</f>
        <v/>
      </c>
      <c r="K335" s="1">
        <f>IF('Bilancio primo strato'!D335&gt;0,1,"")</f>
        <v/>
      </c>
      <c r="L335" s="7">
        <f>Sintesi!$C$34</f>
        <v/>
      </c>
      <c r="M335" s="7">
        <f>Sintesi!$C$33</f>
        <v/>
      </c>
      <c r="N335" s="1">
        <f>'Paste cell here'!AA335</f>
        <v/>
      </c>
      <c r="O335" s="1">
        <f>'Paste cell here'!H335</f>
        <v/>
      </c>
      <c r="P335" s="1">
        <f>(M335-L335)*N335*1000</f>
        <v/>
      </c>
      <c r="Q335" s="1">
        <f>P335*O335</f>
        <v/>
      </c>
      <c r="R335" s="1">
        <f>M335*N335*1000-Q335</f>
        <v/>
      </c>
      <c r="S335" s="5">
        <f>H335/($N335*1000)</f>
        <v/>
      </c>
      <c r="T335" s="5">
        <f>R335/($N335*1000)</f>
        <v/>
      </c>
    </row>
    <row r="336">
      <c r="A336" s="1" t="n">
        <v>335</v>
      </c>
      <c r="B336" s="2">
        <f>DATE(Sintesi!$C$4-1,12,31)+A336</f>
        <v/>
      </c>
      <c r="C336" s="1">
        <f>'Paste cell here'!T336</f>
        <v/>
      </c>
      <c r="D336" s="1">
        <f>'Paste cell here'!AC336</f>
        <v/>
      </c>
      <c r="E336" s="1">
        <f>'Paste cell here'!Y336</f>
        <v/>
      </c>
      <c r="F336" s="1">
        <f>'Paste cell here'!AD336</f>
        <v/>
      </c>
      <c r="G336" s="1">
        <f>'Paste cell here'!W336</f>
        <v/>
      </c>
      <c r="H336" s="1">
        <f>'Paste cell here'!AE336</f>
        <v/>
      </c>
      <c r="I336" s="1">
        <f>'Paste cell here'!AF336</f>
        <v/>
      </c>
      <c r="J336" s="1">
        <f>ABS(I336+C336+D336-E336-F336-G336-H336)</f>
        <v/>
      </c>
      <c r="K336" s="1">
        <f>IF('Bilancio primo strato'!D336&gt;0,1,"")</f>
        <v/>
      </c>
      <c r="L336" s="7">
        <f>Sintesi!$C$34</f>
        <v/>
      </c>
      <c r="M336" s="7">
        <f>Sintesi!$C$33</f>
        <v/>
      </c>
      <c r="N336" s="1">
        <f>'Paste cell here'!AA336</f>
        <v/>
      </c>
      <c r="O336" s="1">
        <f>'Paste cell here'!H336</f>
        <v/>
      </c>
      <c r="P336" s="1">
        <f>(M336-L336)*N336*1000</f>
        <v/>
      </c>
      <c r="Q336" s="1">
        <f>P336*O336</f>
        <v/>
      </c>
      <c r="R336" s="1">
        <f>M336*N336*1000-Q336</f>
        <v/>
      </c>
      <c r="S336" s="5">
        <f>H336/($N336*1000)</f>
        <v/>
      </c>
      <c r="T336" s="5">
        <f>R336/($N336*1000)</f>
        <v/>
      </c>
    </row>
    <row r="337">
      <c r="A337" s="1" t="n">
        <v>336</v>
      </c>
      <c r="B337" s="2">
        <f>DATE(Sintesi!$C$4-1,12,31)+A337</f>
        <v/>
      </c>
      <c r="C337" s="1">
        <f>'Paste cell here'!T337</f>
        <v/>
      </c>
      <c r="D337" s="1">
        <f>'Paste cell here'!AC337</f>
        <v/>
      </c>
      <c r="E337" s="1">
        <f>'Paste cell here'!Y337</f>
        <v/>
      </c>
      <c r="F337" s="1">
        <f>'Paste cell here'!AD337</f>
        <v/>
      </c>
      <c r="G337" s="1">
        <f>'Paste cell here'!W337</f>
        <v/>
      </c>
      <c r="H337" s="1">
        <f>'Paste cell here'!AE337</f>
        <v/>
      </c>
      <c r="I337" s="1">
        <f>'Paste cell here'!AF337</f>
        <v/>
      </c>
      <c r="J337" s="1">
        <f>ABS(I337+C337+D337-E337-F337-G337-H337)</f>
        <v/>
      </c>
      <c r="K337" s="1">
        <f>IF('Bilancio primo strato'!D337&gt;0,1,"")</f>
        <v/>
      </c>
      <c r="L337" s="7">
        <f>Sintesi!$C$34</f>
        <v/>
      </c>
      <c r="M337" s="7">
        <f>Sintesi!$C$33</f>
        <v/>
      </c>
      <c r="N337" s="1">
        <f>'Paste cell here'!AA337</f>
        <v/>
      </c>
      <c r="O337" s="1">
        <f>'Paste cell here'!H337</f>
        <v/>
      </c>
      <c r="P337" s="1">
        <f>(M337-L337)*N337*1000</f>
        <v/>
      </c>
      <c r="Q337" s="1">
        <f>P337*O337</f>
        <v/>
      </c>
      <c r="R337" s="1">
        <f>M337*N337*1000-Q337</f>
        <v/>
      </c>
      <c r="S337" s="5">
        <f>H337/($N337*1000)</f>
        <v/>
      </c>
      <c r="T337" s="5">
        <f>R337/($N337*1000)</f>
        <v/>
      </c>
    </row>
    <row r="338">
      <c r="A338" s="1" t="n">
        <v>337</v>
      </c>
      <c r="B338" s="2">
        <f>DATE(Sintesi!$C$4-1,12,31)+A338</f>
        <v/>
      </c>
      <c r="C338" s="1">
        <f>'Paste cell here'!T338</f>
        <v/>
      </c>
      <c r="D338" s="1">
        <f>'Paste cell here'!AC338</f>
        <v/>
      </c>
      <c r="E338" s="1">
        <f>'Paste cell here'!Y338</f>
        <v/>
      </c>
      <c r="F338" s="1">
        <f>'Paste cell here'!AD338</f>
        <v/>
      </c>
      <c r="G338" s="1">
        <f>'Paste cell here'!W338</f>
        <v/>
      </c>
      <c r="H338" s="1">
        <f>'Paste cell here'!AE338</f>
        <v/>
      </c>
      <c r="I338" s="1">
        <f>'Paste cell here'!AF338</f>
        <v/>
      </c>
      <c r="J338" s="1">
        <f>ABS(I338+C338+D338-E338-F338-G338-H338)</f>
        <v/>
      </c>
      <c r="K338" s="1">
        <f>IF('Bilancio primo strato'!D338&gt;0,1,"")</f>
        <v/>
      </c>
      <c r="L338" s="7">
        <f>Sintesi!$C$34</f>
        <v/>
      </c>
      <c r="M338" s="7">
        <f>Sintesi!$C$33</f>
        <v/>
      </c>
      <c r="N338" s="1">
        <f>'Paste cell here'!AA338</f>
        <v/>
      </c>
      <c r="O338" s="1">
        <f>'Paste cell here'!H338</f>
        <v/>
      </c>
      <c r="P338" s="1">
        <f>(M338-L338)*N338*1000</f>
        <v/>
      </c>
      <c r="Q338" s="1">
        <f>P338*O338</f>
        <v/>
      </c>
      <c r="R338" s="1">
        <f>M338*N338*1000-Q338</f>
        <v/>
      </c>
      <c r="S338" s="5">
        <f>H338/($N338*1000)</f>
        <v/>
      </c>
      <c r="T338" s="5">
        <f>R338/($N338*1000)</f>
        <v/>
      </c>
    </row>
    <row r="339">
      <c r="A339" s="1" t="n">
        <v>338</v>
      </c>
      <c r="B339" s="2">
        <f>DATE(Sintesi!$C$4-1,12,31)+A339</f>
        <v/>
      </c>
      <c r="C339" s="1">
        <f>'Paste cell here'!T339</f>
        <v/>
      </c>
      <c r="D339" s="1">
        <f>'Paste cell here'!AC339</f>
        <v/>
      </c>
      <c r="E339" s="1">
        <f>'Paste cell here'!Y339</f>
        <v/>
      </c>
      <c r="F339" s="1">
        <f>'Paste cell here'!AD339</f>
        <v/>
      </c>
      <c r="G339" s="1">
        <f>'Paste cell here'!W339</f>
        <v/>
      </c>
      <c r="H339" s="1">
        <f>'Paste cell here'!AE339</f>
        <v/>
      </c>
      <c r="I339" s="1">
        <f>'Paste cell here'!AF339</f>
        <v/>
      </c>
      <c r="J339" s="1">
        <f>ABS(I339+C339+D339-E339-F339-G339-H339)</f>
        <v/>
      </c>
      <c r="K339" s="1">
        <f>IF('Bilancio primo strato'!D339&gt;0,1,"")</f>
        <v/>
      </c>
      <c r="L339" s="7">
        <f>Sintesi!$C$34</f>
        <v/>
      </c>
      <c r="M339" s="7">
        <f>Sintesi!$C$33</f>
        <v/>
      </c>
      <c r="N339" s="1">
        <f>'Paste cell here'!AA339</f>
        <v/>
      </c>
      <c r="O339" s="1">
        <f>'Paste cell here'!H339</f>
        <v/>
      </c>
      <c r="P339" s="1">
        <f>(M339-L339)*N339*1000</f>
        <v/>
      </c>
      <c r="Q339" s="1">
        <f>P339*O339</f>
        <v/>
      </c>
      <c r="R339" s="1">
        <f>M339*N339*1000-Q339</f>
        <v/>
      </c>
      <c r="S339" s="5">
        <f>H339/($N339*1000)</f>
        <v/>
      </c>
      <c r="T339" s="5">
        <f>R339/($N339*1000)</f>
        <v/>
      </c>
    </row>
    <row r="340">
      <c r="A340" s="1" t="n">
        <v>339</v>
      </c>
      <c r="B340" s="2">
        <f>DATE(Sintesi!$C$4-1,12,31)+A340</f>
        <v/>
      </c>
      <c r="C340" s="1">
        <f>'Paste cell here'!T340</f>
        <v/>
      </c>
      <c r="D340" s="1">
        <f>'Paste cell here'!AC340</f>
        <v/>
      </c>
      <c r="E340" s="1">
        <f>'Paste cell here'!Y340</f>
        <v/>
      </c>
      <c r="F340" s="1">
        <f>'Paste cell here'!AD340</f>
        <v/>
      </c>
      <c r="G340" s="1">
        <f>'Paste cell here'!W340</f>
        <v/>
      </c>
      <c r="H340" s="1">
        <f>'Paste cell here'!AE340</f>
        <v/>
      </c>
      <c r="I340" s="1">
        <f>'Paste cell here'!AF340</f>
        <v/>
      </c>
      <c r="J340" s="1">
        <f>ABS(I340+C340+D340-E340-F340-G340-H340)</f>
        <v/>
      </c>
      <c r="K340" s="1">
        <f>IF('Bilancio primo strato'!D340&gt;0,1,"")</f>
        <v/>
      </c>
      <c r="L340" s="7">
        <f>Sintesi!$C$34</f>
        <v/>
      </c>
      <c r="M340" s="7">
        <f>Sintesi!$C$33</f>
        <v/>
      </c>
      <c r="N340" s="1">
        <f>'Paste cell here'!AA340</f>
        <v/>
      </c>
      <c r="O340" s="1">
        <f>'Paste cell here'!H340</f>
        <v/>
      </c>
      <c r="P340" s="1">
        <f>(M340-L340)*N340*1000</f>
        <v/>
      </c>
      <c r="Q340" s="1">
        <f>P340*O340</f>
        <v/>
      </c>
      <c r="R340" s="1">
        <f>M340*N340*1000-Q340</f>
        <v/>
      </c>
      <c r="S340" s="5">
        <f>H340/($N340*1000)</f>
        <v/>
      </c>
      <c r="T340" s="5">
        <f>R340/($N340*1000)</f>
        <v/>
      </c>
    </row>
    <row r="341">
      <c r="A341" s="1" t="n">
        <v>340</v>
      </c>
      <c r="B341" s="2">
        <f>DATE(Sintesi!$C$4-1,12,31)+A341</f>
        <v/>
      </c>
      <c r="C341" s="1">
        <f>'Paste cell here'!T341</f>
        <v/>
      </c>
      <c r="D341" s="1">
        <f>'Paste cell here'!AC341</f>
        <v/>
      </c>
      <c r="E341" s="1">
        <f>'Paste cell here'!Y341</f>
        <v/>
      </c>
      <c r="F341" s="1">
        <f>'Paste cell here'!AD341</f>
        <v/>
      </c>
      <c r="G341" s="1">
        <f>'Paste cell here'!W341</f>
        <v/>
      </c>
      <c r="H341" s="1">
        <f>'Paste cell here'!AE341</f>
        <v/>
      </c>
      <c r="I341" s="1">
        <f>'Paste cell here'!AF341</f>
        <v/>
      </c>
      <c r="J341" s="1">
        <f>ABS(I341+C341+D341-E341-F341-G341-H341)</f>
        <v/>
      </c>
      <c r="K341" s="1">
        <f>IF('Bilancio primo strato'!D341&gt;0,1,"")</f>
        <v/>
      </c>
      <c r="L341" s="7">
        <f>Sintesi!$C$34</f>
        <v/>
      </c>
      <c r="M341" s="7">
        <f>Sintesi!$C$33</f>
        <v/>
      </c>
      <c r="N341" s="1">
        <f>'Paste cell here'!AA341</f>
        <v/>
      </c>
      <c r="O341" s="1">
        <f>'Paste cell here'!H341</f>
        <v/>
      </c>
      <c r="P341" s="1">
        <f>(M341-L341)*N341*1000</f>
        <v/>
      </c>
      <c r="Q341" s="1">
        <f>P341*O341</f>
        <v/>
      </c>
      <c r="R341" s="1">
        <f>M341*N341*1000-Q341</f>
        <v/>
      </c>
      <c r="S341" s="5">
        <f>H341/($N341*1000)</f>
        <v/>
      </c>
      <c r="T341" s="5">
        <f>R341/($N341*1000)</f>
        <v/>
      </c>
    </row>
    <row r="342">
      <c r="A342" s="1" t="n">
        <v>341</v>
      </c>
      <c r="B342" s="2">
        <f>DATE(Sintesi!$C$4-1,12,31)+A342</f>
        <v/>
      </c>
      <c r="C342" s="1">
        <f>'Paste cell here'!T342</f>
        <v/>
      </c>
      <c r="D342" s="1">
        <f>'Paste cell here'!AC342</f>
        <v/>
      </c>
      <c r="E342" s="1">
        <f>'Paste cell here'!Y342</f>
        <v/>
      </c>
      <c r="F342" s="1">
        <f>'Paste cell here'!AD342</f>
        <v/>
      </c>
      <c r="G342" s="1">
        <f>'Paste cell here'!W342</f>
        <v/>
      </c>
      <c r="H342" s="1">
        <f>'Paste cell here'!AE342</f>
        <v/>
      </c>
      <c r="I342" s="1">
        <f>'Paste cell here'!AF342</f>
        <v/>
      </c>
      <c r="J342" s="1">
        <f>ABS(I342+C342+D342-E342-F342-G342-H342)</f>
        <v/>
      </c>
      <c r="K342" s="1">
        <f>IF('Bilancio primo strato'!D342&gt;0,1,"")</f>
        <v/>
      </c>
      <c r="L342" s="7">
        <f>Sintesi!$C$34</f>
        <v/>
      </c>
      <c r="M342" s="7">
        <f>Sintesi!$C$33</f>
        <v/>
      </c>
      <c r="N342" s="1">
        <f>'Paste cell here'!AA342</f>
        <v/>
      </c>
      <c r="O342" s="1">
        <f>'Paste cell here'!H342</f>
        <v/>
      </c>
      <c r="P342" s="1">
        <f>(M342-L342)*N342*1000</f>
        <v/>
      </c>
      <c r="Q342" s="1">
        <f>P342*O342</f>
        <v/>
      </c>
      <c r="R342" s="1">
        <f>M342*N342*1000-Q342</f>
        <v/>
      </c>
      <c r="S342" s="5">
        <f>H342/($N342*1000)</f>
        <v/>
      </c>
      <c r="T342" s="5">
        <f>R342/($N342*1000)</f>
        <v/>
      </c>
    </row>
    <row r="343">
      <c r="A343" s="1" t="n">
        <v>342</v>
      </c>
      <c r="B343" s="2">
        <f>DATE(Sintesi!$C$4-1,12,31)+A343</f>
        <v/>
      </c>
      <c r="C343" s="1">
        <f>'Paste cell here'!T343</f>
        <v/>
      </c>
      <c r="D343" s="1">
        <f>'Paste cell here'!AC343</f>
        <v/>
      </c>
      <c r="E343" s="1">
        <f>'Paste cell here'!Y343</f>
        <v/>
      </c>
      <c r="F343" s="1">
        <f>'Paste cell here'!AD343</f>
        <v/>
      </c>
      <c r="G343" s="1">
        <f>'Paste cell here'!W343</f>
        <v/>
      </c>
      <c r="H343" s="1">
        <f>'Paste cell here'!AE343</f>
        <v/>
      </c>
      <c r="I343" s="1">
        <f>'Paste cell here'!AF343</f>
        <v/>
      </c>
      <c r="J343" s="1">
        <f>ABS(I343+C343+D343-E343-F343-G343-H343)</f>
        <v/>
      </c>
      <c r="K343" s="1">
        <f>IF('Bilancio primo strato'!D343&gt;0,1,"")</f>
        <v/>
      </c>
      <c r="L343" s="7">
        <f>Sintesi!$C$34</f>
        <v/>
      </c>
      <c r="M343" s="7">
        <f>Sintesi!$C$33</f>
        <v/>
      </c>
      <c r="N343" s="1">
        <f>'Paste cell here'!AA343</f>
        <v/>
      </c>
      <c r="O343" s="1">
        <f>'Paste cell here'!H343</f>
        <v/>
      </c>
      <c r="P343" s="1">
        <f>(M343-L343)*N343*1000</f>
        <v/>
      </c>
      <c r="Q343" s="1">
        <f>P343*O343</f>
        <v/>
      </c>
      <c r="R343" s="1">
        <f>M343*N343*1000-Q343</f>
        <v/>
      </c>
      <c r="S343" s="5">
        <f>H343/($N343*1000)</f>
        <v/>
      </c>
      <c r="T343" s="5">
        <f>R343/($N343*1000)</f>
        <v/>
      </c>
    </row>
    <row r="344">
      <c r="A344" s="1" t="n">
        <v>343</v>
      </c>
      <c r="B344" s="2">
        <f>DATE(Sintesi!$C$4-1,12,31)+A344</f>
        <v/>
      </c>
      <c r="C344" s="1">
        <f>'Paste cell here'!T344</f>
        <v/>
      </c>
      <c r="D344" s="1">
        <f>'Paste cell here'!AC344</f>
        <v/>
      </c>
      <c r="E344" s="1">
        <f>'Paste cell here'!Y344</f>
        <v/>
      </c>
      <c r="F344" s="1">
        <f>'Paste cell here'!AD344</f>
        <v/>
      </c>
      <c r="G344" s="1">
        <f>'Paste cell here'!W344</f>
        <v/>
      </c>
      <c r="H344" s="1">
        <f>'Paste cell here'!AE344</f>
        <v/>
      </c>
      <c r="I344" s="1">
        <f>'Paste cell here'!AF344</f>
        <v/>
      </c>
      <c r="J344" s="1">
        <f>ABS(I344+C344+D344-E344-F344-G344-H344)</f>
        <v/>
      </c>
      <c r="K344" s="1">
        <f>IF('Bilancio primo strato'!D344&gt;0,1,"")</f>
        <v/>
      </c>
      <c r="L344" s="7">
        <f>Sintesi!$C$34</f>
        <v/>
      </c>
      <c r="M344" s="7">
        <f>Sintesi!$C$33</f>
        <v/>
      </c>
      <c r="N344" s="1">
        <f>'Paste cell here'!AA344</f>
        <v/>
      </c>
      <c r="O344" s="1">
        <f>'Paste cell here'!H344</f>
        <v/>
      </c>
      <c r="P344" s="1">
        <f>(M344-L344)*N344*1000</f>
        <v/>
      </c>
      <c r="Q344" s="1">
        <f>P344*O344</f>
        <v/>
      </c>
      <c r="R344" s="1">
        <f>M344*N344*1000-Q344</f>
        <v/>
      </c>
      <c r="S344" s="5">
        <f>H344/($N344*1000)</f>
        <v/>
      </c>
      <c r="T344" s="5">
        <f>R344/($N344*1000)</f>
        <v/>
      </c>
    </row>
    <row r="345">
      <c r="A345" s="1" t="n">
        <v>344</v>
      </c>
      <c r="B345" s="2">
        <f>DATE(Sintesi!$C$4-1,12,31)+A345</f>
        <v/>
      </c>
      <c r="C345" s="1">
        <f>'Paste cell here'!T345</f>
        <v/>
      </c>
      <c r="D345" s="1">
        <f>'Paste cell here'!AC345</f>
        <v/>
      </c>
      <c r="E345" s="1">
        <f>'Paste cell here'!Y345</f>
        <v/>
      </c>
      <c r="F345" s="1">
        <f>'Paste cell here'!AD345</f>
        <v/>
      </c>
      <c r="G345" s="1">
        <f>'Paste cell here'!W345</f>
        <v/>
      </c>
      <c r="H345" s="1">
        <f>'Paste cell here'!AE345</f>
        <v/>
      </c>
      <c r="I345" s="1">
        <f>'Paste cell here'!AF345</f>
        <v/>
      </c>
      <c r="J345" s="1">
        <f>ABS(I345+C345+D345-E345-F345-G345-H345)</f>
        <v/>
      </c>
      <c r="K345" s="1">
        <f>IF('Bilancio primo strato'!D345&gt;0,1,"")</f>
        <v/>
      </c>
      <c r="L345" s="7">
        <f>Sintesi!$C$34</f>
        <v/>
      </c>
      <c r="M345" s="7">
        <f>Sintesi!$C$33</f>
        <v/>
      </c>
      <c r="N345" s="1">
        <f>'Paste cell here'!AA345</f>
        <v/>
      </c>
      <c r="O345" s="1">
        <f>'Paste cell here'!H345</f>
        <v/>
      </c>
      <c r="P345" s="1">
        <f>(M345-L345)*N345*1000</f>
        <v/>
      </c>
      <c r="Q345" s="1">
        <f>P345*O345</f>
        <v/>
      </c>
      <c r="R345" s="1">
        <f>M345*N345*1000-Q345</f>
        <v/>
      </c>
      <c r="S345" s="5">
        <f>H345/($N345*1000)</f>
        <v/>
      </c>
      <c r="T345" s="5">
        <f>R345/($N345*1000)</f>
        <v/>
      </c>
    </row>
    <row r="346">
      <c r="A346" s="1" t="n">
        <v>345</v>
      </c>
      <c r="B346" s="2">
        <f>DATE(Sintesi!$C$4-1,12,31)+A346</f>
        <v/>
      </c>
      <c r="C346" s="1">
        <f>'Paste cell here'!T346</f>
        <v/>
      </c>
      <c r="D346" s="1">
        <f>'Paste cell here'!AC346</f>
        <v/>
      </c>
      <c r="E346" s="1">
        <f>'Paste cell here'!Y346</f>
        <v/>
      </c>
      <c r="F346" s="1">
        <f>'Paste cell here'!AD346</f>
        <v/>
      </c>
      <c r="G346" s="1">
        <f>'Paste cell here'!W346</f>
        <v/>
      </c>
      <c r="H346" s="1">
        <f>'Paste cell here'!AE346</f>
        <v/>
      </c>
      <c r="I346" s="1">
        <f>'Paste cell here'!AF346</f>
        <v/>
      </c>
      <c r="J346" s="1">
        <f>ABS(I346+C346+D346-E346-F346-G346-H346)</f>
        <v/>
      </c>
      <c r="K346" s="1">
        <f>IF('Bilancio primo strato'!D346&gt;0,1,"")</f>
        <v/>
      </c>
      <c r="L346" s="7">
        <f>Sintesi!$C$34</f>
        <v/>
      </c>
      <c r="M346" s="7">
        <f>Sintesi!$C$33</f>
        <v/>
      </c>
      <c r="N346" s="1">
        <f>'Paste cell here'!AA346</f>
        <v/>
      </c>
      <c r="O346" s="1">
        <f>'Paste cell here'!H346</f>
        <v/>
      </c>
      <c r="P346" s="1">
        <f>(M346-L346)*N346*1000</f>
        <v/>
      </c>
      <c r="Q346" s="1">
        <f>P346*O346</f>
        <v/>
      </c>
      <c r="R346" s="1">
        <f>M346*N346*1000-Q346</f>
        <v/>
      </c>
      <c r="S346" s="5">
        <f>H346/($N346*1000)</f>
        <v/>
      </c>
      <c r="T346" s="5">
        <f>R346/($N346*1000)</f>
        <v/>
      </c>
    </row>
    <row r="347">
      <c r="A347" s="1" t="n">
        <v>346</v>
      </c>
      <c r="B347" s="2">
        <f>DATE(Sintesi!$C$4-1,12,31)+A347</f>
        <v/>
      </c>
      <c r="C347" s="1">
        <f>'Paste cell here'!T347</f>
        <v/>
      </c>
      <c r="D347" s="1">
        <f>'Paste cell here'!AC347</f>
        <v/>
      </c>
      <c r="E347" s="1">
        <f>'Paste cell here'!Y347</f>
        <v/>
      </c>
      <c r="F347" s="1">
        <f>'Paste cell here'!AD347</f>
        <v/>
      </c>
      <c r="G347" s="1">
        <f>'Paste cell here'!W347</f>
        <v/>
      </c>
      <c r="H347" s="1">
        <f>'Paste cell here'!AE347</f>
        <v/>
      </c>
      <c r="I347" s="1">
        <f>'Paste cell here'!AF347</f>
        <v/>
      </c>
      <c r="J347" s="1">
        <f>ABS(I347+C347+D347-E347-F347-G347-H347)</f>
        <v/>
      </c>
      <c r="K347" s="1">
        <f>IF('Bilancio primo strato'!D347&gt;0,1,"")</f>
        <v/>
      </c>
      <c r="L347" s="7">
        <f>Sintesi!$C$34</f>
        <v/>
      </c>
      <c r="M347" s="7">
        <f>Sintesi!$C$33</f>
        <v/>
      </c>
      <c r="N347" s="1">
        <f>'Paste cell here'!AA347</f>
        <v/>
      </c>
      <c r="O347" s="1">
        <f>'Paste cell here'!H347</f>
        <v/>
      </c>
      <c r="P347" s="1">
        <f>(M347-L347)*N347*1000</f>
        <v/>
      </c>
      <c r="Q347" s="1">
        <f>P347*O347</f>
        <v/>
      </c>
      <c r="R347" s="1">
        <f>M347*N347*1000-Q347</f>
        <v/>
      </c>
      <c r="S347" s="5">
        <f>H347/($N347*1000)</f>
        <v/>
      </c>
      <c r="T347" s="5">
        <f>R347/($N347*1000)</f>
        <v/>
      </c>
    </row>
    <row r="348">
      <c r="A348" s="1" t="n">
        <v>347</v>
      </c>
      <c r="B348" s="2">
        <f>DATE(Sintesi!$C$4-1,12,31)+A348</f>
        <v/>
      </c>
      <c r="C348" s="1">
        <f>'Paste cell here'!T348</f>
        <v/>
      </c>
      <c r="D348" s="1">
        <f>'Paste cell here'!AC348</f>
        <v/>
      </c>
      <c r="E348" s="1">
        <f>'Paste cell here'!Y348</f>
        <v/>
      </c>
      <c r="F348" s="1">
        <f>'Paste cell here'!AD348</f>
        <v/>
      </c>
      <c r="G348" s="1">
        <f>'Paste cell here'!W348</f>
        <v/>
      </c>
      <c r="H348" s="1">
        <f>'Paste cell here'!AE348</f>
        <v/>
      </c>
      <c r="I348" s="1">
        <f>'Paste cell here'!AF348</f>
        <v/>
      </c>
      <c r="J348" s="1">
        <f>ABS(I348+C348+D348-E348-F348-G348-H348)</f>
        <v/>
      </c>
      <c r="K348" s="1">
        <f>IF('Bilancio primo strato'!D348&gt;0,1,"")</f>
        <v/>
      </c>
      <c r="L348" s="7">
        <f>Sintesi!$C$34</f>
        <v/>
      </c>
      <c r="M348" s="7">
        <f>Sintesi!$C$33</f>
        <v/>
      </c>
      <c r="N348" s="1">
        <f>'Paste cell here'!AA348</f>
        <v/>
      </c>
      <c r="O348" s="1">
        <f>'Paste cell here'!H348</f>
        <v/>
      </c>
      <c r="P348" s="1">
        <f>(M348-L348)*N348*1000</f>
        <v/>
      </c>
      <c r="Q348" s="1">
        <f>P348*O348</f>
        <v/>
      </c>
      <c r="R348" s="1">
        <f>M348*N348*1000-Q348</f>
        <v/>
      </c>
      <c r="S348" s="5">
        <f>H348/($N348*1000)</f>
        <v/>
      </c>
      <c r="T348" s="5">
        <f>R348/($N348*1000)</f>
        <v/>
      </c>
    </row>
    <row r="349">
      <c r="A349" s="1" t="n">
        <v>348</v>
      </c>
      <c r="B349" s="2">
        <f>DATE(Sintesi!$C$4-1,12,31)+A349</f>
        <v/>
      </c>
      <c r="C349" s="1">
        <f>'Paste cell here'!T349</f>
        <v/>
      </c>
      <c r="D349" s="1">
        <f>'Paste cell here'!AC349</f>
        <v/>
      </c>
      <c r="E349" s="1">
        <f>'Paste cell here'!Y349</f>
        <v/>
      </c>
      <c r="F349" s="1">
        <f>'Paste cell here'!AD349</f>
        <v/>
      </c>
      <c r="G349" s="1">
        <f>'Paste cell here'!W349</f>
        <v/>
      </c>
      <c r="H349" s="1">
        <f>'Paste cell here'!AE349</f>
        <v/>
      </c>
      <c r="I349" s="1">
        <f>'Paste cell here'!AF349</f>
        <v/>
      </c>
      <c r="J349" s="1">
        <f>ABS(I349+C349+D349-E349-F349-G349-H349)</f>
        <v/>
      </c>
      <c r="K349" s="1">
        <f>IF('Bilancio primo strato'!D349&gt;0,1,"")</f>
        <v/>
      </c>
      <c r="L349" s="7">
        <f>Sintesi!$C$34</f>
        <v/>
      </c>
      <c r="M349" s="7">
        <f>Sintesi!$C$33</f>
        <v/>
      </c>
      <c r="N349" s="1">
        <f>'Paste cell here'!AA349</f>
        <v/>
      </c>
      <c r="O349" s="1">
        <f>'Paste cell here'!H349</f>
        <v/>
      </c>
      <c r="P349" s="1">
        <f>(M349-L349)*N349*1000</f>
        <v/>
      </c>
      <c r="Q349" s="1">
        <f>P349*O349</f>
        <v/>
      </c>
      <c r="R349" s="1">
        <f>M349*N349*1000-Q349</f>
        <v/>
      </c>
      <c r="S349" s="5">
        <f>H349/($N349*1000)</f>
        <v/>
      </c>
      <c r="T349" s="5">
        <f>R349/($N349*1000)</f>
        <v/>
      </c>
    </row>
    <row r="350">
      <c r="A350" s="1" t="n">
        <v>349</v>
      </c>
      <c r="B350" s="2">
        <f>DATE(Sintesi!$C$4-1,12,31)+A350</f>
        <v/>
      </c>
      <c r="C350" s="1">
        <f>'Paste cell here'!T350</f>
        <v/>
      </c>
      <c r="D350" s="1">
        <f>'Paste cell here'!AC350</f>
        <v/>
      </c>
      <c r="E350" s="1">
        <f>'Paste cell here'!Y350</f>
        <v/>
      </c>
      <c r="F350" s="1">
        <f>'Paste cell here'!AD350</f>
        <v/>
      </c>
      <c r="G350" s="1">
        <f>'Paste cell here'!W350</f>
        <v/>
      </c>
      <c r="H350" s="1">
        <f>'Paste cell here'!AE350</f>
        <v/>
      </c>
      <c r="I350" s="1">
        <f>'Paste cell here'!AF350</f>
        <v/>
      </c>
      <c r="J350" s="1">
        <f>ABS(I350+C350+D350-E350-F350-G350-H350)</f>
        <v/>
      </c>
      <c r="K350" s="1">
        <f>IF('Bilancio primo strato'!D350&gt;0,1,"")</f>
        <v/>
      </c>
      <c r="L350" s="7">
        <f>Sintesi!$C$34</f>
        <v/>
      </c>
      <c r="M350" s="7">
        <f>Sintesi!$C$33</f>
        <v/>
      </c>
      <c r="N350" s="1">
        <f>'Paste cell here'!AA350</f>
        <v/>
      </c>
      <c r="O350" s="1">
        <f>'Paste cell here'!H350</f>
        <v/>
      </c>
      <c r="P350" s="1">
        <f>(M350-L350)*N350*1000</f>
        <v/>
      </c>
      <c r="Q350" s="1">
        <f>P350*O350</f>
        <v/>
      </c>
      <c r="R350" s="1">
        <f>M350*N350*1000-Q350</f>
        <v/>
      </c>
      <c r="S350" s="5">
        <f>H350/($N350*1000)</f>
        <v/>
      </c>
      <c r="T350" s="5">
        <f>R350/($N350*1000)</f>
        <v/>
      </c>
    </row>
    <row r="351">
      <c r="A351" s="1" t="n">
        <v>350</v>
      </c>
      <c r="B351" s="2">
        <f>DATE(Sintesi!$C$4-1,12,31)+A351</f>
        <v/>
      </c>
      <c r="C351" s="1">
        <f>'Paste cell here'!T351</f>
        <v/>
      </c>
      <c r="D351" s="1">
        <f>'Paste cell here'!AC351</f>
        <v/>
      </c>
      <c r="E351" s="1">
        <f>'Paste cell here'!Y351</f>
        <v/>
      </c>
      <c r="F351" s="1">
        <f>'Paste cell here'!AD351</f>
        <v/>
      </c>
      <c r="G351" s="1">
        <f>'Paste cell here'!W351</f>
        <v/>
      </c>
      <c r="H351" s="1">
        <f>'Paste cell here'!AE351</f>
        <v/>
      </c>
      <c r="I351" s="1">
        <f>'Paste cell here'!AF351</f>
        <v/>
      </c>
      <c r="J351" s="1">
        <f>ABS(I351+C351+D351-E351-F351-G351-H351)</f>
        <v/>
      </c>
      <c r="K351" s="1">
        <f>IF('Bilancio primo strato'!D351&gt;0,1,"")</f>
        <v/>
      </c>
      <c r="L351" s="7">
        <f>Sintesi!$C$34</f>
        <v/>
      </c>
      <c r="M351" s="7">
        <f>Sintesi!$C$33</f>
        <v/>
      </c>
      <c r="N351" s="1">
        <f>'Paste cell here'!AA351</f>
        <v/>
      </c>
      <c r="O351" s="1">
        <f>'Paste cell here'!H351</f>
        <v/>
      </c>
      <c r="P351" s="1">
        <f>(M351-L351)*N351*1000</f>
        <v/>
      </c>
      <c r="Q351" s="1">
        <f>P351*O351</f>
        <v/>
      </c>
      <c r="R351" s="1">
        <f>M351*N351*1000-Q351</f>
        <v/>
      </c>
      <c r="S351" s="5">
        <f>H351/($N351*1000)</f>
        <v/>
      </c>
      <c r="T351" s="5">
        <f>R351/($N351*1000)</f>
        <v/>
      </c>
    </row>
    <row r="352">
      <c r="A352" s="1" t="n">
        <v>351</v>
      </c>
      <c r="B352" s="2">
        <f>DATE(Sintesi!$C$4-1,12,31)+A352</f>
        <v/>
      </c>
      <c r="C352" s="1">
        <f>'Paste cell here'!T352</f>
        <v/>
      </c>
      <c r="D352" s="1">
        <f>'Paste cell here'!AC352</f>
        <v/>
      </c>
      <c r="E352" s="1">
        <f>'Paste cell here'!Y352</f>
        <v/>
      </c>
      <c r="F352" s="1">
        <f>'Paste cell here'!AD352</f>
        <v/>
      </c>
      <c r="G352" s="1">
        <f>'Paste cell here'!W352</f>
        <v/>
      </c>
      <c r="H352" s="1">
        <f>'Paste cell here'!AE352</f>
        <v/>
      </c>
      <c r="I352" s="1">
        <f>'Paste cell here'!AF352</f>
        <v/>
      </c>
      <c r="J352" s="1">
        <f>ABS(I352+C352+D352-E352-F352-G352-H352)</f>
        <v/>
      </c>
      <c r="K352" s="1">
        <f>IF('Bilancio primo strato'!D352&gt;0,1,"")</f>
        <v/>
      </c>
      <c r="L352" s="7">
        <f>Sintesi!$C$34</f>
        <v/>
      </c>
      <c r="M352" s="7">
        <f>Sintesi!$C$33</f>
        <v/>
      </c>
      <c r="N352" s="1">
        <f>'Paste cell here'!AA352</f>
        <v/>
      </c>
      <c r="O352" s="1">
        <f>'Paste cell here'!H352</f>
        <v/>
      </c>
      <c r="P352" s="1">
        <f>(M352-L352)*N352*1000</f>
        <v/>
      </c>
      <c r="Q352" s="1">
        <f>P352*O352</f>
        <v/>
      </c>
      <c r="R352" s="1">
        <f>M352*N352*1000-Q352</f>
        <v/>
      </c>
      <c r="S352" s="5">
        <f>H352/($N352*1000)</f>
        <v/>
      </c>
      <c r="T352" s="5">
        <f>R352/($N352*1000)</f>
        <v/>
      </c>
    </row>
    <row r="353">
      <c r="A353" s="1" t="n">
        <v>352</v>
      </c>
      <c r="B353" s="2">
        <f>DATE(Sintesi!$C$4-1,12,31)+A353</f>
        <v/>
      </c>
      <c r="C353" s="1">
        <f>'Paste cell here'!T353</f>
        <v/>
      </c>
      <c r="D353" s="1">
        <f>'Paste cell here'!AC353</f>
        <v/>
      </c>
      <c r="E353" s="1">
        <f>'Paste cell here'!Y353</f>
        <v/>
      </c>
      <c r="F353" s="1">
        <f>'Paste cell here'!AD353</f>
        <v/>
      </c>
      <c r="G353" s="1">
        <f>'Paste cell here'!W353</f>
        <v/>
      </c>
      <c r="H353" s="1">
        <f>'Paste cell here'!AE353</f>
        <v/>
      </c>
      <c r="I353" s="1">
        <f>'Paste cell here'!AF353</f>
        <v/>
      </c>
      <c r="J353" s="1">
        <f>ABS(I353+C353+D353-E353-F353-G353-H353)</f>
        <v/>
      </c>
      <c r="K353" s="1">
        <f>IF('Bilancio primo strato'!D353&gt;0,1,"")</f>
        <v/>
      </c>
      <c r="L353" s="7">
        <f>Sintesi!$C$34</f>
        <v/>
      </c>
      <c r="M353" s="7">
        <f>Sintesi!$C$33</f>
        <v/>
      </c>
      <c r="N353" s="1">
        <f>'Paste cell here'!AA353</f>
        <v/>
      </c>
      <c r="O353" s="1">
        <f>'Paste cell here'!H353</f>
        <v/>
      </c>
      <c r="P353" s="1">
        <f>(M353-L353)*N353*1000</f>
        <v/>
      </c>
      <c r="Q353" s="1">
        <f>P353*O353</f>
        <v/>
      </c>
      <c r="R353" s="1">
        <f>M353*N353*1000-Q353</f>
        <v/>
      </c>
      <c r="S353" s="5">
        <f>H353/($N353*1000)</f>
        <v/>
      </c>
      <c r="T353" s="5">
        <f>R353/($N353*1000)</f>
        <v/>
      </c>
    </row>
    <row r="354">
      <c r="A354" s="1" t="n">
        <v>353</v>
      </c>
      <c r="B354" s="2">
        <f>DATE(Sintesi!$C$4-1,12,31)+A354</f>
        <v/>
      </c>
      <c r="C354" s="1">
        <f>'Paste cell here'!T354</f>
        <v/>
      </c>
      <c r="D354" s="1">
        <f>'Paste cell here'!AC354</f>
        <v/>
      </c>
      <c r="E354" s="1">
        <f>'Paste cell here'!Y354</f>
        <v/>
      </c>
      <c r="F354" s="1">
        <f>'Paste cell here'!AD354</f>
        <v/>
      </c>
      <c r="G354" s="1">
        <f>'Paste cell here'!W354</f>
        <v/>
      </c>
      <c r="H354" s="1">
        <f>'Paste cell here'!AE354</f>
        <v/>
      </c>
      <c r="I354" s="1">
        <f>'Paste cell here'!AF354</f>
        <v/>
      </c>
      <c r="J354" s="1">
        <f>ABS(I354+C354+D354-E354-F354-G354-H354)</f>
        <v/>
      </c>
      <c r="K354" s="1">
        <f>IF('Bilancio primo strato'!D354&gt;0,1,"")</f>
        <v/>
      </c>
      <c r="L354" s="7">
        <f>Sintesi!$C$34</f>
        <v/>
      </c>
      <c r="M354" s="7">
        <f>Sintesi!$C$33</f>
        <v/>
      </c>
      <c r="N354" s="1">
        <f>'Paste cell here'!AA354</f>
        <v/>
      </c>
      <c r="O354" s="1">
        <f>'Paste cell here'!H354</f>
        <v/>
      </c>
      <c r="P354" s="1">
        <f>(M354-L354)*N354*1000</f>
        <v/>
      </c>
      <c r="Q354" s="1">
        <f>P354*O354</f>
        <v/>
      </c>
      <c r="R354" s="1">
        <f>M354*N354*1000-Q354</f>
        <v/>
      </c>
      <c r="S354" s="5">
        <f>H354/($N354*1000)</f>
        <v/>
      </c>
      <c r="T354" s="5">
        <f>R354/($N354*1000)</f>
        <v/>
      </c>
    </row>
    <row r="355">
      <c r="A355" s="1" t="n">
        <v>354</v>
      </c>
      <c r="B355" s="2">
        <f>DATE(Sintesi!$C$4-1,12,31)+A355</f>
        <v/>
      </c>
      <c r="C355" s="1">
        <f>'Paste cell here'!T355</f>
        <v/>
      </c>
      <c r="D355" s="1">
        <f>'Paste cell here'!AC355</f>
        <v/>
      </c>
      <c r="E355" s="1">
        <f>'Paste cell here'!Y355</f>
        <v/>
      </c>
      <c r="F355" s="1">
        <f>'Paste cell here'!AD355</f>
        <v/>
      </c>
      <c r="G355" s="1">
        <f>'Paste cell here'!W355</f>
        <v/>
      </c>
      <c r="H355" s="1">
        <f>'Paste cell here'!AE355</f>
        <v/>
      </c>
      <c r="I355" s="1">
        <f>'Paste cell here'!AF355</f>
        <v/>
      </c>
      <c r="J355" s="1">
        <f>ABS(I355+C355+D355-E355-F355-G355-H355)</f>
        <v/>
      </c>
      <c r="K355" s="1">
        <f>IF('Bilancio primo strato'!D355&gt;0,1,"")</f>
        <v/>
      </c>
      <c r="L355" s="7">
        <f>Sintesi!$C$34</f>
        <v/>
      </c>
      <c r="M355" s="7">
        <f>Sintesi!$C$33</f>
        <v/>
      </c>
      <c r="N355" s="1">
        <f>'Paste cell here'!AA355</f>
        <v/>
      </c>
      <c r="O355" s="1">
        <f>'Paste cell here'!H355</f>
        <v/>
      </c>
      <c r="P355" s="1">
        <f>(M355-L355)*N355*1000</f>
        <v/>
      </c>
      <c r="Q355" s="1">
        <f>P355*O355</f>
        <v/>
      </c>
      <c r="R355" s="1">
        <f>M355*N355*1000-Q355</f>
        <v/>
      </c>
      <c r="S355" s="5">
        <f>H355/($N355*1000)</f>
        <v/>
      </c>
      <c r="T355" s="5">
        <f>R355/($N355*1000)</f>
        <v/>
      </c>
    </row>
    <row r="356">
      <c r="A356" s="1" t="n">
        <v>355</v>
      </c>
      <c r="B356" s="2">
        <f>DATE(Sintesi!$C$4-1,12,31)+A356</f>
        <v/>
      </c>
      <c r="C356" s="1">
        <f>'Paste cell here'!T356</f>
        <v/>
      </c>
      <c r="D356" s="1">
        <f>'Paste cell here'!AC356</f>
        <v/>
      </c>
      <c r="E356" s="1">
        <f>'Paste cell here'!Y356</f>
        <v/>
      </c>
      <c r="F356" s="1">
        <f>'Paste cell here'!AD356</f>
        <v/>
      </c>
      <c r="G356" s="1">
        <f>'Paste cell here'!W356</f>
        <v/>
      </c>
      <c r="H356" s="1">
        <f>'Paste cell here'!AE356</f>
        <v/>
      </c>
      <c r="I356" s="1">
        <f>'Paste cell here'!AF356</f>
        <v/>
      </c>
      <c r="J356" s="1">
        <f>ABS(I356+C356+D356-E356-F356-G356-H356)</f>
        <v/>
      </c>
      <c r="K356" s="1">
        <f>IF('Bilancio primo strato'!D356&gt;0,1,"")</f>
        <v/>
      </c>
      <c r="L356" s="7">
        <f>Sintesi!$C$34</f>
        <v/>
      </c>
      <c r="M356" s="7">
        <f>Sintesi!$C$33</f>
        <v/>
      </c>
      <c r="N356" s="1">
        <f>'Paste cell here'!AA356</f>
        <v/>
      </c>
      <c r="O356" s="1">
        <f>'Paste cell here'!H356</f>
        <v/>
      </c>
      <c r="P356" s="1">
        <f>(M356-L356)*N356*1000</f>
        <v/>
      </c>
      <c r="Q356" s="1">
        <f>P356*O356</f>
        <v/>
      </c>
      <c r="R356" s="1">
        <f>M356*N356*1000-Q356</f>
        <v/>
      </c>
      <c r="S356" s="5">
        <f>H356/($N356*1000)</f>
        <v/>
      </c>
      <c r="T356" s="5">
        <f>R356/($N356*1000)</f>
        <v/>
      </c>
    </row>
    <row r="357">
      <c r="A357" s="1" t="n">
        <v>356</v>
      </c>
      <c r="B357" s="2">
        <f>DATE(Sintesi!$C$4-1,12,31)+A357</f>
        <v/>
      </c>
      <c r="C357" s="1">
        <f>'Paste cell here'!T357</f>
        <v/>
      </c>
      <c r="D357" s="1">
        <f>'Paste cell here'!AC357</f>
        <v/>
      </c>
      <c r="E357" s="1">
        <f>'Paste cell here'!Y357</f>
        <v/>
      </c>
      <c r="F357" s="1">
        <f>'Paste cell here'!AD357</f>
        <v/>
      </c>
      <c r="G357" s="1">
        <f>'Paste cell here'!W357</f>
        <v/>
      </c>
      <c r="H357" s="1">
        <f>'Paste cell here'!AE357</f>
        <v/>
      </c>
      <c r="I357" s="1">
        <f>'Paste cell here'!AF357</f>
        <v/>
      </c>
      <c r="J357" s="1">
        <f>ABS(I357+C357+D357-E357-F357-G357-H357)</f>
        <v/>
      </c>
      <c r="K357" s="1">
        <f>IF('Bilancio primo strato'!D357&gt;0,1,"")</f>
        <v/>
      </c>
      <c r="L357" s="7">
        <f>Sintesi!$C$34</f>
        <v/>
      </c>
      <c r="M357" s="7">
        <f>Sintesi!$C$33</f>
        <v/>
      </c>
      <c r="N357" s="1">
        <f>'Paste cell here'!AA357</f>
        <v/>
      </c>
      <c r="O357" s="1">
        <f>'Paste cell here'!H357</f>
        <v/>
      </c>
      <c r="P357" s="1">
        <f>(M357-L357)*N357*1000</f>
        <v/>
      </c>
      <c r="Q357" s="1">
        <f>P357*O357</f>
        <v/>
      </c>
      <c r="R357" s="1">
        <f>M357*N357*1000-Q357</f>
        <v/>
      </c>
      <c r="S357" s="5">
        <f>H357/($N357*1000)</f>
        <v/>
      </c>
      <c r="T357" s="5">
        <f>R357/($N357*1000)</f>
        <v/>
      </c>
    </row>
    <row r="358">
      <c r="A358" s="1" t="n">
        <v>357</v>
      </c>
      <c r="B358" s="2">
        <f>DATE(Sintesi!$C$4-1,12,31)+A358</f>
        <v/>
      </c>
      <c r="C358" s="1">
        <f>'Paste cell here'!T358</f>
        <v/>
      </c>
      <c r="D358" s="1">
        <f>'Paste cell here'!AC358</f>
        <v/>
      </c>
      <c r="E358" s="1">
        <f>'Paste cell here'!Y358</f>
        <v/>
      </c>
      <c r="F358" s="1">
        <f>'Paste cell here'!AD358</f>
        <v/>
      </c>
      <c r="G358" s="1">
        <f>'Paste cell here'!W358</f>
        <v/>
      </c>
      <c r="H358" s="1">
        <f>'Paste cell here'!AE358</f>
        <v/>
      </c>
      <c r="I358" s="1">
        <f>'Paste cell here'!AF358</f>
        <v/>
      </c>
      <c r="J358" s="1">
        <f>ABS(I358+C358+D358-E358-F358-G358-H358)</f>
        <v/>
      </c>
      <c r="K358" s="1">
        <f>IF('Bilancio primo strato'!D358&gt;0,1,"")</f>
        <v/>
      </c>
      <c r="L358" s="7">
        <f>Sintesi!$C$34</f>
        <v/>
      </c>
      <c r="M358" s="7">
        <f>Sintesi!$C$33</f>
        <v/>
      </c>
      <c r="N358" s="1">
        <f>'Paste cell here'!AA358</f>
        <v/>
      </c>
      <c r="O358" s="1">
        <f>'Paste cell here'!H358</f>
        <v/>
      </c>
      <c r="P358" s="1">
        <f>(M358-L358)*N358*1000</f>
        <v/>
      </c>
      <c r="Q358" s="1">
        <f>P358*O358</f>
        <v/>
      </c>
      <c r="R358" s="1">
        <f>M358*N358*1000-Q358</f>
        <v/>
      </c>
      <c r="S358" s="5">
        <f>H358/($N358*1000)</f>
        <v/>
      </c>
      <c r="T358" s="5">
        <f>R358/($N358*1000)</f>
        <v/>
      </c>
    </row>
    <row r="359">
      <c r="A359" s="1" t="n">
        <v>358</v>
      </c>
      <c r="B359" s="2">
        <f>DATE(Sintesi!$C$4-1,12,31)+A359</f>
        <v/>
      </c>
      <c r="C359" s="1">
        <f>'Paste cell here'!T359</f>
        <v/>
      </c>
      <c r="D359" s="1">
        <f>'Paste cell here'!AC359</f>
        <v/>
      </c>
      <c r="E359" s="1">
        <f>'Paste cell here'!Y359</f>
        <v/>
      </c>
      <c r="F359" s="1">
        <f>'Paste cell here'!AD359</f>
        <v/>
      </c>
      <c r="G359" s="1">
        <f>'Paste cell here'!W359</f>
        <v/>
      </c>
      <c r="H359" s="1">
        <f>'Paste cell here'!AE359</f>
        <v/>
      </c>
      <c r="I359" s="1">
        <f>'Paste cell here'!AF359</f>
        <v/>
      </c>
      <c r="J359" s="1">
        <f>ABS(I359+C359+D359-E359-F359-G359-H359)</f>
        <v/>
      </c>
      <c r="K359" s="1">
        <f>IF('Bilancio primo strato'!D359&gt;0,1,"")</f>
        <v/>
      </c>
      <c r="L359" s="7">
        <f>Sintesi!$C$34</f>
        <v/>
      </c>
      <c r="M359" s="7">
        <f>Sintesi!$C$33</f>
        <v/>
      </c>
      <c r="N359" s="1">
        <f>'Paste cell here'!AA359</f>
        <v/>
      </c>
      <c r="O359" s="1">
        <f>'Paste cell here'!H359</f>
        <v/>
      </c>
      <c r="P359" s="1">
        <f>(M359-L359)*N359*1000</f>
        <v/>
      </c>
      <c r="Q359" s="1">
        <f>P359*O359</f>
        <v/>
      </c>
      <c r="R359" s="1">
        <f>M359*N359*1000-Q359</f>
        <v/>
      </c>
      <c r="S359" s="5">
        <f>H359/($N359*1000)</f>
        <v/>
      </c>
      <c r="T359" s="5">
        <f>R359/($N359*1000)</f>
        <v/>
      </c>
    </row>
    <row r="360">
      <c r="A360" s="1" t="n">
        <v>359</v>
      </c>
      <c r="B360" s="2">
        <f>DATE(Sintesi!$C$4-1,12,31)+A360</f>
        <v/>
      </c>
      <c r="C360" s="1">
        <f>'Paste cell here'!T360</f>
        <v/>
      </c>
      <c r="D360" s="1">
        <f>'Paste cell here'!AC360</f>
        <v/>
      </c>
      <c r="E360" s="1">
        <f>'Paste cell here'!Y360</f>
        <v/>
      </c>
      <c r="F360" s="1">
        <f>'Paste cell here'!AD360</f>
        <v/>
      </c>
      <c r="G360" s="1">
        <f>'Paste cell here'!W360</f>
        <v/>
      </c>
      <c r="H360" s="1">
        <f>'Paste cell here'!AE360</f>
        <v/>
      </c>
      <c r="I360" s="1">
        <f>'Paste cell here'!AF360</f>
        <v/>
      </c>
      <c r="J360" s="1">
        <f>ABS(I360+C360+D360-E360-F360-G360-H360)</f>
        <v/>
      </c>
      <c r="K360" s="1">
        <f>IF('Bilancio primo strato'!D360&gt;0,1,"")</f>
        <v/>
      </c>
      <c r="L360" s="7">
        <f>Sintesi!$C$34</f>
        <v/>
      </c>
      <c r="M360" s="7">
        <f>Sintesi!$C$33</f>
        <v/>
      </c>
      <c r="N360" s="1">
        <f>'Paste cell here'!AA360</f>
        <v/>
      </c>
      <c r="O360" s="1">
        <f>'Paste cell here'!H360</f>
        <v/>
      </c>
      <c r="P360" s="1">
        <f>(M360-L360)*N360*1000</f>
        <v/>
      </c>
      <c r="Q360" s="1">
        <f>P360*O360</f>
        <v/>
      </c>
      <c r="R360" s="1">
        <f>M360*N360*1000-Q360</f>
        <v/>
      </c>
      <c r="S360" s="5">
        <f>H360/($N360*1000)</f>
        <v/>
      </c>
      <c r="T360" s="5">
        <f>R360/($N360*1000)</f>
        <v/>
      </c>
    </row>
    <row r="361">
      <c r="A361" s="1" t="n">
        <v>360</v>
      </c>
      <c r="B361" s="2">
        <f>DATE(Sintesi!$C$4-1,12,31)+A361</f>
        <v/>
      </c>
      <c r="C361" s="1">
        <f>'Paste cell here'!T361</f>
        <v/>
      </c>
      <c r="D361" s="1">
        <f>'Paste cell here'!AC361</f>
        <v/>
      </c>
      <c r="E361" s="1">
        <f>'Paste cell here'!Y361</f>
        <v/>
      </c>
      <c r="F361" s="1">
        <f>'Paste cell here'!AD361</f>
        <v/>
      </c>
      <c r="G361" s="1">
        <f>'Paste cell here'!W361</f>
        <v/>
      </c>
      <c r="H361" s="1">
        <f>'Paste cell here'!AE361</f>
        <v/>
      </c>
      <c r="I361" s="1">
        <f>'Paste cell here'!AF361</f>
        <v/>
      </c>
      <c r="J361" s="1">
        <f>ABS(I361+C361+D361-E361-F361-G361-H361)</f>
        <v/>
      </c>
      <c r="K361" s="1">
        <f>IF('Bilancio primo strato'!D361&gt;0,1,"")</f>
        <v/>
      </c>
      <c r="L361" s="7">
        <f>Sintesi!$C$34</f>
        <v/>
      </c>
      <c r="M361" s="7">
        <f>Sintesi!$C$33</f>
        <v/>
      </c>
      <c r="N361" s="1">
        <f>'Paste cell here'!AA361</f>
        <v/>
      </c>
      <c r="O361" s="1">
        <f>'Paste cell here'!H361</f>
        <v/>
      </c>
      <c r="P361" s="1">
        <f>(M361-L361)*N361*1000</f>
        <v/>
      </c>
      <c r="Q361" s="1">
        <f>P361*O361</f>
        <v/>
      </c>
      <c r="R361" s="1">
        <f>M361*N361*1000-Q361</f>
        <v/>
      </c>
      <c r="S361" s="5">
        <f>H361/($N361*1000)</f>
        <v/>
      </c>
      <c r="T361" s="5">
        <f>R361/($N361*1000)</f>
        <v/>
      </c>
    </row>
    <row r="362">
      <c r="A362" s="1" t="n">
        <v>361</v>
      </c>
      <c r="B362" s="2">
        <f>DATE(Sintesi!$C$4-1,12,31)+A362</f>
        <v/>
      </c>
      <c r="C362" s="1">
        <f>'Paste cell here'!T362</f>
        <v/>
      </c>
      <c r="D362" s="1">
        <f>'Paste cell here'!AC362</f>
        <v/>
      </c>
      <c r="E362" s="1">
        <f>'Paste cell here'!Y362</f>
        <v/>
      </c>
      <c r="F362" s="1">
        <f>'Paste cell here'!AD362</f>
        <v/>
      </c>
      <c r="G362" s="1">
        <f>'Paste cell here'!W362</f>
        <v/>
      </c>
      <c r="H362" s="1">
        <f>'Paste cell here'!AE362</f>
        <v/>
      </c>
      <c r="I362" s="1">
        <f>'Paste cell here'!AF362</f>
        <v/>
      </c>
      <c r="J362" s="1">
        <f>ABS(I362+C362+D362-E362-F362-G362-H362)</f>
        <v/>
      </c>
      <c r="K362" s="1">
        <f>IF('Bilancio primo strato'!D362&gt;0,1,"")</f>
        <v/>
      </c>
      <c r="L362" s="7">
        <f>Sintesi!$C$34</f>
        <v/>
      </c>
      <c r="M362" s="7">
        <f>Sintesi!$C$33</f>
        <v/>
      </c>
      <c r="N362" s="1">
        <f>'Paste cell here'!AA362</f>
        <v/>
      </c>
      <c r="O362" s="1">
        <f>'Paste cell here'!H362</f>
        <v/>
      </c>
      <c r="P362" s="1">
        <f>(M362-L362)*N362*1000</f>
        <v/>
      </c>
      <c r="Q362" s="1">
        <f>P362*O362</f>
        <v/>
      </c>
      <c r="R362" s="1">
        <f>M362*N362*1000-Q362</f>
        <v/>
      </c>
      <c r="S362" s="5">
        <f>H362/($N362*1000)</f>
        <v/>
      </c>
      <c r="T362" s="5">
        <f>R362/($N362*1000)</f>
        <v/>
      </c>
    </row>
    <row r="363">
      <c r="A363" s="1" t="n">
        <v>362</v>
      </c>
      <c r="B363" s="2">
        <f>DATE(Sintesi!$C$4-1,12,31)+A363</f>
        <v/>
      </c>
      <c r="C363" s="1">
        <f>'Paste cell here'!T363</f>
        <v/>
      </c>
      <c r="D363" s="1">
        <f>'Paste cell here'!AC363</f>
        <v/>
      </c>
      <c r="E363" s="1">
        <f>'Paste cell here'!Y363</f>
        <v/>
      </c>
      <c r="F363" s="1">
        <f>'Paste cell here'!AD363</f>
        <v/>
      </c>
      <c r="G363" s="1">
        <f>'Paste cell here'!W363</f>
        <v/>
      </c>
      <c r="H363" s="1">
        <f>'Paste cell here'!AE363</f>
        <v/>
      </c>
      <c r="I363" s="1">
        <f>'Paste cell here'!AF363</f>
        <v/>
      </c>
      <c r="J363" s="1">
        <f>ABS(I363+C363+D363-E363-F363-G363-H363)</f>
        <v/>
      </c>
      <c r="K363" s="1">
        <f>IF('Bilancio primo strato'!D363&gt;0,1,"")</f>
        <v/>
      </c>
      <c r="L363" s="7">
        <f>Sintesi!$C$34</f>
        <v/>
      </c>
      <c r="M363" s="7">
        <f>Sintesi!$C$33</f>
        <v/>
      </c>
      <c r="N363" s="1">
        <f>'Paste cell here'!AA363</f>
        <v/>
      </c>
      <c r="O363" s="1">
        <f>'Paste cell here'!H363</f>
        <v/>
      </c>
      <c r="P363" s="1">
        <f>(M363-L363)*N363*1000</f>
        <v/>
      </c>
      <c r="Q363" s="1">
        <f>P363*O363</f>
        <v/>
      </c>
      <c r="R363" s="1">
        <f>M363*N363*1000-Q363</f>
        <v/>
      </c>
      <c r="S363" s="5">
        <f>H363/($N363*1000)</f>
        <v/>
      </c>
      <c r="T363" s="5">
        <f>R363/($N363*1000)</f>
        <v/>
      </c>
    </row>
    <row r="364">
      <c r="A364" s="1" t="n">
        <v>363</v>
      </c>
      <c r="B364" s="2">
        <f>DATE(Sintesi!$C$4-1,12,31)+A364</f>
        <v/>
      </c>
      <c r="C364" s="1">
        <f>'Paste cell here'!T364</f>
        <v/>
      </c>
      <c r="D364" s="1">
        <f>'Paste cell here'!AC364</f>
        <v/>
      </c>
      <c r="E364" s="1">
        <f>'Paste cell here'!Y364</f>
        <v/>
      </c>
      <c r="F364" s="1">
        <f>'Paste cell here'!AD364</f>
        <v/>
      </c>
      <c r="G364" s="1">
        <f>'Paste cell here'!W364</f>
        <v/>
      </c>
      <c r="H364" s="1">
        <f>'Paste cell here'!AE364</f>
        <v/>
      </c>
      <c r="I364" s="1">
        <f>'Paste cell here'!AF364</f>
        <v/>
      </c>
      <c r="J364" s="1">
        <f>ABS(I364+C364+D364-E364-F364-G364-H364)</f>
        <v/>
      </c>
      <c r="K364" s="1">
        <f>IF('Bilancio primo strato'!D364&gt;0,1,"")</f>
        <v/>
      </c>
      <c r="L364" s="7">
        <f>Sintesi!$C$34</f>
        <v/>
      </c>
      <c r="M364" s="7">
        <f>Sintesi!$C$33</f>
        <v/>
      </c>
      <c r="N364" s="1">
        <f>'Paste cell here'!AA364</f>
        <v/>
      </c>
      <c r="O364" s="1">
        <f>'Paste cell here'!H364</f>
        <v/>
      </c>
      <c r="P364" s="1">
        <f>(M364-L364)*N364*1000</f>
        <v/>
      </c>
      <c r="Q364" s="1">
        <f>P364*O364</f>
        <v/>
      </c>
      <c r="R364" s="1">
        <f>M364*N364*1000-Q364</f>
        <v/>
      </c>
      <c r="S364" s="5">
        <f>H364/($N364*1000)</f>
        <v/>
      </c>
      <c r="T364" s="5">
        <f>R364/($N364*1000)</f>
        <v/>
      </c>
    </row>
    <row r="365">
      <c r="A365" s="1" t="n">
        <v>364</v>
      </c>
      <c r="B365" s="2">
        <f>DATE(Sintesi!$C$4-1,12,31)+A365</f>
        <v/>
      </c>
      <c r="C365" s="1">
        <f>'Paste cell here'!T365</f>
        <v/>
      </c>
      <c r="D365" s="1">
        <f>'Paste cell here'!AC365</f>
        <v/>
      </c>
      <c r="E365" s="1">
        <f>'Paste cell here'!Y365</f>
        <v/>
      </c>
      <c r="F365" s="1">
        <f>'Paste cell here'!AD365</f>
        <v/>
      </c>
      <c r="G365" s="1">
        <f>'Paste cell here'!W365</f>
        <v/>
      </c>
      <c r="H365" s="1">
        <f>'Paste cell here'!AE365</f>
        <v/>
      </c>
      <c r="I365" s="1">
        <f>'Paste cell here'!AF365</f>
        <v/>
      </c>
      <c r="J365" s="1">
        <f>ABS(I365+C365+D365-E365-F365-G365-H365)</f>
        <v/>
      </c>
      <c r="K365" s="1">
        <f>IF('Bilancio primo strato'!D365&gt;0,1,"")</f>
        <v/>
      </c>
      <c r="L365" s="7">
        <f>Sintesi!$C$34</f>
        <v/>
      </c>
      <c r="M365" s="7">
        <f>Sintesi!$C$33</f>
        <v/>
      </c>
      <c r="N365" s="1">
        <f>'Paste cell here'!AA365</f>
        <v/>
      </c>
      <c r="O365" s="1">
        <f>'Paste cell here'!H365</f>
        <v/>
      </c>
      <c r="P365" s="1">
        <f>(M365-L365)*N365*1000</f>
        <v/>
      </c>
      <c r="Q365" s="1">
        <f>P365*O365</f>
        <v/>
      </c>
      <c r="R365" s="1">
        <f>M365*N365*1000-Q365</f>
        <v/>
      </c>
      <c r="S365" s="5">
        <f>H365/($N365*1000)</f>
        <v/>
      </c>
      <c r="T365" s="5">
        <f>R365/($N365*1000)</f>
        <v/>
      </c>
    </row>
    <row r="366">
      <c r="A366" s="1" t="n">
        <v>365</v>
      </c>
      <c r="B366" s="2">
        <f>DATE(Sintesi!$C$4-1,12,31)+A366</f>
        <v/>
      </c>
      <c r="C366" s="1">
        <f>'Paste cell here'!T366</f>
        <v/>
      </c>
      <c r="D366" s="1">
        <f>'Paste cell here'!AC366</f>
        <v/>
      </c>
      <c r="E366" s="1">
        <f>'Paste cell here'!Y366</f>
        <v/>
      </c>
      <c r="F366" s="1">
        <f>'Paste cell here'!AD366</f>
        <v/>
      </c>
      <c r="G366" s="1">
        <f>'Paste cell here'!W366</f>
        <v/>
      </c>
      <c r="H366" s="1">
        <f>'Paste cell here'!AE366</f>
        <v/>
      </c>
      <c r="I366" s="1">
        <f>'Paste cell here'!AF366</f>
        <v/>
      </c>
      <c r="J366" s="1">
        <f>ABS(I366+C366+D366-E366-F366-G366-H366)</f>
        <v/>
      </c>
      <c r="K366" s="1">
        <f>IF('Bilancio primo strato'!D366&gt;0,1,"")</f>
        <v/>
      </c>
      <c r="L366" s="7">
        <f>Sintesi!$C$34</f>
        <v/>
      </c>
      <c r="M366" s="7">
        <f>Sintesi!$C$33</f>
        <v/>
      </c>
      <c r="N366" s="1">
        <f>'Paste cell here'!AA366</f>
        <v/>
      </c>
      <c r="O366" s="1">
        <f>'Paste cell here'!H366</f>
        <v/>
      </c>
      <c r="P366" s="1">
        <f>(M366-L366)*N366*1000</f>
        <v/>
      </c>
      <c r="Q366" s="1">
        <f>P366*O366</f>
        <v/>
      </c>
      <c r="R366" s="1">
        <f>M366*N366*1000-Q366</f>
        <v/>
      </c>
      <c r="S366" s="5">
        <f>H366/($N366*1000)</f>
        <v/>
      </c>
      <c r="T366" s="5">
        <f>R366/($N366*1000)</f>
        <v/>
      </c>
    </row>
    <row r="368">
      <c r="C368" s="1">
        <f>C113+C158+C162+C164+C166+C167+C169+C171+C173+C176+C177+C179+C180+C181+C183+C184+C187+C188+C190+C193+C195+C199+C200+C203+C204+C206+C207+C209+C213+C220+C230+C232+C234+C238+C240+C242+C244+C248</f>
        <v/>
      </c>
      <c r="D368" s="1">
        <f>D113+D158+D162+D164+D166+D167+D169+D171+D173+D176+D177+D179+D180+D181+D183+D184+D187+D188+D190+D193+D195+D199+D200+D203+D204+D206+D207+D209+D213+D220+D230+D232+D234+D238+D240+D242+D244+D248</f>
        <v/>
      </c>
      <c r="E368" s="1">
        <f>E113+E158+E162+E164+E166+E167+E169+E171+E173+E176+E177+E179+E180+E181+E183+E184+E187+E188+E190+E193+E195+E199+E200+E203+E204+E206+E207+E209+E213+E220+E230+E232+E234+E238+E240+E242+E244+E248</f>
        <v/>
      </c>
      <c r="F368" s="1">
        <f>F113+F158+F162+F164+F166+F167+F169+F171+F173+F176+F177+F179+F180+F181+F183+F184+F187+F188+F190+F193+F195+F199+F200+F203+F204+F206+F207+F209+F213+F220+F230+F232+F234+F238+F240+F242+F244+F248</f>
        <v/>
      </c>
      <c r="G368" s="1">
        <f>G113+G158+G162+G164+G166+G167+G169+G171+G173+G176+G177+G179+G180+G181+G183+G184+G187+G188+G190+G193+G195+G199+G200+G203+G204+G206+G207+G209+G213+G220+G230+G232+G234+G238+G240+G242+G244+G248</f>
        <v/>
      </c>
      <c r="H368" s="1">
        <f>H113+H158+H162+H164+H166+H167+H169+H171+H173+H176+H177+H179+H180+H181+H183+H184+H187+H188+H190+H193+H195+H199+H200+H203+H204+H206+H207+H209+H213+H220+H230+H232+H234+H238+H240+H242+H244+H248</f>
        <v/>
      </c>
      <c r="I368" s="1">
        <f>I113+I158+I162+I164+I166+I167+I169+I171+I173+I176+I177+I179+I180+I181+I183+I184+I187+I188+I190+I193+I195+I199+I200+I203+I204+I206+I207+I209+I213+I220+I230+I232+I234+I238+I240+I242+I244+I248</f>
        <v/>
      </c>
    </row>
    <row r="369">
      <c r="C369" s="1">
        <f>C368/38</f>
        <v/>
      </c>
      <c r="D369" s="1">
        <f>D368/38</f>
        <v/>
      </c>
      <c r="E369" s="1">
        <f>E368/38</f>
        <v/>
      </c>
      <c r="F369" s="1">
        <f>F368/38</f>
        <v/>
      </c>
      <c r="G369" s="1">
        <f>G368/38</f>
        <v/>
      </c>
      <c r="H369" s="1">
        <f>H368/38</f>
        <v/>
      </c>
      <c r="I369" s="1">
        <f>I368/38</f>
        <v/>
      </c>
      <c r="J369" s="1">
        <f>H369-I369</f>
        <v/>
      </c>
    </row>
    <row r="371">
      <c r="C371" s="1">
        <f>C113+C162+C164+C166+C167+C169+C171+C173+C176+C177+C179+C180+C181+C183+C184+C187+C188+C190+C193+C195+C199+C200+C203+C204+C206+C207+C213+C230+C232+C234+C238+C240+C242+C244+C248</f>
        <v/>
      </c>
      <c r="D371" s="1">
        <f>D113+D162+D164+D166+D167+D169+D171+D173+D176+D177+D179+D180+D181+D183+D184+D187+D188+D190+D193+D195+D199+D200+D203+D204+D206+D207+D213+D230+D232+D234+D238+D240+D242+D244+D248</f>
        <v/>
      </c>
      <c r="E371" s="1">
        <f>E113+E162+E164+E166+E167+E169+E171+E173+E176+E177+E179+E180+E181+E183+E184+E187+E188+E190+E193+E195+E199+E200+E203+E204+E206+E207+E213+E230+E232+E234+E238+E240+E242+E244+E248</f>
        <v/>
      </c>
      <c r="F371" s="1">
        <f>F113+F162+F164+F166+F167+F169+F171+F173+F176+F177+F179+F180+F181+F183+F184+F187+F188+F190+F193+F195+F199+F200+F203+F204+F206+F207+F213+F230+F232+F234+F238+F240+F242+F244+F248</f>
        <v/>
      </c>
      <c r="G371" s="1">
        <f>G113+G162+G164+G166+G167+G169+G171+G173+G176+G177+G179+G180+G181+G183+G184+G187+G188+G190+G193+G195+G199+G200+G203+G204+G206+G207+G213+G230+G232+G234+G238+G240+G242+G244+G248</f>
        <v/>
      </c>
      <c r="H371" s="1">
        <f>H113+H162+H164+H166+H167+H169+H171+H173+H176+H177+H179+H180+H181+H183+H184+H187+H188+H190+H193+H195+H199+H200+H203+H204+H206+H207+H213+H230+H232+H234+H238+H240+H242+H244+H248</f>
        <v/>
      </c>
      <c r="I371" s="1">
        <f>I113+I162+I164+I166+I167+I169+I171+I173+I176+I177+I179+I180+I181+I183+I184+I187+I188+I190+I193+I195+I199+I200+I203+I204+I206+I207+I213+I230+I232+I234+I238+I240+I242+I244+I248</f>
        <v/>
      </c>
    </row>
    <row r="372">
      <c r="C372" s="1">
        <f>C371/35</f>
        <v/>
      </c>
      <c r="D372" s="1">
        <f>D371/35</f>
        <v/>
      </c>
      <c r="E372" s="1">
        <f>E371/35</f>
        <v/>
      </c>
      <c r="F372" s="1">
        <f>F371/35</f>
        <v/>
      </c>
      <c r="G372" s="1">
        <f>G371/35</f>
        <v/>
      </c>
      <c r="H372" s="1">
        <f>H371/35</f>
        <v/>
      </c>
      <c r="I372" s="1">
        <f>I371/35</f>
        <v/>
      </c>
      <c r="J372" s="1">
        <f>H372-I372</f>
        <v/>
      </c>
    </row>
  </sheetData>
  <conditionalFormatting sqref="J1:J366">
    <cfRule type="cellIs" priority="4" operator="lessThan" dxfId="5" stopIfTrue="1">
      <formula>0.00001</formula>
    </cfRule>
  </conditionalFormatting>
  <conditionalFormatting sqref="J2">
    <cfRule type="cellIs" priority="1" operator="lessThan" dxfId="2" stopIfTrue="1">
      <formula>0.01</formula>
    </cfRule>
    <cfRule type="cellIs" priority="2" operator="greaterThanOrEqual" dxfId="1">
      <formula>0.01</formula>
    </cfRule>
  </conditionalFormatting>
  <conditionalFormatting sqref="J3:J366">
    <cfRule type="cellIs" priority="5" operator="lessThan" dxfId="2" stopIfTrue="1">
      <formula>0.01</formula>
    </cfRule>
    <cfRule type="cellIs" priority="6" operator="greaterThanOrEqual" dxfId="1">
      <formula>0.01</formula>
    </cfRule>
  </conditionalFormatting>
  <conditionalFormatting sqref="N2:N366">
    <cfRule type="cellIs" priority="7" operator="notEqual" dxfId="0">
      <formula>$N$2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student</dc:creator>
  <dcterms:created xmlns:dcterms="http://purl.org/dc/terms/" xmlns:xsi="http://www.w3.org/2001/XMLSchema-instance" xsi:type="dcterms:W3CDTF">2016-06-02T09:54:49Z</dcterms:created>
  <dcterms:modified xmlns:dcterms="http://purl.org/dc/terms/" xmlns:xsi="http://www.w3.org/2001/XMLSchema-instance" xsi:type="dcterms:W3CDTF">2026-07-28T17:27:15Z</dcterms:modified>
  <cp:lastModifiedBy>Paolo Soffietti</cp:lastModifiedBy>
</cp:coreProperties>
</file>